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cuments\Internship\minor project 5\"/>
    </mc:Choice>
  </mc:AlternateContent>
  <bookViews>
    <workbookView xWindow="-100" yWindow="-100" windowWidth="23230" windowHeight="12430" firstSheet="7" activeTab="13"/>
  </bookViews>
  <sheets>
    <sheet name="README" sheetId="1" r:id="rId1"/>
    <sheet name="Sheet1" sheetId="12" r:id="rId2"/>
    <sheet name="Sheet2" sheetId="13" r:id="rId3"/>
    <sheet name="Orders" sheetId="2" r:id="rId4"/>
    <sheet name="Customers" sheetId="3" r:id="rId5"/>
    <sheet name="Products" sheetId="4" r:id="rId6"/>
    <sheet name="Sales_Reps" sheetId="5" r:id="rId7"/>
    <sheet name="Sheet3" sheetId="14" r:id="rId8"/>
    <sheet name="Targets" sheetId="6" r:id="rId9"/>
    <sheet name="Q1_Lookups" sheetId="7" r:id="rId10"/>
    <sheet name="Q2_Cleaning" sheetId="8" r:id="rId11"/>
    <sheet name="Q3_Aggregation" sheetId="9" r:id="rId12"/>
    <sheet name="Q4_Pivot" sheetId="10" r:id="rId13"/>
    <sheet name="Q5_Advanced" sheetId="11" r:id="rId14"/>
  </sheets>
  <definedNames>
    <definedName name="_xlnm.Print_Area" localSheetId="4">Customers!$A$1:$F$301</definedName>
    <definedName name="_xlnm.Print_Area" localSheetId="3">Orders!$A$1:$K$2001</definedName>
    <definedName name="_xlnm.Print_Area" localSheetId="5">Products!$A$1:$F$61</definedName>
    <definedName name="_xlnm.Print_Area" localSheetId="6">Sales_Reps!$A$1:$E$31</definedName>
    <definedName name="_xlnm.Print_Area" localSheetId="8">Targets!$A$1:$M$31</definedName>
    <definedName name="_xlnm.Print_Titles" localSheetId="4">Customers!$1:$1</definedName>
    <definedName name="_xlnm.Print_Titles" localSheetId="3">Orders!$1:$1</definedName>
    <definedName name="_xlnm.Print_Titles" localSheetId="5">Products!$1:$1</definedName>
    <definedName name="_xlnm.Print_Titles" localSheetId="6">Sales_Reps!$1:$1</definedName>
    <definedName name="_xlnm.Print_Titles" localSheetId="8">Targets!$1:$1</definedName>
  </definedNames>
  <calcPr calcId="162913"/>
  <pivotCaches>
    <pivotCache cacheId="0" r:id="rId15"/>
    <pivotCache cacheId="1" r:id="rId16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11" l="1"/>
  <c r="Z37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35" i="2"/>
  <c r="AA16" i="2"/>
  <c r="AA14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2" i="2"/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" i="2"/>
  <c r="V2" i="5"/>
  <c r="W2" i="5" l="1"/>
  <c r="X2" i="5" s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" i="2"/>
  <c r="O4" i="6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" i="2"/>
  <c r="L3" i="2"/>
  <c r="S3" i="2" s="1"/>
  <c r="L4" i="2"/>
  <c r="S4" i="2" s="1"/>
  <c r="L5" i="2"/>
  <c r="S5" i="2" s="1"/>
  <c r="L6" i="2"/>
  <c r="S6" i="2" s="1"/>
  <c r="L7" i="2"/>
  <c r="S7" i="2" s="1"/>
  <c r="L8" i="2"/>
  <c r="S8" i="2" s="1"/>
  <c r="L9" i="2"/>
  <c r="S9" i="2" s="1"/>
  <c r="L10" i="2"/>
  <c r="S10" i="2" s="1"/>
  <c r="L11" i="2"/>
  <c r="S11" i="2" s="1"/>
  <c r="L12" i="2"/>
  <c r="S12" i="2" s="1"/>
  <c r="L13" i="2"/>
  <c r="S13" i="2" s="1"/>
  <c r="L14" i="2"/>
  <c r="S14" i="2" s="1"/>
  <c r="L15" i="2"/>
  <c r="S15" i="2" s="1"/>
  <c r="L16" i="2"/>
  <c r="S16" i="2" s="1"/>
  <c r="L17" i="2"/>
  <c r="S17" i="2" s="1"/>
  <c r="L18" i="2"/>
  <c r="S18" i="2" s="1"/>
  <c r="L19" i="2"/>
  <c r="S19" i="2" s="1"/>
  <c r="L20" i="2"/>
  <c r="S20" i="2" s="1"/>
  <c r="L21" i="2"/>
  <c r="S21" i="2" s="1"/>
  <c r="L22" i="2"/>
  <c r="S22" i="2" s="1"/>
  <c r="L23" i="2"/>
  <c r="S23" i="2" s="1"/>
  <c r="L24" i="2"/>
  <c r="S24" i="2" s="1"/>
  <c r="L25" i="2"/>
  <c r="S25" i="2" s="1"/>
  <c r="L26" i="2"/>
  <c r="S26" i="2" s="1"/>
  <c r="L27" i="2"/>
  <c r="S27" i="2" s="1"/>
  <c r="L28" i="2"/>
  <c r="S28" i="2" s="1"/>
  <c r="L29" i="2"/>
  <c r="S29" i="2" s="1"/>
  <c r="L30" i="2"/>
  <c r="S30" i="2" s="1"/>
  <c r="L31" i="2"/>
  <c r="S31" i="2" s="1"/>
  <c r="L32" i="2"/>
  <c r="S32" i="2" s="1"/>
  <c r="L33" i="2"/>
  <c r="S33" i="2" s="1"/>
  <c r="L34" i="2"/>
  <c r="S34" i="2" s="1"/>
  <c r="L35" i="2"/>
  <c r="S35" i="2" s="1"/>
  <c r="L36" i="2"/>
  <c r="S36" i="2" s="1"/>
  <c r="L37" i="2"/>
  <c r="S37" i="2" s="1"/>
  <c r="L38" i="2"/>
  <c r="S38" i="2" s="1"/>
  <c r="L39" i="2"/>
  <c r="S39" i="2" s="1"/>
  <c r="L40" i="2"/>
  <c r="S40" i="2" s="1"/>
  <c r="L41" i="2"/>
  <c r="S41" i="2" s="1"/>
  <c r="L42" i="2"/>
  <c r="S42" i="2" s="1"/>
  <c r="L43" i="2"/>
  <c r="S43" i="2" s="1"/>
  <c r="L44" i="2"/>
  <c r="S44" i="2" s="1"/>
  <c r="L45" i="2"/>
  <c r="S45" i="2" s="1"/>
  <c r="L46" i="2"/>
  <c r="S46" i="2" s="1"/>
  <c r="L47" i="2"/>
  <c r="S47" i="2" s="1"/>
  <c r="L48" i="2"/>
  <c r="S48" i="2" s="1"/>
  <c r="L49" i="2"/>
  <c r="S49" i="2" s="1"/>
  <c r="L50" i="2"/>
  <c r="S50" i="2" s="1"/>
  <c r="L51" i="2"/>
  <c r="S51" i="2" s="1"/>
  <c r="L52" i="2"/>
  <c r="S52" i="2" s="1"/>
  <c r="L53" i="2"/>
  <c r="S53" i="2" s="1"/>
  <c r="L54" i="2"/>
  <c r="S54" i="2" s="1"/>
  <c r="L55" i="2"/>
  <c r="S55" i="2" s="1"/>
  <c r="L56" i="2"/>
  <c r="S56" i="2" s="1"/>
  <c r="L57" i="2"/>
  <c r="S57" i="2" s="1"/>
  <c r="L58" i="2"/>
  <c r="S58" i="2" s="1"/>
  <c r="L59" i="2"/>
  <c r="S59" i="2" s="1"/>
  <c r="L60" i="2"/>
  <c r="S60" i="2" s="1"/>
  <c r="L61" i="2"/>
  <c r="S61" i="2" s="1"/>
  <c r="L62" i="2"/>
  <c r="S62" i="2" s="1"/>
  <c r="L63" i="2"/>
  <c r="S63" i="2" s="1"/>
  <c r="L64" i="2"/>
  <c r="S64" i="2" s="1"/>
  <c r="L65" i="2"/>
  <c r="S65" i="2" s="1"/>
  <c r="L66" i="2"/>
  <c r="S66" i="2" s="1"/>
  <c r="L67" i="2"/>
  <c r="S67" i="2" s="1"/>
  <c r="L68" i="2"/>
  <c r="S68" i="2" s="1"/>
  <c r="L69" i="2"/>
  <c r="S69" i="2" s="1"/>
  <c r="L70" i="2"/>
  <c r="S70" i="2" s="1"/>
  <c r="L71" i="2"/>
  <c r="S71" i="2" s="1"/>
  <c r="L72" i="2"/>
  <c r="S72" i="2" s="1"/>
  <c r="L73" i="2"/>
  <c r="S73" i="2" s="1"/>
  <c r="L74" i="2"/>
  <c r="S74" i="2" s="1"/>
  <c r="L75" i="2"/>
  <c r="S75" i="2" s="1"/>
  <c r="L76" i="2"/>
  <c r="S76" i="2" s="1"/>
  <c r="L77" i="2"/>
  <c r="S77" i="2" s="1"/>
  <c r="L78" i="2"/>
  <c r="S78" i="2" s="1"/>
  <c r="L79" i="2"/>
  <c r="S79" i="2" s="1"/>
  <c r="L80" i="2"/>
  <c r="S80" i="2" s="1"/>
  <c r="L81" i="2"/>
  <c r="S81" i="2" s="1"/>
  <c r="L82" i="2"/>
  <c r="S82" i="2" s="1"/>
  <c r="L83" i="2"/>
  <c r="S83" i="2" s="1"/>
  <c r="L84" i="2"/>
  <c r="S84" i="2" s="1"/>
  <c r="L85" i="2"/>
  <c r="S85" i="2" s="1"/>
  <c r="L86" i="2"/>
  <c r="S86" i="2" s="1"/>
  <c r="L87" i="2"/>
  <c r="S87" i="2" s="1"/>
  <c r="L88" i="2"/>
  <c r="S88" i="2" s="1"/>
  <c r="L89" i="2"/>
  <c r="S89" i="2" s="1"/>
  <c r="L90" i="2"/>
  <c r="S90" i="2" s="1"/>
  <c r="L91" i="2"/>
  <c r="S91" i="2" s="1"/>
  <c r="L92" i="2"/>
  <c r="S92" i="2" s="1"/>
  <c r="L93" i="2"/>
  <c r="S93" i="2" s="1"/>
  <c r="L94" i="2"/>
  <c r="S94" i="2" s="1"/>
  <c r="L95" i="2"/>
  <c r="S95" i="2" s="1"/>
  <c r="L96" i="2"/>
  <c r="S96" i="2" s="1"/>
  <c r="L97" i="2"/>
  <c r="S97" i="2" s="1"/>
  <c r="L98" i="2"/>
  <c r="S98" i="2" s="1"/>
  <c r="L99" i="2"/>
  <c r="S99" i="2" s="1"/>
  <c r="L100" i="2"/>
  <c r="S100" i="2" s="1"/>
  <c r="L101" i="2"/>
  <c r="S101" i="2" s="1"/>
  <c r="L102" i="2"/>
  <c r="S102" i="2" s="1"/>
  <c r="L103" i="2"/>
  <c r="S103" i="2" s="1"/>
  <c r="L104" i="2"/>
  <c r="S104" i="2" s="1"/>
  <c r="L105" i="2"/>
  <c r="S105" i="2" s="1"/>
  <c r="L106" i="2"/>
  <c r="S106" i="2" s="1"/>
  <c r="L107" i="2"/>
  <c r="S107" i="2" s="1"/>
  <c r="L108" i="2"/>
  <c r="S108" i="2" s="1"/>
  <c r="L109" i="2"/>
  <c r="S109" i="2" s="1"/>
  <c r="L110" i="2"/>
  <c r="S110" i="2" s="1"/>
  <c r="L111" i="2"/>
  <c r="S111" i="2" s="1"/>
  <c r="L112" i="2"/>
  <c r="S112" i="2" s="1"/>
  <c r="L113" i="2"/>
  <c r="S113" i="2" s="1"/>
  <c r="L114" i="2"/>
  <c r="S114" i="2" s="1"/>
  <c r="L115" i="2"/>
  <c r="S115" i="2" s="1"/>
  <c r="L116" i="2"/>
  <c r="S116" i="2" s="1"/>
  <c r="L117" i="2"/>
  <c r="S117" i="2" s="1"/>
  <c r="L118" i="2"/>
  <c r="S118" i="2" s="1"/>
  <c r="L119" i="2"/>
  <c r="S119" i="2" s="1"/>
  <c r="L120" i="2"/>
  <c r="S120" i="2" s="1"/>
  <c r="L121" i="2"/>
  <c r="S121" i="2" s="1"/>
  <c r="L122" i="2"/>
  <c r="S122" i="2" s="1"/>
  <c r="L123" i="2"/>
  <c r="S123" i="2" s="1"/>
  <c r="L124" i="2"/>
  <c r="S124" i="2" s="1"/>
  <c r="L125" i="2"/>
  <c r="S125" i="2" s="1"/>
  <c r="L126" i="2"/>
  <c r="S126" i="2" s="1"/>
  <c r="L127" i="2"/>
  <c r="S127" i="2" s="1"/>
  <c r="L128" i="2"/>
  <c r="S128" i="2" s="1"/>
  <c r="L129" i="2"/>
  <c r="S129" i="2" s="1"/>
  <c r="L130" i="2"/>
  <c r="S130" i="2" s="1"/>
  <c r="L131" i="2"/>
  <c r="S131" i="2" s="1"/>
  <c r="L132" i="2"/>
  <c r="S132" i="2" s="1"/>
  <c r="L133" i="2"/>
  <c r="S133" i="2" s="1"/>
  <c r="L134" i="2"/>
  <c r="S134" i="2" s="1"/>
  <c r="L135" i="2"/>
  <c r="S135" i="2" s="1"/>
  <c r="L136" i="2"/>
  <c r="S136" i="2" s="1"/>
  <c r="L137" i="2"/>
  <c r="S137" i="2" s="1"/>
  <c r="L138" i="2"/>
  <c r="S138" i="2" s="1"/>
  <c r="L139" i="2"/>
  <c r="S139" i="2" s="1"/>
  <c r="L140" i="2"/>
  <c r="S140" i="2" s="1"/>
  <c r="L141" i="2"/>
  <c r="S141" i="2" s="1"/>
  <c r="L142" i="2"/>
  <c r="S142" i="2" s="1"/>
  <c r="L143" i="2"/>
  <c r="S143" i="2" s="1"/>
  <c r="L144" i="2"/>
  <c r="S144" i="2" s="1"/>
  <c r="L145" i="2"/>
  <c r="S145" i="2" s="1"/>
  <c r="L146" i="2"/>
  <c r="S146" i="2" s="1"/>
  <c r="L147" i="2"/>
  <c r="S147" i="2" s="1"/>
  <c r="L148" i="2"/>
  <c r="S148" i="2" s="1"/>
  <c r="L149" i="2"/>
  <c r="S149" i="2" s="1"/>
  <c r="L150" i="2"/>
  <c r="S150" i="2" s="1"/>
  <c r="L151" i="2"/>
  <c r="S151" i="2" s="1"/>
  <c r="L152" i="2"/>
  <c r="S152" i="2" s="1"/>
  <c r="L153" i="2"/>
  <c r="S153" i="2" s="1"/>
  <c r="L154" i="2"/>
  <c r="S154" i="2" s="1"/>
  <c r="L155" i="2"/>
  <c r="S155" i="2" s="1"/>
  <c r="L156" i="2"/>
  <c r="S156" i="2" s="1"/>
  <c r="L157" i="2"/>
  <c r="S157" i="2" s="1"/>
  <c r="L158" i="2"/>
  <c r="S158" i="2" s="1"/>
  <c r="L159" i="2"/>
  <c r="S159" i="2" s="1"/>
  <c r="L160" i="2"/>
  <c r="S160" i="2" s="1"/>
  <c r="L161" i="2"/>
  <c r="S161" i="2" s="1"/>
  <c r="L162" i="2"/>
  <c r="S162" i="2" s="1"/>
  <c r="L163" i="2"/>
  <c r="S163" i="2" s="1"/>
  <c r="L164" i="2"/>
  <c r="S164" i="2" s="1"/>
  <c r="L165" i="2"/>
  <c r="S165" i="2" s="1"/>
  <c r="L166" i="2"/>
  <c r="S166" i="2" s="1"/>
  <c r="L167" i="2"/>
  <c r="S167" i="2" s="1"/>
  <c r="L168" i="2"/>
  <c r="S168" i="2" s="1"/>
  <c r="L169" i="2"/>
  <c r="S169" i="2" s="1"/>
  <c r="L170" i="2"/>
  <c r="S170" i="2" s="1"/>
  <c r="L171" i="2"/>
  <c r="S171" i="2" s="1"/>
  <c r="L172" i="2"/>
  <c r="S172" i="2" s="1"/>
  <c r="L173" i="2"/>
  <c r="S173" i="2" s="1"/>
  <c r="L174" i="2"/>
  <c r="S174" i="2" s="1"/>
  <c r="L175" i="2"/>
  <c r="S175" i="2" s="1"/>
  <c r="L176" i="2"/>
  <c r="S176" i="2" s="1"/>
  <c r="L177" i="2"/>
  <c r="S177" i="2" s="1"/>
  <c r="L178" i="2"/>
  <c r="S178" i="2" s="1"/>
  <c r="L179" i="2"/>
  <c r="S179" i="2" s="1"/>
  <c r="L180" i="2"/>
  <c r="S180" i="2" s="1"/>
  <c r="L181" i="2"/>
  <c r="S181" i="2" s="1"/>
  <c r="L182" i="2"/>
  <c r="S182" i="2" s="1"/>
  <c r="L183" i="2"/>
  <c r="S183" i="2" s="1"/>
  <c r="L184" i="2"/>
  <c r="S184" i="2" s="1"/>
  <c r="L185" i="2"/>
  <c r="S185" i="2" s="1"/>
  <c r="L186" i="2"/>
  <c r="S186" i="2" s="1"/>
  <c r="L187" i="2"/>
  <c r="S187" i="2" s="1"/>
  <c r="L188" i="2"/>
  <c r="S188" i="2" s="1"/>
  <c r="L189" i="2"/>
  <c r="S189" i="2" s="1"/>
  <c r="L190" i="2"/>
  <c r="S190" i="2" s="1"/>
  <c r="L191" i="2"/>
  <c r="S191" i="2" s="1"/>
  <c r="L192" i="2"/>
  <c r="S192" i="2" s="1"/>
  <c r="L193" i="2"/>
  <c r="S193" i="2" s="1"/>
  <c r="L194" i="2"/>
  <c r="S194" i="2" s="1"/>
  <c r="L195" i="2"/>
  <c r="S195" i="2" s="1"/>
  <c r="L196" i="2"/>
  <c r="S196" i="2" s="1"/>
  <c r="L197" i="2"/>
  <c r="S197" i="2" s="1"/>
  <c r="L198" i="2"/>
  <c r="S198" i="2" s="1"/>
  <c r="L199" i="2"/>
  <c r="S199" i="2" s="1"/>
  <c r="L200" i="2"/>
  <c r="S200" i="2" s="1"/>
  <c r="L201" i="2"/>
  <c r="S201" i="2" s="1"/>
  <c r="L202" i="2"/>
  <c r="S202" i="2" s="1"/>
  <c r="L203" i="2"/>
  <c r="S203" i="2" s="1"/>
  <c r="L204" i="2"/>
  <c r="S204" i="2" s="1"/>
  <c r="L205" i="2"/>
  <c r="S205" i="2" s="1"/>
  <c r="L206" i="2"/>
  <c r="S206" i="2" s="1"/>
  <c r="L207" i="2"/>
  <c r="S207" i="2" s="1"/>
  <c r="L208" i="2"/>
  <c r="S208" i="2" s="1"/>
  <c r="L209" i="2"/>
  <c r="S209" i="2" s="1"/>
  <c r="L210" i="2"/>
  <c r="S210" i="2" s="1"/>
  <c r="L211" i="2"/>
  <c r="S211" i="2" s="1"/>
  <c r="L212" i="2"/>
  <c r="S212" i="2" s="1"/>
  <c r="L213" i="2"/>
  <c r="S213" i="2" s="1"/>
  <c r="L214" i="2"/>
  <c r="S214" i="2" s="1"/>
  <c r="L215" i="2"/>
  <c r="S215" i="2" s="1"/>
  <c r="L216" i="2"/>
  <c r="S216" i="2" s="1"/>
  <c r="L217" i="2"/>
  <c r="S217" i="2" s="1"/>
  <c r="L218" i="2"/>
  <c r="S218" i="2" s="1"/>
  <c r="L219" i="2"/>
  <c r="S219" i="2" s="1"/>
  <c r="L220" i="2"/>
  <c r="S220" i="2" s="1"/>
  <c r="L221" i="2"/>
  <c r="S221" i="2" s="1"/>
  <c r="L222" i="2"/>
  <c r="S222" i="2" s="1"/>
  <c r="L223" i="2"/>
  <c r="S223" i="2" s="1"/>
  <c r="L224" i="2"/>
  <c r="S224" i="2" s="1"/>
  <c r="L225" i="2"/>
  <c r="S225" i="2" s="1"/>
  <c r="L226" i="2"/>
  <c r="S226" i="2" s="1"/>
  <c r="L227" i="2"/>
  <c r="S227" i="2" s="1"/>
  <c r="L228" i="2"/>
  <c r="S228" i="2" s="1"/>
  <c r="L229" i="2"/>
  <c r="S229" i="2" s="1"/>
  <c r="L230" i="2"/>
  <c r="S230" i="2" s="1"/>
  <c r="L231" i="2"/>
  <c r="S231" i="2" s="1"/>
  <c r="L232" i="2"/>
  <c r="S232" i="2" s="1"/>
  <c r="L233" i="2"/>
  <c r="S233" i="2" s="1"/>
  <c r="L234" i="2"/>
  <c r="S234" i="2" s="1"/>
  <c r="L235" i="2"/>
  <c r="S235" i="2" s="1"/>
  <c r="L236" i="2"/>
  <c r="S236" i="2" s="1"/>
  <c r="L237" i="2"/>
  <c r="S237" i="2" s="1"/>
  <c r="L238" i="2"/>
  <c r="S238" i="2" s="1"/>
  <c r="L239" i="2"/>
  <c r="S239" i="2" s="1"/>
  <c r="L240" i="2"/>
  <c r="S240" i="2" s="1"/>
  <c r="L241" i="2"/>
  <c r="S241" i="2" s="1"/>
  <c r="L242" i="2"/>
  <c r="S242" i="2" s="1"/>
  <c r="L243" i="2"/>
  <c r="S243" i="2" s="1"/>
  <c r="L244" i="2"/>
  <c r="S244" i="2" s="1"/>
  <c r="L245" i="2"/>
  <c r="S245" i="2" s="1"/>
  <c r="L246" i="2"/>
  <c r="S246" i="2" s="1"/>
  <c r="L247" i="2"/>
  <c r="S247" i="2" s="1"/>
  <c r="L248" i="2"/>
  <c r="S248" i="2" s="1"/>
  <c r="L249" i="2"/>
  <c r="S249" i="2" s="1"/>
  <c r="L250" i="2"/>
  <c r="S250" i="2" s="1"/>
  <c r="L251" i="2"/>
  <c r="S251" i="2" s="1"/>
  <c r="L252" i="2"/>
  <c r="S252" i="2" s="1"/>
  <c r="L253" i="2"/>
  <c r="S253" i="2" s="1"/>
  <c r="L254" i="2"/>
  <c r="S254" i="2" s="1"/>
  <c r="L255" i="2"/>
  <c r="S255" i="2" s="1"/>
  <c r="L256" i="2"/>
  <c r="S256" i="2" s="1"/>
  <c r="L257" i="2"/>
  <c r="S257" i="2" s="1"/>
  <c r="L258" i="2"/>
  <c r="S258" i="2" s="1"/>
  <c r="L259" i="2"/>
  <c r="S259" i="2" s="1"/>
  <c r="L260" i="2"/>
  <c r="S260" i="2" s="1"/>
  <c r="L261" i="2"/>
  <c r="S261" i="2" s="1"/>
  <c r="L262" i="2"/>
  <c r="S262" i="2" s="1"/>
  <c r="L263" i="2"/>
  <c r="S263" i="2" s="1"/>
  <c r="L264" i="2"/>
  <c r="S264" i="2" s="1"/>
  <c r="L265" i="2"/>
  <c r="S265" i="2" s="1"/>
  <c r="L266" i="2"/>
  <c r="S266" i="2" s="1"/>
  <c r="L267" i="2"/>
  <c r="S267" i="2" s="1"/>
  <c r="L268" i="2"/>
  <c r="S268" i="2" s="1"/>
  <c r="L269" i="2"/>
  <c r="S269" i="2" s="1"/>
  <c r="L270" i="2"/>
  <c r="S270" i="2" s="1"/>
  <c r="L271" i="2"/>
  <c r="S271" i="2" s="1"/>
  <c r="L272" i="2"/>
  <c r="S272" i="2" s="1"/>
  <c r="L273" i="2"/>
  <c r="S273" i="2" s="1"/>
  <c r="L274" i="2"/>
  <c r="S274" i="2" s="1"/>
  <c r="L275" i="2"/>
  <c r="S275" i="2" s="1"/>
  <c r="L276" i="2"/>
  <c r="S276" i="2" s="1"/>
  <c r="L277" i="2"/>
  <c r="S277" i="2" s="1"/>
  <c r="L278" i="2"/>
  <c r="S278" i="2" s="1"/>
  <c r="L279" i="2"/>
  <c r="S279" i="2" s="1"/>
  <c r="L280" i="2"/>
  <c r="S280" i="2" s="1"/>
  <c r="L281" i="2"/>
  <c r="S281" i="2" s="1"/>
  <c r="L282" i="2"/>
  <c r="S282" i="2" s="1"/>
  <c r="L283" i="2"/>
  <c r="S283" i="2" s="1"/>
  <c r="L284" i="2"/>
  <c r="S284" i="2" s="1"/>
  <c r="L285" i="2"/>
  <c r="S285" i="2" s="1"/>
  <c r="L286" i="2"/>
  <c r="S286" i="2" s="1"/>
  <c r="L287" i="2"/>
  <c r="S287" i="2" s="1"/>
  <c r="L288" i="2"/>
  <c r="S288" i="2" s="1"/>
  <c r="L289" i="2"/>
  <c r="S289" i="2" s="1"/>
  <c r="L290" i="2"/>
  <c r="S290" i="2" s="1"/>
  <c r="L291" i="2"/>
  <c r="S291" i="2" s="1"/>
  <c r="L292" i="2"/>
  <c r="S292" i="2" s="1"/>
  <c r="L293" i="2"/>
  <c r="S293" i="2" s="1"/>
  <c r="L294" i="2"/>
  <c r="S294" i="2" s="1"/>
  <c r="L295" i="2"/>
  <c r="S295" i="2" s="1"/>
  <c r="L296" i="2"/>
  <c r="S296" i="2" s="1"/>
  <c r="L297" i="2"/>
  <c r="S297" i="2" s="1"/>
  <c r="L298" i="2"/>
  <c r="S298" i="2" s="1"/>
  <c r="L299" i="2"/>
  <c r="S299" i="2" s="1"/>
  <c r="L300" i="2"/>
  <c r="S300" i="2" s="1"/>
  <c r="L301" i="2"/>
  <c r="S301" i="2" s="1"/>
  <c r="L302" i="2"/>
  <c r="S302" i="2" s="1"/>
  <c r="L303" i="2"/>
  <c r="S303" i="2" s="1"/>
  <c r="L304" i="2"/>
  <c r="S304" i="2" s="1"/>
  <c r="L305" i="2"/>
  <c r="S305" i="2" s="1"/>
  <c r="L306" i="2"/>
  <c r="S306" i="2" s="1"/>
  <c r="L307" i="2"/>
  <c r="S307" i="2" s="1"/>
  <c r="L308" i="2"/>
  <c r="S308" i="2" s="1"/>
  <c r="L309" i="2"/>
  <c r="S309" i="2" s="1"/>
  <c r="L310" i="2"/>
  <c r="S310" i="2" s="1"/>
  <c r="L311" i="2"/>
  <c r="S311" i="2" s="1"/>
  <c r="L312" i="2"/>
  <c r="S312" i="2" s="1"/>
  <c r="L313" i="2"/>
  <c r="S313" i="2" s="1"/>
  <c r="L314" i="2"/>
  <c r="S314" i="2" s="1"/>
  <c r="L315" i="2"/>
  <c r="S315" i="2" s="1"/>
  <c r="L316" i="2"/>
  <c r="S316" i="2" s="1"/>
  <c r="L317" i="2"/>
  <c r="S317" i="2" s="1"/>
  <c r="L318" i="2"/>
  <c r="S318" i="2" s="1"/>
  <c r="L319" i="2"/>
  <c r="S319" i="2" s="1"/>
  <c r="L320" i="2"/>
  <c r="S320" i="2" s="1"/>
  <c r="L321" i="2"/>
  <c r="S321" i="2" s="1"/>
  <c r="L322" i="2"/>
  <c r="S322" i="2" s="1"/>
  <c r="L323" i="2"/>
  <c r="S323" i="2" s="1"/>
  <c r="L324" i="2"/>
  <c r="S324" i="2" s="1"/>
  <c r="L325" i="2"/>
  <c r="S325" i="2" s="1"/>
  <c r="L326" i="2"/>
  <c r="S326" i="2" s="1"/>
  <c r="L327" i="2"/>
  <c r="S327" i="2" s="1"/>
  <c r="L328" i="2"/>
  <c r="S328" i="2" s="1"/>
  <c r="L329" i="2"/>
  <c r="S329" i="2" s="1"/>
  <c r="L330" i="2"/>
  <c r="S330" i="2" s="1"/>
  <c r="L331" i="2"/>
  <c r="S331" i="2" s="1"/>
  <c r="L332" i="2"/>
  <c r="S332" i="2" s="1"/>
  <c r="L333" i="2"/>
  <c r="S333" i="2" s="1"/>
  <c r="L334" i="2"/>
  <c r="S334" i="2" s="1"/>
  <c r="L335" i="2"/>
  <c r="S335" i="2" s="1"/>
  <c r="L336" i="2"/>
  <c r="S336" i="2" s="1"/>
  <c r="L337" i="2"/>
  <c r="S337" i="2" s="1"/>
  <c r="L338" i="2"/>
  <c r="S338" i="2" s="1"/>
  <c r="L339" i="2"/>
  <c r="S339" i="2" s="1"/>
  <c r="L340" i="2"/>
  <c r="S340" i="2" s="1"/>
  <c r="L341" i="2"/>
  <c r="S341" i="2" s="1"/>
  <c r="L342" i="2"/>
  <c r="S342" i="2" s="1"/>
  <c r="L343" i="2"/>
  <c r="S343" i="2" s="1"/>
  <c r="L344" i="2"/>
  <c r="S344" i="2" s="1"/>
  <c r="L345" i="2"/>
  <c r="S345" i="2" s="1"/>
  <c r="L346" i="2"/>
  <c r="S346" i="2" s="1"/>
  <c r="L347" i="2"/>
  <c r="S347" i="2" s="1"/>
  <c r="L348" i="2"/>
  <c r="S348" i="2" s="1"/>
  <c r="L349" i="2"/>
  <c r="S349" i="2" s="1"/>
  <c r="L350" i="2"/>
  <c r="S350" i="2" s="1"/>
  <c r="L351" i="2"/>
  <c r="S351" i="2" s="1"/>
  <c r="L352" i="2"/>
  <c r="S352" i="2" s="1"/>
  <c r="L353" i="2"/>
  <c r="S353" i="2" s="1"/>
  <c r="L354" i="2"/>
  <c r="S354" i="2" s="1"/>
  <c r="L355" i="2"/>
  <c r="S355" i="2" s="1"/>
  <c r="L356" i="2"/>
  <c r="S356" i="2" s="1"/>
  <c r="L357" i="2"/>
  <c r="S357" i="2" s="1"/>
  <c r="L358" i="2"/>
  <c r="S358" i="2" s="1"/>
  <c r="L359" i="2"/>
  <c r="S359" i="2" s="1"/>
  <c r="L360" i="2"/>
  <c r="S360" i="2" s="1"/>
  <c r="L361" i="2"/>
  <c r="S361" i="2" s="1"/>
  <c r="L362" i="2"/>
  <c r="S362" i="2" s="1"/>
  <c r="L363" i="2"/>
  <c r="S363" i="2" s="1"/>
  <c r="L364" i="2"/>
  <c r="S364" i="2" s="1"/>
  <c r="L365" i="2"/>
  <c r="S365" i="2" s="1"/>
  <c r="L366" i="2"/>
  <c r="S366" i="2" s="1"/>
  <c r="L367" i="2"/>
  <c r="S367" i="2" s="1"/>
  <c r="L368" i="2"/>
  <c r="S368" i="2" s="1"/>
  <c r="L369" i="2"/>
  <c r="S369" i="2" s="1"/>
  <c r="L370" i="2"/>
  <c r="S370" i="2" s="1"/>
  <c r="L371" i="2"/>
  <c r="S371" i="2" s="1"/>
  <c r="L372" i="2"/>
  <c r="S372" i="2" s="1"/>
  <c r="L373" i="2"/>
  <c r="S373" i="2" s="1"/>
  <c r="L374" i="2"/>
  <c r="S374" i="2" s="1"/>
  <c r="L375" i="2"/>
  <c r="S375" i="2" s="1"/>
  <c r="L376" i="2"/>
  <c r="S376" i="2" s="1"/>
  <c r="L377" i="2"/>
  <c r="S377" i="2" s="1"/>
  <c r="L378" i="2"/>
  <c r="S378" i="2" s="1"/>
  <c r="L379" i="2"/>
  <c r="S379" i="2" s="1"/>
  <c r="L380" i="2"/>
  <c r="S380" i="2" s="1"/>
  <c r="L381" i="2"/>
  <c r="S381" i="2" s="1"/>
  <c r="L382" i="2"/>
  <c r="S382" i="2" s="1"/>
  <c r="L383" i="2"/>
  <c r="S383" i="2" s="1"/>
  <c r="L384" i="2"/>
  <c r="S384" i="2" s="1"/>
  <c r="L385" i="2"/>
  <c r="S385" i="2" s="1"/>
  <c r="L386" i="2"/>
  <c r="S386" i="2" s="1"/>
  <c r="L387" i="2"/>
  <c r="S387" i="2" s="1"/>
  <c r="L388" i="2"/>
  <c r="S388" i="2" s="1"/>
  <c r="L389" i="2"/>
  <c r="S389" i="2" s="1"/>
  <c r="L390" i="2"/>
  <c r="S390" i="2" s="1"/>
  <c r="L391" i="2"/>
  <c r="S391" i="2" s="1"/>
  <c r="L392" i="2"/>
  <c r="S392" i="2" s="1"/>
  <c r="L393" i="2"/>
  <c r="S393" i="2" s="1"/>
  <c r="L394" i="2"/>
  <c r="S394" i="2" s="1"/>
  <c r="L395" i="2"/>
  <c r="S395" i="2" s="1"/>
  <c r="L396" i="2"/>
  <c r="S396" i="2" s="1"/>
  <c r="L397" i="2"/>
  <c r="S397" i="2" s="1"/>
  <c r="L398" i="2"/>
  <c r="S398" i="2" s="1"/>
  <c r="L399" i="2"/>
  <c r="S399" i="2" s="1"/>
  <c r="L400" i="2"/>
  <c r="S400" i="2" s="1"/>
  <c r="L401" i="2"/>
  <c r="S401" i="2" s="1"/>
  <c r="L402" i="2"/>
  <c r="S402" i="2" s="1"/>
  <c r="L403" i="2"/>
  <c r="S403" i="2" s="1"/>
  <c r="L404" i="2"/>
  <c r="S404" i="2" s="1"/>
  <c r="L405" i="2"/>
  <c r="S405" i="2" s="1"/>
  <c r="L406" i="2"/>
  <c r="S406" i="2" s="1"/>
  <c r="L407" i="2"/>
  <c r="S407" i="2" s="1"/>
  <c r="L408" i="2"/>
  <c r="S408" i="2" s="1"/>
  <c r="L409" i="2"/>
  <c r="S409" i="2" s="1"/>
  <c r="L410" i="2"/>
  <c r="S410" i="2" s="1"/>
  <c r="L411" i="2"/>
  <c r="S411" i="2" s="1"/>
  <c r="L412" i="2"/>
  <c r="S412" i="2" s="1"/>
  <c r="L413" i="2"/>
  <c r="S413" i="2" s="1"/>
  <c r="L414" i="2"/>
  <c r="S414" i="2" s="1"/>
  <c r="L415" i="2"/>
  <c r="S415" i="2" s="1"/>
  <c r="L416" i="2"/>
  <c r="S416" i="2" s="1"/>
  <c r="L417" i="2"/>
  <c r="S417" i="2" s="1"/>
  <c r="L418" i="2"/>
  <c r="S418" i="2" s="1"/>
  <c r="L419" i="2"/>
  <c r="S419" i="2" s="1"/>
  <c r="L420" i="2"/>
  <c r="S420" i="2" s="1"/>
  <c r="L421" i="2"/>
  <c r="S421" i="2" s="1"/>
  <c r="L422" i="2"/>
  <c r="S422" i="2" s="1"/>
  <c r="L423" i="2"/>
  <c r="S423" i="2" s="1"/>
  <c r="L424" i="2"/>
  <c r="S424" i="2" s="1"/>
  <c r="L425" i="2"/>
  <c r="S425" i="2" s="1"/>
  <c r="L426" i="2"/>
  <c r="S426" i="2" s="1"/>
  <c r="L427" i="2"/>
  <c r="S427" i="2" s="1"/>
  <c r="L428" i="2"/>
  <c r="S428" i="2" s="1"/>
  <c r="L429" i="2"/>
  <c r="S429" i="2" s="1"/>
  <c r="L430" i="2"/>
  <c r="S430" i="2" s="1"/>
  <c r="L431" i="2"/>
  <c r="S431" i="2" s="1"/>
  <c r="L432" i="2"/>
  <c r="S432" i="2" s="1"/>
  <c r="L433" i="2"/>
  <c r="S433" i="2" s="1"/>
  <c r="L434" i="2"/>
  <c r="S434" i="2" s="1"/>
  <c r="L435" i="2"/>
  <c r="S435" i="2" s="1"/>
  <c r="L436" i="2"/>
  <c r="S436" i="2" s="1"/>
  <c r="L437" i="2"/>
  <c r="S437" i="2" s="1"/>
  <c r="L438" i="2"/>
  <c r="S438" i="2" s="1"/>
  <c r="L439" i="2"/>
  <c r="S439" i="2" s="1"/>
  <c r="L440" i="2"/>
  <c r="S440" i="2" s="1"/>
  <c r="L441" i="2"/>
  <c r="S441" i="2" s="1"/>
  <c r="L442" i="2"/>
  <c r="S442" i="2" s="1"/>
  <c r="L443" i="2"/>
  <c r="S443" i="2" s="1"/>
  <c r="L444" i="2"/>
  <c r="S444" i="2" s="1"/>
  <c r="L445" i="2"/>
  <c r="S445" i="2" s="1"/>
  <c r="L446" i="2"/>
  <c r="S446" i="2" s="1"/>
  <c r="L447" i="2"/>
  <c r="S447" i="2" s="1"/>
  <c r="L448" i="2"/>
  <c r="S448" i="2" s="1"/>
  <c r="L449" i="2"/>
  <c r="S449" i="2" s="1"/>
  <c r="L450" i="2"/>
  <c r="S450" i="2" s="1"/>
  <c r="L451" i="2"/>
  <c r="S451" i="2" s="1"/>
  <c r="L452" i="2"/>
  <c r="S452" i="2" s="1"/>
  <c r="L453" i="2"/>
  <c r="S453" i="2" s="1"/>
  <c r="L454" i="2"/>
  <c r="S454" i="2" s="1"/>
  <c r="L455" i="2"/>
  <c r="S455" i="2" s="1"/>
  <c r="L456" i="2"/>
  <c r="S456" i="2" s="1"/>
  <c r="L457" i="2"/>
  <c r="S457" i="2" s="1"/>
  <c r="L458" i="2"/>
  <c r="S458" i="2" s="1"/>
  <c r="L459" i="2"/>
  <c r="S459" i="2" s="1"/>
  <c r="L460" i="2"/>
  <c r="S460" i="2" s="1"/>
  <c r="L461" i="2"/>
  <c r="S461" i="2" s="1"/>
  <c r="L462" i="2"/>
  <c r="S462" i="2" s="1"/>
  <c r="L463" i="2"/>
  <c r="S463" i="2" s="1"/>
  <c r="L464" i="2"/>
  <c r="S464" i="2" s="1"/>
  <c r="L465" i="2"/>
  <c r="S465" i="2" s="1"/>
  <c r="L466" i="2"/>
  <c r="S466" i="2" s="1"/>
  <c r="L467" i="2"/>
  <c r="S467" i="2" s="1"/>
  <c r="L468" i="2"/>
  <c r="S468" i="2" s="1"/>
  <c r="L469" i="2"/>
  <c r="S469" i="2" s="1"/>
  <c r="L470" i="2"/>
  <c r="S470" i="2" s="1"/>
  <c r="L471" i="2"/>
  <c r="S471" i="2" s="1"/>
  <c r="L472" i="2"/>
  <c r="S472" i="2" s="1"/>
  <c r="L473" i="2"/>
  <c r="S473" i="2" s="1"/>
  <c r="L474" i="2"/>
  <c r="S474" i="2" s="1"/>
  <c r="L475" i="2"/>
  <c r="S475" i="2" s="1"/>
  <c r="L476" i="2"/>
  <c r="S476" i="2" s="1"/>
  <c r="L477" i="2"/>
  <c r="S477" i="2" s="1"/>
  <c r="L478" i="2"/>
  <c r="S478" i="2" s="1"/>
  <c r="L479" i="2"/>
  <c r="S479" i="2" s="1"/>
  <c r="L480" i="2"/>
  <c r="S480" i="2" s="1"/>
  <c r="L481" i="2"/>
  <c r="S481" i="2" s="1"/>
  <c r="L482" i="2"/>
  <c r="S482" i="2" s="1"/>
  <c r="L483" i="2"/>
  <c r="S483" i="2" s="1"/>
  <c r="L484" i="2"/>
  <c r="S484" i="2" s="1"/>
  <c r="L485" i="2"/>
  <c r="S485" i="2" s="1"/>
  <c r="L486" i="2"/>
  <c r="S486" i="2" s="1"/>
  <c r="L487" i="2"/>
  <c r="S487" i="2" s="1"/>
  <c r="L488" i="2"/>
  <c r="S488" i="2" s="1"/>
  <c r="L489" i="2"/>
  <c r="S489" i="2" s="1"/>
  <c r="L490" i="2"/>
  <c r="S490" i="2" s="1"/>
  <c r="L491" i="2"/>
  <c r="S491" i="2" s="1"/>
  <c r="L492" i="2"/>
  <c r="S492" i="2" s="1"/>
  <c r="L493" i="2"/>
  <c r="S493" i="2" s="1"/>
  <c r="L494" i="2"/>
  <c r="S494" i="2" s="1"/>
  <c r="L495" i="2"/>
  <c r="S495" i="2" s="1"/>
  <c r="L496" i="2"/>
  <c r="S496" i="2" s="1"/>
  <c r="L497" i="2"/>
  <c r="S497" i="2" s="1"/>
  <c r="L498" i="2"/>
  <c r="S498" i="2" s="1"/>
  <c r="L499" i="2"/>
  <c r="S499" i="2" s="1"/>
  <c r="L500" i="2"/>
  <c r="S500" i="2" s="1"/>
  <c r="L501" i="2"/>
  <c r="S501" i="2" s="1"/>
  <c r="L502" i="2"/>
  <c r="S502" i="2" s="1"/>
  <c r="L503" i="2"/>
  <c r="S503" i="2" s="1"/>
  <c r="L504" i="2"/>
  <c r="S504" i="2" s="1"/>
  <c r="L505" i="2"/>
  <c r="S505" i="2" s="1"/>
  <c r="L506" i="2"/>
  <c r="S506" i="2" s="1"/>
  <c r="L507" i="2"/>
  <c r="S507" i="2" s="1"/>
  <c r="L508" i="2"/>
  <c r="S508" i="2" s="1"/>
  <c r="L509" i="2"/>
  <c r="S509" i="2" s="1"/>
  <c r="L510" i="2"/>
  <c r="S510" i="2" s="1"/>
  <c r="L511" i="2"/>
  <c r="S511" i="2" s="1"/>
  <c r="L512" i="2"/>
  <c r="S512" i="2" s="1"/>
  <c r="L513" i="2"/>
  <c r="S513" i="2" s="1"/>
  <c r="L514" i="2"/>
  <c r="S514" i="2" s="1"/>
  <c r="L515" i="2"/>
  <c r="S515" i="2" s="1"/>
  <c r="L516" i="2"/>
  <c r="S516" i="2" s="1"/>
  <c r="L517" i="2"/>
  <c r="S517" i="2" s="1"/>
  <c r="L518" i="2"/>
  <c r="S518" i="2" s="1"/>
  <c r="L519" i="2"/>
  <c r="S519" i="2" s="1"/>
  <c r="L520" i="2"/>
  <c r="S520" i="2" s="1"/>
  <c r="L521" i="2"/>
  <c r="S521" i="2" s="1"/>
  <c r="L522" i="2"/>
  <c r="S522" i="2" s="1"/>
  <c r="L523" i="2"/>
  <c r="S523" i="2" s="1"/>
  <c r="L524" i="2"/>
  <c r="S524" i="2" s="1"/>
  <c r="L525" i="2"/>
  <c r="S525" i="2" s="1"/>
  <c r="L526" i="2"/>
  <c r="S526" i="2" s="1"/>
  <c r="L527" i="2"/>
  <c r="S527" i="2" s="1"/>
  <c r="L528" i="2"/>
  <c r="S528" i="2" s="1"/>
  <c r="L529" i="2"/>
  <c r="S529" i="2" s="1"/>
  <c r="L530" i="2"/>
  <c r="S530" i="2" s="1"/>
  <c r="L531" i="2"/>
  <c r="S531" i="2" s="1"/>
  <c r="L532" i="2"/>
  <c r="S532" i="2" s="1"/>
  <c r="L533" i="2"/>
  <c r="S533" i="2" s="1"/>
  <c r="L534" i="2"/>
  <c r="S534" i="2" s="1"/>
  <c r="L535" i="2"/>
  <c r="S535" i="2" s="1"/>
  <c r="L536" i="2"/>
  <c r="S536" i="2" s="1"/>
  <c r="L537" i="2"/>
  <c r="S537" i="2" s="1"/>
  <c r="L538" i="2"/>
  <c r="S538" i="2" s="1"/>
  <c r="L539" i="2"/>
  <c r="S539" i="2" s="1"/>
  <c r="L540" i="2"/>
  <c r="S540" i="2" s="1"/>
  <c r="L541" i="2"/>
  <c r="S541" i="2" s="1"/>
  <c r="L542" i="2"/>
  <c r="S542" i="2" s="1"/>
  <c r="L543" i="2"/>
  <c r="S543" i="2" s="1"/>
  <c r="L544" i="2"/>
  <c r="S544" i="2" s="1"/>
  <c r="L545" i="2"/>
  <c r="S545" i="2" s="1"/>
  <c r="L546" i="2"/>
  <c r="S546" i="2" s="1"/>
  <c r="L547" i="2"/>
  <c r="S547" i="2" s="1"/>
  <c r="L548" i="2"/>
  <c r="S548" i="2" s="1"/>
  <c r="L549" i="2"/>
  <c r="S549" i="2" s="1"/>
  <c r="L550" i="2"/>
  <c r="S550" i="2" s="1"/>
  <c r="L551" i="2"/>
  <c r="S551" i="2" s="1"/>
  <c r="L552" i="2"/>
  <c r="S552" i="2" s="1"/>
  <c r="L553" i="2"/>
  <c r="S553" i="2" s="1"/>
  <c r="L554" i="2"/>
  <c r="S554" i="2" s="1"/>
  <c r="L555" i="2"/>
  <c r="S555" i="2" s="1"/>
  <c r="L556" i="2"/>
  <c r="S556" i="2" s="1"/>
  <c r="L557" i="2"/>
  <c r="S557" i="2" s="1"/>
  <c r="L558" i="2"/>
  <c r="S558" i="2" s="1"/>
  <c r="L559" i="2"/>
  <c r="S559" i="2" s="1"/>
  <c r="L560" i="2"/>
  <c r="S560" i="2" s="1"/>
  <c r="L561" i="2"/>
  <c r="S561" i="2" s="1"/>
  <c r="L562" i="2"/>
  <c r="S562" i="2" s="1"/>
  <c r="L563" i="2"/>
  <c r="S563" i="2" s="1"/>
  <c r="L564" i="2"/>
  <c r="S564" i="2" s="1"/>
  <c r="L565" i="2"/>
  <c r="S565" i="2" s="1"/>
  <c r="L566" i="2"/>
  <c r="S566" i="2" s="1"/>
  <c r="L567" i="2"/>
  <c r="S567" i="2" s="1"/>
  <c r="L568" i="2"/>
  <c r="S568" i="2" s="1"/>
  <c r="L569" i="2"/>
  <c r="S569" i="2" s="1"/>
  <c r="L570" i="2"/>
  <c r="S570" i="2" s="1"/>
  <c r="L571" i="2"/>
  <c r="S571" i="2" s="1"/>
  <c r="L572" i="2"/>
  <c r="S572" i="2" s="1"/>
  <c r="L573" i="2"/>
  <c r="S573" i="2" s="1"/>
  <c r="L574" i="2"/>
  <c r="S574" i="2" s="1"/>
  <c r="L575" i="2"/>
  <c r="S575" i="2" s="1"/>
  <c r="L576" i="2"/>
  <c r="S576" i="2" s="1"/>
  <c r="L577" i="2"/>
  <c r="S577" i="2" s="1"/>
  <c r="L578" i="2"/>
  <c r="S578" i="2" s="1"/>
  <c r="L579" i="2"/>
  <c r="S579" i="2" s="1"/>
  <c r="L580" i="2"/>
  <c r="S580" i="2" s="1"/>
  <c r="L581" i="2"/>
  <c r="S581" i="2" s="1"/>
  <c r="L582" i="2"/>
  <c r="S582" i="2" s="1"/>
  <c r="L583" i="2"/>
  <c r="S583" i="2" s="1"/>
  <c r="L584" i="2"/>
  <c r="S584" i="2" s="1"/>
  <c r="L585" i="2"/>
  <c r="S585" i="2" s="1"/>
  <c r="L586" i="2"/>
  <c r="S586" i="2" s="1"/>
  <c r="L587" i="2"/>
  <c r="S587" i="2" s="1"/>
  <c r="L588" i="2"/>
  <c r="S588" i="2" s="1"/>
  <c r="L589" i="2"/>
  <c r="S589" i="2" s="1"/>
  <c r="L590" i="2"/>
  <c r="S590" i="2" s="1"/>
  <c r="L591" i="2"/>
  <c r="S591" i="2" s="1"/>
  <c r="L592" i="2"/>
  <c r="S592" i="2" s="1"/>
  <c r="L593" i="2"/>
  <c r="S593" i="2" s="1"/>
  <c r="L594" i="2"/>
  <c r="S594" i="2" s="1"/>
  <c r="L595" i="2"/>
  <c r="S595" i="2" s="1"/>
  <c r="L596" i="2"/>
  <c r="S596" i="2" s="1"/>
  <c r="L597" i="2"/>
  <c r="S597" i="2" s="1"/>
  <c r="L598" i="2"/>
  <c r="S598" i="2" s="1"/>
  <c r="L599" i="2"/>
  <c r="S599" i="2" s="1"/>
  <c r="L600" i="2"/>
  <c r="S600" i="2" s="1"/>
  <c r="L601" i="2"/>
  <c r="S601" i="2" s="1"/>
  <c r="L602" i="2"/>
  <c r="S602" i="2" s="1"/>
  <c r="L603" i="2"/>
  <c r="S603" i="2" s="1"/>
  <c r="L604" i="2"/>
  <c r="S604" i="2" s="1"/>
  <c r="L605" i="2"/>
  <c r="S605" i="2" s="1"/>
  <c r="L606" i="2"/>
  <c r="S606" i="2" s="1"/>
  <c r="L607" i="2"/>
  <c r="S607" i="2" s="1"/>
  <c r="L608" i="2"/>
  <c r="S608" i="2" s="1"/>
  <c r="L609" i="2"/>
  <c r="S609" i="2" s="1"/>
  <c r="L610" i="2"/>
  <c r="S610" i="2" s="1"/>
  <c r="L611" i="2"/>
  <c r="S611" i="2" s="1"/>
  <c r="L612" i="2"/>
  <c r="S612" i="2" s="1"/>
  <c r="L613" i="2"/>
  <c r="S613" i="2" s="1"/>
  <c r="L614" i="2"/>
  <c r="S614" i="2" s="1"/>
  <c r="L615" i="2"/>
  <c r="S615" i="2" s="1"/>
  <c r="L616" i="2"/>
  <c r="S616" i="2" s="1"/>
  <c r="L617" i="2"/>
  <c r="S617" i="2" s="1"/>
  <c r="L618" i="2"/>
  <c r="S618" i="2" s="1"/>
  <c r="L619" i="2"/>
  <c r="S619" i="2" s="1"/>
  <c r="L620" i="2"/>
  <c r="S620" i="2" s="1"/>
  <c r="L621" i="2"/>
  <c r="S621" i="2" s="1"/>
  <c r="L622" i="2"/>
  <c r="S622" i="2" s="1"/>
  <c r="L623" i="2"/>
  <c r="S623" i="2" s="1"/>
  <c r="L624" i="2"/>
  <c r="S624" i="2" s="1"/>
  <c r="L625" i="2"/>
  <c r="S625" i="2" s="1"/>
  <c r="L626" i="2"/>
  <c r="S626" i="2" s="1"/>
  <c r="L627" i="2"/>
  <c r="S627" i="2" s="1"/>
  <c r="L628" i="2"/>
  <c r="S628" i="2" s="1"/>
  <c r="L629" i="2"/>
  <c r="S629" i="2" s="1"/>
  <c r="L630" i="2"/>
  <c r="S630" i="2" s="1"/>
  <c r="L631" i="2"/>
  <c r="S631" i="2" s="1"/>
  <c r="L632" i="2"/>
  <c r="S632" i="2" s="1"/>
  <c r="L633" i="2"/>
  <c r="S633" i="2" s="1"/>
  <c r="L634" i="2"/>
  <c r="S634" i="2" s="1"/>
  <c r="L635" i="2"/>
  <c r="S635" i="2" s="1"/>
  <c r="L636" i="2"/>
  <c r="S636" i="2" s="1"/>
  <c r="L637" i="2"/>
  <c r="S637" i="2" s="1"/>
  <c r="L638" i="2"/>
  <c r="S638" i="2" s="1"/>
  <c r="L639" i="2"/>
  <c r="S639" i="2" s="1"/>
  <c r="L640" i="2"/>
  <c r="S640" i="2" s="1"/>
  <c r="L641" i="2"/>
  <c r="S641" i="2" s="1"/>
  <c r="L642" i="2"/>
  <c r="S642" i="2" s="1"/>
  <c r="L643" i="2"/>
  <c r="S643" i="2" s="1"/>
  <c r="L644" i="2"/>
  <c r="S644" i="2" s="1"/>
  <c r="L645" i="2"/>
  <c r="S645" i="2" s="1"/>
  <c r="L646" i="2"/>
  <c r="S646" i="2" s="1"/>
  <c r="L647" i="2"/>
  <c r="S647" i="2" s="1"/>
  <c r="L648" i="2"/>
  <c r="S648" i="2" s="1"/>
  <c r="L649" i="2"/>
  <c r="S649" i="2" s="1"/>
  <c r="L650" i="2"/>
  <c r="S650" i="2" s="1"/>
  <c r="L651" i="2"/>
  <c r="S651" i="2" s="1"/>
  <c r="L652" i="2"/>
  <c r="S652" i="2" s="1"/>
  <c r="L653" i="2"/>
  <c r="S653" i="2" s="1"/>
  <c r="L654" i="2"/>
  <c r="S654" i="2" s="1"/>
  <c r="L655" i="2"/>
  <c r="S655" i="2" s="1"/>
  <c r="L656" i="2"/>
  <c r="S656" i="2" s="1"/>
  <c r="L657" i="2"/>
  <c r="S657" i="2" s="1"/>
  <c r="L658" i="2"/>
  <c r="S658" i="2" s="1"/>
  <c r="L659" i="2"/>
  <c r="S659" i="2" s="1"/>
  <c r="L660" i="2"/>
  <c r="S660" i="2" s="1"/>
  <c r="L661" i="2"/>
  <c r="S661" i="2" s="1"/>
  <c r="L662" i="2"/>
  <c r="S662" i="2" s="1"/>
  <c r="L663" i="2"/>
  <c r="S663" i="2" s="1"/>
  <c r="L664" i="2"/>
  <c r="S664" i="2" s="1"/>
  <c r="L665" i="2"/>
  <c r="S665" i="2" s="1"/>
  <c r="L666" i="2"/>
  <c r="S666" i="2" s="1"/>
  <c r="L667" i="2"/>
  <c r="S667" i="2" s="1"/>
  <c r="L668" i="2"/>
  <c r="S668" i="2" s="1"/>
  <c r="L669" i="2"/>
  <c r="S669" i="2" s="1"/>
  <c r="L670" i="2"/>
  <c r="S670" i="2" s="1"/>
  <c r="L671" i="2"/>
  <c r="S671" i="2" s="1"/>
  <c r="L672" i="2"/>
  <c r="S672" i="2" s="1"/>
  <c r="L673" i="2"/>
  <c r="S673" i="2" s="1"/>
  <c r="L674" i="2"/>
  <c r="S674" i="2" s="1"/>
  <c r="L675" i="2"/>
  <c r="S675" i="2" s="1"/>
  <c r="L676" i="2"/>
  <c r="S676" i="2" s="1"/>
  <c r="L677" i="2"/>
  <c r="S677" i="2" s="1"/>
  <c r="L678" i="2"/>
  <c r="S678" i="2" s="1"/>
  <c r="L679" i="2"/>
  <c r="S679" i="2" s="1"/>
  <c r="L680" i="2"/>
  <c r="S680" i="2" s="1"/>
  <c r="L681" i="2"/>
  <c r="S681" i="2" s="1"/>
  <c r="L682" i="2"/>
  <c r="S682" i="2" s="1"/>
  <c r="L683" i="2"/>
  <c r="S683" i="2" s="1"/>
  <c r="L684" i="2"/>
  <c r="S684" i="2" s="1"/>
  <c r="L685" i="2"/>
  <c r="S685" i="2" s="1"/>
  <c r="L686" i="2"/>
  <c r="S686" i="2" s="1"/>
  <c r="L687" i="2"/>
  <c r="S687" i="2" s="1"/>
  <c r="L688" i="2"/>
  <c r="S688" i="2" s="1"/>
  <c r="L689" i="2"/>
  <c r="S689" i="2" s="1"/>
  <c r="L690" i="2"/>
  <c r="S690" i="2" s="1"/>
  <c r="L691" i="2"/>
  <c r="S691" i="2" s="1"/>
  <c r="L692" i="2"/>
  <c r="S692" i="2" s="1"/>
  <c r="L693" i="2"/>
  <c r="S693" i="2" s="1"/>
  <c r="L694" i="2"/>
  <c r="S694" i="2" s="1"/>
  <c r="L695" i="2"/>
  <c r="S695" i="2" s="1"/>
  <c r="L696" i="2"/>
  <c r="S696" i="2" s="1"/>
  <c r="L697" i="2"/>
  <c r="S697" i="2" s="1"/>
  <c r="L698" i="2"/>
  <c r="S698" i="2" s="1"/>
  <c r="L699" i="2"/>
  <c r="S699" i="2" s="1"/>
  <c r="L700" i="2"/>
  <c r="S700" i="2" s="1"/>
  <c r="L701" i="2"/>
  <c r="S701" i="2" s="1"/>
  <c r="L702" i="2"/>
  <c r="S702" i="2" s="1"/>
  <c r="L703" i="2"/>
  <c r="S703" i="2" s="1"/>
  <c r="L704" i="2"/>
  <c r="S704" i="2" s="1"/>
  <c r="L705" i="2"/>
  <c r="S705" i="2" s="1"/>
  <c r="L706" i="2"/>
  <c r="S706" i="2" s="1"/>
  <c r="L707" i="2"/>
  <c r="S707" i="2" s="1"/>
  <c r="L708" i="2"/>
  <c r="S708" i="2" s="1"/>
  <c r="L709" i="2"/>
  <c r="S709" i="2" s="1"/>
  <c r="L710" i="2"/>
  <c r="S710" i="2" s="1"/>
  <c r="L711" i="2"/>
  <c r="S711" i="2" s="1"/>
  <c r="L712" i="2"/>
  <c r="S712" i="2" s="1"/>
  <c r="L713" i="2"/>
  <c r="S713" i="2" s="1"/>
  <c r="L714" i="2"/>
  <c r="S714" i="2" s="1"/>
  <c r="L715" i="2"/>
  <c r="S715" i="2" s="1"/>
  <c r="L716" i="2"/>
  <c r="S716" i="2" s="1"/>
  <c r="L717" i="2"/>
  <c r="S717" i="2" s="1"/>
  <c r="L718" i="2"/>
  <c r="S718" i="2" s="1"/>
  <c r="L719" i="2"/>
  <c r="S719" i="2" s="1"/>
  <c r="L720" i="2"/>
  <c r="S720" i="2" s="1"/>
  <c r="L721" i="2"/>
  <c r="S721" i="2" s="1"/>
  <c r="L722" i="2"/>
  <c r="S722" i="2" s="1"/>
  <c r="L723" i="2"/>
  <c r="S723" i="2" s="1"/>
  <c r="L724" i="2"/>
  <c r="S724" i="2" s="1"/>
  <c r="L725" i="2"/>
  <c r="S725" i="2" s="1"/>
  <c r="L726" i="2"/>
  <c r="S726" i="2" s="1"/>
  <c r="L727" i="2"/>
  <c r="S727" i="2" s="1"/>
  <c r="L728" i="2"/>
  <c r="S728" i="2" s="1"/>
  <c r="L729" i="2"/>
  <c r="S729" i="2" s="1"/>
  <c r="L730" i="2"/>
  <c r="S730" i="2" s="1"/>
  <c r="L731" i="2"/>
  <c r="S731" i="2" s="1"/>
  <c r="L732" i="2"/>
  <c r="S732" i="2" s="1"/>
  <c r="L733" i="2"/>
  <c r="S733" i="2" s="1"/>
  <c r="L734" i="2"/>
  <c r="S734" i="2" s="1"/>
  <c r="L735" i="2"/>
  <c r="S735" i="2" s="1"/>
  <c r="L736" i="2"/>
  <c r="S736" i="2" s="1"/>
  <c r="L737" i="2"/>
  <c r="S737" i="2" s="1"/>
  <c r="L738" i="2"/>
  <c r="S738" i="2" s="1"/>
  <c r="L739" i="2"/>
  <c r="S739" i="2" s="1"/>
  <c r="L740" i="2"/>
  <c r="S740" i="2" s="1"/>
  <c r="L741" i="2"/>
  <c r="S741" i="2" s="1"/>
  <c r="L742" i="2"/>
  <c r="S742" i="2" s="1"/>
  <c r="L743" i="2"/>
  <c r="S743" i="2" s="1"/>
  <c r="L744" i="2"/>
  <c r="S744" i="2" s="1"/>
  <c r="L745" i="2"/>
  <c r="S745" i="2" s="1"/>
  <c r="L746" i="2"/>
  <c r="S746" i="2" s="1"/>
  <c r="L747" i="2"/>
  <c r="S747" i="2" s="1"/>
  <c r="L748" i="2"/>
  <c r="S748" i="2" s="1"/>
  <c r="L749" i="2"/>
  <c r="S749" i="2" s="1"/>
  <c r="L750" i="2"/>
  <c r="S750" i="2" s="1"/>
  <c r="L751" i="2"/>
  <c r="S751" i="2" s="1"/>
  <c r="L752" i="2"/>
  <c r="S752" i="2" s="1"/>
  <c r="L753" i="2"/>
  <c r="S753" i="2" s="1"/>
  <c r="L754" i="2"/>
  <c r="S754" i="2" s="1"/>
  <c r="L755" i="2"/>
  <c r="S755" i="2" s="1"/>
  <c r="L756" i="2"/>
  <c r="S756" i="2" s="1"/>
  <c r="L757" i="2"/>
  <c r="S757" i="2" s="1"/>
  <c r="L758" i="2"/>
  <c r="S758" i="2" s="1"/>
  <c r="L759" i="2"/>
  <c r="S759" i="2" s="1"/>
  <c r="L760" i="2"/>
  <c r="S760" i="2" s="1"/>
  <c r="L761" i="2"/>
  <c r="S761" i="2" s="1"/>
  <c r="L762" i="2"/>
  <c r="S762" i="2" s="1"/>
  <c r="L763" i="2"/>
  <c r="S763" i="2" s="1"/>
  <c r="L764" i="2"/>
  <c r="S764" i="2" s="1"/>
  <c r="L765" i="2"/>
  <c r="S765" i="2" s="1"/>
  <c r="L766" i="2"/>
  <c r="S766" i="2" s="1"/>
  <c r="L767" i="2"/>
  <c r="S767" i="2" s="1"/>
  <c r="L768" i="2"/>
  <c r="S768" i="2" s="1"/>
  <c r="L769" i="2"/>
  <c r="S769" i="2" s="1"/>
  <c r="L770" i="2"/>
  <c r="S770" i="2" s="1"/>
  <c r="L771" i="2"/>
  <c r="S771" i="2" s="1"/>
  <c r="L772" i="2"/>
  <c r="S772" i="2" s="1"/>
  <c r="L773" i="2"/>
  <c r="S773" i="2" s="1"/>
  <c r="L774" i="2"/>
  <c r="S774" i="2" s="1"/>
  <c r="L775" i="2"/>
  <c r="S775" i="2" s="1"/>
  <c r="L776" i="2"/>
  <c r="S776" i="2" s="1"/>
  <c r="L777" i="2"/>
  <c r="S777" i="2" s="1"/>
  <c r="L778" i="2"/>
  <c r="S778" i="2" s="1"/>
  <c r="L779" i="2"/>
  <c r="S779" i="2" s="1"/>
  <c r="L780" i="2"/>
  <c r="S780" i="2" s="1"/>
  <c r="L781" i="2"/>
  <c r="S781" i="2" s="1"/>
  <c r="L782" i="2"/>
  <c r="S782" i="2" s="1"/>
  <c r="L783" i="2"/>
  <c r="S783" i="2" s="1"/>
  <c r="L784" i="2"/>
  <c r="S784" i="2" s="1"/>
  <c r="L785" i="2"/>
  <c r="S785" i="2" s="1"/>
  <c r="L786" i="2"/>
  <c r="S786" i="2" s="1"/>
  <c r="L787" i="2"/>
  <c r="S787" i="2" s="1"/>
  <c r="L788" i="2"/>
  <c r="S788" i="2" s="1"/>
  <c r="L789" i="2"/>
  <c r="S789" i="2" s="1"/>
  <c r="L790" i="2"/>
  <c r="S790" i="2" s="1"/>
  <c r="L791" i="2"/>
  <c r="S791" i="2" s="1"/>
  <c r="L792" i="2"/>
  <c r="S792" i="2" s="1"/>
  <c r="L793" i="2"/>
  <c r="S793" i="2" s="1"/>
  <c r="L794" i="2"/>
  <c r="S794" i="2" s="1"/>
  <c r="L795" i="2"/>
  <c r="S795" i="2" s="1"/>
  <c r="L796" i="2"/>
  <c r="S796" i="2" s="1"/>
  <c r="L797" i="2"/>
  <c r="S797" i="2" s="1"/>
  <c r="L798" i="2"/>
  <c r="S798" i="2" s="1"/>
  <c r="L799" i="2"/>
  <c r="S799" i="2" s="1"/>
  <c r="L800" i="2"/>
  <c r="S800" i="2" s="1"/>
  <c r="L801" i="2"/>
  <c r="S801" i="2" s="1"/>
  <c r="L802" i="2"/>
  <c r="S802" i="2" s="1"/>
  <c r="L803" i="2"/>
  <c r="S803" i="2" s="1"/>
  <c r="L804" i="2"/>
  <c r="S804" i="2" s="1"/>
  <c r="L805" i="2"/>
  <c r="S805" i="2" s="1"/>
  <c r="L806" i="2"/>
  <c r="S806" i="2" s="1"/>
  <c r="L807" i="2"/>
  <c r="S807" i="2" s="1"/>
  <c r="L808" i="2"/>
  <c r="S808" i="2" s="1"/>
  <c r="L809" i="2"/>
  <c r="S809" i="2" s="1"/>
  <c r="L810" i="2"/>
  <c r="S810" i="2" s="1"/>
  <c r="L811" i="2"/>
  <c r="S811" i="2" s="1"/>
  <c r="L812" i="2"/>
  <c r="S812" i="2" s="1"/>
  <c r="L813" i="2"/>
  <c r="S813" i="2" s="1"/>
  <c r="L814" i="2"/>
  <c r="S814" i="2" s="1"/>
  <c r="L815" i="2"/>
  <c r="S815" i="2" s="1"/>
  <c r="L816" i="2"/>
  <c r="S816" i="2" s="1"/>
  <c r="L817" i="2"/>
  <c r="S817" i="2" s="1"/>
  <c r="L818" i="2"/>
  <c r="S818" i="2" s="1"/>
  <c r="L819" i="2"/>
  <c r="S819" i="2" s="1"/>
  <c r="L820" i="2"/>
  <c r="S820" i="2" s="1"/>
  <c r="L821" i="2"/>
  <c r="S821" i="2" s="1"/>
  <c r="L822" i="2"/>
  <c r="S822" i="2" s="1"/>
  <c r="L823" i="2"/>
  <c r="S823" i="2" s="1"/>
  <c r="L824" i="2"/>
  <c r="S824" i="2" s="1"/>
  <c r="L825" i="2"/>
  <c r="S825" i="2" s="1"/>
  <c r="L826" i="2"/>
  <c r="S826" i="2" s="1"/>
  <c r="L827" i="2"/>
  <c r="S827" i="2" s="1"/>
  <c r="L828" i="2"/>
  <c r="S828" i="2" s="1"/>
  <c r="L829" i="2"/>
  <c r="S829" i="2" s="1"/>
  <c r="L830" i="2"/>
  <c r="S830" i="2" s="1"/>
  <c r="L831" i="2"/>
  <c r="S831" i="2" s="1"/>
  <c r="L832" i="2"/>
  <c r="S832" i="2" s="1"/>
  <c r="L833" i="2"/>
  <c r="S833" i="2" s="1"/>
  <c r="L834" i="2"/>
  <c r="S834" i="2" s="1"/>
  <c r="L835" i="2"/>
  <c r="S835" i="2" s="1"/>
  <c r="L836" i="2"/>
  <c r="S836" i="2" s="1"/>
  <c r="L837" i="2"/>
  <c r="S837" i="2" s="1"/>
  <c r="L838" i="2"/>
  <c r="S838" i="2" s="1"/>
  <c r="L839" i="2"/>
  <c r="S839" i="2" s="1"/>
  <c r="L840" i="2"/>
  <c r="S840" i="2" s="1"/>
  <c r="L841" i="2"/>
  <c r="S841" i="2" s="1"/>
  <c r="L842" i="2"/>
  <c r="S842" i="2" s="1"/>
  <c r="L843" i="2"/>
  <c r="S843" i="2" s="1"/>
  <c r="L844" i="2"/>
  <c r="S844" i="2" s="1"/>
  <c r="L845" i="2"/>
  <c r="S845" i="2" s="1"/>
  <c r="L846" i="2"/>
  <c r="S846" i="2" s="1"/>
  <c r="L847" i="2"/>
  <c r="S847" i="2" s="1"/>
  <c r="L848" i="2"/>
  <c r="S848" i="2" s="1"/>
  <c r="L849" i="2"/>
  <c r="S849" i="2" s="1"/>
  <c r="L850" i="2"/>
  <c r="S850" i="2" s="1"/>
  <c r="L851" i="2"/>
  <c r="S851" i="2" s="1"/>
  <c r="L852" i="2"/>
  <c r="S852" i="2" s="1"/>
  <c r="L853" i="2"/>
  <c r="S853" i="2" s="1"/>
  <c r="L854" i="2"/>
  <c r="S854" i="2" s="1"/>
  <c r="L855" i="2"/>
  <c r="S855" i="2" s="1"/>
  <c r="L856" i="2"/>
  <c r="S856" i="2" s="1"/>
  <c r="L857" i="2"/>
  <c r="S857" i="2" s="1"/>
  <c r="L858" i="2"/>
  <c r="S858" i="2" s="1"/>
  <c r="L859" i="2"/>
  <c r="S859" i="2" s="1"/>
  <c r="L860" i="2"/>
  <c r="S860" i="2" s="1"/>
  <c r="L861" i="2"/>
  <c r="S861" i="2" s="1"/>
  <c r="L862" i="2"/>
  <c r="S862" i="2" s="1"/>
  <c r="L863" i="2"/>
  <c r="S863" i="2" s="1"/>
  <c r="L864" i="2"/>
  <c r="S864" i="2" s="1"/>
  <c r="L865" i="2"/>
  <c r="S865" i="2" s="1"/>
  <c r="L866" i="2"/>
  <c r="S866" i="2" s="1"/>
  <c r="L867" i="2"/>
  <c r="S867" i="2" s="1"/>
  <c r="L868" i="2"/>
  <c r="S868" i="2" s="1"/>
  <c r="L869" i="2"/>
  <c r="S869" i="2" s="1"/>
  <c r="L870" i="2"/>
  <c r="S870" i="2" s="1"/>
  <c r="L871" i="2"/>
  <c r="S871" i="2" s="1"/>
  <c r="L872" i="2"/>
  <c r="S872" i="2" s="1"/>
  <c r="L873" i="2"/>
  <c r="S873" i="2" s="1"/>
  <c r="L874" i="2"/>
  <c r="S874" i="2" s="1"/>
  <c r="L875" i="2"/>
  <c r="S875" i="2" s="1"/>
  <c r="L876" i="2"/>
  <c r="S876" i="2" s="1"/>
  <c r="L877" i="2"/>
  <c r="S877" i="2" s="1"/>
  <c r="L878" i="2"/>
  <c r="S878" i="2" s="1"/>
  <c r="L879" i="2"/>
  <c r="S879" i="2" s="1"/>
  <c r="L880" i="2"/>
  <c r="S880" i="2" s="1"/>
  <c r="L881" i="2"/>
  <c r="S881" i="2" s="1"/>
  <c r="L882" i="2"/>
  <c r="S882" i="2" s="1"/>
  <c r="L883" i="2"/>
  <c r="S883" i="2" s="1"/>
  <c r="L884" i="2"/>
  <c r="S884" i="2" s="1"/>
  <c r="L885" i="2"/>
  <c r="S885" i="2" s="1"/>
  <c r="L886" i="2"/>
  <c r="S886" i="2" s="1"/>
  <c r="L887" i="2"/>
  <c r="S887" i="2" s="1"/>
  <c r="L888" i="2"/>
  <c r="S888" i="2" s="1"/>
  <c r="L889" i="2"/>
  <c r="S889" i="2" s="1"/>
  <c r="L890" i="2"/>
  <c r="S890" i="2" s="1"/>
  <c r="L891" i="2"/>
  <c r="S891" i="2" s="1"/>
  <c r="L892" i="2"/>
  <c r="S892" i="2" s="1"/>
  <c r="L893" i="2"/>
  <c r="S893" i="2" s="1"/>
  <c r="L894" i="2"/>
  <c r="S894" i="2" s="1"/>
  <c r="L895" i="2"/>
  <c r="S895" i="2" s="1"/>
  <c r="L896" i="2"/>
  <c r="S896" i="2" s="1"/>
  <c r="L897" i="2"/>
  <c r="S897" i="2" s="1"/>
  <c r="L898" i="2"/>
  <c r="S898" i="2" s="1"/>
  <c r="L899" i="2"/>
  <c r="S899" i="2" s="1"/>
  <c r="L900" i="2"/>
  <c r="S900" i="2" s="1"/>
  <c r="L901" i="2"/>
  <c r="S901" i="2" s="1"/>
  <c r="L902" i="2"/>
  <c r="S902" i="2" s="1"/>
  <c r="L903" i="2"/>
  <c r="S903" i="2" s="1"/>
  <c r="L904" i="2"/>
  <c r="S904" i="2" s="1"/>
  <c r="L905" i="2"/>
  <c r="S905" i="2" s="1"/>
  <c r="L906" i="2"/>
  <c r="S906" i="2" s="1"/>
  <c r="L907" i="2"/>
  <c r="S907" i="2" s="1"/>
  <c r="L908" i="2"/>
  <c r="S908" i="2" s="1"/>
  <c r="L909" i="2"/>
  <c r="S909" i="2" s="1"/>
  <c r="L910" i="2"/>
  <c r="S910" i="2" s="1"/>
  <c r="L911" i="2"/>
  <c r="S911" i="2" s="1"/>
  <c r="L912" i="2"/>
  <c r="S912" i="2" s="1"/>
  <c r="L913" i="2"/>
  <c r="S913" i="2" s="1"/>
  <c r="L914" i="2"/>
  <c r="S914" i="2" s="1"/>
  <c r="L915" i="2"/>
  <c r="S915" i="2" s="1"/>
  <c r="L916" i="2"/>
  <c r="S916" i="2" s="1"/>
  <c r="L917" i="2"/>
  <c r="S917" i="2" s="1"/>
  <c r="L918" i="2"/>
  <c r="S918" i="2" s="1"/>
  <c r="L919" i="2"/>
  <c r="S919" i="2" s="1"/>
  <c r="L920" i="2"/>
  <c r="S920" i="2" s="1"/>
  <c r="L921" i="2"/>
  <c r="S921" i="2" s="1"/>
  <c r="L922" i="2"/>
  <c r="S922" i="2" s="1"/>
  <c r="L923" i="2"/>
  <c r="S923" i="2" s="1"/>
  <c r="L924" i="2"/>
  <c r="S924" i="2" s="1"/>
  <c r="L925" i="2"/>
  <c r="S925" i="2" s="1"/>
  <c r="L926" i="2"/>
  <c r="S926" i="2" s="1"/>
  <c r="L927" i="2"/>
  <c r="S927" i="2" s="1"/>
  <c r="L928" i="2"/>
  <c r="S928" i="2" s="1"/>
  <c r="L929" i="2"/>
  <c r="S929" i="2" s="1"/>
  <c r="L930" i="2"/>
  <c r="S930" i="2" s="1"/>
  <c r="L931" i="2"/>
  <c r="S931" i="2" s="1"/>
  <c r="L932" i="2"/>
  <c r="S932" i="2" s="1"/>
  <c r="L933" i="2"/>
  <c r="S933" i="2" s="1"/>
  <c r="L934" i="2"/>
  <c r="S934" i="2" s="1"/>
  <c r="L935" i="2"/>
  <c r="S935" i="2" s="1"/>
  <c r="L936" i="2"/>
  <c r="S936" i="2" s="1"/>
  <c r="L937" i="2"/>
  <c r="S937" i="2" s="1"/>
  <c r="L938" i="2"/>
  <c r="S938" i="2" s="1"/>
  <c r="L939" i="2"/>
  <c r="S939" i="2" s="1"/>
  <c r="L940" i="2"/>
  <c r="S940" i="2" s="1"/>
  <c r="L941" i="2"/>
  <c r="S941" i="2" s="1"/>
  <c r="L942" i="2"/>
  <c r="S942" i="2" s="1"/>
  <c r="L943" i="2"/>
  <c r="S943" i="2" s="1"/>
  <c r="L944" i="2"/>
  <c r="S944" i="2" s="1"/>
  <c r="L945" i="2"/>
  <c r="S945" i="2" s="1"/>
  <c r="L946" i="2"/>
  <c r="S946" i="2" s="1"/>
  <c r="L947" i="2"/>
  <c r="S947" i="2" s="1"/>
  <c r="L948" i="2"/>
  <c r="S948" i="2" s="1"/>
  <c r="L949" i="2"/>
  <c r="S949" i="2" s="1"/>
  <c r="L950" i="2"/>
  <c r="S950" i="2" s="1"/>
  <c r="L951" i="2"/>
  <c r="S951" i="2" s="1"/>
  <c r="L952" i="2"/>
  <c r="S952" i="2" s="1"/>
  <c r="L953" i="2"/>
  <c r="S953" i="2" s="1"/>
  <c r="L954" i="2"/>
  <c r="S954" i="2" s="1"/>
  <c r="L955" i="2"/>
  <c r="S955" i="2" s="1"/>
  <c r="L956" i="2"/>
  <c r="S956" i="2" s="1"/>
  <c r="L957" i="2"/>
  <c r="S957" i="2" s="1"/>
  <c r="L958" i="2"/>
  <c r="S958" i="2" s="1"/>
  <c r="L959" i="2"/>
  <c r="S959" i="2" s="1"/>
  <c r="L960" i="2"/>
  <c r="S960" i="2" s="1"/>
  <c r="L961" i="2"/>
  <c r="S961" i="2" s="1"/>
  <c r="L962" i="2"/>
  <c r="S962" i="2" s="1"/>
  <c r="L963" i="2"/>
  <c r="S963" i="2" s="1"/>
  <c r="L964" i="2"/>
  <c r="S964" i="2" s="1"/>
  <c r="L965" i="2"/>
  <c r="S965" i="2" s="1"/>
  <c r="L966" i="2"/>
  <c r="S966" i="2" s="1"/>
  <c r="L967" i="2"/>
  <c r="S967" i="2" s="1"/>
  <c r="L968" i="2"/>
  <c r="S968" i="2" s="1"/>
  <c r="L969" i="2"/>
  <c r="S969" i="2" s="1"/>
  <c r="L970" i="2"/>
  <c r="S970" i="2" s="1"/>
  <c r="L971" i="2"/>
  <c r="S971" i="2" s="1"/>
  <c r="L972" i="2"/>
  <c r="S972" i="2" s="1"/>
  <c r="L973" i="2"/>
  <c r="S973" i="2" s="1"/>
  <c r="L974" i="2"/>
  <c r="S974" i="2" s="1"/>
  <c r="L975" i="2"/>
  <c r="S975" i="2" s="1"/>
  <c r="L976" i="2"/>
  <c r="S976" i="2" s="1"/>
  <c r="L977" i="2"/>
  <c r="S977" i="2" s="1"/>
  <c r="L978" i="2"/>
  <c r="S978" i="2" s="1"/>
  <c r="L979" i="2"/>
  <c r="S979" i="2" s="1"/>
  <c r="L980" i="2"/>
  <c r="S980" i="2" s="1"/>
  <c r="L981" i="2"/>
  <c r="S981" i="2" s="1"/>
  <c r="L982" i="2"/>
  <c r="S982" i="2" s="1"/>
  <c r="L983" i="2"/>
  <c r="S983" i="2" s="1"/>
  <c r="L984" i="2"/>
  <c r="S984" i="2" s="1"/>
  <c r="L985" i="2"/>
  <c r="S985" i="2" s="1"/>
  <c r="L986" i="2"/>
  <c r="S986" i="2" s="1"/>
  <c r="L987" i="2"/>
  <c r="S987" i="2" s="1"/>
  <c r="L988" i="2"/>
  <c r="S988" i="2" s="1"/>
  <c r="L989" i="2"/>
  <c r="S989" i="2" s="1"/>
  <c r="L990" i="2"/>
  <c r="S990" i="2" s="1"/>
  <c r="L991" i="2"/>
  <c r="S991" i="2" s="1"/>
  <c r="L992" i="2"/>
  <c r="S992" i="2" s="1"/>
  <c r="L993" i="2"/>
  <c r="S993" i="2" s="1"/>
  <c r="L994" i="2"/>
  <c r="S994" i="2" s="1"/>
  <c r="L995" i="2"/>
  <c r="S995" i="2" s="1"/>
  <c r="L996" i="2"/>
  <c r="S996" i="2" s="1"/>
  <c r="L997" i="2"/>
  <c r="S997" i="2" s="1"/>
  <c r="L998" i="2"/>
  <c r="S998" i="2" s="1"/>
  <c r="L999" i="2"/>
  <c r="S999" i="2" s="1"/>
  <c r="L1000" i="2"/>
  <c r="S1000" i="2" s="1"/>
  <c r="L1001" i="2"/>
  <c r="S1001" i="2" s="1"/>
  <c r="L1002" i="2"/>
  <c r="S1002" i="2" s="1"/>
  <c r="L1003" i="2"/>
  <c r="S1003" i="2" s="1"/>
  <c r="L1004" i="2"/>
  <c r="S1004" i="2" s="1"/>
  <c r="L1005" i="2"/>
  <c r="S1005" i="2" s="1"/>
  <c r="L1006" i="2"/>
  <c r="S1006" i="2" s="1"/>
  <c r="L1007" i="2"/>
  <c r="S1007" i="2" s="1"/>
  <c r="L1008" i="2"/>
  <c r="S1008" i="2" s="1"/>
  <c r="L1009" i="2"/>
  <c r="S1009" i="2" s="1"/>
  <c r="L1010" i="2"/>
  <c r="S1010" i="2" s="1"/>
  <c r="L1011" i="2"/>
  <c r="S1011" i="2" s="1"/>
  <c r="L1012" i="2"/>
  <c r="S1012" i="2" s="1"/>
  <c r="L1013" i="2"/>
  <c r="S1013" i="2" s="1"/>
  <c r="L1014" i="2"/>
  <c r="S1014" i="2" s="1"/>
  <c r="L1015" i="2"/>
  <c r="S1015" i="2" s="1"/>
  <c r="L1016" i="2"/>
  <c r="S1016" i="2" s="1"/>
  <c r="L1017" i="2"/>
  <c r="S1017" i="2" s="1"/>
  <c r="L1018" i="2"/>
  <c r="S1018" i="2" s="1"/>
  <c r="L1019" i="2"/>
  <c r="S1019" i="2" s="1"/>
  <c r="L1020" i="2"/>
  <c r="S1020" i="2" s="1"/>
  <c r="L1021" i="2"/>
  <c r="S1021" i="2" s="1"/>
  <c r="L1022" i="2"/>
  <c r="S1022" i="2" s="1"/>
  <c r="L1023" i="2"/>
  <c r="S1023" i="2" s="1"/>
  <c r="L1024" i="2"/>
  <c r="S1024" i="2" s="1"/>
  <c r="L1025" i="2"/>
  <c r="S1025" i="2" s="1"/>
  <c r="L1026" i="2"/>
  <c r="S1026" i="2" s="1"/>
  <c r="L1027" i="2"/>
  <c r="S1027" i="2" s="1"/>
  <c r="L1028" i="2"/>
  <c r="S1028" i="2" s="1"/>
  <c r="L1029" i="2"/>
  <c r="S1029" i="2" s="1"/>
  <c r="L1030" i="2"/>
  <c r="S1030" i="2" s="1"/>
  <c r="L1031" i="2"/>
  <c r="S1031" i="2" s="1"/>
  <c r="L1032" i="2"/>
  <c r="S1032" i="2" s="1"/>
  <c r="L1033" i="2"/>
  <c r="S1033" i="2" s="1"/>
  <c r="L1034" i="2"/>
  <c r="S1034" i="2" s="1"/>
  <c r="L1035" i="2"/>
  <c r="S1035" i="2" s="1"/>
  <c r="L1036" i="2"/>
  <c r="S1036" i="2" s="1"/>
  <c r="L1037" i="2"/>
  <c r="S1037" i="2" s="1"/>
  <c r="L1038" i="2"/>
  <c r="S1038" i="2" s="1"/>
  <c r="L1039" i="2"/>
  <c r="S1039" i="2" s="1"/>
  <c r="L1040" i="2"/>
  <c r="S1040" i="2" s="1"/>
  <c r="L1041" i="2"/>
  <c r="S1041" i="2" s="1"/>
  <c r="L1042" i="2"/>
  <c r="S1042" i="2" s="1"/>
  <c r="L1043" i="2"/>
  <c r="S1043" i="2" s="1"/>
  <c r="L1044" i="2"/>
  <c r="S1044" i="2" s="1"/>
  <c r="L1045" i="2"/>
  <c r="S1045" i="2" s="1"/>
  <c r="L1046" i="2"/>
  <c r="S1046" i="2" s="1"/>
  <c r="L1047" i="2"/>
  <c r="S1047" i="2" s="1"/>
  <c r="L1048" i="2"/>
  <c r="S1048" i="2" s="1"/>
  <c r="L1049" i="2"/>
  <c r="S1049" i="2" s="1"/>
  <c r="L1050" i="2"/>
  <c r="S1050" i="2" s="1"/>
  <c r="L1051" i="2"/>
  <c r="S1051" i="2" s="1"/>
  <c r="L1052" i="2"/>
  <c r="S1052" i="2" s="1"/>
  <c r="L1053" i="2"/>
  <c r="S1053" i="2" s="1"/>
  <c r="L1054" i="2"/>
  <c r="S1054" i="2" s="1"/>
  <c r="L1055" i="2"/>
  <c r="S1055" i="2" s="1"/>
  <c r="L1056" i="2"/>
  <c r="S1056" i="2" s="1"/>
  <c r="L1057" i="2"/>
  <c r="S1057" i="2" s="1"/>
  <c r="L1058" i="2"/>
  <c r="S1058" i="2" s="1"/>
  <c r="L1059" i="2"/>
  <c r="S1059" i="2" s="1"/>
  <c r="L1060" i="2"/>
  <c r="S1060" i="2" s="1"/>
  <c r="L1061" i="2"/>
  <c r="S1061" i="2" s="1"/>
  <c r="L1062" i="2"/>
  <c r="S1062" i="2" s="1"/>
  <c r="L1063" i="2"/>
  <c r="S1063" i="2" s="1"/>
  <c r="L1064" i="2"/>
  <c r="S1064" i="2" s="1"/>
  <c r="L1065" i="2"/>
  <c r="S1065" i="2" s="1"/>
  <c r="L1066" i="2"/>
  <c r="S1066" i="2" s="1"/>
  <c r="L1067" i="2"/>
  <c r="S1067" i="2" s="1"/>
  <c r="L1068" i="2"/>
  <c r="S1068" i="2" s="1"/>
  <c r="L1069" i="2"/>
  <c r="S1069" i="2" s="1"/>
  <c r="L1070" i="2"/>
  <c r="S1070" i="2" s="1"/>
  <c r="L1071" i="2"/>
  <c r="S1071" i="2" s="1"/>
  <c r="L1072" i="2"/>
  <c r="S1072" i="2" s="1"/>
  <c r="L1073" i="2"/>
  <c r="S1073" i="2" s="1"/>
  <c r="L1074" i="2"/>
  <c r="S1074" i="2" s="1"/>
  <c r="L1075" i="2"/>
  <c r="S1075" i="2" s="1"/>
  <c r="L1076" i="2"/>
  <c r="S1076" i="2" s="1"/>
  <c r="L1077" i="2"/>
  <c r="S1077" i="2" s="1"/>
  <c r="L1078" i="2"/>
  <c r="S1078" i="2" s="1"/>
  <c r="L1079" i="2"/>
  <c r="S1079" i="2" s="1"/>
  <c r="L1080" i="2"/>
  <c r="S1080" i="2" s="1"/>
  <c r="L1081" i="2"/>
  <c r="S1081" i="2" s="1"/>
  <c r="L1082" i="2"/>
  <c r="S1082" i="2" s="1"/>
  <c r="L1083" i="2"/>
  <c r="S1083" i="2" s="1"/>
  <c r="L1084" i="2"/>
  <c r="S1084" i="2" s="1"/>
  <c r="L1085" i="2"/>
  <c r="S1085" i="2" s="1"/>
  <c r="L1086" i="2"/>
  <c r="S1086" i="2" s="1"/>
  <c r="L1087" i="2"/>
  <c r="S1087" i="2" s="1"/>
  <c r="L1088" i="2"/>
  <c r="S1088" i="2" s="1"/>
  <c r="L1089" i="2"/>
  <c r="S1089" i="2" s="1"/>
  <c r="L1090" i="2"/>
  <c r="S1090" i="2" s="1"/>
  <c r="L1091" i="2"/>
  <c r="S1091" i="2" s="1"/>
  <c r="L1092" i="2"/>
  <c r="S1092" i="2" s="1"/>
  <c r="L1093" i="2"/>
  <c r="S1093" i="2" s="1"/>
  <c r="L1094" i="2"/>
  <c r="S1094" i="2" s="1"/>
  <c r="L1095" i="2"/>
  <c r="S1095" i="2" s="1"/>
  <c r="L1096" i="2"/>
  <c r="S1096" i="2" s="1"/>
  <c r="L1097" i="2"/>
  <c r="S1097" i="2" s="1"/>
  <c r="L1098" i="2"/>
  <c r="S1098" i="2" s="1"/>
  <c r="L1099" i="2"/>
  <c r="S1099" i="2" s="1"/>
  <c r="L1100" i="2"/>
  <c r="S1100" i="2" s="1"/>
  <c r="L1101" i="2"/>
  <c r="S1101" i="2" s="1"/>
  <c r="L1102" i="2"/>
  <c r="S1102" i="2" s="1"/>
  <c r="L1103" i="2"/>
  <c r="S1103" i="2" s="1"/>
  <c r="L1104" i="2"/>
  <c r="S1104" i="2" s="1"/>
  <c r="L1105" i="2"/>
  <c r="S1105" i="2" s="1"/>
  <c r="L1106" i="2"/>
  <c r="S1106" i="2" s="1"/>
  <c r="L1107" i="2"/>
  <c r="S1107" i="2" s="1"/>
  <c r="L1108" i="2"/>
  <c r="S1108" i="2" s="1"/>
  <c r="L1109" i="2"/>
  <c r="S1109" i="2" s="1"/>
  <c r="L1110" i="2"/>
  <c r="S1110" i="2" s="1"/>
  <c r="L1111" i="2"/>
  <c r="S1111" i="2" s="1"/>
  <c r="L1112" i="2"/>
  <c r="S1112" i="2" s="1"/>
  <c r="L1113" i="2"/>
  <c r="S1113" i="2" s="1"/>
  <c r="L1114" i="2"/>
  <c r="S1114" i="2" s="1"/>
  <c r="L1115" i="2"/>
  <c r="S1115" i="2" s="1"/>
  <c r="L1116" i="2"/>
  <c r="S1116" i="2" s="1"/>
  <c r="L1117" i="2"/>
  <c r="S1117" i="2" s="1"/>
  <c r="L1118" i="2"/>
  <c r="S1118" i="2" s="1"/>
  <c r="L1119" i="2"/>
  <c r="S1119" i="2" s="1"/>
  <c r="L1120" i="2"/>
  <c r="S1120" i="2" s="1"/>
  <c r="L1121" i="2"/>
  <c r="S1121" i="2" s="1"/>
  <c r="L1122" i="2"/>
  <c r="S1122" i="2" s="1"/>
  <c r="L1123" i="2"/>
  <c r="S1123" i="2" s="1"/>
  <c r="L1124" i="2"/>
  <c r="S1124" i="2" s="1"/>
  <c r="L1125" i="2"/>
  <c r="S1125" i="2" s="1"/>
  <c r="L1126" i="2"/>
  <c r="S1126" i="2" s="1"/>
  <c r="L1127" i="2"/>
  <c r="S1127" i="2" s="1"/>
  <c r="L1128" i="2"/>
  <c r="S1128" i="2" s="1"/>
  <c r="L1129" i="2"/>
  <c r="S1129" i="2" s="1"/>
  <c r="L1130" i="2"/>
  <c r="S1130" i="2" s="1"/>
  <c r="L1131" i="2"/>
  <c r="S1131" i="2" s="1"/>
  <c r="L1132" i="2"/>
  <c r="S1132" i="2" s="1"/>
  <c r="L1133" i="2"/>
  <c r="S1133" i="2" s="1"/>
  <c r="L1134" i="2"/>
  <c r="S1134" i="2" s="1"/>
  <c r="L1135" i="2"/>
  <c r="S1135" i="2" s="1"/>
  <c r="L1136" i="2"/>
  <c r="S1136" i="2" s="1"/>
  <c r="L1137" i="2"/>
  <c r="S1137" i="2" s="1"/>
  <c r="L1138" i="2"/>
  <c r="S1138" i="2" s="1"/>
  <c r="L1139" i="2"/>
  <c r="S1139" i="2" s="1"/>
  <c r="L1140" i="2"/>
  <c r="S1140" i="2" s="1"/>
  <c r="L1141" i="2"/>
  <c r="S1141" i="2" s="1"/>
  <c r="L1142" i="2"/>
  <c r="S1142" i="2" s="1"/>
  <c r="L1143" i="2"/>
  <c r="S1143" i="2" s="1"/>
  <c r="L1144" i="2"/>
  <c r="S1144" i="2" s="1"/>
  <c r="L1145" i="2"/>
  <c r="S1145" i="2" s="1"/>
  <c r="L1146" i="2"/>
  <c r="S1146" i="2" s="1"/>
  <c r="L1147" i="2"/>
  <c r="S1147" i="2" s="1"/>
  <c r="L1148" i="2"/>
  <c r="S1148" i="2" s="1"/>
  <c r="L1149" i="2"/>
  <c r="S1149" i="2" s="1"/>
  <c r="L1150" i="2"/>
  <c r="S1150" i="2" s="1"/>
  <c r="L1151" i="2"/>
  <c r="S1151" i="2" s="1"/>
  <c r="L1152" i="2"/>
  <c r="S1152" i="2" s="1"/>
  <c r="L1153" i="2"/>
  <c r="S1153" i="2" s="1"/>
  <c r="L1154" i="2"/>
  <c r="S1154" i="2" s="1"/>
  <c r="L1155" i="2"/>
  <c r="S1155" i="2" s="1"/>
  <c r="L1156" i="2"/>
  <c r="S1156" i="2" s="1"/>
  <c r="L1157" i="2"/>
  <c r="S1157" i="2" s="1"/>
  <c r="L1158" i="2"/>
  <c r="S1158" i="2" s="1"/>
  <c r="L1159" i="2"/>
  <c r="S1159" i="2" s="1"/>
  <c r="L1160" i="2"/>
  <c r="S1160" i="2" s="1"/>
  <c r="L1161" i="2"/>
  <c r="S1161" i="2" s="1"/>
  <c r="L1162" i="2"/>
  <c r="S1162" i="2" s="1"/>
  <c r="L1163" i="2"/>
  <c r="S1163" i="2" s="1"/>
  <c r="L1164" i="2"/>
  <c r="S1164" i="2" s="1"/>
  <c r="L1165" i="2"/>
  <c r="S1165" i="2" s="1"/>
  <c r="L1166" i="2"/>
  <c r="S1166" i="2" s="1"/>
  <c r="L1167" i="2"/>
  <c r="S1167" i="2" s="1"/>
  <c r="L1168" i="2"/>
  <c r="S1168" i="2" s="1"/>
  <c r="L1169" i="2"/>
  <c r="S1169" i="2" s="1"/>
  <c r="L1170" i="2"/>
  <c r="S1170" i="2" s="1"/>
  <c r="L1171" i="2"/>
  <c r="S1171" i="2" s="1"/>
  <c r="L1172" i="2"/>
  <c r="S1172" i="2" s="1"/>
  <c r="L1173" i="2"/>
  <c r="S1173" i="2" s="1"/>
  <c r="L1174" i="2"/>
  <c r="S1174" i="2" s="1"/>
  <c r="L1175" i="2"/>
  <c r="S1175" i="2" s="1"/>
  <c r="L1176" i="2"/>
  <c r="S1176" i="2" s="1"/>
  <c r="L1177" i="2"/>
  <c r="S1177" i="2" s="1"/>
  <c r="L1178" i="2"/>
  <c r="S1178" i="2" s="1"/>
  <c r="L1179" i="2"/>
  <c r="S1179" i="2" s="1"/>
  <c r="L1180" i="2"/>
  <c r="S1180" i="2" s="1"/>
  <c r="L1181" i="2"/>
  <c r="S1181" i="2" s="1"/>
  <c r="L1182" i="2"/>
  <c r="S1182" i="2" s="1"/>
  <c r="L1183" i="2"/>
  <c r="S1183" i="2" s="1"/>
  <c r="L1184" i="2"/>
  <c r="S1184" i="2" s="1"/>
  <c r="L1185" i="2"/>
  <c r="S1185" i="2" s="1"/>
  <c r="L1186" i="2"/>
  <c r="S1186" i="2" s="1"/>
  <c r="L1187" i="2"/>
  <c r="S1187" i="2" s="1"/>
  <c r="L1188" i="2"/>
  <c r="S1188" i="2" s="1"/>
  <c r="L1189" i="2"/>
  <c r="S1189" i="2" s="1"/>
  <c r="L1190" i="2"/>
  <c r="S1190" i="2" s="1"/>
  <c r="L1191" i="2"/>
  <c r="S1191" i="2" s="1"/>
  <c r="L1192" i="2"/>
  <c r="S1192" i="2" s="1"/>
  <c r="L1193" i="2"/>
  <c r="S1193" i="2" s="1"/>
  <c r="L1194" i="2"/>
  <c r="S1194" i="2" s="1"/>
  <c r="L1195" i="2"/>
  <c r="S1195" i="2" s="1"/>
  <c r="L1196" i="2"/>
  <c r="S1196" i="2" s="1"/>
  <c r="L1197" i="2"/>
  <c r="S1197" i="2" s="1"/>
  <c r="L1198" i="2"/>
  <c r="S1198" i="2" s="1"/>
  <c r="L1199" i="2"/>
  <c r="S1199" i="2" s="1"/>
  <c r="L1200" i="2"/>
  <c r="S1200" i="2" s="1"/>
  <c r="L1201" i="2"/>
  <c r="S1201" i="2" s="1"/>
  <c r="L1202" i="2"/>
  <c r="S1202" i="2" s="1"/>
  <c r="L1203" i="2"/>
  <c r="S1203" i="2" s="1"/>
  <c r="L1204" i="2"/>
  <c r="S1204" i="2" s="1"/>
  <c r="L1205" i="2"/>
  <c r="S1205" i="2" s="1"/>
  <c r="L1206" i="2"/>
  <c r="S1206" i="2" s="1"/>
  <c r="L1207" i="2"/>
  <c r="S1207" i="2" s="1"/>
  <c r="L1208" i="2"/>
  <c r="S1208" i="2" s="1"/>
  <c r="L1209" i="2"/>
  <c r="S1209" i="2" s="1"/>
  <c r="L1210" i="2"/>
  <c r="S1210" i="2" s="1"/>
  <c r="L1211" i="2"/>
  <c r="S1211" i="2" s="1"/>
  <c r="L1212" i="2"/>
  <c r="S1212" i="2" s="1"/>
  <c r="L1213" i="2"/>
  <c r="S1213" i="2" s="1"/>
  <c r="L1214" i="2"/>
  <c r="S1214" i="2" s="1"/>
  <c r="L1215" i="2"/>
  <c r="S1215" i="2" s="1"/>
  <c r="L1216" i="2"/>
  <c r="S1216" i="2" s="1"/>
  <c r="L1217" i="2"/>
  <c r="S1217" i="2" s="1"/>
  <c r="L1218" i="2"/>
  <c r="S1218" i="2" s="1"/>
  <c r="L1219" i="2"/>
  <c r="S1219" i="2" s="1"/>
  <c r="L1220" i="2"/>
  <c r="S1220" i="2" s="1"/>
  <c r="L1221" i="2"/>
  <c r="S1221" i="2" s="1"/>
  <c r="L1222" i="2"/>
  <c r="S1222" i="2" s="1"/>
  <c r="L1223" i="2"/>
  <c r="S1223" i="2" s="1"/>
  <c r="L1224" i="2"/>
  <c r="S1224" i="2" s="1"/>
  <c r="L1225" i="2"/>
  <c r="S1225" i="2" s="1"/>
  <c r="L1226" i="2"/>
  <c r="S1226" i="2" s="1"/>
  <c r="L1227" i="2"/>
  <c r="S1227" i="2" s="1"/>
  <c r="L1228" i="2"/>
  <c r="S1228" i="2" s="1"/>
  <c r="L1229" i="2"/>
  <c r="S1229" i="2" s="1"/>
  <c r="L1230" i="2"/>
  <c r="S1230" i="2" s="1"/>
  <c r="L1231" i="2"/>
  <c r="S1231" i="2" s="1"/>
  <c r="L1232" i="2"/>
  <c r="S1232" i="2" s="1"/>
  <c r="L1233" i="2"/>
  <c r="S1233" i="2" s="1"/>
  <c r="L1234" i="2"/>
  <c r="S1234" i="2" s="1"/>
  <c r="L1235" i="2"/>
  <c r="S1235" i="2" s="1"/>
  <c r="L1236" i="2"/>
  <c r="S1236" i="2" s="1"/>
  <c r="L1237" i="2"/>
  <c r="S1237" i="2" s="1"/>
  <c r="L1238" i="2"/>
  <c r="S1238" i="2" s="1"/>
  <c r="L1239" i="2"/>
  <c r="S1239" i="2" s="1"/>
  <c r="L1240" i="2"/>
  <c r="S1240" i="2" s="1"/>
  <c r="L1241" i="2"/>
  <c r="S1241" i="2" s="1"/>
  <c r="L1242" i="2"/>
  <c r="S1242" i="2" s="1"/>
  <c r="L1243" i="2"/>
  <c r="S1243" i="2" s="1"/>
  <c r="L1244" i="2"/>
  <c r="S1244" i="2" s="1"/>
  <c r="L1245" i="2"/>
  <c r="S1245" i="2" s="1"/>
  <c r="L1246" i="2"/>
  <c r="S1246" i="2" s="1"/>
  <c r="L1247" i="2"/>
  <c r="S1247" i="2" s="1"/>
  <c r="L1248" i="2"/>
  <c r="S1248" i="2" s="1"/>
  <c r="L1249" i="2"/>
  <c r="S1249" i="2" s="1"/>
  <c r="L1250" i="2"/>
  <c r="S1250" i="2" s="1"/>
  <c r="L1251" i="2"/>
  <c r="S1251" i="2" s="1"/>
  <c r="L1252" i="2"/>
  <c r="S1252" i="2" s="1"/>
  <c r="L1253" i="2"/>
  <c r="S1253" i="2" s="1"/>
  <c r="L1254" i="2"/>
  <c r="S1254" i="2" s="1"/>
  <c r="L1255" i="2"/>
  <c r="S1255" i="2" s="1"/>
  <c r="L1256" i="2"/>
  <c r="S1256" i="2" s="1"/>
  <c r="L1257" i="2"/>
  <c r="S1257" i="2" s="1"/>
  <c r="L1258" i="2"/>
  <c r="S1258" i="2" s="1"/>
  <c r="L1259" i="2"/>
  <c r="S1259" i="2" s="1"/>
  <c r="L1260" i="2"/>
  <c r="S1260" i="2" s="1"/>
  <c r="L1261" i="2"/>
  <c r="S1261" i="2" s="1"/>
  <c r="L1262" i="2"/>
  <c r="S1262" i="2" s="1"/>
  <c r="L1263" i="2"/>
  <c r="S1263" i="2" s="1"/>
  <c r="L1264" i="2"/>
  <c r="S1264" i="2" s="1"/>
  <c r="L1265" i="2"/>
  <c r="S1265" i="2" s="1"/>
  <c r="L1266" i="2"/>
  <c r="S1266" i="2" s="1"/>
  <c r="L1267" i="2"/>
  <c r="S1267" i="2" s="1"/>
  <c r="L1268" i="2"/>
  <c r="S1268" i="2" s="1"/>
  <c r="L1269" i="2"/>
  <c r="S1269" i="2" s="1"/>
  <c r="L1270" i="2"/>
  <c r="S1270" i="2" s="1"/>
  <c r="L1271" i="2"/>
  <c r="S1271" i="2" s="1"/>
  <c r="L1272" i="2"/>
  <c r="S1272" i="2" s="1"/>
  <c r="L1273" i="2"/>
  <c r="S1273" i="2" s="1"/>
  <c r="L1274" i="2"/>
  <c r="S1274" i="2" s="1"/>
  <c r="L1275" i="2"/>
  <c r="S1275" i="2" s="1"/>
  <c r="L1276" i="2"/>
  <c r="S1276" i="2" s="1"/>
  <c r="L1277" i="2"/>
  <c r="S1277" i="2" s="1"/>
  <c r="L1278" i="2"/>
  <c r="S1278" i="2" s="1"/>
  <c r="L1279" i="2"/>
  <c r="S1279" i="2" s="1"/>
  <c r="L1280" i="2"/>
  <c r="S1280" i="2" s="1"/>
  <c r="L1281" i="2"/>
  <c r="S1281" i="2" s="1"/>
  <c r="L1282" i="2"/>
  <c r="S1282" i="2" s="1"/>
  <c r="L1283" i="2"/>
  <c r="S1283" i="2" s="1"/>
  <c r="L1284" i="2"/>
  <c r="S1284" i="2" s="1"/>
  <c r="L1285" i="2"/>
  <c r="S1285" i="2" s="1"/>
  <c r="L1286" i="2"/>
  <c r="S1286" i="2" s="1"/>
  <c r="L1287" i="2"/>
  <c r="S1287" i="2" s="1"/>
  <c r="L1288" i="2"/>
  <c r="S1288" i="2" s="1"/>
  <c r="L1289" i="2"/>
  <c r="S1289" i="2" s="1"/>
  <c r="L1290" i="2"/>
  <c r="S1290" i="2" s="1"/>
  <c r="L1291" i="2"/>
  <c r="S1291" i="2" s="1"/>
  <c r="L1292" i="2"/>
  <c r="S1292" i="2" s="1"/>
  <c r="L1293" i="2"/>
  <c r="S1293" i="2" s="1"/>
  <c r="L1294" i="2"/>
  <c r="S1294" i="2" s="1"/>
  <c r="L1295" i="2"/>
  <c r="S1295" i="2" s="1"/>
  <c r="L1296" i="2"/>
  <c r="S1296" i="2" s="1"/>
  <c r="L1297" i="2"/>
  <c r="S1297" i="2" s="1"/>
  <c r="L1298" i="2"/>
  <c r="S1298" i="2" s="1"/>
  <c r="L1299" i="2"/>
  <c r="S1299" i="2" s="1"/>
  <c r="L1300" i="2"/>
  <c r="S1300" i="2" s="1"/>
  <c r="L1301" i="2"/>
  <c r="S1301" i="2" s="1"/>
  <c r="L1302" i="2"/>
  <c r="S1302" i="2" s="1"/>
  <c r="L1303" i="2"/>
  <c r="S1303" i="2" s="1"/>
  <c r="L1304" i="2"/>
  <c r="S1304" i="2" s="1"/>
  <c r="L1305" i="2"/>
  <c r="S1305" i="2" s="1"/>
  <c r="L1306" i="2"/>
  <c r="S1306" i="2" s="1"/>
  <c r="L1307" i="2"/>
  <c r="S1307" i="2" s="1"/>
  <c r="L1308" i="2"/>
  <c r="S1308" i="2" s="1"/>
  <c r="L1309" i="2"/>
  <c r="S1309" i="2" s="1"/>
  <c r="L1310" i="2"/>
  <c r="S1310" i="2" s="1"/>
  <c r="L1311" i="2"/>
  <c r="S1311" i="2" s="1"/>
  <c r="L1312" i="2"/>
  <c r="S1312" i="2" s="1"/>
  <c r="L1313" i="2"/>
  <c r="S1313" i="2" s="1"/>
  <c r="L1314" i="2"/>
  <c r="S1314" i="2" s="1"/>
  <c r="L1315" i="2"/>
  <c r="S1315" i="2" s="1"/>
  <c r="L1316" i="2"/>
  <c r="S1316" i="2" s="1"/>
  <c r="L1317" i="2"/>
  <c r="S1317" i="2" s="1"/>
  <c r="L1318" i="2"/>
  <c r="S1318" i="2" s="1"/>
  <c r="L1319" i="2"/>
  <c r="S1319" i="2" s="1"/>
  <c r="L1320" i="2"/>
  <c r="S1320" i="2" s="1"/>
  <c r="L1321" i="2"/>
  <c r="S1321" i="2" s="1"/>
  <c r="L1322" i="2"/>
  <c r="S1322" i="2" s="1"/>
  <c r="L1323" i="2"/>
  <c r="S1323" i="2" s="1"/>
  <c r="L1324" i="2"/>
  <c r="S1324" i="2" s="1"/>
  <c r="L1325" i="2"/>
  <c r="S1325" i="2" s="1"/>
  <c r="L1326" i="2"/>
  <c r="S1326" i="2" s="1"/>
  <c r="L1327" i="2"/>
  <c r="S1327" i="2" s="1"/>
  <c r="L1328" i="2"/>
  <c r="S1328" i="2" s="1"/>
  <c r="L1329" i="2"/>
  <c r="S1329" i="2" s="1"/>
  <c r="L1330" i="2"/>
  <c r="S1330" i="2" s="1"/>
  <c r="L1331" i="2"/>
  <c r="S1331" i="2" s="1"/>
  <c r="L1332" i="2"/>
  <c r="S1332" i="2" s="1"/>
  <c r="L1333" i="2"/>
  <c r="S1333" i="2" s="1"/>
  <c r="L1334" i="2"/>
  <c r="S1334" i="2" s="1"/>
  <c r="L1335" i="2"/>
  <c r="S1335" i="2" s="1"/>
  <c r="L1336" i="2"/>
  <c r="S1336" i="2" s="1"/>
  <c r="L1337" i="2"/>
  <c r="S1337" i="2" s="1"/>
  <c r="L1338" i="2"/>
  <c r="S1338" i="2" s="1"/>
  <c r="L1339" i="2"/>
  <c r="S1339" i="2" s="1"/>
  <c r="L1340" i="2"/>
  <c r="S1340" i="2" s="1"/>
  <c r="L1341" i="2"/>
  <c r="S1341" i="2" s="1"/>
  <c r="L1342" i="2"/>
  <c r="S1342" i="2" s="1"/>
  <c r="L1343" i="2"/>
  <c r="S1343" i="2" s="1"/>
  <c r="L1344" i="2"/>
  <c r="S1344" i="2" s="1"/>
  <c r="L1345" i="2"/>
  <c r="S1345" i="2" s="1"/>
  <c r="L1346" i="2"/>
  <c r="S1346" i="2" s="1"/>
  <c r="L1347" i="2"/>
  <c r="S1347" i="2" s="1"/>
  <c r="L1348" i="2"/>
  <c r="S1348" i="2" s="1"/>
  <c r="L1349" i="2"/>
  <c r="S1349" i="2" s="1"/>
  <c r="L1350" i="2"/>
  <c r="S1350" i="2" s="1"/>
  <c r="L1351" i="2"/>
  <c r="S1351" i="2" s="1"/>
  <c r="L1352" i="2"/>
  <c r="S1352" i="2" s="1"/>
  <c r="L1353" i="2"/>
  <c r="S1353" i="2" s="1"/>
  <c r="L1354" i="2"/>
  <c r="S1354" i="2" s="1"/>
  <c r="L1355" i="2"/>
  <c r="S1355" i="2" s="1"/>
  <c r="L1356" i="2"/>
  <c r="S1356" i="2" s="1"/>
  <c r="L1357" i="2"/>
  <c r="S1357" i="2" s="1"/>
  <c r="L1358" i="2"/>
  <c r="S1358" i="2" s="1"/>
  <c r="L1359" i="2"/>
  <c r="S1359" i="2" s="1"/>
  <c r="L1360" i="2"/>
  <c r="S1360" i="2" s="1"/>
  <c r="L1361" i="2"/>
  <c r="S1361" i="2" s="1"/>
  <c r="L1362" i="2"/>
  <c r="S1362" i="2" s="1"/>
  <c r="L1363" i="2"/>
  <c r="S1363" i="2" s="1"/>
  <c r="L1364" i="2"/>
  <c r="S1364" i="2" s="1"/>
  <c r="L1365" i="2"/>
  <c r="S1365" i="2" s="1"/>
  <c r="L1366" i="2"/>
  <c r="S1366" i="2" s="1"/>
  <c r="L1367" i="2"/>
  <c r="S1367" i="2" s="1"/>
  <c r="L1368" i="2"/>
  <c r="S1368" i="2" s="1"/>
  <c r="L1369" i="2"/>
  <c r="S1369" i="2" s="1"/>
  <c r="L1370" i="2"/>
  <c r="S1370" i="2" s="1"/>
  <c r="L1371" i="2"/>
  <c r="S1371" i="2" s="1"/>
  <c r="L1372" i="2"/>
  <c r="S1372" i="2" s="1"/>
  <c r="L1373" i="2"/>
  <c r="S1373" i="2" s="1"/>
  <c r="L1374" i="2"/>
  <c r="S1374" i="2" s="1"/>
  <c r="L1375" i="2"/>
  <c r="S1375" i="2" s="1"/>
  <c r="L1376" i="2"/>
  <c r="S1376" i="2" s="1"/>
  <c r="L1377" i="2"/>
  <c r="S1377" i="2" s="1"/>
  <c r="L1378" i="2"/>
  <c r="S1378" i="2" s="1"/>
  <c r="L1379" i="2"/>
  <c r="S1379" i="2" s="1"/>
  <c r="L1380" i="2"/>
  <c r="S1380" i="2" s="1"/>
  <c r="L1381" i="2"/>
  <c r="S1381" i="2" s="1"/>
  <c r="L1382" i="2"/>
  <c r="S1382" i="2" s="1"/>
  <c r="L1383" i="2"/>
  <c r="S1383" i="2" s="1"/>
  <c r="L1384" i="2"/>
  <c r="S1384" i="2" s="1"/>
  <c r="L1385" i="2"/>
  <c r="S1385" i="2" s="1"/>
  <c r="L1386" i="2"/>
  <c r="S1386" i="2" s="1"/>
  <c r="L1387" i="2"/>
  <c r="S1387" i="2" s="1"/>
  <c r="L1388" i="2"/>
  <c r="S1388" i="2" s="1"/>
  <c r="L1389" i="2"/>
  <c r="S1389" i="2" s="1"/>
  <c r="L1390" i="2"/>
  <c r="S1390" i="2" s="1"/>
  <c r="L1391" i="2"/>
  <c r="S1391" i="2" s="1"/>
  <c r="L1392" i="2"/>
  <c r="S1392" i="2" s="1"/>
  <c r="L1393" i="2"/>
  <c r="S1393" i="2" s="1"/>
  <c r="L1394" i="2"/>
  <c r="S1394" i="2" s="1"/>
  <c r="L1395" i="2"/>
  <c r="S1395" i="2" s="1"/>
  <c r="L1396" i="2"/>
  <c r="S1396" i="2" s="1"/>
  <c r="L1397" i="2"/>
  <c r="S1397" i="2" s="1"/>
  <c r="L1398" i="2"/>
  <c r="S1398" i="2" s="1"/>
  <c r="L1399" i="2"/>
  <c r="S1399" i="2" s="1"/>
  <c r="L1400" i="2"/>
  <c r="S1400" i="2" s="1"/>
  <c r="L1401" i="2"/>
  <c r="S1401" i="2" s="1"/>
  <c r="L1402" i="2"/>
  <c r="S1402" i="2" s="1"/>
  <c r="L1403" i="2"/>
  <c r="S1403" i="2" s="1"/>
  <c r="L1404" i="2"/>
  <c r="S1404" i="2" s="1"/>
  <c r="L1405" i="2"/>
  <c r="S1405" i="2" s="1"/>
  <c r="L1406" i="2"/>
  <c r="S1406" i="2" s="1"/>
  <c r="L1407" i="2"/>
  <c r="S1407" i="2" s="1"/>
  <c r="L1408" i="2"/>
  <c r="S1408" i="2" s="1"/>
  <c r="L1409" i="2"/>
  <c r="S1409" i="2" s="1"/>
  <c r="L1410" i="2"/>
  <c r="S1410" i="2" s="1"/>
  <c r="L1411" i="2"/>
  <c r="S1411" i="2" s="1"/>
  <c r="L1412" i="2"/>
  <c r="S1412" i="2" s="1"/>
  <c r="L1413" i="2"/>
  <c r="S1413" i="2" s="1"/>
  <c r="L1414" i="2"/>
  <c r="S1414" i="2" s="1"/>
  <c r="L1415" i="2"/>
  <c r="S1415" i="2" s="1"/>
  <c r="L1416" i="2"/>
  <c r="S1416" i="2" s="1"/>
  <c r="L1417" i="2"/>
  <c r="S1417" i="2" s="1"/>
  <c r="L1418" i="2"/>
  <c r="S1418" i="2" s="1"/>
  <c r="L1419" i="2"/>
  <c r="S1419" i="2" s="1"/>
  <c r="L1420" i="2"/>
  <c r="S1420" i="2" s="1"/>
  <c r="L1421" i="2"/>
  <c r="S1421" i="2" s="1"/>
  <c r="L1422" i="2"/>
  <c r="S1422" i="2" s="1"/>
  <c r="L1423" i="2"/>
  <c r="S1423" i="2" s="1"/>
  <c r="L1424" i="2"/>
  <c r="S1424" i="2" s="1"/>
  <c r="L1425" i="2"/>
  <c r="S1425" i="2" s="1"/>
  <c r="L1426" i="2"/>
  <c r="S1426" i="2" s="1"/>
  <c r="L1427" i="2"/>
  <c r="S1427" i="2" s="1"/>
  <c r="L1428" i="2"/>
  <c r="S1428" i="2" s="1"/>
  <c r="L1429" i="2"/>
  <c r="S1429" i="2" s="1"/>
  <c r="L1430" i="2"/>
  <c r="S1430" i="2" s="1"/>
  <c r="L1431" i="2"/>
  <c r="S1431" i="2" s="1"/>
  <c r="L1432" i="2"/>
  <c r="S1432" i="2" s="1"/>
  <c r="L1433" i="2"/>
  <c r="S1433" i="2" s="1"/>
  <c r="L1434" i="2"/>
  <c r="S1434" i="2" s="1"/>
  <c r="L1435" i="2"/>
  <c r="S1435" i="2" s="1"/>
  <c r="L1436" i="2"/>
  <c r="S1436" i="2" s="1"/>
  <c r="L1437" i="2"/>
  <c r="S1437" i="2" s="1"/>
  <c r="L1438" i="2"/>
  <c r="S1438" i="2" s="1"/>
  <c r="L1439" i="2"/>
  <c r="S1439" i="2" s="1"/>
  <c r="L1440" i="2"/>
  <c r="S1440" i="2" s="1"/>
  <c r="L1441" i="2"/>
  <c r="S1441" i="2" s="1"/>
  <c r="L1442" i="2"/>
  <c r="S1442" i="2" s="1"/>
  <c r="L1443" i="2"/>
  <c r="S1443" i="2" s="1"/>
  <c r="L1444" i="2"/>
  <c r="S1444" i="2" s="1"/>
  <c r="L1445" i="2"/>
  <c r="S1445" i="2" s="1"/>
  <c r="L1446" i="2"/>
  <c r="S1446" i="2" s="1"/>
  <c r="L1447" i="2"/>
  <c r="S1447" i="2" s="1"/>
  <c r="L1448" i="2"/>
  <c r="S1448" i="2" s="1"/>
  <c r="L1449" i="2"/>
  <c r="S1449" i="2" s="1"/>
  <c r="L1450" i="2"/>
  <c r="S1450" i="2" s="1"/>
  <c r="L1451" i="2"/>
  <c r="S1451" i="2" s="1"/>
  <c r="L1452" i="2"/>
  <c r="S1452" i="2" s="1"/>
  <c r="L1453" i="2"/>
  <c r="S1453" i="2" s="1"/>
  <c r="L1454" i="2"/>
  <c r="S1454" i="2" s="1"/>
  <c r="L1455" i="2"/>
  <c r="S1455" i="2" s="1"/>
  <c r="L1456" i="2"/>
  <c r="S1456" i="2" s="1"/>
  <c r="L1457" i="2"/>
  <c r="S1457" i="2" s="1"/>
  <c r="L1458" i="2"/>
  <c r="S1458" i="2" s="1"/>
  <c r="L1459" i="2"/>
  <c r="S1459" i="2" s="1"/>
  <c r="L1460" i="2"/>
  <c r="S1460" i="2" s="1"/>
  <c r="L1461" i="2"/>
  <c r="S1461" i="2" s="1"/>
  <c r="L1462" i="2"/>
  <c r="S1462" i="2" s="1"/>
  <c r="L1463" i="2"/>
  <c r="S1463" i="2" s="1"/>
  <c r="L1464" i="2"/>
  <c r="S1464" i="2" s="1"/>
  <c r="L1465" i="2"/>
  <c r="S1465" i="2" s="1"/>
  <c r="L1466" i="2"/>
  <c r="S1466" i="2" s="1"/>
  <c r="L1467" i="2"/>
  <c r="S1467" i="2" s="1"/>
  <c r="L1468" i="2"/>
  <c r="S1468" i="2" s="1"/>
  <c r="L1469" i="2"/>
  <c r="S1469" i="2" s="1"/>
  <c r="L1470" i="2"/>
  <c r="S1470" i="2" s="1"/>
  <c r="L1471" i="2"/>
  <c r="S1471" i="2" s="1"/>
  <c r="L1472" i="2"/>
  <c r="S1472" i="2" s="1"/>
  <c r="L1473" i="2"/>
  <c r="S1473" i="2" s="1"/>
  <c r="L1474" i="2"/>
  <c r="S1474" i="2" s="1"/>
  <c r="L1475" i="2"/>
  <c r="S1475" i="2" s="1"/>
  <c r="L1476" i="2"/>
  <c r="S1476" i="2" s="1"/>
  <c r="L1477" i="2"/>
  <c r="S1477" i="2" s="1"/>
  <c r="L1478" i="2"/>
  <c r="S1478" i="2" s="1"/>
  <c r="L1479" i="2"/>
  <c r="S1479" i="2" s="1"/>
  <c r="L1480" i="2"/>
  <c r="S1480" i="2" s="1"/>
  <c r="L1481" i="2"/>
  <c r="S1481" i="2" s="1"/>
  <c r="L1482" i="2"/>
  <c r="S1482" i="2" s="1"/>
  <c r="L1483" i="2"/>
  <c r="S1483" i="2" s="1"/>
  <c r="L1484" i="2"/>
  <c r="S1484" i="2" s="1"/>
  <c r="L1485" i="2"/>
  <c r="S1485" i="2" s="1"/>
  <c r="L1486" i="2"/>
  <c r="S1486" i="2" s="1"/>
  <c r="L1487" i="2"/>
  <c r="S1487" i="2" s="1"/>
  <c r="L1488" i="2"/>
  <c r="S1488" i="2" s="1"/>
  <c r="L1489" i="2"/>
  <c r="S1489" i="2" s="1"/>
  <c r="L1490" i="2"/>
  <c r="S1490" i="2" s="1"/>
  <c r="L1491" i="2"/>
  <c r="S1491" i="2" s="1"/>
  <c r="L1492" i="2"/>
  <c r="S1492" i="2" s="1"/>
  <c r="L1493" i="2"/>
  <c r="S1493" i="2" s="1"/>
  <c r="L1494" i="2"/>
  <c r="S1494" i="2" s="1"/>
  <c r="L1495" i="2"/>
  <c r="S1495" i="2" s="1"/>
  <c r="L1496" i="2"/>
  <c r="S1496" i="2" s="1"/>
  <c r="L1497" i="2"/>
  <c r="S1497" i="2" s="1"/>
  <c r="L1498" i="2"/>
  <c r="S1498" i="2" s="1"/>
  <c r="L1499" i="2"/>
  <c r="S1499" i="2" s="1"/>
  <c r="L1500" i="2"/>
  <c r="S1500" i="2" s="1"/>
  <c r="L1501" i="2"/>
  <c r="S1501" i="2" s="1"/>
  <c r="L1502" i="2"/>
  <c r="S1502" i="2" s="1"/>
  <c r="L1503" i="2"/>
  <c r="S1503" i="2" s="1"/>
  <c r="L1504" i="2"/>
  <c r="S1504" i="2" s="1"/>
  <c r="L1505" i="2"/>
  <c r="S1505" i="2" s="1"/>
  <c r="L1506" i="2"/>
  <c r="S1506" i="2" s="1"/>
  <c r="L1507" i="2"/>
  <c r="S1507" i="2" s="1"/>
  <c r="L1508" i="2"/>
  <c r="S1508" i="2" s="1"/>
  <c r="L1509" i="2"/>
  <c r="S1509" i="2" s="1"/>
  <c r="L1510" i="2"/>
  <c r="S1510" i="2" s="1"/>
  <c r="L1511" i="2"/>
  <c r="S1511" i="2" s="1"/>
  <c r="L1512" i="2"/>
  <c r="S1512" i="2" s="1"/>
  <c r="L1513" i="2"/>
  <c r="S1513" i="2" s="1"/>
  <c r="L1514" i="2"/>
  <c r="S1514" i="2" s="1"/>
  <c r="L1515" i="2"/>
  <c r="S1515" i="2" s="1"/>
  <c r="L1516" i="2"/>
  <c r="S1516" i="2" s="1"/>
  <c r="L1517" i="2"/>
  <c r="S1517" i="2" s="1"/>
  <c r="L1518" i="2"/>
  <c r="S1518" i="2" s="1"/>
  <c r="L1519" i="2"/>
  <c r="S1519" i="2" s="1"/>
  <c r="L1520" i="2"/>
  <c r="S1520" i="2" s="1"/>
  <c r="L1521" i="2"/>
  <c r="S1521" i="2" s="1"/>
  <c r="L1522" i="2"/>
  <c r="S1522" i="2" s="1"/>
  <c r="L1523" i="2"/>
  <c r="S1523" i="2" s="1"/>
  <c r="L1524" i="2"/>
  <c r="S1524" i="2" s="1"/>
  <c r="L1525" i="2"/>
  <c r="S1525" i="2" s="1"/>
  <c r="L1526" i="2"/>
  <c r="S1526" i="2" s="1"/>
  <c r="L1527" i="2"/>
  <c r="S1527" i="2" s="1"/>
  <c r="L1528" i="2"/>
  <c r="S1528" i="2" s="1"/>
  <c r="L1529" i="2"/>
  <c r="S1529" i="2" s="1"/>
  <c r="L1530" i="2"/>
  <c r="S1530" i="2" s="1"/>
  <c r="L1531" i="2"/>
  <c r="S1531" i="2" s="1"/>
  <c r="L1532" i="2"/>
  <c r="S1532" i="2" s="1"/>
  <c r="L1533" i="2"/>
  <c r="S1533" i="2" s="1"/>
  <c r="L1534" i="2"/>
  <c r="S1534" i="2" s="1"/>
  <c r="L1535" i="2"/>
  <c r="S1535" i="2" s="1"/>
  <c r="L1536" i="2"/>
  <c r="S1536" i="2" s="1"/>
  <c r="L1537" i="2"/>
  <c r="S1537" i="2" s="1"/>
  <c r="L1538" i="2"/>
  <c r="S1538" i="2" s="1"/>
  <c r="L1539" i="2"/>
  <c r="S1539" i="2" s="1"/>
  <c r="L1540" i="2"/>
  <c r="S1540" i="2" s="1"/>
  <c r="L1541" i="2"/>
  <c r="S1541" i="2" s="1"/>
  <c r="L1542" i="2"/>
  <c r="S1542" i="2" s="1"/>
  <c r="L1543" i="2"/>
  <c r="S1543" i="2" s="1"/>
  <c r="L1544" i="2"/>
  <c r="S1544" i="2" s="1"/>
  <c r="L1545" i="2"/>
  <c r="S1545" i="2" s="1"/>
  <c r="L1546" i="2"/>
  <c r="S1546" i="2" s="1"/>
  <c r="L1547" i="2"/>
  <c r="S1547" i="2" s="1"/>
  <c r="L1548" i="2"/>
  <c r="S1548" i="2" s="1"/>
  <c r="L1549" i="2"/>
  <c r="S1549" i="2" s="1"/>
  <c r="L1550" i="2"/>
  <c r="S1550" i="2" s="1"/>
  <c r="L1551" i="2"/>
  <c r="S1551" i="2" s="1"/>
  <c r="L1552" i="2"/>
  <c r="S1552" i="2" s="1"/>
  <c r="L1553" i="2"/>
  <c r="S1553" i="2" s="1"/>
  <c r="L1554" i="2"/>
  <c r="S1554" i="2" s="1"/>
  <c r="L1555" i="2"/>
  <c r="S1555" i="2" s="1"/>
  <c r="L1556" i="2"/>
  <c r="S1556" i="2" s="1"/>
  <c r="L1557" i="2"/>
  <c r="S1557" i="2" s="1"/>
  <c r="L1558" i="2"/>
  <c r="S1558" i="2" s="1"/>
  <c r="L1559" i="2"/>
  <c r="S1559" i="2" s="1"/>
  <c r="L1560" i="2"/>
  <c r="S1560" i="2" s="1"/>
  <c r="L1561" i="2"/>
  <c r="S1561" i="2" s="1"/>
  <c r="L1562" i="2"/>
  <c r="S1562" i="2" s="1"/>
  <c r="L1563" i="2"/>
  <c r="S1563" i="2" s="1"/>
  <c r="L1564" i="2"/>
  <c r="S1564" i="2" s="1"/>
  <c r="L1565" i="2"/>
  <c r="S1565" i="2" s="1"/>
  <c r="L1566" i="2"/>
  <c r="S1566" i="2" s="1"/>
  <c r="L1567" i="2"/>
  <c r="S1567" i="2" s="1"/>
  <c r="L1568" i="2"/>
  <c r="S1568" i="2" s="1"/>
  <c r="L1569" i="2"/>
  <c r="S1569" i="2" s="1"/>
  <c r="L1570" i="2"/>
  <c r="S1570" i="2" s="1"/>
  <c r="L1571" i="2"/>
  <c r="S1571" i="2" s="1"/>
  <c r="L1572" i="2"/>
  <c r="S1572" i="2" s="1"/>
  <c r="L1573" i="2"/>
  <c r="S1573" i="2" s="1"/>
  <c r="L1574" i="2"/>
  <c r="S1574" i="2" s="1"/>
  <c r="L1575" i="2"/>
  <c r="S1575" i="2" s="1"/>
  <c r="L1576" i="2"/>
  <c r="S1576" i="2" s="1"/>
  <c r="L1577" i="2"/>
  <c r="S1577" i="2" s="1"/>
  <c r="L1578" i="2"/>
  <c r="S1578" i="2" s="1"/>
  <c r="L1579" i="2"/>
  <c r="S1579" i="2" s="1"/>
  <c r="L1580" i="2"/>
  <c r="S1580" i="2" s="1"/>
  <c r="L1581" i="2"/>
  <c r="S1581" i="2" s="1"/>
  <c r="L1582" i="2"/>
  <c r="S1582" i="2" s="1"/>
  <c r="L1583" i="2"/>
  <c r="S1583" i="2" s="1"/>
  <c r="L1584" i="2"/>
  <c r="S1584" i="2" s="1"/>
  <c r="L1585" i="2"/>
  <c r="S1585" i="2" s="1"/>
  <c r="L1586" i="2"/>
  <c r="S1586" i="2" s="1"/>
  <c r="L1587" i="2"/>
  <c r="S1587" i="2" s="1"/>
  <c r="L1588" i="2"/>
  <c r="S1588" i="2" s="1"/>
  <c r="L1589" i="2"/>
  <c r="S1589" i="2" s="1"/>
  <c r="L1590" i="2"/>
  <c r="S1590" i="2" s="1"/>
  <c r="L1591" i="2"/>
  <c r="S1591" i="2" s="1"/>
  <c r="L1592" i="2"/>
  <c r="S1592" i="2" s="1"/>
  <c r="L1593" i="2"/>
  <c r="S1593" i="2" s="1"/>
  <c r="L1594" i="2"/>
  <c r="S1594" i="2" s="1"/>
  <c r="L1595" i="2"/>
  <c r="S1595" i="2" s="1"/>
  <c r="L1596" i="2"/>
  <c r="S1596" i="2" s="1"/>
  <c r="L1597" i="2"/>
  <c r="S1597" i="2" s="1"/>
  <c r="L1598" i="2"/>
  <c r="S1598" i="2" s="1"/>
  <c r="L1599" i="2"/>
  <c r="S1599" i="2" s="1"/>
  <c r="L1600" i="2"/>
  <c r="S1600" i="2" s="1"/>
  <c r="L1601" i="2"/>
  <c r="S1601" i="2" s="1"/>
  <c r="L1602" i="2"/>
  <c r="S1602" i="2" s="1"/>
  <c r="L1603" i="2"/>
  <c r="S1603" i="2" s="1"/>
  <c r="L1604" i="2"/>
  <c r="S1604" i="2" s="1"/>
  <c r="L1605" i="2"/>
  <c r="S1605" i="2" s="1"/>
  <c r="L1606" i="2"/>
  <c r="S1606" i="2" s="1"/>
  <c r="L1607" i="2"/>
  <c r="S1607" i="2" s="1"/>
  <c r="L1608" i="2"/>
  <c r="S1608" i="2" s="1"/>
  <c r="L1609" i="2"/>
  <c r="S1609" i="2" s="1"/>
  <c r="L1610" i="2"/>
  <c r="S1610" i="2" s="1"/>
  <c r="L1611" i="2"/>
  <c r="S1611" i="2" s="1"/>
  <c r="L1612" i="2"/>
  <c r="S1612" i="2" s="1"/>
  <c r="L1613" i="2"/>
  <c r="S1613" i="2" s="1"/>
  <c r="L1614" i="2"/>
  <c r="S1614" i="2" s="1"/>
  <c r="L1615" i="2"/>
  <c r="S1615" i="2" s="1"/>
  <c r="L1616" i="2"/>
  <c r="S1616" i="2" s="1"/>
  <c r="L1617" i="2"/>
  <c r="S1617" i="2" s="1"/>
  <c r="L1618" i="2"/>
  <c r="S1618" i="2" s="1"/>
  <c r="L1619" i="2"/>
  <c r="S1619" i="2" s="1"/>
  <c r="L1620" i="2"/>
  <c r="S1620" i="2" s="1"/>
  <c r="L1621" i="2"/>
  <c r="S1621" i="2" s="1"/>
  <c r="L1622" i="2"/>
  <c r="S1622" i="2" s="1"/>
  <c r="L1623" i="2"/>
  <c r="S1623" i="2" s="1"/>
  <c r="L1624" i="2"/>
  <c r="S1624" i="2" s="1"/>
  <c r="L1625" i="2"/>
  <c r="S1625" i="2" s="1"/>
  <c r="L1626" i="2"/>
  <c r="S1626" i="2" s="1"/>
  <c r="L1627" i="2"/>
  <c r="S1627" i="2" s="1"/>
  <c r="L1628" i="2"/>
  <c r="S1628" i="2" s="1"/>
  <c r="L1629" i="2"/>
  <c r="S1629" i="2" s="1"/>
  <c r="L1630" i="2"/>
  <c r="S1630" i="2" s="1"/>
  <c r="L1631" i="2"/>
  <c r="S1631" i="2" s="1"/>
  <c r="L1632" i="2"/>
  <c r="S1632" i="2" s="1"/>
  <c r="L1633" i="2"/>
  <c r="S1633" i="2" s="1"/>
  <c r="L1634" i="2"/>
  <c r="S1634" i="2" s="1"/>
  <c r="L1635" i="2"/>
  <c r="S1635" i="2" s="1"/>
  <c r="L1636" i="2"/>
  <c r="S1636" i="2" s="1"/>
  <c r="L1637" i="2"/>
  <c r="S1637" i="2" s="1"/>
  <c r="L1638" i="2"/>
  <c r="S1638" i="2" s="1"/>
  <c r="L1639" i="2"/>
  <c r="S1639" i="2" s="1"/>
  <c r="L1640" i="2"/>
  <c r="S1640" i="2" s="1"/>
  <c r="L1641" i="2"/>
  <c r="S1641" i="2" s="1"/>
  <c r="L1642" i="2"/>
  <c r="S1642" i="2" s="1"/>
  <c r="L1643" i="2"/>
  <c r="S1643" i="2" s="1"/>
  <c r="L1644" i="2"/>
  <c r="S1644" i="2" s="1"/>
  <c r="L1645" i="2"/>
  <c r="S1645" i="2" s="1"/>
  <c r="L1646" i="2"/>
  <c r="S1646" i="2" s="1"/>
  <c r="L1647" i="2"/>
  <c r="S1647" i="2" s="1"/>
  <c r="L1648" i="2"/>
  <c r="S1648" i="2" s="1"/>
  <c r="L1649" i="2"/>
  <c r="S1649" i="2" s="1"/>
  <c r="L1650" i="2"/>
  <c r="S1650" i="2" s="1"/>
  <c r="L1651" i="2"/>
  <c r="S1651" i="2" s="1"/>
  <c r="L1652" i="2"/>
  <c r="S1652" i="2" s="1"/>
  <c r="L1653" i="2"/>
  <c r="S1653" i="2" s="1"/>
  <c r="L1654" i="2"/>
  <c r="S1654" i="2" s="1"/>
  <c r="L1655" i="2"/>
  <c r="S1655" i="2" s="1"/>
  <c r="L1656" i="2"/>
  <c r="S1656" i="2" s="1"/>
  <c r="L1657" i="2"/>
  <c r="S1657" i="2" s="1"/>
  <c r="L1658" i="2"/>
  <c r="S1658" i="2" s="1"/>
  <c r="L1659" i="2"/>
  <c r="S1659" i="2" s="1"/>
  <c r="L1660" i="2"/>
  <c r="S1660" i="2" s="1"/>
  <c r="L1661" i="2"/>
  <c r="S1661" i="2" s="1"/>
  <c r="L1662" i="2"/>
  <c r="S1662" i="2" s="1"/>
  <c r="L1663" i="2"/>
  <c r="S1663" i="2" s="1"/>
  <c r="L1664" i="2"/>
  <c r="S1664" i="2" s="1"/>
  <c r="L1665" i="2"/>
  <c r="S1665" i="2" s="1"/>
  <c r="L1666" i="2"/>
  <c r="S1666" i="2" s="1"/>
  <c r="L1667" i="2"/>
  <c r="S1667" i="2" s="1"/>
  <c r="L1668" i="2"/>
  <c r="S1668" i="2" s="1"/>
  <c r="L1669" i="2"/>
  <c r="S1669" i="2" s="1"/>
  <c r="L1670" i="2"/>
  <c r="S1670" i="2" s="1"/>
  <c r="L1671" i="2"/>
  <c r="S1671" i="2" s="1"/>
  <c r="L1672" i="2"/>
  <c r="S1672" i="2" s="1"/>
  <c r="L1673" i="2"/>
  <c r="S1673" i="2" s="1"/>
  <c r="L1674" i="2"/>
  <c r="S1674" i="2" s="1"/>
  <c r="L1675" i="2"/>
  <c r="S1675" i="2" s="1"/>
  <c r="L1676" i="2"/>
  <c r="S1676" i="2" s="1"/>
  <c r="L1677" i="2"/>
  <c r="S1677" i="2" s="1"/>
  <c r="L1678" i="2"/>
  <c r="S1678" i="2" s="1"/>
  <c r="L1679" i="2"/>
  <c r="S1679" i="2" s="1"/>
  <c r="L1680" i="2"/>
  <c r="S1680" i="2" s="1"/>
  <c r="L1681" i="2"/>
  <c r="S1681" i="2" s="1"/>
  <c r="L1682" i="2"/>
  <c r="S1682" i="2" s="1"/>
  <c r="L1683" i="2"/>
  <c r="S1683" i="2" s="1"/>
  <c r="L1684" i="2"/>
  <c r="S1684" i="2" s="1"/>
  <c r="L1685" i="2"/>
  <c r="S1685" i="2" s="1"/>
  <c r="L1686" i="2"/>
  <c r="S1686" i="2" s="1"/>
  <c r="L1687" i="2"/>
  <c r="S1687" i="2" s="1"/>
  <c r="L1688" i="2"/>
  <c r="S1688" i="2" s="1"/>
  <c r="L1689" i="2"/>
  <c r="S1689" i="2" s="1"/>
  <c r="L1690" i="2"/>
  <c r="S1690" i="2" s="1"/>
  <c r="L1691" i="2"/>
  <c r="S1691" i="2" s="1"/>
  <c r="L1692" i="2"/>
  <c r="S1692" i="2" s="1"/>
  <c r="L1693" i="2"/>
  <c r="S1693" i="2" s="1"/>
  <c r="L1694" i="2"/>
  <c r="S1694" i="2" s="1"/>
  <c r="L1695" i="2"/>
  <c r="S1695" i="2" s="1"/>
  <c r="L1696" i="2"/>
  <c r="S1696" i="2" s="1"/>
  <c r="L1697" i="2"/>
  <c r="S1697" i="2" s="1"/>
  <c r="L1698" i="2"/>
  <c r="S1698" i="2" s="1"/>
  <c r="L1699" i="2"/>
  <c r="S1699" i="2" s="1"/>
  <c r="L1700" i="2"/>
  <c r="S1700" i="2" s="1"/>
  <c r="L1701" i="2"/>
  <c r="S1701" i="2" s="1"/>
  <c r="L1702" i="2"/>
  <c r="S1702" i="2" s="1"/>
  <c r="L1703" i="2"/>
  <c r="S1703" i="2" s="1"/>
  <c r="L1704" i="2"/>
  <c r="S1704" i="2" s="1"/>
  <c r="L1705" i="2"/>
  <c r="S1705" i="2" s="1"/>
  <c r="L1706" i="2"/>
  <c r="S1706" i="2" s="1"/>
  <c r="L1707" i="2"/>
  <c r="S1707" i="2" s="1"/>
  <c r="L1708" i="2"/>
  <c r="S1708" i="2" s="1"/>
  <c r="L1709" i="2"/>
  <c r="S1709" i="2" s="1"/>
  <c r="L1710" i="2"/>
  <c r="S1710" i="2" s="1"/>
  <c r="L1711" i="2"/>
  <c r="S1711" i="2" s="1"/>
  <c r="L1712" i="2"/>
  <c r="S1712" i="2" s="1"/>
  <c r="L1713" i="2"/>
  <c r="S1713" i="2" s="1"/>
  <c r="L1714" i="2"/>
  <c r="S1714" i="2" s="1"/>
  <c r="L1715" i="2"/>
  <c r="S1715" i="2" s="1"/>
  <c r="L1716" i="2"/>
  <c r="S1716" i="2" s="1"/>
  <c r="L1717" i="2"/>
  <c r="S1717" i="2" s="1"/>
  <c r="L1718" i="2"/>
  <c r="S1718" i="2" s="1"/>
  <c r="L1719" i="2"/>
  <c r="S1719" i="2" s="1"/>
  <c r="L1720" i="2"/>
  <c r="S1720" i="2" s="1"/>
  <c r="L1721" i="2"/>
  <c r="S1721" i="2" s="1"/>
  <c r="L1722" i="2"/>
  <c r="S1722" i="2" s="1"/>
  <c r="L1723" i="2"/>
  <c r="S1723" i="2" s="1"/>
  <c r="L1724" i="2"/>
  <c r="S1724" i="2" s="1"/>
  <c r="L1725" i="2"/>
  <c r="S1725" i="2" s="1"/>
  <c r="L1726" i="2"/>
  <c r="S1726" i="2" s="1"/>
  <c r="L1727" i="2"/>
  <c r="S1727" i="2" s="1"/>
  <c r="L1728" i="2"/>
  <c r="S1728" i="2" s="1"/>
  <c r="L1729" i="2"/>
  <c r="S1729" i="2" s="1"/>
  <c r="L1730" i="2"/>
  <c r="S1730" i="2" s="1"/>
  <c r="L1731" i="2"/>
  <c r="S1731" i="2" s="1"/>
  <c r="L1732" i="2"/>
  <c r="S1732" i="2" s="1"/>
  <c r="L1733" i="2"/>
  <c r="S1733" i="2" s="1"/>
  <c r="L1734" i="2"/>
  <c r="S1734" i="2" s="1"/>
  <c r="L1735" i="2"/>
  <c r="S1735" i="2" s="1"/>
  <c r="L1736" i="2"/>
  <c r="S1736" i="2" s="1"/>
  <c r="L1737" i="2"/>
  <c r="S1737" i="2" s="1"/>
  <c r="L1738" i="2"/>
  <c r="S1738" i="2" s="1"/>
  <c r="L1739" i="2"/>
  <c r="S1739" i="2" s="1"/>
  <c r="L1740" i="2"/>
  <c r="S1740" i="2" s="1"/>
  <c r="L1741" i="2"/>
  <c r="S1741" i="2" s="1"/>
  <c r="L1742" i="2"/>
  <c r="S1742" i="2" s="1"/>
  <c r="L1743" i="2"/>
  <c r="S1743" i="2" s="1"/>
  <c r="L1744" i="2"/>
  <c r="S1744" i="2" s="1"/>
  <c r="L1745" i="2"/>
  <c r="S1745" i="2" s="1"/>
  <c r="L1746" i="2"/>
  <c r="S1746" i="2" s="1"/>
  <c r="L1747" i="2"/>
  <c r="S1747" i="2" s="1"/>
  <c r="L1748" i="2"/>
  <c r="S1748" i="2" s="1"/>
  <c r="L1749" i="2"/>
  <c r="S1749" i="2" s="1"/>
  <c r="L1750" i="2"/>
  <c r="S1750" i="2" s="1"/>
  <c r="L1751" i="2"/>
  <c r="S1751" i="2" s="1"/>
  <c r="L1752" i="2"/>
  <c r="S1752" i="2" s="1"/>
  <c r="L1753" i="2"/>
  <c r="S1753" i="2" s="1"/>
  <c r="L1754" i="2"/>
  <c r="S1754" i="2" s="1"/>
  <c r="L1755" i="2"/>
  <c r="S1755" i="2" s="1"/>
  <c r="L1756" i="2"/>
  <c r="S1756" i="2" s="1"/>
  <c r="L1757" i="2"/>
  <c r="S1757" i="2" s="1"/>
  <c r="L1758" i="2"/>
  <c r="S1758" i="2" s="1"/>
  <c r="L1759" i="2"/>
  <c r="S1759" i="2" s="1"/>
  <c r="L1760" i="2"/>
  <c r="S1760" i="2" s="1"/>
  <c r="L1761" i="2"/>
  <c r="S1761" i="2" s="1"/>
  <c r="L1762" i="2"/>
  <c r="S1762" i="2" s="1"/>
  <c r="L1763" i="2"/>
  <c r="S1763" i="2" s="1"/>
  <c r="L1764" i="2"/>
  <c r="S1764" i="2" s="1"/>
  <c r="L1765" i="2"/>
  <c r="S1765" i="2" s="1"/>
  <c r="L1766" i="2"/>
  <c r="S1766" i="2" s="1"/>
  <c r="L1767" i="2"/>
  <c r="S1767" i="2" s="1"/>
  <c r="L1768" i="2"/>
  <c r="S1768" i="2" s="1"/>
  <c r="L1769" i="2"/>
  <c r="S1769" i="2" s="1"/>
  <c r="L1770" i="2"/>
  <c r="S1770" i="2" s="1"/>
  <c r="L1771" i="2"/>
  <c r="S1771" i="2" s="1"/>
  <c r="L1772" i="2"/>
  <c r="S1772" i="2" s="1"/>
  <c r="L1773" i="2"/>
  <c r="S1773" i="2" s="1"/>
  <c r="L1774" i="2"/>
  <c r="S1774" i="2" s="1"/>
  <c r="L1775" i="2"/>
  <c r="S1775" i="2" s="1"/>
  <c r="L1776" i="2"/>
  <c r="S1776" i="2" s="1"/>
  <c r="L1777" i="2"/>
  <c r="S1777" i="2" s="1"/>
  <c r="L1778" i="2"/>
  <c r="S1778" i="2" s="1"/>
  <c r="L1779" i="2"/>
  <c r="S1779" i="2" s="1"/>
  <c r="L1780" i="2"/>
  <c r="S1780" i="2" s="1"/>
  <c r="L1781" i="2"/>
  <c r="S1781" i="2" s="1"/>
  <c r="L1782" i="2"/>
  <c r="S1782" i="2" s="1"/>
  <c r="L1783" i="2"/>
  <c r="S1783" i="2" s="1"/>
  <c r="L1784" i="2"/>
  <c r="S1784" i="2" s="1"/>
  <c r="L1785" i="2"/>
  <c r="S1785" i="2" s="1"/>
  <c r="L1786" i="2"/>
  <c r="S1786" i="2" s="1"/>
  <c r="L1787" i="2"/>
  <c r="S1787" i="2" s="1"/>
  <c r="L1788" i="2"/>
  <c r="S1788" i="2" s="1"/>
  <c r="L1789" i="2"/>
  <c r="S1789" i="2" s="1"/>
  <c r="L1790" i="2"/>
  <c r="S1790" i="2" s="1"/>
  <c r="L1791" i="2"/>
  <c r="S1791" i="2" s="1"/>
  <c r="L1792" i="2"/>
  <c r="S1792" i="2" s="1"/>
  <c r="L1793" i="2"/>
  <c r="S1793" i="2" s="1"/>
  <c r="L1794" i="2"/>
  <c r="S1794" i="2" s="1"/>
  <c r="L1795" i="2"/>
  <c r="S1795" i="2" s="1"/>
  <c r="L1796" i="2"/>
  <c r="S1796" i="2" s="1"/>
  <c r="L1797" i="2"/>
  <c r="S1797" i="2" s="1"/>
  <c r="L1798" i="2"/>
  <c r="S1798" i="2" s="1"/>
  <c r="L1799" i="2"/>
  <c r="S1799" i="2" s="1"/>
  <c r="L1800" i="2"/>
  <c r="S1800" i="2" s="1"/>
  <c r="L1801" i="2"/>
  <c r="S1801" i="2" s="1"/>
  <c r="L1802" i="2"/>
  <c r="S1802" i="2" s="1"/>
  <c r="L1803" i="2"/>
  <c r="S1803" i="2" s="1"/>
  <c r="L1804" i="2"/>
  <c r="S1804" i="2" s="1"/>
  <c r="L1805" i="2"/>
  <c r="S1805" i="2" s="1"/>
  <c r="L1806" i="2"/>
  <c r="S1806" i="2" s="1"/>
  <c r="L1807" i="2"/>
  <c r="S1807" i="2" s="1"/>
  <c r="L1808" i="2"/>
  <c r="S1808" i="2" s="1"/>
  <c r="L1809" i="2"/>
  <c r="S1809" i="2" s="1"/>
  <c r="L1810" i="2"/>
  <c r="S1810" i="2" s="1"/>
  <c r="L1811" i="2"/>
  <c r="S1811" i="2" s="1"/>
  <c r="L1812" i="2"/>
  <c r="S1812" i="2" s="1"/>
  <c r="L1813" i="2"/>
  <c r="S1813" i="2" s="1"/>
  <c r="L1814" i="2"/>
  <c r="S1814" i="2" s="1"/>
  <c r="L1815" i="2"/>
  <c r="S1815" i="2" s="1"/>
  <c r="L1816" i="2"/>
  <c r="S1816" i="2" s="1"/>
  <c r="L1817" i="2"/>
  <c r="S1817" i="2" s="1"/>
  <c r="L1818" i="2"/>
  <c r="S1818" i="2" s="1"/>
  <c r="L1819" i="2"/>
  <c r="S1819" i="2" s="1"/>
  <c r="L1820" i="2"/>
  <c r="S1820" i="2" s="1"/>
  <c r="L1821" i="2"/>
  <c r="S1821" i="2" s="1"/>
  <c r="L1822" i="2"/>
  <c r="S1822" i="2" s="1"/>
  <c r="L1823" i="2"/>
  <c r="S1823" i="2" s="1"/>
  <c r="L1824" i="2"/>
  <c r="S1824" i="2" s="1"/>
  <c r="L1825" i="2"/>
  <c r="S1825" i="2" s="1"/>
  <c r="L1826" i="2"/>
  <c r="S1826" i="2" s="1"/>
  <c r="L1827" i="2"/>
  <c r="S1827" i="2" s="1"/>
  <c r="L1828" i="2"/>
  <c r="S1828" i="2" s="1"/>
  <c r="L1829" i="2"/>
  <c r="S1829" i="2" s="1"/>
  <c r="L1830" i="2"/>
  <c r="S1830" i="2" s="1"/>
  <c r="L1831" i="2"/>
  <c r="S1831" i="2" s="1"/>
  <c r="L1832" i="2"/>
  <c r="S1832" i="2" s="1"/>
  <c r="L1833" i="2"/>
  <c r="S1833" i="2" s="1"/>
  <c r="L1834" i="2"/>
  <c r="S1834" i="2" s="1"/>
  <c r="L1835" i="2"/>
  <c r="S1835" i="2" s="1"/>
  <c r="L1836" i="2"/>
  <c r="S1836" i="2" s="1"/>
  <c r="L1837" i="2"/>
  <c r="S1837" i="2" s="1"/>
  <c r="L1838" i="2"/>
  <c r="S1838" i="2" s="1"/>
  <c r="L1839" i="2"/>
  <c r="S1839" i="2" s="1"/>
  <c r="L1840" i="2"/>
  <c r="S1840" i="2" s="1"/>
  <c r="L1841" i="2"/>
  <c r="S1841" i="2" s="1"/>
  <c r="L1842" i="2"/>
  <c r="S1842" i="2" s="1"/>
  <c r="L1843" i="2"/>
  <c r="S1843" i="2" s="1"/>
  <c r="L1844" i="2"/>
  <c r="S1844" i="2" s="1"/>
  <c r="L1845" i="2"/>
  <c r="S1845" i="2" s="1"/>
  <c r="L1846" i="2"/>
  <c r="S1846" i="2" s="1"/>
  <c r="L1847" i="2"/>
  <c r="S1847" i="2" s="1"/>
  <c r="L1848" i="2"/>
  <c r="S1848" i="2" s="1"/>
  <c r="L1849" i="2"/>
  <c r="S1849" i="2" s="1"/>
  <c r="L1850" i="2"/>
  <c r="S1850" i="2" s="1"/>
  <c r="L1851" i="2"/>
  <c r="S1851" i="2" s="1"/>
  <c r="L1852" i="2"/>
  <c r="S1852" i="2" s="1"/>
  <c r="L1853" i="2"/>
  <c r="S1853" i="2" s="1"/>
  <c r="L1854" i="2"/>
  <c r="S1854" i="2" s="1"/>
  <c r="L1855" i="2"/>
  <c r="S1855" i="2" s="1"/>
  <c r="L1856" i="2"/>
  <c r="S1856" i="2" s="1"/>
  <c r="L1857" i="2"/>
  <c r="S1857" i="2" s="1"/>
  <c r="L1858" i="2"/>
  <c r="S1858" i="2" s="1"/>
  <c r="L1859" i="2"/>
  <c r="S1859" i="2" s="1"/>
  <c r="L1860" i="2"/>
  <c r="S1860" i="2" s="1"/>
  <c r="L1861" i="2"/>
  <c r="S1861" i="2" s="1"/>
  <c r="L1862" i="2"/>
  <c r="S1862" i="2" s="1"/>
  <c r="L1863" i="2"/>
  <c r="S1863" i="2" s="1"/>
  <c r="L1864" i="2"/>
  <c r="S1864" i="2" s="1"/>
  <c r="L1865" i="2"/>
  <c r="S1865" i="2" s="1"/>
  <c r="L1866" i="2"/>
  <c r="S1866" i="2" s="1"/>
  <c r="L1867" i="2"/>
  <c r="S1867" i="2" s="1"/>
  <c r="L1868" i="2"/>
  <c r="S1868" i="2" s="1"/>
  <c r="L1869" i="2"/>
  <c r="S1869" i="2" s="1"/>
  <c r="L1870" i="2"/>
  <c r="S1870" i="2" s="1"/>
  <c r="L1871" i="2"/>
  <c r="S1871" i="2" s="1"/>
  <c r="L1872" i="2"/>
  <c r="S1872" i="2" s="1"/>
  <c r="L1873" i="2"/>
  <c r="S1873" i="2" s="1"/>
  <c r="L1874" i="2"/>
  <c r="S1874" i="2" s="1"/>
  <c r="L1875" i="2"/>
  <c r="S1875" i="2" s="1"/>
  <c r="L1876" i="2"/>
  <c r="S1876" i="2" s="1"/>
  <c r="L1877" i="2"/>
  <c r="S1877" i="2" s="1"/>
  <c r="L1878" i="2"/>
  <c r="S1878" i="2" s="1"/>
  <c r="L1879" i="2"/>
  <c r="S1879" i="2" s="1"/>
  <c r="L1880" i="2"/>
  <c r="S1880" i="2" s="1"/>
  <c r="L1881" i="2"/>
  <c r="S1881" i="2" s="1"/>
  <c r="L1882" i="2"/>
  <c r="S1882" i="2" s="1"/>
  <c r="L1883" i="2"/>
  <c r="S1883" i="2" s="1"/>
  <c r="L1884" i="2"/>
  <c r="S1884" i="2" s="1"/>
  <c r="L1885" i="2"/>
  <c r="S1885" i="2" s="1"/>
  <c r="L1886" i="2"/>
  <c r="S1886" i="2" s="1"/>
  <c r="L1887" i="2"/>
  <c r="S1887" i="2" s="1"/>
  <c r="L1888" i="2"/>
  <c r="S1888" i="2" s="1"/>
  <c r="L1889" i="2"/>
  <c r="S1889" i="2" s="1"/>
  <c r="L1890" i="2"/>
  <c r="S1890" i="2" s="1"/>
  <c r="L1891" i="2"/>
  <c r="S1891" i="2" s="1"/>
  <c r="L1892" i="2"/>
  <c r="S1892" i="2" s="1"/>
  <c r="L1893" i="2"/>
  <c r="S1893" i="2" s="1"/>
  <c r="L1894" i="2"/>
  <c r="S1894" i="2" s="1"/>
  <c r="L1895" i="2"/>
  <c r="S1895" i="2" s="1"/>
  <c r="L1896" i="2"/>
  <c r="S1896" i="2" s="1"/>
  <c r="L1897" i="2"/>
  <c r="S1897" i="2" s="1"/>
  <c r="L1898" i="2"/>
  <c r="S1898" i="2" s="1"/>
  <c r="L1899" i="2"/>
  <c r="S1899" i="2" s="1"/>
  <c r="L1900" i="2"/>
  <c r="S1900" i="2" s="1"/>
  <c r="L1901" i="2"/>
  <c r="S1901" i="2" s="1"/>
  <c r="L1902" i="2"/>
  <c r="S1902" i="2" s="1"/>
  <c r="L1903" i="2"/>
  <c r="S1903" i="2" s="1"/>
  <c r="L1904" i="2"/>
  <c r="S1904" i="2" s="1"/>
  <c r="L1905" i="2"/>
  <c r="S1905" i="2" s="1"/>
  <c r="L1906" i="2"/>
  <c r="S1906" i="2" s="1"/>
  <c r="L1907" i="2"/>
  <c r="S1907" i="2" s="1"/>
  <c r="L1908" i="2"/>
  <c r="S1908" i="2" s="1"/>
  <c r="L1909" i="2"/>
  <c r="S1909" i="2" s="1"/>
  <c r="L1910" i="2"/>
  <c r="S1910" i="2" s="1"/>
  <c r="L1911" i="2"/>
  <c r="S1911" i="2" s="1"/>
  <c r="L1912" i="2"/>
  <c r="S1912" i="2" s="1"/>
  <c r="L1913" i="2"/>
  <c r="S1913" i="2" s="1"/>
  <c r="L1914" i="2"/>
  <c r="S1914" i="2" s="1"/>
  <c r="L1915" i="2"/>
  <c r="S1915" i="2" s="1"/>
  <c r="L1916" i="2"/>
  <c r="S1916" i="2" s="1"/>
  <c r="L1917" i="2"/>
  <c r="S1917" i="2" s="1"/>
  <c r="L1918" i="2"/>
  <c r="S1918" i="2" s="1"/>
  <c r="L1919" i="2"/>
  <c r="S1919" i="2" s="1"/>
  <c r="L1920" i="2"/>
  <c r="S1920" i="2" s="1"/>
  <c r="L1921" i="2"/>
  <c r="S1921" i="2" s="1"/>
  <c r="L1922" i="2"/>
  <c r="S1922" i="2" s="1"/>
  <c r="L1923" i="2"/>
  <c r="S1923" i="2" s="1"/>
  <c r="L1924" i="2"/>
  <c r="S1924" i="2" s="1"/>
  <c r="L1925" i="2"/>
  <c r="S1925" i="2" s="1"/>
  <c r="L1926" i="2"/>
  <c r="S1926" i="2" s="1"/>
  <c r="L1927" i="2"/>
  <c r="S1927" i="2" s="1"/>
  <c r="L1928" i="2"/>
  <c r="S1928" i="2" s="1"/>
  <c r="L1929" i="2"/>
  <c r="S1929" i="2" s="1"/>
  <c r="L1930" i="2"/>
  <c r="S1930" i="2" s="1"/>
  <c r="L1931" i="2"/>
  <c r="S1931" i="2" s="1"/>
  <c r="L1932" i="2"/>
  <c r="S1932" i="2" s="1"/>
  <c r="L1933" i="2"/>
  <c r="S1933" i="2" s="1"/>
  <c r="L1934" i="2"/>
  <c r="S1934" i="2" s="1"/>
  <c r="L1935" i="2"/>
  <c r="S1935" i="2" s="1"/>
  <c r="L1936" i="2"/>
  <c r="S1936" i="2" s="1"/>
  <c r="L1937" i="2"/>
  <c r="S1937" i="2" s="1"/>
  <c r="L1938" i="2"/>
  <c r="S1938" i="2" s="1"/>
  <c r="L1939" i="2"/>
  <c r="S1939" i="2" s="1"/>
  <c r="L1940" i="2"/>
  <c r="S1940" i="2" s="1"/>
  <c r="L1941" i="2"/>
  <c r="S1941" i="2" s="1"/>
  <c r="L1942" i="2"/>
  <c r="S1942" i="2" s="1"/>
  <c r="L1943" i="2"/>
  <c r="S1943" i="2" s="1"/>
  <c r="L1944" i="2"/>
  <c r="S1944" i="2" s="1"/>
  <c r="L1945" i="2"/>
  <c r="S1945" i="2" s="1"/>
  <c r="L1946" i="2"/>
  <c r="S1946" i="2" s="1"/>
  <c r="L1947" i="2"/>
  <c r="S1947" i="2" s="1"/>
  <c r="L1948" i="2"/>
  <c r="S1948" i="2" s="1"/>
  <c r="L1949" i="2"/>
  <c r="S1949" i="2" s="1"/>
  <c r="L1950" i="2"/>
  <c r="S1950" i="2" s="1"/>
  <c r="L1951" i="2"/>
  <c r="S1951" i="2" s="1"/>
  <c r="L1952" i="2"/>
  <c r="S1952" i="2" s="1"/>
  <c r="L1953" i="2"/>
  <c r="S1953" i="2" s="1"/>
  <c r="L1954" i="2"/>
  <c r="S1954" i="2" s="1"/>
  <c r="L1955" i="2"/>
  <c r="S1955" i="2" s="1"/>
  <c r="L1956" i="2"/>
  <c r="S1956" i="2" s="1"/>
  <c r="L1957" i="2"/>
  <c r="S1957" i="2" s="1"/>
  <c r="L1958" i="2"/>
  <c r="S1958" i="2" s="1"/>
  <c r="L1959" i="2"/>
  <c r="S1959" i="2" s="1"/>
  <c r="L1960" i="2"/>
  <c r="S1960" i="2" s="1"/>
  <c r="L1961" i="2"/>
  <c r="S1961" i="2" s="1"/>
  <c r="L1962" i="2"/>
  <c r="S1962" i="2" s="1"/>
  <c r="L1963" i="2"/>
  <c r="S1963" i="2" s="1"/>
  <c r="L1964" i="2"/>
  <c r="S1964" i="2" s="1"/>
  <c r="L1965" i="2"/>
  <c r="S1965" i="2" s="1"/>
  <c r="L1966" i="2"/>
  <c r="S1966" i="2" s="1"/>
  <c r="L1967" i="2"/>
  <c r="S1967" i="2" s="1"/>
  <c r="L1968" i="2"/>
  <c r="S1968" i="2" s="1"/>
  <c r="L1969" i="2"/>
  <c r="S1969" i="2" s="1"/>
  <c r="L1970" i="2"/>
  <c r="S1970" i="2" s="1"/>
  <c r="L1971" i="2"/>
  <c r="S1971" i="2" s="1"/>
  <c r="L1972" i="2"/>
  <c r="S1972" i="2" s="1"/>
  <c r="L1973" i="2"/>
  <c r="S1973" i="2" s="1"/>
  <c r="L1974" i="2"/>
  <c r="S1974" i="2" s="1"/>
  <c r="L1975" i="2"/>
  <c r="S1975" i="2" s="1"/>
  <c r="L1976" i="2"/>
  <c r="S1976" i="2" s="1"/>
  <c r="L1977" i="2"/>
  <c r="S1977" i="2" s="1"/>
  <c r="L1978" i="2"/>
  <c r="S1978" i="2" s="1"/>
  <c r="L1979" i="2"/>
  <c r="S1979" i="2" s="1"/>
  <c r="L1980" i="2"/>
  <c r="S1980" i="2" s="1"/>
  <c r="L1981" i="2"/>
  <c r="S1981" i="2" s="1"/>
  <c r="L1982" i="2"/>
  <c r="S1982" i="2" s="1"/>
  <c r="L1983" i="2"/>
  <c r="S1983" i="2" s="1"/>
  <c r="L1984" i="2"/>
  <c r="S1984" i="2" s="1"/>
  <c r="L1985" i="2"/>
  <c r="S1985" i="2" s="1"/>
  <c r="L1986" i="2"/>
  <c r="S1986" i="2" s="1"/>
  <c r="L1987" i="2"/>
  <c r="S1987" i="2" s="1"/>
  <c r="L1988" i="2"/>
  <c r="S1988" i="2" s="1"/>
  <c r="L1989" i="2"/>
  <c r="S1989" i="2" s="1"/>
  <c r="L1990" i="2"/>
  <c r="S1990" i="2" s="1"/>
  <c r="L1991" i="2"/>
  <c r="S1991" i="2" s="1"/>
  <c r="L1992" i="2"/>
  <c r="S1992" i="2" s="1"/>
  <c r="L1993" i="2"/>
  <c r="S1993" i="2" s="1"/>
  <c r="L1994" i="2"/>
  <c r="S1994" i="2" s="1"/>
  <c r="L1995" i="2"/>
  <c r="S1995" i="2" s="1"/>
  <c r="L1996" i="2"/>
  <c r="S1996" i="2" s="1"/>
  <c r="L1997" i="2"/>
  <c r="S1997" i="2" s="1"/>
  <c r="L1998" i="2"/>
  <c r="S1998" i="2" s="1"/>
  <c r="L1999" i="2"/>
  <c r="S1999" i="2" s="1"/>
  <c r="L2000" i="2"/>
  <c r="S2000" i="2" s="1"/>
  <c r="L2001" i="2"/>
  <c r="S2001" i="2" s="1"/>
  <c r="L2" i="2"/>
  <c r="S2" i="2" s="1"/>
  <c r="E6" i="9"/>
  <c r="E5" i="9"/>
  <c r="E10" i="8" l="1"/>
  <c r="E9" i="8"/>
  <c r="E8" i="8"/>
  <c r="E6" i="8"/>
  <c r="E5" i="8"/>
  <c r="E12" i="7"/>
  <c r="E11" i="7"/>
  <c r="E10" i="7"/>
  <c r="E9" i="7"/>
  <c r="E8" i="7"/>
  <c r="E7" i="7"/>
  <c r="E6" i="7"/>
  <c r="E5" i="7"/>
  <c r="E7" i="8"/>
</calcChain>
</file>

<file path=xl/sharedStrings.xml><?xml version="1.0" encoding="utf-8"?>
<sst xmlns="http://schemas.openxmlformats.org/spreadsheetml/2006/main" count="15948" uniqueCount="3041">
  <si>
    <t>THE SCENARIO</t>
  </si>
  <si>
    <t>You have just joined the analytics team at a fast-growing multi-category retailer operating across 6 Indian cities.</t>
  </si>
  <si>
    <t>you to answer a set of business questions before the leadership review tomorrow morning.</t>
  </si>
  <si>
    <t>The data is REAL-WORLD messy: duplicates, missing references, inconsistent case, invalid records, discontinued SKUs.</t>
  </si>
  <si>
    <t>sometimes the data itself is telling a story.</t>
  </si>
  <si>
    <t>RULES OF THE ASSESSMENT</t>
  </si>
  <si>
    <t>1. Write your answer in the YELLOW cells on each question sheet. Empty answer cell = 0 marks.</t>
  </si>
  <si>
    <t>2. You may use ANY Excel feature: formulas, PivotTables, PivotCharts, filters, sorting, helper columns.</t>
  </si>
  <si>
    <t>3. Formulas preferred over hardcoded values. If a data value changes, your answer should recalculate.</t>
  </si>
  <si>
    <t>5. Do not modify the DATA sheets. If cleaning is needed, use helper columns or a scratch area.</t>
  </si>
  <si>
    <t>MARKS DISTRIBUTION</t>
  </si>
  <si>
    <t>Section</t>
  </si>
  <si>
    <t>Topic</t>
  </si>
  <si>
    <t>Questions</t>
  </si>
  <si>
    <t>Marks</t>
  </si>
  <si>
    <t>Q1</t>
  </si>
  <si>
    <t>Lookup Functions (VLOOKUP, INDEX-MATCH, chained lookups)</t>
  </si>
  <si>
    <t>8</t>
  </si>
  <si>
    <t>25</t>
  </si>
  <si>
    <t>Q2</t>
  </si>
  <si>
    <t>Data Cleaning &amp; Quality Diagnostics</t>
  </si>
  <si>
    <t>6</t>
  </si>
  <si>
    <t>20</t>
  </si>
  <si>
    <t>Q3</t>
  </si>
  <si>
    <t>Conditional Aggregation (SUMIFS, COUNTIFS, IF logic)</t>
  </si>
  <si>
    <t>Q4</t>
  </si>
  <si>
    <t>Pivot Tables (2D pivots, % of total, calculated fields)</t>
  </si>
  <si>
    <t>5</t>
  </si>
  <si>
    <t>Q5</t>
  </si>
  <si>
    <t>Advanced (Ranking, Running Totals, Multi-condition)</t>
  </si>
  <si>
    <t>10</t>
  </si>
  <si>
    <t>TOTAL</t>
  </si>
  <si>
    <t>30</t>
  </si>
  <si>
    <t>100</t>
  </si>
  <si>
    <t>PERFORMANCE TIERS</t>
  </si>
  <si>
    <t>Tier</t>
  </si>
  <si>
    <t>Interview Verdict</t>
  </si>
  <si>
    <t>85 - 100</t>
  </si>
  <si>
    <t>Excellent</t>
  </si>
  <si>
    <t>70 - 84</t>
  </si>
  <si>
    <t>Good</t>
  </si>
  <si>
    <t>Round 1 clear with minor gaps</t>
  </si>
  <si>
    <t>55 - 69</t>
  </si>
  <si>
    <t>Borderline</t>
  </si>
  <si>
    <t>40 - 54</t>
  </si>
  <si>
    <t>Weak</t>
  </si>
  <si>
    <t>&lt; 40</t>
  </si>
  <si>
    <t>Insufficient</t>
  </si>
  <si>
    <t>DATA SHEETS OVERVIEW</t>
  </si>
  <si>
    <t>Sheet</t>
  </si>
  <si>
    <t>Rows</t>
  </si>
  <si>
    <t>Key Columns</t>
  </si>
  <si>
    <t>Joins to</t>
  </si>
  <si>
    <t>Orders</t>
  </si>
  <si>
    <t>~2000</t>
  </si>
  <si>
    <t>order_id, order_date, customer_id, product_id, sales_rep_id, quantity, unit_price, discount_pct, final_amount, payment_status, ship_city</t>
  </si>
  <si>
    <t>All others</t>
  </si>
  <si>
    <t>Customers</t>
  </si>
  <si>
    <t>300</t>
  </si>
  <si>
    <t>customer_id (PK), customer_name, age, city, segment, signup_date</t>
  </si>
  <si>
    <t>Orders via customer_id</t>
  </si>
  <si>
    <t>Products</t>
  </si>
  <si>
    <t>60</t>
  </si>
  <si>
    <t>product_id (PK), product_name, category, unit_cost, unit_price, is_active</t>
  </si>
  <si>
    <t>Orders via product_id</t>
  </si>
  <si>
    <t>Sales_Reps</t>
  </si>
  <si>
    <t>rep_id (PK), rep_name, region, hire_date, team_lead_id</t>
  </si>
  <si>
    <t>Orders via sales_rep_id, self-join via team_lead_id</t>
  </si>
  <si>
    <t>Targets</t>
  </si>
  <si>
    <t>30 × 12</t>
  </si>
  <si>
    <t>rep_id (PK), Jan-24 through Dec-24 monthly target values</t>
  </si>
  <si>
    <t>Sales_Reps via rep_id</t>
  </si>
  <si>
    <t>order_id</t>
  </si>
  <si>
    <t>order_date</t>
  </si>
  <si>
    <t>customer_id</t>
  </si>
  <si>
    <t>product_id</t>
  </si>
  <si>
    <t>sales_rep_id</t>
  </si>
  <si>
    <t>quantity</t>
  </si>
  <si>
    <t>unit_price</t>
  </si>
  <si>
    <t>discount_pct</t>
  </si>
  <si>
    <t>final_amount</t>
  </si>
  <si>
    <t>payment_status</t>
  </si>
  <si>
    <t>ship_city</t>
  </si>
  <si>
    <t>ORD-00001</t>
  </si>
  <si>
    <t>CUST-0243</t>
  </si>
  <si>
    <t>PROD-014</t>
  </si>
  <si>
    <t>R007</t>
  </si>
  <si>
    <t>Completed</t>
  </si>
  <si>
    <t>Pune</t>
  </si>
  <si>
    <t>ORD-00002</t>
  </si>
  <si>
    <t>CUST-0202</t>
  </si>
  <si>
    <t>PROD-020</t>
  </si>
  <si>
    <t>R005</t>
  </si>
  <si>
    <t>Pending</t>
  </si>
  <si>
    <t>Chennai</t>
  </si>
  <si>
    <t>ORD-00003</t>
  </si>
  <si>
    <t>CUST-0098</t>
  </si>
  <si>
    <t>PROD-053</t>
  </si>
  <si>
    <t>R014</t>
  </si>
  <si>
    <t>Delhi</t>
  </si>
  <si>
    <t>ORD-00004</t>
  </si>
  <si>
    <t>CUST-0071</t>
  </si>
  <si>
    <t>PROD-028</t>
  </si>
  <si>
    <t>R006</t>
  </si>
  <si>
    <t>ORD-00005</t>
  </si>
  <si>
    <t>CUST-0180</t>
  </si>
  <si>
    <t>PROD-012</t>
  </si>
  <si>
    <t>R008</t>
  </si>
  <si>
    <t>ORD-00006</t>
  </si>
  <si>
    <t>CUST-0275</t>
  </si>
  <si>
    <t>PROD-032</t>
  </si>
  <si>
    <t>R025</t>
  </si>
  <si>
    <t>Mumbai</t>
  </si>
  <si>
    <t>ORD-00007</t>
  </si>
  <si>
    <t>CUST-0293</t>
  </si>
  <si>
    <t>PROD-057</t>
  </si>
  <si>
    <t>R024</t>
  </si>
  <si>
    <t>Bengaluru</t>
  </si>
  <si>
    <t>ORD-00008</t>
  </si>
  <si>
    <t>CUST-0281</t>
  </si>
  <si>
    <t>PROD-007</t>
  </si>
  <si>
    <t>R019</t>
  </si>
  <si>
    <t>ORD-00009</t>
  </si>
  <si>
    <t>CUST-0260</t>
  </si>
  <si>
    <t>PROD-038</t>
  </si>
  <si>
    <t>ORD-00010</t>
  </si>
  <si>
    <t>CUST-0147</t>
  </si>
  <si>
    <t>PROD-030</t>
  </si>
  <si>
    <t>R028</t>
  </si>
  <si>
    <t>ORD-00011</t>
  </si>
  <si>
    <t>CUST-0204</t>
  </si>
  <si>
    <t>PROD-024</t>
  </si>
  <si>
    <t>R010</t>
  </si>
  <si>
    <t>Hyderabad</t>
  </si>
  <si>
    <t>ORD-00012</t>
  </si>
  <si>
    <t>PROD-010</t>
  </si>
  <si>
    <t>ORD-00013</t>
  </si>
  <si>
    <t>CUST-0280</t>
  </si>
  <si>
    <t>PROD-002</t>
  </si>
  <si>
    <t>R004</t>
  </si>
  <si>
    <t>Cancelled</t>
  </si>
  <si>
    <t>ORD-00014</t>
  </si>
  <si>
    <t>CUST-0008</t>
  </si>
  <si>
    <t>PROD-036</t>
  </si>
  <si>
    <t>Refunded</t>
  </si>
  <si>
    <t>ORD-00015</t>
  </si>
  <si>
    <t>CUST-0052</t>
  </si>
  <si>
    <t>PROD-060</t>
  </si>
  <si>
    <t>R003</t>
  </si>
  <si>
    <t>ORD-00016</t>
  </si>
  <si>
    <t>CUST-0184</t>
  </si>
  <si>
    <t>PROD-058</t>
  </si>
  <si>
    <t>ORD-00017</t>
  </si>
  <si>
    <t>CUST-0056</t>
  </si>
  <si>
    <t>R023</t>
  </si>
  <si>
    <t>ORD-00018</t>
  </si>
  <si>
    <t>CUST-0273</t>
  </si>
  <si>
    <t>PROD-047</t>
  </si>
  <si>
    <t>R021</t>
  </si>
  <si>
    <t>ORD-00019</t>
  </si>
  <si>
    <t>CUST-0182</t>
  </si>
  <si>
    <t>PROD-051</t>
  </si>
  <si>
    <t>ORD-00020</t>
  </si>
  <si>
    <t>CUST-0265</t>
  </si>
  <si>
    <t>PROD-040</t>
  </si>
  <si>
    <t>ORD-00021</t>
  </si>
  <si>
    <t>CUST-0159</t>
  </si>
  <si>
    <t>PROD-019</t>
  </si>
  <si>
    <t>ORD-00022</t>
  </si>
  <si>
    <t>CUST-0259</t>
  </si>
  <si>
    <t>R030</t>
  </si>
  <si>
    <t>ORD-00023</t>
  </si>
  <si>
    <t>CUST-0107</t>
  </si>
  <si>
    <t>PROD-015</t>
  </si>
  <si>
    <t>ORD-00024</t>
  </si>
  <si>
    <t>CUST-0101</t>
  </si>
  <si>
    <t>PROD-044</t>
  </si>
  <si>
    <t>ORD-00025</t>
  </si>
  <si>
    <t>CUST-0142</t>
  </si>
  <si>
    <t>PROD-043</t>
  </si>
  <si>
    <t>ORD-00026</t>
  </si>
  <si>
    <t>CUST-0250</t>
  </si>
  <si>
    <t>PROD-054</t>
  </si>
  <si>
    <t>ORD-00027</t>
  </si>
  <si>
    <t>PROD-046</t>
  </si>
  <si>
    <t>ORD-00028</t>
  </si>
  <si>
    <t>CUST-0143</t>
  </si>
  <si>
    <t>PROD-003</t>
  </si>
  <si>
    <t>R015</t>
  </si>
  <si>
    <t>ORD-00029</t>
  </si>
  <si>
    <t>CUST-0086</t>
  </si>
  <si>
    <t>PROD-048</t>
  </si>
  <si>
    <t>R020</t>
  </si>
  <si>
    <t>ORD-00030</t>
  </si>
  <si>
    <t>CUST-0006</t>
  </si>
  <si>
    <t>PROD-055</t>
  </si>
  <si>
    <t>ORD-00031</t>
  </si>
  <si>
    <t>CUST-0241</t>
  </si>
  <si>
    <t>ORD-00032</t>
  </si>
  <si>
    <t>CUST-0035</t>
  </si>
  <si>
    <t>PROD-021</t>
  </si>
  <si>
    <t>R026</t>
  </si>
  <si>
    <t>ORD-00033</t>
  </si>
  <si>
    <t>PROD-037</t>
  </si>
  <si>
    <t>R009</t>
  </si>
  <si>
    <t>ORD-00034</t>
  </si>
  <si>
    <t>CUST-0064</t>
  </si>
  <si>
    <t>ORD-00035</t>
  </si>
  <si>
    <t>CUST-0118</t>
  </si>
  <si>
    <t>ORD-00036</t>
  </si>
  <si>
    <t>CUST-0013</t>
  </si>
  <si>
    <t>ORD-00037</t>
  </si>
  <si>
    <t>CUST-0177</t>
  </si>
  <si>
    <t>ORD-00038</t>
  </si>
  <si>
    <t>CUST-0186</t>
  </si>
  <si>
    <t>R001</t>
  </si>
  <si>
    <t>ORD-00039</t>
  </si>
  <si>
    <t>CUST-0069</t>
  </si>
  <si>
    <t>ORD-00040</t>
  </si>
  <si>
    <t>CUST-0283</t>
  </si>
  <si>
    <t>ORD-00041</t>
  </si>
  <si>
    <t>CUST-9507</t>
  </si>
  <si>
    <t>ORD-00042</t>
  </si>
  <si>
    <t>CUST-0053</t>
  </si>
  <si>
    <t>ORD-00043</t>
  </si>
  <si>
    <t>CUST-0222</t>
  </si>
  <si>
    <t>PROD-031</t>
  </si>
  <si>
    <t>ORD-00044</t>
  </si>
  <si>
    <t>CUST-0095</t>
  </si>
  <si>
    <t>R029</t>
  </si>
  <si>
    <t>ORD-00045</t>
  </si>
  <si>
    <t>CUST-0152</t>
  </si>
  <si>
    <t>ORD-00046</t>
  </si>
  <si>
    <t>CUST-0291</t>
  </si>
  <si>
    <t>PROD-027</t>
  </si>
  <si>
    <t>ORD-00047</t>
  </si>
  <si>
    <t>CUST-0112</t>
  </si>
  <si>
    <t>PROD-013</t>
  </si>
  <si>
    <t>R017</t>
  </si>
  <si>
    <t>ORD-00048</t>
  </si>
  <si>
    <t>CUST-9800</t>
  </si>
  <si>
    <t>PROD-050</t>
  </si>
  <si>
    <t>ORD-00049</t>
  </si>
  <si>
    <t>ORD-00050</t>
  </si>
  <si>
    <t>CUST-0226</t>
  </si>
  <si>
    <t>PROD-022</t>
  </si>
  <si>
    <t>ORD-00051</t>
  </si>
  <si>
    <t>CUST-0234</t>
  </si>
  <si>
    <t>PROD-004</t>
  </si>
  <si>
    <t>ORD-00052</t>
  </si>
  <si>
    <t>CUST-0176</t>
  </si>
  <si>
    <t>ORD-00053</t>
  </si>
  <si>
    <t>R013</t>
  </si>
  <si>
    <t>ORD-00054</t>
  </si>
  <si>
    <t>CUST-0088</t>
  </si>
  <si>
    <t>ORD-00055</t>
  </si>
  <si>
    <t>CUST-0267</t>
  </si>
  <si>
    <t>ORD-00056</t>
  </si>
  <si>
    <t>CUST-0194</t>
  </si>
  <si>
    <t>PROD-041</t>
  </si>
  <si>
    <t>ORD-00057</t>
  </si>
  <si>
    <t>CUST-0261</t>
  </si>
  <si>
    <t>ORD-00058</t>
  </si>
  <si>
    <t>CUST-0031</t>
  </si>
  <si>
    <t>PROD-026</t>
  </si>
  <si>
    <t>ORD-00059</t>
  </si>
  <si>
    <t>CUST-0175</t>
  </si>
  <si>
    <t>PROD-009</t>
  </si>
  <si>
    <t>ORD-00060</t>
  </si>
  <si>
    <t>CUST-0263</t>
  </si>
  <si>
    <t>PROD-039</t>
  </si>
  <si>
    <t>ORD-00061</t>
  </si>
  <si>
    <t>CUST-0203</t>
  </si>
  <si>
    <t>R011</t>
  </si>
  <si>
    <t>ORD-00062</t>
  </si>
  <si>
    <t>CUST-0258</t>
  </si>
  <si>
    <t>PROD-045</t>
  </si>
  <si>
    <t>ORD-00063</t>
  </si>
  <si>
    <t>CUST-0282</t>
  </si>
  <si>
    <t>PROD-008</t>
  </si>
  <si>
    <t>ORD-00064</t>
  </si>
  <si>
    <t>CUST-0168</t>
  </si>
  <si>
    <t>PROD-005</t>
  </si>
  <si>
    <t>ORD-00065</t>
  </si>
  <si>
    <t>CUST-0040</t>
  </si>
  <si>
    <t>R022</t>
  </si>
  <si>
    <t>ORD-00066</t>
  </si>
  <si>
    <t>ORD-00067</t>
  </si>
  <si>
    <t>ORD-00068</t>
  </si>
  <si>
    <t>CUST-0161</t>
  </si>
  <si>
    <t>ORD-00069</t>
  </si>
  <si>
    <t>CUST-0033</t>
  </si>
  <si>
    <t>PROD-016</t>
  </si>
  <si>
    <t>ORD-00070</t>
  </si>
  <si>
    <t>CUST-0191</t>
  </si>
  <si>
    <t>PROD-033</t>
  </si>
  <si>
    <t>ORD-00071</t>
  </si>
  <si>
    <t>R002</t>
  </si>
  <si>
    <t>ORD-00072</t>
  </si>
  <si>
    <t>CUST-0129</t>
  </si>
  <si>
    <t>ORD-00073</t>
  </si>
  <si>
    <t>CUST-0189</t>
  </si>
  <si>
    <t>ORD-00074</t>
  </si>
  <si>
    <t>R018</t>
  </si>
  <si>
    <t>ORD-00075</t>
  </si>
  <si>
    <t>CUST-0200</t>
  </si>
  <si>
    <t>ORD-00076</t>
  </si>
  <si>
    <t>ORD-00077</t>
  </si>
  <si>
    <t>CUST-0051</t>
  </si>
  <si>
    <t>ORD-00078</t>
  </si>
  <si>
    <t>CUST-0193</t>
  </si>
  <si>
    <t>ORD-00079</t>
  </si>
  <si>
    <t>CUST-0020</t>
  </si>
  <si>
    <t>ORD-00080</t>
  </si>
  <si>
    <t>CUST-0230</t>
  </si>
  <si>
    <t>ORD-00081</t>
  </si>
  <si>
    <t>CUST-0094</t>
  </si>
  <si>
    <t>ORD-00082</t>
  </si>
  <si>
    <t>CUST-0248</t>
  </si>
  <si>
    <t>ORD-00083</t>
  </si>
  <si>
    <t>CUST-0082</t>
  </si>
  <si>
    <t>ORD-00084</t>
  </si>
  <si>
    <t>CUST-0078</t>
  </si>
  <si>
    <t>ORD-00085</t>
  </si>
  <si>
    <t>CUST-0032</t>
  </si>
  <si>
    <t>R012</t>
  </si>
  <si>
    <t>ORD-00086</t>
  </si>
  <si>
    <t>ORD-00087</t>
  </si>
  <si>
    <t>CUST-0084</t>
  </si>
  <si>
    <t>ORD-00088</t>
  </si>
  <si>
    <t>ORD-00089</t>
  </si>
  <si>
    <t>CUST-0108</t>
  </si>
  <si>
    <t>ORD-00090</t>
  </si>
  <si>
    <t>CUST-0139</t>
  </si>
  <si>
    <t>ORD-00091</t>
  </si>
  <si>
    <t>ORD-00092</t>
  </si>
  <si>
    <t>CUST-0208</t>
  </si>
  <si>
    <t>ORD-00093</t>
  </si>
  <si>
    <t>PROD-029</t>
  </si>
  <si>
    <t>ORD-00094</t>
  </si>
  <si>
    <t>CUST-0042</t>
  </si>
  <si>
    <t>ORD-00095</t>
  </si>
  <si>
    <t>CUST-0133</t>
  </si>
  <si>
    <t>R027</t>
  </si>
  <si>
    <t>ORD-00096</t>
  </si>
  <si>
    <t>CUST-0219</t>
  </si>
  <si>
    <t>R016</t>
  </si>
  <si>
    <t>ORD-00097</t>
  </si>
  <si>
    <t>ORD-00098</t>
  </si>
  <si>
    <t>ORD-00099</t>
  </si>
  <si>
    <t>CUST-0170</t>
  </si>
  <si>
    <t>PROD-025</t>
  </si>
  <si>
    <t>ORD-00100</t>
  </si>
  <si>
    <t>CUST-0164</t>
  </si>
  <si>
    <t>ORD-00101</t>
  </si>
  <si>
    <t>PROD-017</t>
  </si>
  <si>
    <t>ORD-00102</t>
  </si>
  <si>
    <t>CUST-0181</t>
  </si>
  <si>
    <t>ORD-00103</t>
  </si>
  <si>
    <t>CUST-0131</t>
  </si>
  <si>
    <t>PROD-052</t>
  </si>
  <si>
    <t>ORD-00104</t>
  </si>
  <si>
    <t>CUST-0255</t>
  </si>
  <si>
    <t>ORD-00105</t>
  </si>
  <si>
    <t>PROD-001</t>
  </si>
  <si>
    <t>ORD-00106</t>
  </si>
  <si>
    <t>CUST-0081</t>
  </si>
  <si>
    <t>PROD-023</t>
  </si>
  <si>
    <t>ORD-00107</t>
  </si>
  <si>
    <t>CUST-0102</t>
  </si>
  <si>
    <t>ORD-00108</t>
  </si>
  <si>
    <t>CUST-0070</t>
  </si>
  <si>
    <t>ORD-00109</t>
  </si>
  <si>
    <t>CUST-0012</t>
  </si>
  <si>
    <t>ORD-00110</t>
  </si>
  <si>
    <t>ORD-00111</t>
  </si>
  <si>
    <t>CUST-0145</t>
  </si>
  <si>
    <t>ORD-00112</t>
  </si>
  <si>
    <t>CUST-0287</t>
  </si>
  <si>
    <t>ORD-00113</t>
  </si>
  <si>
    <t>PROD-049</t>
  </si>
  <si>
    <t>ORD-00114</t>
  </si>
  <si>
    <t>CUST-0096</t>
  </si>
  <si>
    <t>ORD-00115</t>
  </si>
  <si>
    <t>ORD-00116</t>
  </si>
  <si>
    <t>CUST-0025</t>
  </si>
  <si>
    <t>PROD-042</t>
  </si>
  <si>
    <t>ORD-00117</t>
  </si>
  <si>
    <t>CUST-0149</t>
  </si>
  <si>
    <t>ORD-00118</t>
  </si>
  <si>
    <t>CUST-0018</t>
  </si>
  <si>
    <t>ORD-00119</t>
  </si>
  <si>
    <t>CUST-0216</t>
  </si>
  <si>
    <t>ORD-00120</t>
  </si>
  <si>
    <t>CUST-0092</t>
  </si>
  <si>
    <t>ORD-00121</t>
  </si>
  <si>
    <t>ORD-00122</t>
  </si>
  <si>
    <t>CUST-0113</t>
  </si>
  <si>
    <t>ORD-00123</t>
  </si>
  <si>
    <t>CUST-0253</t>
  </si>
  <si>
    <t>ORD-00124</t>
  </si>
  <si>
    <t>CUST-0187</t>
  </si>
  <si>
    <t>ORD-00125</t>
  </si>
  <si>
    <t>CUST-0028</t>
  </si>
  <si>
    <t>ORD-00126</t>
  </si>
  <si>
    <t>CUST-0224</t>
  </si>
  <si>
    <t>ORD-00127</t>
  </si>
  <si>
    <t>CUST-0150</t>
  </si>
  <si>
    <t>PROD-006</t>
  </si>
  <si>
    <t>ORD-00128</t>
  </si>
  <si>
    <t>ORD-00129</t>
  </si>
  <si>
    <t>CUST-0239</t>
  </si>
  <si>
    <t>ORD-00130</t>
  </si>
  <si>
    <t>CUST-0106</t>
  </si>
  <si>
    <t>ORD-00131</t>
  </si>
  <si>
    <t>ORD-00132</t>
  </si>
  <si>
    <t>CUST-0114</t>
  </si>
  <si>
    <t>ORD-00133</t>
  </si>
  <si>
    <t>CUST-0146</t>
  </si>
  <si>
    <t>ORD-00134</t>
  </si>
  <si>
    <t>CUST-0298</t>
  </si>
  <si>
    <t>ORD-00135</t>
  </si>
  <si>
    <t>CUST-0111</t>
  </si>
  <si>
    <t>ORD-01445</t>
  </si>
  <si>
    <t>ORD-00137</t>
  </si>
  <si>
    <t>CUST-0024</t>
  </si>
  <si>
    <t>ORD-00138</t>
  </si>
  <si>
    <t>CUST-0210</t>
  </si>
  <si>
    <t>ORD-00139</t>
  </si>
  <si>
    <t>CUST-0192</t>
  </si>
  <si>
    <t>ORD-00140</t>
  </si>
  <si>
    <t>ORD-00141</t>
  </si>
  <si>
    <t>ORD-00142</t>
  </si>
  <si>
    <t>ORD-00143</t>
  </si>
  <si>
    <t>CUST-0294</t>
  </si>
  <si>
    <t>ORD-00144</t>
  </si>
  <si>
    <t>ORD-00145</t>
  </si>
  <si>
    <t>ORD-00146</t>
  </si>
  <si>
    <t>CUST-9657</t>
  </si>
  <si>
    <t>ORD-00147</t>
  </si>
  <si>
    <t>CUST-0080</t>
  </si>
  <si>
    <t>ORD-00148</t>
  </si>
  <si>
    <t>CUST-0172</t>
  </si>
  <si>
    <t>PROD-034</t>
  </si>
  <si>
    <t>ORD-00149</t>
  </si>
  <si>
    <t>ORD-00150</t>
  </si>
  <si>
    <t>ORD-00151</t>
  </si>
  <si>
    <t>CUST-0137</t>
  </si>
  <si>
    <t>MUMBAI</t>
  </si>
  <si>
    <t>ORD-00152</t>
  </si>
  <si>
    <t>ORD-00153</t>
  </si>
  <si>
    <t>CUST-0117</t>
  </si>
  <si>
    <t>PROD-011</t>
  </si>
  <si>
    <t>ORD-00154</t>
  </si>
  <si>
    <t>CUST-0104</t>
  </si>
  <si>
    <t>ORD-00155</t>
  </si>
  <si>
    <t>ORD-00156</t>
  </si>
  <si>
    <t>CUST-0165</t>
  </si>
  <si>
    <t>ORD-00157</t>
  </si>
  <si>
    <t>ORD-00158</t>
  </si>
  <si>
    <t>CUST-0228</t>
  </si>
  <si>
    <t>PROD-059</t>
  </si>
  <si>
    <t>ORD-00159</t>
  </si>
  <si>
    <t>CUST-0197</t>
  </si>
  <si>
    <t>ORD-00160</t>
  </si>
  <si>
    <t>CUST-0009</t>
  </si>
  <si>
    <t>ORD-00161</t>
  </si>
  <si>
    <t>ORD-00162</t>
  </si>
  <si>
    <t>ORD-00163</t>
  </si>
  <si>
    <t>CUST-0119</t>
  </si>
  <si>
    <t>ORD-00164</t>
  </si>
  <si>
    <t>ORD-00165</t>
  </si>
  <si>
    <t>CUST-0240</t>
  </si>
  <si>
    <t>ORD-00166</t>
  </si>
  <si>
    <t>CUST-0067</t>
  </si>
  <si>
    <t>ORD-00167</t>
  </si>
  <si>
    <t>ORD-00168</t>
  </si>
  <si>
    <t>ORD-00169</t>
  </si>
  <si>
    <t>ORD-00170</t>
  </si>
  <si>
    <t>CUST-0087</t>
  </si>
  <si>
    <t>ORD-00171</t>
  </si>
  <si>
    <t>ORD-00172</t>
  </si>
  <si>
    <t>CUST-0027</t>
  </si>
  <si>
    <t>ORD-00173</t>
  </si>
  <si>
    <t>ORD-00174</t>
  </si>
  <si>
    <t>CUST-0163</t>
  </si>
  <si>
    <t>ORD-00175</t>
  </si>
  <si>
    <t>CUST-0059</t>
  </si>
  <si>
    <t>ORD-00176</t>
  </si>
  <si>
    <t>ORD-00177</t>
  </si>
  <si>
    <t>CUST-0048</t>
  </si>
  <si>
    <t>ORD-00178</t>
  </si>
  <si>
    <t>ORD-00179</t>
  </si>
  <si>
    <t>CUST-0124</t>
  </si>
  <si>
    <t>ORD-00180</t>
  </si>
  <si>
    <t>ORD-00181</t>
  </si>
  <si>
    <t>ORD-00182</t>
  </si>
  <si>
    <t>ORD-00183</t>
  </si>
  <si>
    <t>ORD-00184</t>
  </si>
  <si>
    <t>ORD-00185</t>
  </si>
  <si>
    <t>ORD-00186</t>
  </si>
  <si>
    <t>CUST-0284</t>
  </si>
  <si>
    <t>PROD-035</t>
  </si>
  <si>
    <t>ORD-00187</t>
  </si>
  <si>
    <t>CUST-0274</t>
  </si>
  <si>
    <t>ORD-00188</t>
  </si>
  <si>
    <t>ORD-00189</t>
  </si>
  <si>
    <t>CUST-0264</t>
  </si>
  <si>
    <t>ORD-00190</t>
  </si>
  <si>
    <t>ORD-00191</t>
  </si>
  <si>
    <t>CUST-0041</t>
  </si>
  <si>
    <t>ORD-00192</t>
  </si>
  <si>
    <t>CUST-0043</t>
  </si>
  <si>
    <t>ORD-00193</t>
  </si>
  <si>
    <t>ORD-00194</t>
  </si>
  <si>
    <t>PROD-056</t>
  </si>
  <si>
    <t>ORD-00195</t>
  </si>
  <si>
    <t>ORD-00196</t>
  </si>
  <si>
    <t>CUST-0047</t>
  </si>
  <si>
    <t>ORD-00197</t>
  </si>
  <si>
    <t>CUST-0162</t>
  </si>
  <si>
    <t>ORD-00198</t>
  </si>
  <si>
    <t>CUST-0121</t>
  </si>
  <si>
    <t>ORD-00199</t>
  </si>
  <si>
    <t>CUST-0075</t>
  </si>
  <si>
    <t>ORD-00200</t>
  </si>
  <si>
    <t>ORD-00201</t>
  </si>
  <si>
    <t>ORD-00202</t>
  </si>
  <si>
    <t>CUST-0251</t>
  </si>
  <si>
    <t>ORD-00203</t>
  </si>
  <si>
    <t>CUST-0125</t>
  </si>
  <si>
    <t>ORD-00204</t>
  </si>
  <si>
    <t>ORD-00205</t>
  </si>
  <si>
    <t>CUST-0068</t>
  </si>
  <si>
    <t>ORD-00206</t>
  </si>
  <si>
    <t>ORD-00207</t>
  </si>
  <si>
    <t>ORD-00208</t>
  </si>
  <si>
    <t>CUST-0077</t>
  </si>
  <si>
    <t>ORD-00209</t>
  </si>
  <si>
    <t>CUST-0232</t>
  </si>
  <si>
    <t>ORD-00210</t>
  </si>
  <si>
    <t>CUST-0277</t>
  </si>
  <si>
    <t>ORD-00211</t>
  </si>
  <si>
    <t>ORD-00212</t>
  </si>
  <si>
    <t>CUST-0178</t>
  </si>
  <si>
    <t>ORD-00213</t>
  </si>
  <si>
    <t>CUST-0246</t>
  </si>
  <si>
    <t>ORD-00214</t>
  </si>
  <si>
    <t>ORD-00215</t>
  </si>
  <si>
    <t>ORD-00216</t>
  </si>
  <si>
    <t>ORD-00217</t>
  </si>
  <si>
    <t>CUST-0079</t>
  </si>
  <si>
    <t>ORD-00218</t>
  </si>
  <si>
    <t>CUST-0173</t>
  </si>
  <si>
    <t>ORD-00219</t>
  </si>
  <si>
    <t>CUST-0050</t>
  </si>
  <si>
    <t>ORD-00220</t>
  </si>
  <si>
    <t>CUST-0097</t>
  </si>
  <si>
    <t>ORD-00221</t>
  </si>
  <si>
    <t>CUST-0026</t>
  </si>
  <si>
    <t>ORD-00222</t>
  </si>
  <si>
    <t>CUST-0185</t>
  </si>
  <si>
    <t>ORD-00223</t>
  </si>
  <si>
    <t>CUST-0135</t>
  </si>
  <si>
    <t>ORD-00224</t>
  </si>
  <si>
    <t>CUST-0010</t>
  </si>
  <si>
    <t>ORD-00225</t>
  </si>
  <si>
    <t>CUST-0271</t>
  </si>
  <si>
    <t>ORD-00226</t>
  </si>
  <si>
    <t>ORD-00227</t>
  </si>
  <si>
    <t>CUST-0296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</si>
  <si>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</si>
  <si>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</si>
  <si>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</si>
  <si>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</si>
  <si>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</si>
  <si>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</si>
  <si>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</si>
  <si>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</si>
  <si>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</si>
  <si>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CUST-0073</t>
  </si>
  <si>
    <t>ORD-00237</t>
  </si>
  <si>
    <t>CUST-0242</t>
  </si>
  <si>
    <t>ORD-00238</t>
  </si>
  <si>
    <t>ORD-00239</t>
  </si>
  <si>
    <t>CUST-0085</t>
  </si>
  <si>
    <t>ORD-00240</t>
  </si>
  <si>
    <t>ORD-00241</t>
  </si>
  <si>
    <t>ORD-00242</t>
  </si>
  <si>
    <t>CUST-0171</t>
  </si>
  <si>
    <t>ORD-00243</t>
  </si>
  <si>
    <t>ORD-00244</t>
  </si>
  <si>
    <t>CUST-0285</t>
  </si>
  <si>
    <t>ORD-00245</t>
  </si>
  <si>
    <t>ORD-00246</t>
  </si>
  <si>
    <t>CUST-0295</t>
  </si>
  <si>
    <t>ORD-00247</t>
  </si>
  <si>
    <t>CUST-0218</t>
  </si>
  <si>
    <t>ORD-00248</t>
  </si>
  <si>
    <t>CUST-0090</t>
  </si>
  <si>
    <t>ORD-00249</t>
  </si>
  <si>
    <t>ORD-00250</t>
  </si>
  <si>
    <t>CUST-0231</t>
  </si>
  <si>
    <t>ORD-00251</t>
  </si>
  <si>
    <t>CUST-0055</t>
  </si>
  <si>
    <t>ORD-00252</t>
  </si>
  <si>
    <t>CUST-0262</t>
  </si>
  <si>
    <t>ORD-00253</t>
  </si>
  <si>
    <t>CUST-0155</t>
  </si>
  <si>
    <t>ORD-00254</t>
  </si>
  <si>
    <t>CUST-0169</t>
  </si>
  <si>
    <t>ORD-00255</t>
  </si>
  <si>
    <t>ORD-00256</t>
  </si>
  <si>
    <t>CUST-0249</t>
  </si>
  <si>
    <t>ORD-00257</t>
  </si>
  <si>
    <t>CUST-0151</t>
  </si>
  <si>
    <t>ORD-00258</t>
  </si>
  <si>
    <t>CUST-0115</t>
  </si>
  <si>
    <t>ORD-00259</t>
  </si>
  <si>
    <t>ORD-00260</t>
  </si>
  <si>
    <t>ORD-00261</t>
  </si>
  <si>
    <t>CUST-0198</t>
  </si>
  <si>
    <t>ORD-00262</t>
  </si>
  <si>
    <t>ORD-00263</t>
  </si>
  <si>
    <t>CUST-0110</t>
  </si>
  <si>
    <t>ORD-00264</t>
  </si>
  <si>
    <t>CUST-0134</t>
  </si>
  <si>
    <t>ORD-00265</t>
  </si>
  <si>
    <t>CUST-0141</t>
  </si>
  <si>
    <t>ORD-00266</t>
  </si>
  <si>
    <t>ORD-00267</t>
  </si>
  <si>
    <t>ORD-00268</t>
  </si>
  <si>
    <t>ORD-00269</t>
  </si>
  <si>
    <t>ORD-00270</t>
  </si>
  <si>
    <t>ORD-00271</t>
  </si>
  <si>
    <t>CUST-0238</t>
  </si>
  <si>
    <t>ORD-00272</t>
  </si>
  <si>
    <t>ORD-00273</t>
  </si>
  <si>
    <t>CUST-0167</t>
  </si>
  <si>
    <t>ORD-00274</t>
  </si>
  <si>
    <t>ORD-00275</t>
  </si>
  <si>
    <t>ORD-00276</t>
  </si>
  <si>
    <t>ORD-00277</t>
  </si>
  <si>
    <t>CUST-0183</t>
  </si>
  <si>
    <t>ORD-00278</t>
  </si>
  <si>
    <t>ORD-00279</t>
  </si>
  <si>
    <t>ORD-00280</t>
  </si>
  <si>
    <t>ORD-00281</t>
  </si>
  <si>
    <t>ORD-00282</t>
  </si>
  <si>
    <t>ORD-00283</t>
  </si>
  <si>
    <t>ORD-00284</t>
  </si>
  <si>
    <t>CUST-0297</t>
  </si>
  <si>
    <t>ORD-00285</t>
  </si>
  <si>
    <t>ORD-00286</t>
  </si>
  <si>
    <t>ORD-00287</t>
  </si>
  <si>
    <t>CUST-0160</t>
  </si>
  <si>
    <t>ORD-00288</t>
  </si>
  <si>
    <t>ORD-00289</t>
  </si>
  <si>
    <t>ORD-00290</t>
  </si>
  <si>
    <t>PROD-018</t>
  </si>
  <si>
    <t>ORD-00291</t>
  </si>
  <si>
    <t>ORD-00292</t>
  </si>
  <si>
    <t>CUST-0011</t>
  </si>
  <si>
    <t>ORD-00335</t>
  </si>
  <si>
    <t>ORD-00294</t>
  </si>
  <si>
    <t>ORD-00295</t>
  </si>
  <si>
    <t>ORD-00296</t>
  </si>
  <si>
    <t>ORD-01770</t>
  </si>
  <si>
    <t>ORD-00298</t>
  </si>
  <si>
    <t>CUST-0166</t>
  </si>
  <si>
    <t>ORD-00299</t>
  </si>
  <si>
    <t>ORD-00300</t>
  </si>
  <si>
    <t>ORD-00301</t>
  </si>
  <si>
    <t>CUST-0036</t>
  </si>
  <si>
    <t>ORD-00302</t>
  </si>
  <si>
    <t>ORD-00303</t>
  </si>
  <si>
    <t>CUST-0247</t>
  </si>
  <si>
    <t>ORD-00881</t>
  </si>
  <si>
    <t>ORD-00305</t>
  </si>
  <si>
    <t>ORD-00306</t>
  </si>
  <si>
    <t>CUST-0196</t>
  </si>
  <si>
    <t>ORD-00307</t>
  </si>
  <si>
    <t>ORD-00308</t>
  </si>
  <si>
    <t>ORD-00309</t>
  </si>
  <si>
    <t>CUST-0132</t>
  </si>
  <si>
    <t>ORD-00310</t>
  </si>
  <si>
    <t>CUST-0153</t>
  </si>
  <si>
    <t>ORD-00311</t>
  </si>
  <si>
    <t>ORD-00312</t>
  </si>
  <si>
    <t>CUST-0256</t>
  </si>
  <si>
    <t>ORD-00313</t>
  </si>
  <si>
    <t>ORD-00314</t>
  </si>
  <si>
    <t>ORD-00315</t>
  </si>
  <si>
    <t>ORD-00316</t>
  </si>
  <si>
    <t>ORD-00317</t>
  </si>
  <si>
    <t>ORD-00318</t>
  </si>
  <si>
    <t>ORD-00319</t>
  </si>
  <si>
    <t>CUST-0245</t>
  </si>
  <si>
    <t>ORD-00320</t>
  </si>
  <si>
    <t>ORD-00321</t>
  </si>
  <si>
    <t>CUST-0212</t>
  </si>
  <si>
    <t>ORD-00322</t>
  </si>
  <si>
    <t>ORD-00323</t>
  </si>
  <si>
    <t>CUST-0157</t>
  </si>
  <si>
    <t>ORD-00324</t>
  </si>
  <si>
    <t>CUST-0004</t>
  </si>
  <si>
    <t>ORD-00325</t>
  </si>
  <si>
    <t>CUST-0003</t>
  </si>
  <si>
    <t>ORD-00326</t>
  </si>
  <si>
    <t>ORD-00327</t>
  </si>
  <si>
    <t>ORD-00328</t>
  </si>
  <si>
    <t>ORD-00329</t>
  </si>
  <si>
    <t>CUST-0299</t>
  </si>
  <si>
    <t>ORD-00330</t>
  </si>
  <si>
    <t>CUST-0066</t>
  </si>
  <si>
    <t>ORD-00331</t>
  </si>
  <si>
    <t>ORD-00332</t>
  </si>
  <si>
    <t>CUST-0138</t>
  </si>
  <si>
    <t>ORD-00333</t>
  </si>
  <si>
    <t>ORD-00334</t>
  </si>
  <si>
    <t>CUST-0269</t>
  </si>
  <si>
    <t>PUNE</t>
  </si>
  <si>
    <t>ORD-00336</t>
  </si>
  <si>
    <t>ORD-00337</t>
  </si>
  <si>
    <t>ORD-00338</t>
  </si>
  <si>
    <t>CUST-0016</t>
  </si>
  <si>
    <t>ORD-00339</t>
  </si>
  <si>
    <t>ORD-00340</t>
  </si>
  <si>
    <t>ORD-00341</t>
  </si>
  <si>
    <t>CUST-0279</t>
  </si>
  <si>
    <t>ORD-00342</t>
  </si>
  <si>
    <t>ORD-00343</t>
  </si>
  <si>
    <t>ORD-00344</t>
  </si>
  <si>
    <t>ORD-00593</t>
  </si>
  <si>
    <t>ORD-00346</t>
  </si>
  <si>
    <t>CUST-0062</t>
  </si>
  <si>
    <t>ORD-00347</t>
  </si>
  <si>
    <t>ORD-00348</t>
  </si>
  <si>
    <t>CUST-0001</t>
  </si>
  <si>
    <t>ORD-00349</t>
  </si>
  <si>
    <t>ORD-00350</t>
  </si>
  <si>
    <t>CUST-0044</t>
  </si>
  <si>
    <t>ORD-00351</t>
  </si>
  <si>
    <t>ORD-00352</t>
  </si>
  <si>
    <t>CUST-0061</t>
  </si>
  <si>
    <t>ORD-00353</t>
  </si>
  <si>
    <t>ORD-00354</t>
  </si>
  <si>
    <t>ORD-00355</t>
  </si>
  <si>
    <t>ORD-00356</t>
  </si>
  <si>
    <t>ORD-00357</t>
  </si>
  <si>
    <t>ORD-00358</t>
  </si>
  <si>
    <t>ORD-00359</t>
  </si>
  <si>
    <t>CUST-0292</t>
  </si>
  <si>
    <t>ORD-00360</t>
  </si>
  <si>
    <t>ORD-00361</t>
  </si>
  <si>
    <t>ORD-00362</t>
  </si>
  <si>
    <t>ORD-00363</t>
  </si>
  <si>
    <t>CUST-0030</t>
  </si>
  <si>
    <t>ORD-00364</t>
  </si>
  <si>
    <t>CUST-0270</t>
  </si>
  <si>
    <t>ORD-00365</t>
  </si>
  <si>
    <t>ORD-00366</t>
  </si>
  <si>
    <t>CUST-0215</t>
  </si>
  <si>
    <t>ORD-00367</t>
  </si>
  <si>
    <t>CUST-0225</t>
  </si>
  <si>
    <t>ORD-00368</t>
  </si>
  <si>
    <t>ORD-00369</t>
  </si>
  <si>
    <t>ORD-00370</t>
  </si>
  <si>
    <t>CUST-0002</t>
  </si>
  <si>
    <t>ORD-00371</t>
  </si>
  <si>
    <t>CUST-0057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</si>
  <si>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</si>
  <si>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</si>
  <si>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</si>
  <si>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</si>
  <si>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</si>
  <si>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</si>
  <si>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</si>
  <si>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</si>
  <si>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CUST-0074</t>
  </si>
  <si>
    <t>ORD-00380</t>
  </si>
  <si>
    <t>CUST-0221</t>
  </si>
  <si>
    <t>ORD-00381</t>
  </si>
  <si>
    <t>ORD-00382</t>
  </si>
  <si>
    <t>ORD-00383</t>
  </si>
  <si>
    <t>CUST-0209</t>
  </si>
  <si>
    <t>pune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</si>
  <si>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</si>
  <si>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</si>
  <si>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</si>
  <si>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</si>
  <si>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</si>
  <si>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</si>
  <si>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</si>
  <si>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</si>
  <si>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CUST-0019</t>
  </si>
  <si>
    <t>ORD-00392</t>
  </si>
  <si>
    <t>CUST-0290</t>
  </si>
  <si>
    <t>ORD-00393</t>
  </si>
  <si>
    <t>CUST-9557</t>
  </si>
  <si>
    <t>ORD-00394</t>
  </si>
  <si>
    <t>ORD-00395</t>
  </si>
  <si>
    <t>CUST-0045</t>
  </si>
  <si>
    <t>ORD-00396</t>
  </si>
  <si>
    <t>ORD-00397</t>
  </si>
  <si>
    <t>ORD-00398</t>
  </si>
  <si>
    <t>ORD-00399</t>
  </si>
  <si>
    <t>CUST-0154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</si>
  <si>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</si>
  <si>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</si>
  <si>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</si>
  <si>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</si>
  <si>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</si>
  <si>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</si>
  <si>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</si>
  <si>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</si>
  <si>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CUST-0093</t>
  </si>
  <si>
    <t>ORD-00407</t>
  </si>
  <si>
    <t>ORD-00408</t>
  </si>
  <si>
    <t>ORD-00409</t>
  </si>
  <si>
    <t>ORD-00410</t>
  </si>
  <si>
    <t>ORD-00411</t>
  </si>
  <si>
    <t>ORD-00412</t>
  </si>
  <si>
    <t>CUST-0148</t>
  </si>
  <si>
    <t>ORD-00413</t>
  </si>
  <si>
    <t>ORD-00414</t>
  </si>
  <si>
    <t>ORD-00415</t>
  </si>
  <si>
    <t>ORD-00416</t>
  </si>
  <si>
    <t>CUST-0190</t>
  </si>
  <si>
    <t>ORD-00417</t>
  </si>
  <si>
    <t>ORD-00418</t>
  </si>
  <si>
    <t>ORD-00419</t>
  </si>
  <si>
    <t>ORD-00420</t>
  </si>
  <si>
    <t>ORD-00421</t>
  </si>
  <si>
    <t>ORD-00422</t>
  </si>
  <si>
    <t>CUST-0037</t>
  </si>
  <si>
    <t>ORD-00423</t>
  </si>
  <si>
    <t>CUST-0039</t>
  </si>
  <si>
    <t>ORD-00424</t>
  </si>
  <si>
    <t>ORD-00425</t>
  </si>
  <si>
    <t>ORD-00426</t>
  </si>
  <si>
    <t>CUST-0130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</si>
  <si>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</si>
  <si>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</si>
  <si>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</si>
  <si>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</si>
  <si>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</si>
  <si>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</si>
  <si>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</si>
  <si>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</si>
  <si>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CUST-0136</t>
  </si>
  <si>
    <t>ORD-00435</t>
  </si>
  <si>
    <t>ORD-00436</t>
  </si>
  <si>
    <t>ORD-00437</t>
  </si>
  <si>
    <t>ORD-00438</t>
  </si>
  <si>
    <t>ORD-00439</t>
  </si>
  <si>
    <t>CUST-0217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</si>
  <si>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</si>
  <si>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</si>
  <si>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</si>
  <si>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</si>
  <si>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</si>
  <si>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</si>
  <si>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</si>
  <si>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</si>
  <si>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</si>
  <si>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</si>
  <si>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</si>
  <si>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CUST-0017</t>
  </si>
  <si>
    <t>ORD-00450</t>
  </si>
  <si>
    <t>CUST-0007</t>
  </si>
  <si>
    <t>ORD-00451</t>
  </si>
  <si>
    <t>CUST-0054</t>
  </si>
  <si>
    <t>ORD-00452</t>
  </si>
  <si>
    <t>CUST-0038</t>
  </si>
  <si>
    <t>ORD-00453</t>
  </si>
  <si>
    <t>ORD-00454</t>
  </si>
  <si>
    <t>ORD-00455</t>
  </si>
  <si>
    <t>CUST-0072</t>
  </si>
  <si>
    <t>ORD-00456</t>
  </si>
  <si>
    <t>ORD-00457</t>
  </si>
  <si>
    <t>ORD-00458</t>
  </si>
  <si>
    <t>CUST-0214</t>
  </si>
  <si>
    <t>CUST-0236</t>
  </si>
  <si>
    <t>ORD-00460</t>
  </si>
  <si>
    <t>ORD-00461</t>
  </si>
  <si>
    <t>CUST-0123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</si>
  <si>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</si>
  <si>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</si>
  <si>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</si>
  <si>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</si>
  <si>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</si>
  <si>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</si>
  <si>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</si>
  <si>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</si>
  <si>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CUST-0223</t>
  </si>
  <si>
    <t>ORD-00470</t>
  </si>
  <si>
    <t>ORD-00471</t>
  </si>
  <si>
    <t>ORD-00472</t>
  </si>
  <si>
    <t>ORD-00473</t>
  </si>
  <si>
    <t>CUST-0254</t>
  </si>
  <si>
    <t>ORD-00474</t>
  </si>
  <si>
    <t>CUST-0126</t>
  </si>
  <si>
    <t>ORD-00475</t>
  </si>
  <si>
    <t>ORD-00476</t>
  </si>
  <si>
    <t>CUST-0089</t>
  </si>
  <si>
    <t>ORD-00477</t>
  </si>
  <si>
    <t>ORD-00478</t>
  </si>
  <si>
    <t>CUST-0201</t>
  </si>
  <si>
    <t>ORD-01195</t>
  </si>
  <si>
    <t>CUST-0091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</si>
  <si>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</si>
  <si>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</si>
  <si>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</si>
  <si>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</si>
  <si>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</si>
  <si>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</si>
  <si>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</si>
  <si>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</si>
  <si>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</si>
  <si>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</si>
  <si>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CUST-0195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</si>
  <si>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</si>
  <si>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</si>
  <si>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</si>
  <si>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</si>
  <si>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</si>
  <si>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</si>
  <si>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</si>
  <si>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</si>
  <si>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</si>
  <si>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</si>
  <si>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</si>
  <si>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</si>
  <si>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</si>
  <si>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</si>
  <si>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</si>
  <si>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</si>
  <si>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</si>
  <si>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</si>
  <si>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</si>
  <si>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</si>
  <si>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</si>
  <si>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CUST-0103</t>
  </si>
  <si>
    <t>ORD-00511</t>
  </si>
  <si>
    <t>CUST-0174</t>
  </si>
  <si>
    <t>ORD-00512</t>
  </si>
  <si>
    <t>ORD-00513</t>
  </si>
  <si>
    <t>CUST-0266</t>
  </si>
  <si>
    <t>ORD-00514</t>
  </si>
  <si>
    <t>ORD-00515</t>
  </si>
  <si>
    <t>ORD-00516</t>
  </si>
  <si>
    <t>CUST-0128</t>
  </si>
  <si>
    <t>ORD-00517</t>
  </si>
  <si>
    <t>ORD-00518</t>
  </si>
  <si>
    <t>ORD-00519</t>
  </si>
  <si>
    <t>CUST-0237</t>
  </si>
  <si>
    <t>ORD-00520</t>
  </si>
  <si>
    <t>ORD-00521</t>
  </si>
  <si>
    <t>CUST-0233</t>
  </si>
  <si>
    <t>ORD-00522</t>
  </si>
  <si>
    <t>ORD-00523</t>
  </si>
  <si>
    <t>ORD-00524</t>
  </si>
  <si>
    <t>CUST-0235</t>
  </si>
  <si>
    <t>ORD-00525</t>
  </si>
  <si>
    <t>ORD-00526</t>
  </si>
  <si>
    <t>CUST-0199</t>
  </si>
  <si>
    <t>ORD-00527</t>
  </si>
  <si>
    <t>CUST-0034</t>
  </si>
  <si>
    <t>ORD-00528</t>
  </si>
  <si>
    <t>CUST-0206</t>
  </si>
  <si>
    <t>ORD-00529</t>
  </si>
  <si>
    <t>ORD-00530</t>
  </si>
  <si>
    <t>ORD-00531</t>
  </si>
  <si>
    <t>ORD-00532</t>
  </si>
  <si>
    <t>ORD-00533</t>
  </si>
  <si>
    <t>ORD-00534</t>
  </si>
  <si>
    <t>CUST-0205</t>
  </si>
  <si>
    <t>ORD-00535</t>
  </si>
  <si>
    <t>ORD-00536</t>
  </si>
  <si>
    <t>ORD-00537</t>
  </si>
  <si>
    <t>ORD-00538</t>
  </si>
  <si>
    <t>ORD-00539</t>
  </si>
  <si>
    <t>CUST-0127</t>
  </si>
  <si>
    <t>ORD-00540</t>
  </si>
  <si>
    <t>ORD-00541</t>
  </si>
  <si>
    <t>CUST-0005</t>
  </si>
  <si>
    <t>ORD-00542</t>
  </si>
  <si>
    <t>ORD-00543</t>
  </si>
  <si>
    <t>ORD-00544</t>
  </si>
  <si>
    <t>CUST-0244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</si>
  <si>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</si>
  <si>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</si>
  <si>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</si>
  <si>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</si>
  <si>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</si>
  <si>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</si>
  <si>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</si>
  <si>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</si>
  <si>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</si>
  <si>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CUST-0252</t>
  </si>
  <si>
    <t>ORD-00554</t>
  </si>
  <si>
    <t>ORD-00555</t>
  </si>
  <si>
    <t>CUST-0046</t>
  </si>
  <si>
    <t>ORD-00556</t>
  </si>
  <si>
    <t>ORD-00557</t>
  </si>
  <si>
    <t>CUST-0227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</si>
  <si>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</si>
  <si>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</si>
  <si>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</si>
  <si>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</si>
  <si>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</si>
  <si>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</si>
  <si>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</si>
  <si>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</si>
  <si>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</si>
  <si>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CUST-0058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</si>
  <si>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</si>
  <si>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</si>
  <si>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</si>
  <si>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</si>
  <si>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</si>
  <si>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</si>
  <si>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</si>
  <si>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</si>
  <si>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</si>
  <si>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</si>
  <si>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CUST-0272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</si>
  <si>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</si>
  <si>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</si>
  <si>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</si>
  <si>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</si>
  <si>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</si>
  <si>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</si>
  <si>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</si>
  <si>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</si>
  <si>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CUST-0156</t>
  </si>
  <si>
    <t>ORD-00585</t>
  </si>
  <si>
    <t>CUST-0022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</si>
  <si>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</si>
  <si>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</si>
  <si>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</si>
  <si>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</si>
  <si>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</si>
  <si>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</si>
  <si>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</si>
  <si>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</si>
  <si>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CUST-0278</t>
  </si>
  <si>
    <t>ORD-00595</t>
  </si>
  <si>
    <t>ORD-00596</t>
  </si>
  <si>
    <t>ORD-00597</t>
  </si>
  <si>
    <t>CUST-0289</t>
  </si>
  <si>
    <t>ORD-00598</t>
  </si>
  <si>
    <t>ORD-00599</t>
  </si>
  <si>
    <t>ORD-00600</t>
  </si>
  <si>
    <t>CUST-0213</t>
  </si>
  <si>
    <t>ORD-00601</t>
  </si>
  <si>
    <t>ORD-00602</t>
  </si>
  <si>
    <t>ORD-00603</t>
  </si>
  <si>
    <t>ORD-00604</t>
  </si>
  <si>
    <t>ORD-00605</t>
  </si>
  <si>
    <t>ORD-00606</t>
  </si>
  <si>
    <t>CUST-0179</t>
  </si>
  <si>
    <t>ORD-00607</t>
  </si>
  <si>
    <t>ORD-00608</t>
  </si>
  <si>
    <t>CUST-0144</t>
  </si>
  <si>
    <t>ORD-00609</t>
  </si>
  <si>
    <t>ORD-00610</t>
  </si>
  <si>
    <t>ORD-00611</t>
  </si>
  <si>
    <t>ORD-00612</t>
  </si>
  <si>
    <t>ORD-00613</t>
  </si>
  <si>
    <t>ORD-00614</t>
  </si>
  <si>
    <t>CUST-0063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</si>
  <si>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</si>
  <si>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</si>
  <si>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</si>
  <si>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</si>
  <si>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</si>
  <si>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</si>
  <si>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</si>
  <si>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</si>
  <si>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</si>
  <si>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</si>
  <si>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</si>
  <si>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</si>
  <si>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</si>
  <si>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</si>
  <si>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</si>
  <si>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</si>
  <si>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</si>
  <si>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</si>
  <si>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</si>
  <si>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</si>
  <si>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</si>
  <si>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</si>
  <si>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</si>
  <si>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CUST-0158</t>
  </si>
  <si>
    <t>ORD-00638</t>
  </si>
  <si>
    <t>ORD-00639</t>
  </si>
  <si>
    <t>ORD-00640</t>
  </si>
  <si>
    <t>ORD-00641</t>
  </si>
  <si>
    <t>ORD-00642</t>
  </si>
  <si>
    <t>ORD-00643</t>
  </si>
  <si>
    <t>ORD-00644</t>
  </si>
  <si>
    <t>CUST-0083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</si>
  <si>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</si>
  <si>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</si>
  <si>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</si>
  <si>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</si>
  <si>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</si>
  <si>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</si>
  <si>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</si>
  <si>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</si>
  <si>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</si>
  <si>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</si>
  <si>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</si>
  <si>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</si>
  <si>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</si>
  <si>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</si>
  <si>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</si>
  <si>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</si>
  <si>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CUST-0257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</si>
  <si>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</si>
  <si>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</si>
  <si>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</si>
  <si>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</si>
  <si>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</si>
  <si>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</si>
  <si>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</si>
  <si>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</si>
  <si>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</si>
  <si>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</si>
  <si>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</si>
  <si>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</si>
  <si>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</si>
  <si>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</si>
  <si>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</si>
  <si>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</si>
  <si>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</si>
  <si>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</si>
  <si>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</si>
  <si>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</si>
  <si>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</si>
  <si>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</si>
  <si>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</si>
  <si>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</si>
  <si>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</si>
  <si>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</si>
  <si>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</si>
  <si>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</si>
  <si>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</si>
  <si>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</si>
  <si>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</si>
  <si>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</si>
  <si>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</si>
  <si>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</si>
  <si>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</si>
  <si>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</si>
  <si>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</si>
  <si>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</si>
  <si>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</si>
  <si>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</si>
  <si>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</si>
  <si>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</si>
  <si>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</si>
  <si>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</si>
  <si>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</si>
  <si>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</si>
  <si>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</si>
  <si>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</si>
  <si>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</si>
  <si>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</si>
  <si>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CUST-0060</t>
  </si>
  <si>
    <t>ORD-00710</t>
  </si>
  <si>
    <t>ORD-00711</t>
  </si>
  <si>
    <t>ORD-00712</t>
  </si>
  <si>
    <t>ORD-00713</t>
  </si>
  <si>
    <t>ORD-00714</t>
  </si>
  <si>
    <t>ORD-00715</t>
  </si>
  <si>
    <t>ORD-00716</t>
  </si>
  <si>
    <t>CUST-0065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</si>
  <si>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</si>
  <si>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</si>
  <si>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</si>
  <si>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</si>
  <si>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</si>
  <si>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</si>
  <si>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</si>
  <si>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</si>
  <si>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</si>
  <si>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</si>
  <si>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CUST-0211</t>
  </si>
  <si>
    <t>ORD-00727</t>
  </si>
  <si>
    <t>CUST-0229</t>
  </si>
  <si>
    <t>ORD-00728</t>
  </si>
  <si>
    <t>ORD-00729</t>
  </si>
  <si>
    <t>ORD-00730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</si>
  <si>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</si>
  <si>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</si>
  <si>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</si>
  <si>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</si>
  <si>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</si>
  <si>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</si>
  <si>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</si>
  <si>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</si>
  <si>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</si>
  <si>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</si>
  <si>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</si>
  <si>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</si>
  <si>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</si>
  <si>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</si>
  <si>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</si>
  <si>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</si>
  <si>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</si>
  <si>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</si>
  <si>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</si>
  <si>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</si>
  <si>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CUST-0122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</si>
  <si>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</si>
  <si>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</si>
  <si>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</si>
  <si>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</si>
  <si>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</si>
  <si>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</si>
  <si>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</si>
  <si>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</si>
  <si>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</si>
  <si>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</si>
  <si>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</si>
  <si>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</si>
  <si>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</si>
  <si>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CUST-0109</t>
  </si>
  <si>
    <t>ORD-00763</t>
  </si>
  <si>
    <t>ORD-00764</t>
  </si>
  <si>
    <t>CUST-0120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</si>
  <si>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</si>
  <si>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</si>
  <si>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</si>
  <si>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</si>
  <si>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</si>
  <si>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</si>
  <si>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</si>
  <si>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</si>
  <si>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</si>
  <si>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</si>
  <si>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</si>
  <si>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</si>
  <si>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</si>
  <si>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</si>
  <si>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</si>
  <si>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CUST-0021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</si>
  <si>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</si>
  <si>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</si>
  <si>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</si>
  <si>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</si>
  <si>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</si>
  <si>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</si>
  <si>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</si>
  <si>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</si>
  <si>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</si>
  <si>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</si>
  <si>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CUST-0188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</si>
  <si>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</si>
  <si>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</si>
  <si>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</si>
  <si>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</si>
  <si>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</si>
  <si>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</si>
  <si>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</si>
  <si>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</si>
  <si>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</si>
  <si>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</si>
  <si>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</si>
  <si>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</si>
  <si>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</si>
  <si>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</si>
  <si>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</si>
  <si>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</si>
  <si>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</si>
  <si>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</si>
  <si>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</si>
  <si>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</si>
  <si>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</si>
  <si>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</si>
  <si>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</si>
  <si>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</si>
  <si>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</si>
  <si>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</si>
  <si>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</si>
  <si>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</si>
  <si>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ORD-01136</t>
  </si>
  <si>
    <t>ORD-00818</t>
  </si>
  <si>
    <t>ORD-00819</t>
  </si>
  <si>
    <t>ORD-00820</t>
  </si>
  <si>
    <t>CUST-0023</t>
  </si>
  <si>
    <t>ORD-00821</t>
  </si>
  <si>
    <t>ORD-00822</t>
  </si>
  <si>
    <t>CUST-0300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</si>
  <si>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</si>
  <si>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</si>
  <si>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</si>
  <si>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</si>
  <si>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</si>
  <si>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</si>
  <si>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</si>
  <si>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</si>
  <si>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</si>
  <si>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</si>
  <si>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CUST-0105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</si>
  <si>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</si>
  <si>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</si>
  <si>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</si>
  <si>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</si>
  <si>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</si>
  <si>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</si>
  <si>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</si>
  <si>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</si>
  <si>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</si>
  <si>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</si>
  <si>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</si>
  <si>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</si>
  <si>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</si>
  <si>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</si>
  <si>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</si>
  <si>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</si>
  <si>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</si>
  <si>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</si>
  <si>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</si>
  <si>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</si>
  <si>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</si>
  <si>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</si>
  <si>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</si>
  <si>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</si>
  <si>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</si>
  <si>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</si>
  <si>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</si>
  <si>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</si>
  <si>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</si>
  <si>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</si>
  <si>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</si>
  <si>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</si>
  <si>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</si>
  <si>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</si>
  <si>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</si>
  <si>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</si>
  <si>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</si>
  <si>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</si>
  <si>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</si>
  <si>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</si>
  <si>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</si>
  <si>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CUST-0076</t>
  </si>
  <si>
    <t>ORD-00872</t>
  </si>
  <si>
    <t>ORD-00873</t>
  </si>
  <si>
    <t>ORD-00874</t>
  </si>
  <si>
    <t>ORD-00875</t>
  </si>
  <si>
    <t>ORD-00876</t>
  </si>
  <si>
    <t>ORD-00877</t>
  </si>
  <si>
    <t>ORD-00878</t>
  </si>
  <si>
    <t>CUST-0049</t>
  </si>
  <si>
    <t>ORD-00879</t>
  </si>
  <si>
    <t>ORD-00880</t>
  </si>
  <si>
    <t>CUST-0220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</si>
  <si>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</si>
  <si>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</si>
  <si>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</si>
  <si>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</si>
  <si>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</si>
  <si>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</si>
  <si>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</si>
  <si>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</si>
  <si>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</si>
  <si>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</si>
  <si>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</si>
  <si>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</si>
  <si>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</si>
  <si>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</si>
  <si>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</si>
  <si>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</si>
  <si>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</si>
  <si>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</si>
  <si>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</si>
  <si>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</si>
  <si>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</si>
  <si>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</si>
  <si>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</si>
  <si>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</si>
  <si>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</si>
  <si>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</si>
  <si>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</si>
  <si>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</si>
  <si>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</si>
  <si>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</si>
  <si>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</si>
  <si>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</si>
  <si>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</si>
  <si>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</si>
  <si>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</si>
  <si>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</si>
  <si>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</si>
  <si>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</si>
  <si>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</si>
  <si>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</si>
  <si>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</si>
  <si>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</si>
  <si>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</si>
  <si>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</si>
  <si>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</si>
  <si>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</si>
  <si>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</si>
  <si>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</si>
  <si>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</si>
  <si>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</si>
  <si>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</si>
  <si>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</si>
  <si>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</si>
  <si>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</si>
  <si>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</si>
  <si>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</si>
  <si>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</si>
  <si>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</si>
  <si>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</si>
  <si>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</si>
  <si>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</si>
  <si>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</si>
  <si>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</si>
  <si>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</si>
  <si>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</si>
  <si>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</si>
  <si>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</si>
  <si>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</si>
  <si>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</si>
  <si>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</si>
  <si>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</si>
  <si>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</si>
  <si>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</si>
  <si>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</si>
  <si>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</si>
  <si>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</si>
  <si>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</si>
  <si>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</si>
  <si>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</si>
  <si>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</si>
  <si>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</si>
  <si>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</si>
  <si>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</si>
  <si>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</si>
  <si>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</si>
  <si>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</si>
  <si>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</si>
  <si>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</si>
  <si>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</si>
  <si>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</si>
  <si>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</si>
  <si>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</si>
  <si>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</si>
  <si>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</si>
  <si>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</si>
  <si>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</si>
  <si>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</si>
  <si>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</si>
  <si>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</si>
  <si>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</si>
  <si>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</si>
  <si>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</si>
  <si>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</si>
  <si>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</si>
  <si>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</si>
  <si>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</si>
  <si>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</si>
  <si>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</si>
  <si>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</si>
  <si>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</si>
  <si>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</si>
  <si>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</si>
  <si>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</si>
  <si>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</si>
  <si>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</si>
  <si>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</si>
  <si>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</si>
  <si>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</si>
  <si>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</si>
  <si>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</si>
  <si>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</si>
  <si>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</si>
  <si>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</si>
  <si>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</si>
  <si>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</si>
  <si>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</si>
  <si>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</si>
  <si>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</si>
  <si>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</si>
  <si>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</si>
  <si>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</si>
  <si>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</si>
  <si>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</si>
  <si>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</si>
  <si>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</si>
  <si>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</si>
  <si>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</si>
  <si>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CUST-0276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</si>
  <si>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</si>
  <si>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</si>
  <si>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</si>
  <si>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</si>
  <si>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</si>
  <si>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</si>
  <si>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</si>
  <si>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</si>
  <si>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</si>
  <si>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</si>
  <si>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</si>
  <si>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</si>
  <si>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</si>
  <si>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</si>
  <si>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</si>
  <si>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</si>
  <si>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</si>
  <si>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</si>
  <si>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</si>
  <si>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</si>
  <si>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</si>
  <si>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</si>
  <si>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</si>
  <si>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</si>
  <si>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</si>
  <si>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</si>
  <si>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</si>
  <si>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</si>
  <si>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</si>
  <si>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CUST-0015</t>
  </si>
  <si>
    <t>ORD-01046</t>
  </si>
  <si>
    <t>ORD-01047</t>
  </si>
  <si>
    <t>ORD-01048</t>
  </si>
  <si>
    <t>ORD-01049</t>
  </si>
  <si>
    <t>CUST-0288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</si>
  <si>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</si>
  <si>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</si>
  <si>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</si>
  <si>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</si>
  <si>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</si>
  <si>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</si>
  <si>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</si>
  <si>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</si>
  <si>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</si>
  <si>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</si>
  <si>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</si>
  <si>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</si>
  <si>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</si>
  <si>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</si>
  <si>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</si>
  <si>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</si>
  <si>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</si>
  <si>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</si>
  <si>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</si>
  <si>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</si>
  <si>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</si>
  <si>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</si>
  <si>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</si>
  <si>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</si>
  <si>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</si>
  <si>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</si>
  <si>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</si>
  <si>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</si>
  <si>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</si>
  <si>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</si>
  <si>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</si>
  <si>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</si>
  <si>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</si>
  <si>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</si>
  <si>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</si>
  <si>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</si>
  <si>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</si>
  <si>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</si>
  <si>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</si>
  <si>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</si>
  <si>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CUST-0100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</si>
  <si>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</si>
  <si>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</si>
  <si>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</si>
  <si>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</si>
  <si>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</si>
  <si>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</si>
  <si>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</si>
  <si>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</si>
  <si>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</si>
  <si>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</si>
  <si>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</si>
  <si>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</si>
  <si>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</si>
  <si>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</si>
  <si>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</si>
  <si>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</si>
  <si>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</si>
  <si>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</si>
  <si>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</si>
  <si>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</si>
  <si>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</si>
  <si>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</si>
  <si>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</si>
  <si>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</si>
  <si>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</si>
  <si>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</si>
  <si>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</si>
  <si>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</si>
  <si>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</si>
  <si>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</si>
  <si>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</si>
  <si>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</si>
  <si>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</si>
  <si>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</si>
  <si>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</si>
  <si>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</si>
  <si>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</si>
  <si>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</si>
  <si>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</si>
  <si>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</si>
  <si>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</si>
  <si>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</si>
  <si>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</si>
  <si>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</si>
  <si>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</si>
  <si>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</si>
  <si>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</si>
  <si>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CUST-0116</t>
  </si>
  <si>
    <t>ORD-01138</t>
  </si>
  <si>
    <t>ORD-01139</t>
  </si>
  <si>
    <t>ORD-01140</t>
  </si>
  <si>
    <t>ORD-01141</t>
  </si>
  <si>
    <t>CUST-0268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</si>
  <si>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</si>
  <si>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</si>
  <si>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</si>
  <si>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</si>
  <si>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</si>
  <si>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</si>
  <si>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</si>
  <si>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</si>
  <si>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</si>
  <si>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</si>
  <si>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</si>
  <si>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</si>
  <si>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</si>
  <si>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</si>
  <si>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</si>
  <si>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</si>
  <si>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</si>
  <si>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</si>
  <si>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</si>
  <si>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</si>
  <si>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</si>
  <si>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</si>
  <si>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</si>
  <si>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</si>
  <si>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</si>
  <si>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</si>
  <si>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</si>
  <si>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</si>
  <si>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</si>
  <si>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</si>
  <si>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</si>
  <si>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</si>
  <si>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</si>
  <si>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</si>
  <si>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</si>
  <si>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CUST-0014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</si>
  <si>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</si>
  <si>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</si>
  <si>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</si>
  <si>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</si>
  <si>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</si>
  <si>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</si>
  <si>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</si>
  <si>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</si>
  <si>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</si>
  <si>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</si>
  <si>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</si>
  <si>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</si>
  <si>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</si>
  <si>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</si>
  <si>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</si>
  <si>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</si>
  <si>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</si>
  <si>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</si>
  <si>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</si>
  <si>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</si>
  <si>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</si>
  <si>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</si>
  <si>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</si>
  <si>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</si>
  <si>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</si>
  <si>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</si>
  <si>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</si>
  <si>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</si>
  <si>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</si>
  <si>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</si>
  <si>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</si>
  <si>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</si>
  <si>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</si>
  <si>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</si>
  <si>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</si>
  <si>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</si>
  <si>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</si>
  <si>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</si>
  <si>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</si>
  <si>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</si>
  <si>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</si>
  <si>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</si>
  <si>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</si>
  <si>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</si>
  <si>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</si>
  <si>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</si>
  <si>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</si>
  <si>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</si>
  <si>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</si>
  <si>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</si>
  <si>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</si>
  <si>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</si>
  <si>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</si>
  <si>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</si>
  <si>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</si>
  <si>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</si>
  <si>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</si>
  <si>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</si>
  <si>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</si>
  <si>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CUST-0099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</si>
  <si>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</si>
  <si>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</si>
  <si>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</si>
  <si>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</si>
  <si>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</si>
  <si>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</si>
  <si>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</si>
  <si>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</si>
  <si>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</si>
  <si>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</si>
  <si>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</si>
  <si>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</si>
  <si>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</si>
  <si>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</si>
  <si>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</si>
  <si>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</si>
  <si>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</si>
  <si>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</si>
  <si>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</si>
  <si>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</si>
  <si>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</si>
  <si>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</si>
  <si>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</si>
  <si>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</si>
  <si>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</si>
  <si>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</si>
  <si>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</si>
  <si>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</si>
  <si>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</si>
  <si>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</si>
  <si>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</si>
  <si>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</si>
  <si>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</si>
  <si>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</si>
  <si>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</si>
  <si>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</si>
  <si>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</si>
  <si>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</si>
  <si>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</si>
  <si>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</si>
  <si>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</si>
  <si>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</si>
  <si>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</si>
  <si>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</si>
  <si>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</si>
  <si>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</si>
  <si>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</si>
  <si>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</si>
  <si>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</si>
  <si>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</si>
  <si>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</si>
  <si>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</si>
  <si>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</si>
  <si>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</si>
  <si>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</si>
  <si>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</si>
  <si>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</si>
  <si>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</si>
  <si>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</si>
  <si>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</si>
  <si>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</si>
  <si>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</si>
  <si>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</si>
  <si>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</si>
  <si>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</si>
  <si>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</si>
  <si>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</si>
  <si>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</si>
  <si>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</si>
  <si>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</si>
  <si>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</si>
  <si>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</si>
  <si>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</si>
  <si>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</si>
  <si>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</si>
  <si>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</si>
  <si>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</si>
  <si>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</si>
  <si>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</si>
  <si>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</si>
  <si>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</si>
  <si>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</si>
  <si>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</si>
  <si>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</si>
  <si>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</si>
  <si>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</si>
  <si>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</si>
  <si>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</si>
  <si>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</si>
  <si>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</si>
  <si>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</si>
  <si>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CUST-0286</t>
  </si>
  <si>
    <t>ORD-01329</t>
  </si>
  <si>
    <t>ORD-01330</t>
  </si>
  <si>
    <t>ORD-01331</t>
  </si>
  <si>
    <t>ORD-01332</t>
  </si>
  <si>
    <t>HYDERABAD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</si>
  <si>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</si>
  <si>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</si>
  <si>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</si>
  <si>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</si>
  <si>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</si>
  <si>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</si>
  <si>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</si>
  <si>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</si>
  <si>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</si>
  <si>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</si>
  <si>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</si>
  <si>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</si>
  <si>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</si>
  <si>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</si>
  <si>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</si>
  <si>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</si>
  <si>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</si>
  <si>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</si>
  <si>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</si>
  <si>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</si>
  <si>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</si>
  <si>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</si>
  <si>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</si>
  <si>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</si>
  <si>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</si>
  <si>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</si>
  <si>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</si>
  <si>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</si>
  <si>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</si>
  <si>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</si>
  <si>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</si>
  <si>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</si>
  <si>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</si>
  <si>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</si>
  <si>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</si>
  <si>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</si>
  <si>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</si>
  <si>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</si>
  <si>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</si>
  <si>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</si>
  <si>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</si>
  <si>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</si>
  <si>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</si>
  <si>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</si>
  <si>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</si>
  <si>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</si>
  <si>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</si>
  <si>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</si>
  <si>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</si>
  <si>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</si>
  <si>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</si>
  <si>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</si>
  <si>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</si>
  <si>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CUST-0029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</si>
  <si>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</si>
  <si>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</si>
  <si>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</si>
  <si>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</si>
  <si>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</si>
  <si>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</si>
  <si>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</si>
  <si>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</si>
  <si>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</si>
  <si>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</si>
  <si>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</si>
  <si>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</si>
  <si>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</si>
  <si>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</si>
  <si>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CUST-0207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</si>
  <si>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</si>
  <si>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</si>
  <si>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</si>
  <si>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</si>
  <si>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</si>
  <si>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</si>
  <si>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</si>
  <si>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</si>
  <si>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</si>
  <si>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</si>
  <si>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</si>
  <si>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</si>
  <si>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</si>
  <si>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</si>
  <si>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</si>
  <si>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</si>
  <si>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</si>
  <si>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</si>
  <si>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</si>
  <si>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</si>
  <si>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</si>
  <si>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</si>
  <si>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</si>
  <si>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</si>
  <si>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</si>
  <si>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</si>
  <si>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</si>
  <si>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</si>
  <si>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</si>
  <si>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</si>
  <si>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</si>
  <si>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</si>
  <si>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</si>
  <si>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</si>
  <si>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</si>
  <si>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</si>
  <si>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</si>
  <si>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</si>
  <si>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</si>
  <si>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</si>
  <si>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</si>
  <si>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</si>
  <si>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</si>
  <si>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</si>
  <si>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</si>
  <si>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</si>
  <si>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</si>
  <si>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</si>
  <si>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</si>
  <si>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</si>
  <si>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</si>
  <si>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</si>
  <si>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</si>
  <si>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</si>
  <si>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</si>
  <si>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</si>
  <si>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</si>
  <si>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</si>
  <si>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</si>
  <si>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</si>
  <si>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</si>
  <si>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</si>
  <si>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</si>
  <si>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</si>
  <si>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</si>
  <si>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</si>
  <si>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</si>
  <si>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</si>
  <si>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</si>
  <si>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</si>
  <si>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</si>
  <si>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</si>
  <si>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</si>
  <si>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</si>
  <si>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</si>
  <si>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</si>
  <si>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</si>
  <si>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</si>
  <si>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</si>
  <si>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</si>
  <si>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</si>
  <si>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</si>
  <si>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</si>
  <si>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</si>
  <si>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</si>
  <si>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</si>
  <si>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</si>
  <si>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</si>
  <si>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</si>
  <si>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</si>
  <si>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</si>
  <si>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</si>
  <si>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</si>
  <si>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</si>
  <si>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</si>
  <si>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</si>
  <si>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</si>
  <si>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</si>
  <si>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</si>
  <si>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</si>
  <si>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</si>
  <si>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</si>
  <si>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</si>
  <si>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</si>
  <si>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</si>
  <si>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</si>
  <si>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</si>
  <si>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</si>
  <si>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</si>
  <si>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</si>
  <si>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</si>
  <si>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</si>
  <si>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</si>
  <si>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</si>
  <si>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</si>
  <si>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</si>
  <si>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</si>
  <si>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</si>
  <si>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</si>
  <si>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</si>
  <si>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</si>
  <si>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</si>
  <si>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</si>
  <si>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</si>
  <si>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</si>
  <si>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</si>
  <si>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</si>
  <si>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</si>
  <si>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</si>
  <si>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</si>
  <si>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</si>
  <si>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</si>
  <si>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</si>
  <si>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</si>
  <si>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</si>
  <si>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</si>
  <si>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</si>
  <si>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</si>
  <si>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</si>
  <si>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</si>
  <si>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</si>
  <si>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</si>
  <si>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</si>
  <si>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</si>
  <si>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</si>
  <si>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</si>
  <si>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</si>
  <si>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</si>
  <si>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</si>
  <si>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</si>
  <si>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</si>
  <si>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</si>
  <si>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</si>
  <si>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</si>
  <si>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</si>
  <si>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</si>
  <si>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</si>
  <si>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</si>
  <si>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</si>
  <si>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</si>
  <si>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</si>
  <si>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</si>
  <si>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CUST-0140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</si>
  <si>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</si>
  <si>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</si>
  <si>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</si>
  <si>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</si>
  <si>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</si>
  <si>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</si>
  <si>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</si>
  <si>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</si>
  <si>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</si>
  <si>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</si>
  <si>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</si>
  <si>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</si>
  <si>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</si>
  <si>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</si>
  <si>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</si>
  <si>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</si>
  <si>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</si>
  <si>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</si>
  <si>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</si>
  <si>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</si>
  <si>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</si>
  <si>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</si>
  <si>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</si>
  <si>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</si>
  <si>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</si>
  <si>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</si>
  <si>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</si>
  <si>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</si>
  <si>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</si>
  <si>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</si>
  <si>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</si>
  <si>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</si>
  <si>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</si>
  <si>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</si>
  <si>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</si>
  <si>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</si>
  <si>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</si>
  <si>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</si>
  <si>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CHENNAI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</si>
  <si>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</si>
  <si>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</si>
  <si>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</si>
  <si>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</si>
  <si>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</si>
  <si>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</si>
  <si>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</si>
  <si>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</si>
  <si>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</si>
  <si>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</si>
  <si>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</si>
  <si>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</si>
  <si>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</si>
  <si>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</si>
  <si>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</si>
  <si>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</si>
  <si>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</si>
  <si>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</si>
  <si>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</si>
  <si>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</si>
  <si>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</si>
  <si>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</si>
  <si>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</si>
  <si>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</si>
  <si>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</si>
  <si>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</si>
  <si>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</si>
  <si>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</si>
  <si>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</si>
  <si>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</si>
  <si>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</si>
  <si>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</si>
  <si>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</si>
  <si>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</si>
  <si>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</si>
  <si>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</si>
  <si>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</si>
  <si>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</si>
  <si>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</si>
  <si>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</si>
  <si>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</si>
  <si>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</si>
  <si>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</si>
  <si>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</si>
  <si>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</si>
  <si>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</si>
  <si>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</si>
  <si>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</si>
  <si>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</si>
  <si>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</si>
  <si>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</si>
  <si>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</si>
  <si>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</si>
  <si>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</si>
  <si>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</si>
  <si>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</si>
  <si>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</si>
  <si>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</si>
  <si>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</si>
  <si>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</si>
  <si>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</si>
  <si>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</si>
  <si>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</si>
  <si>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</si>
  <si>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</si>
  <si>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</si>
  <si>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</si>
  <si>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</si>
  <si>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</si>
  <si>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</si>
  <si>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</si>
  <si>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</si>
  <si>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</si>
  <si>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</si>
  <si>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</si>
  <si>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</si>
  <si>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</si>
  <si>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</si>
  <si>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</si>
  <si>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</si>
  <si>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</si>
  <si>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</si>
  <si>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</si>
  <si>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</si>
  <si>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</si>
  <si>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</si>
  <si>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</si>
  <si>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</si>
  <si>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</si>
  <si>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</si>
  <si>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</si>
  <si>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</si>
  <si>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</si>
  <si>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</si>
  <si>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</si>
  <si>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</si>
  <si>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</si>
  <si>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</si>
  <si>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</si>
  <si>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</si>
  <si>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</si>
  <si>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</si>
  <si>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</si>
  <si>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</si>
  <si>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</si>
  <si>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</si>
  <si>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</si>
  <si>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</si>
  <si>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</si>
  <si>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</si>
  <si>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</si>
  <si>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</si>
  <si>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</si>
  <si>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</si>
  <si>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</si>
  <si>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</si>
  <si>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</si>
  <si>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</si>
  <si>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</si>
  <si>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</si>
  <si>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</si>
  <si>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</si>
  <si>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</si>
  <si>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</si>
  <si>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</si>
  <si>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</si>
  <si>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</si>
  <si>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</si>
  <si>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</si>
  <si>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</si>
  <si>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</si>
  <si>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</si>
  <si>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</si>
  <si>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</si>
  <si>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</si>
  <si>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</si>
  <si>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</si>
  <si>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</si>
  <si>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</si>
  <si>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</si>
  <si>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</si>
  <si>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</si>
  <si>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</si>
  <si>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</si>
  <si>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</si>
  <si>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</si>
  <si>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</si>
  <si>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</si>
  <si>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</si>
  <si>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</si>
  <si>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</si>
  <si>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</si>
  <si>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</si>
  <si>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</si>
  <si>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</si>
  <si>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</si>
  <si>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</si>
  <si>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</si>
  <si>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</si>
  <si>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</si>
  <si>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</si>
  <si>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</si>
  <si>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</si>
  <si>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</si>
  <si>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</si>
  <si>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</si>
  <si>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</si>
  <si>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</si>
  <si>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</si>
  <si>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</si>
  <si>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</si>
  <si>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</si>
  <si>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</si>
  <si>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</si>
  <si>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</si>
  <si>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</si>
  <si>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</si>
  <si>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</si>
  <si>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</si>
  <si>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</si>
  <si>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</si>
  <si>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</si>
  <si>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</si>
  <si>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</si>
  <si>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</si>
  <si>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</si>
  <si>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</si>
  <si>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</si>
  <si>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</si>
  <si>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</si>
  <si>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</si>
  <si>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</si>
  <si>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</si>
  <si>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</si>
  <si>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</si>
  <si>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</si>
  <si>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</si>
  <si>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</si>
  <si>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</si>
  <si>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</si>
  <si>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</si>
  <si>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</si>
  <si>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</si>
  <si>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</si>
  <si>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</si>
  <si>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</si>
  <si>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</si>
  <si>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</si>
  <si>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</si>
  <si>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</si>
  <si>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</si>
  <si>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</si>
  <si>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</si>
  <si>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</si>
  <si>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</si>
  <si>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</si>
  <si>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</si>
  <si>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</si>
  <si>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</si>
  <si>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</si>
  <si>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</si>
  <si>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</si>
  <si>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</si>
  <si>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</si>
  <si>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</si>
  <si>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</si>
  <si>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</si>
  <si>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</si>
  <si>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</si>
  <si>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</si>
  <si>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</si>
  <si>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</si>
  <si>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</si>
  <si>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</si>
  <si>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</si>
  <si>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</si>
  <si>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</si>
  <si>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</si>
  <si>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</si>
  <si>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</si>
  <si>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</si>
  <si>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</si>
  <si>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</si>
  <si>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</si>
  <si>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</si>
  <si>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</si>
  <si>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</si>
  <si>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</si>
  <si>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</si>
  <si>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</si>
  <si>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</si>
  <si>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</si>
  <si>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</si>
  <si>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</si>
  <si>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</si>
  <si>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</si>
  <si>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</si>
  <si>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</si>
  <si>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</si>
  <si>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</si>
  <si>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</si>
  <si>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</si>
  <si>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</si>
  <si>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</si>
  <si>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</si>
  <si>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</si>
  <si>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</si>
  <si>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</si>
  <si>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</si>
  <si>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</si>
  <si>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</si>
  <si>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</si>
  <si>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</si>
  <si>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</si>
  <si>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</si>
  <si>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</si>
  <si>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</si>
  <si>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</si>
  <si>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</si>
  <si>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</si>
  <si>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</si>
  <si>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</si>
  <si>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</si>
  <si>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</si>
  <si>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</si>
  <si>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</si>
  <si>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</si>
  <si>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</si>
  <si>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</si>
  <si>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</si>
  <si>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</si>
  <si>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</si>
  <si>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</si>
  <si>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</si>
  <si>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</si>
  <si>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</si>
  <si>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</si>
  <si>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</si>
  <si>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</si>
  <si>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</si>
  <si>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</si>
  <si>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</si>
  <si>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</si>
  <si>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</si>
  <si>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</si>
  <si>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</si>
  <si>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</si>
  <si>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</si>
  <si>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</si>
  <si>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</si>
  <si>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</si>
  <si>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</si>
  <si>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</si>
  <si>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</si>
  <si>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</si>
  <si>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</si>
  <si>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</si>
  <si>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</si>
  <si>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</si>
  <si>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</si>
  <si>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</si>
  <si>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</si>
  <si>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</si>
  <si>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</si>
  <si>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</si>
  <si>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</si>
  <si>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</si>
  <si>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</si>
  <si>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</si>
  <si>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</si>
  <si>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</si>
  <si>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</si>
  <si>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</si>
  <si>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</si>
  <si>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</si>
  <si>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</si>
  <si>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</si>
  <si>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</si>
  <si>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</si>
  <si>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</si>
  <si>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</si>
  <si>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</si>
  <si>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</si>
  <si>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</si>
  <si>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</si>
  <si>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</si>
  <si>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</si>
  <si>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</si>
  <si>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</si>
  <si>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</si>
  <si>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</si>
  <si>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</si>
  <si>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</si>
  <si>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</si>
  <si>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</si>
  <si>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</si>
  <si>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</si>
  <si>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</si>
  <si>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</si>
  <si>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</si>
  <si>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</si>
  <si>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</si>
  <si>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</si>
  <si>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</si>
  <si>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</si>
  <si>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</si>
  <si>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</si>
  <si>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</si>
  <si>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</si>
  <si>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</si>
  <si>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</si>
  <si>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</si>
  <si>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</si>
  <si>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</si>
  <si>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</si>
  <si>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</si>
  <si>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</si>
  <si>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</si>
  <si>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</si>
  <si>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</si>
  <si>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</si>
  <si>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</si>
  <si>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</si>
  <si>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</si>
  <si>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</si>
  <si>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</si>
  <si>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</si>
  <si>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</si>
  <si>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</si>
  <si>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</si>
  <si>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</si>
  <si>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</si>
  <si>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</si>
  <si>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</si>
  <si>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</si>
  <si>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</si>
  <si>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</si>
  <si>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</si>
  <si>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</si>
  <si>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</si>
  <si>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</si>
  <si>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</si>
  <si>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</si>
  <si>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</si>
  <si>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</si>
  <si>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</si>
  <si>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</si>
  <si>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</si>
  <si>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customer_name</t>
  </si>
  <si>
    <t>age</t>
  </si>
  <si>
    <t>city</t>
  </si>
  <si>
    <t>segment</t>
  </si>
  <si>
    <t>signup_date</t>
  </si>
  <si>
    <t>Amit Agarwal</t>
  </si>
  <si>
    <t>Retail</t>
  </si>
  <si>
    <t>Vihaan Malhotra</t>
  </si>
  <si>
    <t>Corporate</t>
  </si>
  <si>
    <t>Navya Malhotra</t>
  </si>
  <si>
    <t>Aaradhya Mehta</t>
  </si>
  <si>
    <t>delhi</t>
  </si>
  <si>
    <t>Myra Malhotra</t>
  </si>
  <si>
    <t>Shaurya Iyer</t>
  </si>
  <si>
    <t>SMB</t>
  </si>
  <si>
    <t>Dhruv Joshi</t>
  </si>
  <si>
    <t>Kavita Malhotra</t>
  </si>
  <si>
    <t>Neha Malhotra</t>
  </si>
  <si>
    <t>Aaradhya Gupta</t>
  </si>
  <si>
    <t>Diya Menon</t>
  </si>
  <si>
    <t>Prisha Desai</t>
  </si>
  <si>
    <t>Aryan Chopra</t>
  </si>
  <si>
    <t>Priya Malhotra</t>
  </si>
  <si>
    <t>Aadhya Bhatt</t>
  </si>
  <si>
    <t>Vivaan Nair</t>
  </si>
  <si>
    <t>Pranav Reddy</t>
  </si>
  <si>
    <t>Ahana Agarwal</t>
  </si>
  <si>
    <t>Myra Shah</t>
  </si>
  <si>
    <t>Dhruv Iyer</t>
  </si>
  <si>
    <t>Aditya Shah</t>
  </si>
  <si>
    <t>Kavya Sharma</t>
  </si>
  <si>
    <t>Rohan Kapoor</t>
  </si>
  <si>
    <t>Angel Gupta</t>
  </si>
  <si>
    <t>Anika Menon</t>
  </si>
  <si>
    <t xml:space="preserve">Diya Sharma   </t>
  </si>
  <si>
    <t>Navya Reddy</t>
  </si>
  <si>
    <t>Aarav Chopra</t>
  </si>
  <si>
    <t>Ananya Agarwal</t>
  </si>
  <si>
    <t>Advik Joshi</t>
  </si>
  <si>
    <t>Vijay Kumar</t>
  </si>
  <si>
    <t>Rohit Kumar</t>
  </si>
  <si>
    <t>Pari Shah</t>
  </si>
  <si>
    <t>Rahul Rao</t>
  </si>
  <si>
    <t>Aaradhya Desai</t>
  </si>
  <si>
    <t>Rohit Singh</t>
  </si>
  <si>
    <t>Iraa Mehta</t>
  </si>
  <si>
    <t>Rudra Verma</t>
  </si>
  <si>
    <t>Shaurya Menon</t>
  </si>
  <si>
    <t>Aarav Nair</t>
  </si>
  <si>
    <t>Pranav Gupta</t>
  </si>
  <si>
    <t xml:space="preserve">Rohan Reddy   </t>
  </si>
  <si>
    <t>Advik Kumar</t>
  </si>
  <si>
    <t>Myra Reddy</t>
  </si>
  <si>
    <t>Rohan Bhatt</t>
  </si>
  <si>
    <t>Rudra Agarwal</t>
  </si>
  <si>
    <t>Prisha Kumar</t>
  </si>
  <si>
    <t>Prisha Chopra</t>
  </si>
  <si>
    <t>Aadhya Reddy</t>
  </si>
  <si>
    <t>Myra Singh</t>
  </si>
  <si>
    <t>Rahul Kumar</t>
  </si>
  <si>
    <t>Pari Kumar</t>
  </si>
  <si>
    <t>Vivaan Shah</t>
  </si>
  <si>
    <t>Aarohi Patel</t>
  </si>
  <si>
    <t>Vivaan Verma</t>
  </si>
  <si>
    <t>Kavya Iyer</t>
  </si>
  <si>
    <t>Riya Mehta</t>
  </si>
  <si>
    <t>Priya Mehta</t>
  </si>
  <si>
    <t>Rahul Joshi</t>
  </si>
  <si>
    <t>Prisha Malhotra</t>
  </si>
  <si>
    <t>Kartik Chopra</t>
  </si>
  <si>
    <t>Rudra Singh</t>
  </si>
  <si>
    <t>Kabir Singh</t>
  </si>
  <si>
    <t>Aaradhya Bhatt</t>
  </si>
  <si>
    <t>Kiara Rao</t>
  </si>
  <si>
    <t>Kavya Chopra</t>
  </si>
  <si>
    <t>Kavita Menon</t>
  </si>
  <si>
    <t>Diya Shah</t>
  </si>
  <si>
    <t>Neha Menon</t>
  </si>
  <si>
    <t xml:space="preserve"> Anvi Kumar </t>
  </si>
  <si>
    <t>Pranav Malhotra</t>
  </si>
  <si>
    <t>Kabir Nair</t>
  </si>
  <si>
    <t>Vihaan Bhatt</t>
  </si>
  <si>
    <t>Rudra Desai</t>
  </si>
  <si>
    <t>Diya Patel</t>
  </si>
  <si>
    <t xml:space="preserve">Myra Gupta   </t>
  </si>
  <si>
    <t>Kiara Chopra</t>
  </si>
  <si>
    <t>Amit Iyer</t>
  </si>
  <si>
    <t>Amit Kumar</t>
  </si>
  <si>
    <t>Aditya Bhatt</t>
  </si>
  <si>
    <t>Meera Reddy</t>
  </si>
  <si>
    <t>Shaurya Bhatt</t>
  </si>
  <si>
    <t>Riya Patel</t>
  </si>
  <si>
    <t>Shaurya Reddy</t>
  </si>
  <si>
    <t>Aditya Kumar</t>
  </si>
  <si>
    <t>Ishaan Chopra</t>
  </si>
  <si>
    <t>Vijay Reddy</t>
  </si>
  <si>
    <t>Ahana Singh</t>
  </si>
  <si>
    <t>Kabir Chopra</t>
  </si>
  <si>
    <t>Dhruv Nair</t>
  </si>
  <si>
    <t>Suresh Mehta</t>
  </si>
  <si>
    <t>Kabir Shah</t>
  </si>
  <si>
    <t xml:space="preserve">  Pari Malhotra</t>
  </si>
  <si>
    <t>Riya Singh</t>
  </si>
  <si>
    <t>Iraa Kapoor</t>
  </si>
  <si>
    <t>Anika Malhotra</t>
  </si>
  <si>
    <t>Angel Sharma</t>
  </si>
  <si>
    <t>Myra Gupta</t>
  </si>
  <si>
    <t>Rudra Kapoor</t>
  </si>
  <si>
    <t>Advik Nair</t>
  </si>
  <si>
    <t>Pooja Singh</t>
  </si>
  <si>
    <t>Kiara Shah</t>
  </si>
  <si>
    <t>Aryan Agarwal</t>
  </si>
  <si>
    <t>Navya Mehta</t>
  </si>
  <si>
    <t xml:space="preserve">Ishaan Kapoor   </t>
  </si>
  <si>
    <t>Angel Shah</t>
  </si>
  <si>
    <t>Dhruv Gupta</t>
  </si>
  <si>
    <t>Ayaan Reddy</t>
  </si>
  <si>
    <t>Anika Shah</t>
  </si>
  <si>
    <t>Anvi Reddy</t>
  </si>
  <si>
    <t>Reyansh Patel</t>
  </si>
  <si>
    <t>Ritvik Kapoor</t>
  </si>
  <si>
    <t>BENGALURU</t>
  </si>
  <si>
    <t>Rohan Rao</t>
  </si>
  <si>
    <t>Myra Patel</t>
  </si>
  <si>
    <t>Aaradhya Joshi</t>
  </si>
  <si>
    <t>Vihaan Chopra</t>
  </si>
  <si>
    <t>Rohit Shah</t>
  </si>
  <si>
    <t xml:space="preserve"> Priya Kumar </t>
  </si>
  <si>
    <t>Pari Joshi</t>
  </si>
  <si>
    <t>Shaurya Agarwal</t>
  </si>
  <si>
    <t>Aryan Desai</t>
  </si>
  <si>
    <t>Neha Agarwal</t>
  </si>
  <si>
    <t>Angel Joshi</t>
  </si>
  <si>
    <t>Rohit Iyer</t>
  </si>
  <si>
    <t>hyderabad</t>
  </si>
  <si>
    <t>Kabir Kapoor</t>
  </si>
  <si>
    <t>Krishna Kapoor</t>
  </si>
  <si>
    <t xml:space="preserve">  Ishaan Joshi</t>
  </si>
  <si>
    <t>Iraa Kumar</t>
  </si>
  <si>
    <t>Ritvik Shah</t>
  </si>
  <si>
    <t>Aarohi Mehta</t>
  </si>
  <si>
    <t>Arjun Shah</t>
  </si>
  <si>
    <t>Riya Desai</t>
  </si>
  <si>
    <t>Aadhya Kumar</t>
  </si>
  <si>
    <t>Kavya Kumar</t>
  </si>
  <si>
    <t>Ishaan Verma</t>
  </si>
  <si>
    <t>chennai</t>
  </si>
  <si>
    <t>Karan Gupta</t>
  </si>
  <si>
    <t xml:space="preserve">  Kavita Shah</t>
  </si>
  <si>
    <t>Anika Bhatt</t>
  </si>
  <si>
    <t xml:space="preserve">Riya Kapoor   </t>
  </si>
  <si>
    <t>Aarohi Iyer</t>
  </si>
  <si>
    <t>Advik Menon</t>
  </si>
  <si>
    <t>Sanvi Menon</t>
  </si>
  <si>
    <t>Suresh Bhatt</t>
  </si>
  <si>
    <t>Aaradhya Verma</t>
  </si>
  <si>
    <t>Ayaan Chopra</t>
  </si>
  <si>
    <t>Pari Desai</t>
  </si>
  <si>
    <t>Anvi Patel</t>
  </si>
  <si>
    <t>Vihaan Kapoor</t>
  </si>
  <si>
    <t xml:space="preserve">Dhruv Kumar   </t>
  </si>
  <si>
    <t>Pooja Reddy</t>
  </si>
  <si>
    <t>Anaya Chopra</t>
  </si>
  <si>
    <t>Priya Joshi</t>
  </si>
  <si>
    <t>Krishna Reddy</t>
  </si>
  <si>
    <t>Meera Malhotra</t>
  </si>
  <si>
    <t>Neha Kumar</t>
  </si>
  <si>
    <t>Kartik Patel</t>
  </si>
  <si>
    <t>Vivaan Kumar</t>
  </si>
  <si>
    <t>Reyansh Verma</t>
  </si>
  <si>
    <t>Vihaan Gupta</t>
  </si>
  <si>
    <t>Aarav Iyer</t>
  </si>
  <si>
    <t>Aarav Singh</t>
  </si>
  <si>
    <t>Aditya Chopra</t>
  </si>
  <si>
    <t>Kiara Singh</t>
  </si>
  <si>
    <t>Sanvi Agarwal</t>
  </si>
  <si>
    <t>Suresh Nair</t>
  </si>
  <si>
    <t>Sara Desai</t>
  </si>
  <si>
    <t>Vivaan Gupta</t>
  </si>
  <si>
    <t>Amit Chopra</t>
  </si>
  <si>
    <t>Kabir Desai</t>
  </si>
  <si>
    <t>Aaradhya Malhotra</t>
  </si>
  <si>
    <t>Anika Mehta</t>
  </si>
  <si>
    <t>Aadhya Kapoor</t>
  </si>
  <si>
    <t>Advik Agarwal</t>
  </si>
  <si>
    <t>Navya Rao</t>
  </si>
  <si>
    <t>Rohit Chopra</t>
  </si>
  <si>
    <t>Kabir Joshi</t>
  </si>
  <si>
    <t>Kartik Kumar</t>
  </si>
  <si>
    <t>Riya Verma</t>
  </si>
  <si>
    <t>Anaya Sharma</t>
  </si>
  <si>
    <t>Aryan Menon</t>
  </si>
  <si>
    <t xml:space="preserve"> Shaurya Rao </t>
  </si>
  <si>
    <t>Rahul Singh</t>
  </si>
  <si>
    <t>Vijay Shah</t>
  </si>
  <si>
    <t>Karan Agarwal</t>
  </si>
  <si>
    <t>Sara Malhotra</t>
  </si>
  <si>
    <t>Myra Kapoor</t>
  </si>
  <si>
    <t>Kavya Mehta</t>
  </si>
  <si>
    <t>Reyansh Gupta</t>
  </si>
  <si>
    <t>Ishaan Mehta</t>
  </si>
  <si>
    <t>Krishna Mehta</t>
  </si>
  <si>
    <t>Aadhya Shah</t>
  </si>
  <si>
    <t>Ritvik Agarwal</t>
  </si>
  <si>
    <t>Aryan Singh</t>
  </si>
  <si>
    <t>Ayaan Joshi</t>
  </si>
  <si>
    <t>Ayaan Singh</t>
  </si>
  <si>
    <t>Anika Rao</t>
  </si>
  <si>
    <t>Shaurya Kumar</t>
  </si>
  <si>
    <t>Priya Chopra</t>
  </si>
  <si>
    <t>Pari Verma</t>
  </si>
  <si>
    <t>Anvi Malhotra</t>
  </si>
  <si>
    <t>Kavita Bhatt</t>
  </si>
  <si>
    <t>Krishna Menon</t>
  </si>
  <si>
    <t>Pooja Kumar</t>
  </si>
  <si>
    <t xml:space="preserve">Anika Singh   </t>
  </si>
  <si>
    <t>Kavita Sharma</t>
  </si>
  <si>
    <t>Suresh Kumar</t>
  </si>
  <si>
    <t>Aarav Mehta</t>
  </si>
  <si>
    <t>Aaradhya Iyer</t>
  </si>
  <si>
    <t>Karan Singh</t>
  </si>
  <si>
    <t>Aadhya Singh</t>
  </si>
  <si>
    <t>Aarav Menon</t>
  </si>
  <si>
    <t>Kiara Agarwal</t>
  </si>
  <si>
    <t>Ahana Patel</t>
  </si>
  <si>
    <t>Iraa Shah</t>
  </si>
  <si>
    <t>Rohit Kapoor</t>
  </si>
  <si>
    <t>Kavita Agarwal</t>
  </si>
  <si>
    <t>Rudra Gupta</t>
  </si>
  <si>
    <t>Dhruv Verma</t>
  </si>
  <si>
    <t>Ananya Verma</t>
  </si>
  <si>
    <t>Aditya Nair</t>
  </si>
  <si>
    <t>Pari Kapoor</t>
  </si>
  <si>
    <t>Prisha Patel</t>
  </si>
  <si>
    <t>Aryan Iyer</t>
  </si>
  <si>
    <t xml:space="preserve">Kavita Shah   </t>
  </si>
  <si>
    <t>Pari Patel</t>
  </si>
  <si>
    <t>Aadhya Mehta</t>
  </si>
  <si>
    <t>Ananya Malhotra</t>
  </si>
  <si>
    <t>Anika Joshi</t>
  </si>
  <si>
    <t>Neha Patel</t>
  </si>
  <si>
    <t>Sanvi Shah</t>
  </si>
  <si>
    <t>Navya Menon</t>
  </si>
  <si>
    <t>Neha Mehta</t>
  </si>
  <si>
    <t>Sara Joshi</t>
  </si>
  <si>
    <t>Diya Reddy</t>
  </si>
  <si>
    <t>Kabir Menon</t>
  </si>
  <si>
    <t>Rahul Desai</t>
  </si>
  <si>
    <t>Arjun Kapoor</t>
  </si>
  <si>
    <t>Riya Kapoor</t>
  </si>
  <si>
    <t xml:space="preserve">  Ishaan Kumar</t>
  </si>
  <si>
    <t>Ishaan Kumar</t>
  </si>
  <si>
    <t>Aarohi Gupta</t>
  </si>
  <si>
    <t>Aditya Patel</t>
  </si>
  <si>
    <t>Ananya Menon</t>
  </si>
  <si>
    <t>Myra Bhatt</t>
  </si>
  <si>
    <t>Pranav Bhatt</t>
  </si>
  <si>
    <t>Kavita Mehta</t>
  </si>
  <si>
    <t>Aadhya Desai</t>
  </si>
  <si>
    <t>Myra Kumar</t>
  </si>
  <si>
    <t>Kartik Malhotra</t>
  </si>
  <si>
    <t>Kavita Patel</t>
  </si>
  <si>
    <t>Kabir Gupta</t>
  </si>
  <si>
    <t>Dhruv Reddy</t>
  </si>
  <si>
    <t>Arjun Singh</t>
  </si>
  <si>
    <t>Rohan Sharma</t>
  </si>
  <si>
    <t>Aarohi Nair</t>
  </si>
  <si>
    <t>Anaya Joshi</t>
  </si>
  <si>
    <t>Ayaan Verma</t>
  </si>
  <si>
    <t>Krishna Desai</t>
  </si>
  <si>
    <t>Meera Chopra</t>
  </si>
  <si>
    <t>Rohan Menon</t>
  </si>
  <si>
    <t>Neha Desai</t>
  </si>
  <si>
    <t>Rohan Agarwal</t>
  </si>
  <si>
    <t>Navya Sharma</t>
  </si>
  <si>
    <t>Vivaan Agarwal</t>
  </si>
  <si>
    <t>Rahul Iyer</t>
  </si>
  <si>
    <t>Rohit Nair</t>
  </si>
  <si>
    <t>product_name</t>
  </si>
  <si>
    <t>category</t>
  </si>
  <si>
    <t>unit_cost</t>
  </si>
  <si>
    <t>is_active</t>
  </si>
  <si>
    <t>Smartphone Pro</t>
  </si>
  <si>
    <t>Electronics</t>
  </si>
  <si>
    <t>Wireless Earbuds</t>
  </si>
  <si>
    <t>Smart Watch</t>
  </si>
  <si>
    <t>Laptop Bag</t>
  </si>
  <si>
    <t>Power Bank</t>
  </si>
  <si>
    <t>Bluetooth Speaker</t>
  </si>
  <si>
    <t>USB-C Cable</t>
  </si>
  <si>
    <t>Wireless Mouse</t>
  </si>
  <si>
    <t>Mechanical Keyboard</t>
  </si>
  <si>
    <t>Tablet Stand</t>
  </si>
  <si>
    <t>Cotton T-Shirt</t>
  </si>
  <si>
    <t>Apparel</t>
  </si>
  <si>
    <t>Denim Jeans</t>
  </si>
  <si>
    <t>Formal Shirt</t>
  </si>
  <si>
    <t>Winter Jacket</t>
  </si>
  <si>
    <t>Sports Shoes</t>
  </si>
  <si>
    <t>Casual Sneakers</t>
  </si>
  <si>
    <t>Silk Saree</t>
  </si>
  <si>
    <t>Kurta Set</t>
  </si>
  <si>
    <t>Track Pants</t>
  </si>
  <si>
    <t>Woolen Sweater</t>
  </si>
  <si>
    <t>Basmati Rice 5kg</t>
  </si>
  <si>
    <t>Grocery</t>
  </si>
  <si>
    <t>Wheat Flour 10kg</t>
  </si>
  <si>
    <t>Cooking Oil 5L</t>
  </si>
  <si>
    <t>Turmeric Powder 500g</t>
  </si>
  <si>
    <t>Chili Powder 500g</t>
  </si>
  <si>
    <t>Sugar 5kg</t>
  </si>
  <si>
    <t>Tea Leaves 1kg</t>
  </si>
  <si>
    <t>Coffee Beans 500g</t>
  </si>
  <si>
    <t>Ghee 1L</t>
  </si>
  <si>
    <t>Salt 1kg</t>
  </si>
  <si>
    <t>Bed Sheet Set</t>
  </si>
  <si>
    <t>Home</t>
  </si>
  <si>
    <t>Pillow Cover Pair</t>
  </si>
  <si>
    <t>Curtain Set</t>
  </si>
  <si>
    <t>Kitchen Towel Set</t>
  </si>
  <si>
    <t>Doormat</t>
  </si>
  <si>
    <t>Wall Clock</t>
  </si>
  <si>
    <t>Table Lamp</t>
  </si>
  <si>
    <t>Storage Box</t>
  </si>
  <si>
    <t>Photo Frame</t>
  </si>
  <si>
    <t>Cushion Cover</t>
  </si>
  <si>
    <t>Face Wash 100ml</t>
  </si>
  <si>
    <t>Beauty</t>
  </si>
  <si>
    <t>Moisturizer 200ml</t>
  </si>
  <si>
    <t>Shampoo 500ml</t>
  </si>
  <si>
    <t>Conditioner 500ml</t>
  </si>
  <si>
    <t>Body Lotion 400ml</t>
  </si>
  <si>
    <t>Sunscreen SPF50</t>
  </si>
  <si>
    <t>Lipstick</t>
  </si>
  <si>
    <t>Kajal</t>
  </si>
  <si>
    <t>Hair Oil 200ml</t>
  </si>
  <si>
    <t>Perfume 100ml</t>
  </si>
  <si>
    <t>Yoga Mat</t>
  </si>
  <si>
    <t>Sports</t>
  </si>
  <si>
    <t>Dumbbells 5kg</t>
  </si>
  <si>
    <t>Skipping Rope</t>
  </si>
  <si>
    <t>Cricket Bat</t>
  </si>
  <si>
    <t>Football Size 5</t>
  </si>
  <si>
    <t>Badminton Racket</t>
  </si>
  <si>
    <t>Tennis Ball Pack</t>
  </si>
  <si>
    <t>Cycling Helmet</t>
  </si>
  <si>
    <t>Water Bottle 1L</t>
  </si>
  <si>
    <t>Gym Gloves</t>
  </si>
  <si>
    <t>rep_id</t>
  </si>
  <si>
    <t>rep_name</t>
  </si>
  <si>
    <t>region</t>
  </si>
  <si>
    <t>hire_date</t>
  </si>
  <si>
    <t>team_lead_id</t>
  </si>
  <si>
    <t>Rajesh Malhotra</t>
  </si>
  <si>
    <t>North</t>
  </si>
  <si>
    <t>Sunita Malhotra</t>
  </si>
  <si>
    <t>Amit Singh</t>
  </si>
  <si>
    <t>Priya Singh</t>
  </si>
  <si>
    <t>Vikram Patel</t>
  </si>
  <si>
    <t>Suresh Menon</t>
  </si>
  <si>
    <t>Manoj Patel</t>
  </si>
  <si>
    <t>South</t>
  </si>
  <si>
    <t>Divya Rao</t>
  </si>
  <si>
    <t>Anil Verma</t>
  </si>
  <si>
    <t>Pooja Nair</t>
  </si>
  <si>
    <t>Sanjay Kapoor</t>
  </si>
  <si>
    <t>Ritu Menon</t>
  </si>
  <si>
    <t>Deepak Shah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</si>
  <si>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</si>
  <si>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</si>
  <si>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</si>
  <si>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</si>
  <si>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</si>
  <si>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</si>
  <si>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</si>
  <si>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Nisha Menon</t>
  </si>
  <si>
    <t>Vinod Kumar</t>
  </si>
  <si>
    <t>Rekha Chopra</t>
  </si>
  <si>
    <t>West</t>
  </si>
  <si>
    <t>Ashok Reddy</t>
  </si>
  <si>
    <t>Sonia Malhotra</t>
  </si>
  <si>
    <t>Ramesh Bhatt</t>
  </si>
  <si>
    <t>Preeti Shah</t>
  </si>
  <si>
    <t>Arun Iyer</t>
  </si>
  <si>
    <t>Kiran Bhatt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</si>
  <si>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</si>
  <si>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</si>
  <si>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</si>
  <si>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</si>
  <si>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</si>
  <si>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</si>
  <si>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</si>
  <si>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</si>
  <si>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</si>
  <si>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</si>
  <si>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</si>
  <si>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</si>
  <si>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VLOOKUP · INDEX-MATCH · Two-way lookup · Chain lookup · Approximate lookup · Self-join</t>
  </si>
  <si>
    <t>Q#</t>
  </si>
  <si>
    <t>Question</t>
  </si>
  <si>
    <t>Hint</t>
  </si>
  <si>
    <t>Your Answer</t>
  </si>
  <si>
    <t>Format</t>
  </si>
  <si>
    <t>Q1.1</t>
  </si>
  <si>
    <t>For order ORD-00234, what is the customer_id?</t>
  </si>
  <si>
    <t>Simple VLOOKUP on Orders sheet.</t>
  </si>
  <si>
    <t>CUST-####</t>
  </si>
  <si>
    <t>Q1.2</t>
  </si>
  <si>
    <t>For order ORD-00456, what is the product_name? (You will need to look up the product_id first, then find its name in Products.)</t>
  </si>
  <si>
    <t>Two-step lookup, or nested VLOOKUP.</t>
  </si>
  <si>
    <t>Text</t>
  </si>
  <si>
    <t>Q1.3</t>
  </si>
  <si>
    <t>For order ORD-00987, what is the rep_name of the sales rep? Note: the rep_name is in a column that appears to the LEFT of what you might look up first.</t>
  </si>
  <si>
    <t>Q1.4</t>
  </si>
  <si>
    <t>From the Targets sheet, what is the target value for rep R012 in the month Mar-24?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</si>
  <si>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</si>
  <si>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</si>
  <si>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</si>
  <si>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</si>
  <si>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Multi-hop lookup across sheets.</t>
  </si>
  <si>
    <t>Q1.6</t>
  </si>
  <si>
    <t>For order ORD-00789, which DISCOUNT SLAB does it fall in? Use the slab table below (rows 20-24). Slab breakpoints are the LOWER bound of each range.</t>
  </si>
  <si>
    <t>Approximate-match VLOOKUP (sort ascending, TRUE / omit last arg).</t>
  </si>
  <si>
    <t>Q1.7</t>
  </si>
  <si>
    <t>Two lookups joined with &amp; or CONCATENATE.</t>
  </si>
  <si>
    <t>Q1.8</t>
  </si>
  <si>
    <t>Look up the team_lead_id, then look up THAT id's rep_name.</t>
  </si>
  <si>
    <t>DISCOUNT SLAB REFERENCE TABLE (use for Q1.6)</t>
  </si>
  <si>
    <t>Discount % (Lower)</t>
  </si>
  <si>
    <t>Slab</t>
  </si>
  <si>
    <t>Bronze</t>
  </si>
  <si>
    <t>Silver</t>
  </si>
  <si>
    <t>Gold</t>
  </si>
  <si>
    <t>Platinum</t>
  </si>
  <si>
    <t>Duplicates · Whitespace · Case Inconsistency · Referential Integrity · Discontinued SKUs · Anomaly Patterns</t>
  </si>
  <si>
    <t>Q2.1</t>
  </si>
  <si>
    <t>How many DUPLICATE rows exist in the Orders sheet (i.e., how many order_id values appear more than once)? Count each duplicate as ONE (not the extras).</t>
  </si>
  <si>
    <t>Q2.2</t>
  </si>
  <si>
    <t>How many customers in the Customers sheet have LEADING or TRAILING whitespace in their customer_name?</t>
  </si>
  <si>
    <t>Compare LEN vs LEN(TRIM). Or use SUMPRODUCT with a boolean.</t>
  </si>
  <si>
    <t>Q2.3</t>
  </si>
  <si>
    <t>The Customers sheet has some cities in inconsistent case (e.g., "mumbai", "MUMBAI", "Mumbai"). How many DISTINCT cities exist AFTER standardizing case?</t>
  </si>
  <si>
    <t>Combine PROPER/UPPER with a de-dup count. SUMPRODUCT + 1/COUNTIF trick works.</t>
  </si>
  <si>
    <t>Q2.4</t>
  </si>
  <si>
    <t>How many orders reference a customer_id that DOES NOT EXIST in the Customers sheet? (Broken foreign key)</t>
  </si>
  <si>
    <t>Use MATCH with ISNA/ISERROR, then count.</t>
  </si>
  <si>
    <t>Q2.5</t>
  </si>
  <si>
    <t>How many orders reference a product that is currently DISCONTINUED (is_active = FALSE in the Products sheet)?</t>
  </si>
  <si>
    <t>VLOOKUP the is_active flag, then count where FALSE.</t>
  </si>
  <si>
    <t>Q2.6</t>
  </si>
  <si>
    <t>COUNTIFS with two criteria.</t>
  </si>
  <si>
    <t>SUMIFS · COUNTIFS · AVERAGEIFS · Nested IF logic · Multi-sheet aggregation · Top-N logic</t>
  </si>
  <si>
    <t>Q3.1</t>
  </si>
  <si>
    <t>What is the TOTAL REVENUE (sum of final_amount) for orders in Q3 2024 (Jul-Sep) where ship_city is Mumbai?</t>
  </si>
  <si>
    <t>SUMIFS with 3 conditions: date &gt;= start, date &lt;= end, city = Mumbai. Beware case issues.</t>
  </si>
  <si>
    <t>Currency</t>
  </si>
  <si>
    <t>Q3.2</t>
  </si>
  <si>
    <t>How many orders have discount_pct &gt; 15% AND payment_status = "Completed"?</t>
  </si>
  <si>
    <t>COUNTIFS with two conditions.</t>
  </si>
  <si>
    <t>Q3.3</t>
  </si>
  <si>
    <t>Helper columns in Orders: VLOOKUP category from Products, VLOOKUP segment from Customers. Then AVERAGEIFS.</t>
  </si>
  <si>
    <t>Q3.4</t>
  </si>
  <si>
    <t>What is the COMBINED REVENUE of the TOP 3 reps by total revenue? (Sum of the 3 highest rep totals.)</t>
  </si>
  <si>
    <t>Compute per-rep totals, then use SUMPRODUCT with LARGE, or sort and sum top 3.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</si>
  <si>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</si>
  <si>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</si>
  <si>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</si>
  <si>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Q3.6</t>
  </si>
  <si>
    <t>What is the TOTAL revenue from Corporate segment customers aged between 30 and 40 (both inclusive)?</t>
  </si>
  <si>
    <t>Helper columns for age and segment. Then SUMIFS with numeric range.</t>
  </si>
  <si>
    <t>2D Pivots · Filters · % of Row Total · Date Grouping · Calculated Fields · Cross-Sheet Data</t>
  </si>
  <si>
    <t>Q4.1</t>
  </si>
  <si>
    <t>Build a pivot with sales_region as rows and product category as columns, values = SUM of final_amount. What value appears at the intersection of "South" and "Electronics"?</t>
  </si>
  <si>
    <t>You need to add category (from Products) and region (from Sales_Reps) as columns to Orders first. Insert PivotTable from combined data.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</si>
  <si>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</si>
  <si>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</si>
  <si>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</si>
  <si>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Q4.3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</si>
  <si>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</si>
  <si>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</si>
  <si>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</si>
  <si>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Q4.4</t>
  </si>
  <si>
    <t>Group order dates by QUARTER in a pivot. What is the total revenue for Q4 2024 (Oct-Dec)?</t>
  </si>
  <si>
    <t>PivotTable → Group By → Quarter. Or SUMIFS with date range.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</si>
  <si>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</si>
  <si>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</si>
  <si>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</si>
  <si>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RANK · Running Totals · TEXTJOIN · LARGE + INDEX/MATCH · Multi-condition top-N</t>
  </si>
  <si>
    <t>Q5.1</t>
  </si>
  <si>
    <t>Rank all sales reps by total revenue (highest = rank 1). Who (name) is at RANK #7?</t>
  </si>
  <si>
    <t>Per-rep totals, then use RANK.EQ, or sort. Return the rep_name at position 7.</t>
  </si>
  <si>
    <t>Q5.2</t>
  </si>
  <si>
    <t>What is the CUMULATIVE revenue from Jan 2024 through the end of Aug 2024? (Sum of final_amount where order_date &lt;= 31-Aug-2024.)</t>
  </si>
  <si>
    <t>SUMIFS with date &lt;=.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</si>
  <si>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</si>
  <si>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</si>
  <si>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</si>
  <si>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</si>
  <si>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</si>
  <si>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</si>
  <si>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Q5.5</t>
  </si>
  <si>
    <t>What is the HIGHEST single order value (final_amount) where ship_city = "Bengaluru" AND the product's category = "Grocery"?</t>
  </si>
  <si>
    <t>MAXIFS with a category helper column, or nested MAX(IF()).</t>
  </si>
  <si>
    <t>THE UNLOX ACADEMY - DA/DS TRACK</t>
  </si>
  <si>
    <t>Excel Minor Project - Sales Operations Analytics</t>
  </si>
  <si>
    <t>Interview-Grade Data Analytics Assessment · 100 Marks</t>
  </si>
  <si>
    <t>The head of sales has handed you 5 raw data files - Orders, Customers, Products, Sales Reps, and Targets - and asked</t>
  </si>
  <si>
    <t>Part of the assessment is spotting and handling these issues correctly. A wrong-looking answer isn't always wrong -</t>
  </si>
  <si>
    <t>4. Partial credit is awarded - a right approach with a small error scores more than a blank cell.</t>
  </si>
  <si>
    <t>6. Time management matters - attempt every section, perfect none if needed.</t>
  </si>
  <si>
    <t>Round 1 clear - Excel not a concern</t>
  </si>
  <si>
    <t>Round 1 uncertain - needs revision</t>
  </si>
  <si>
    <t>Round 1 likely reject - 2 weeks of practice needed</t>
  </si>
  <si>
    <t>Round 1 reject - foundational gaps</t>
  </si>
  <si>
    <t>VLOOKUP has directional limits - INDEX/MATCH does not.</t>
  </si>
  <si>
    <t>For order ORD-01234, in one cell produce the string:  "&lt;rep_name&gt; (&lt;sales_region&gt;)"  - e.g. "Amit Singh (South)".</t>
  </si>
  <si>
    <t>What is the rep_name of the TEAM LEAD for rep R017? (The Sales_Reps sheet has team_lead_id - you need to self-join to find that person's name.)</t>
  </si>
  <si>
    <t>Find the "suspicious pattern": how many orders have payment_status = "Cancelled" AND a discount_pct &gt; 20%? (This pattern often indicates promo abuse - a real-world diagnostic query.)</t>
  </si>
  <si>
    <t>COUNTIF &gt; 1, then count. Watch what you're counting - rows or IDs.</t>
  </si>
  <si>
    <t>What is the AVERAGE final_amount for orders where the product CATEGORY is "Electronics" AND the customer SEGMENT is "Corporate"? Note: Both fields come from OTHER sheets - you'll need helper columns.</t>
  </si>
  <si>
    <t>Q1 - LOOKUP FUNCTIONS  (25 marks total)</t>
  </si>
  <si>
    <t>Q2 - DATA CLEANING &amp; QUALITY DIAGNOSTICS  (20 marks total)</t>
  </si>
  <si>
    <t>Q3 - CONDITIONAL AGGREGATION  (25 marks total)</t>
  </si>
  <si>
    <t>Q4 - PIVOT TABLES  (20 marks total)</t>
  </si>
  <si>
    <t>Q5 - ADVANCED  (10 marks total)</t>
  </si>
  <si>
    <t>Category</t>
  </si>
  <si>
    <t>Segment</t>
  </si>
  <si>
    <t xml:space="preserve">Age </t>
  </si>
  <si>
    <t>Region</t>
  </si>
  <si>
    <t>Total Revenue</t>
  </si>
  <si>
    <t>Below</t>
  </si>
  <si>
    <t xml:space="preserve">Region </t>
  </si>
  <si>
    <t>Row Labels</t>
  </si>
  <si>
    <t>Grand Total</t>
  </si>
  <si>
    <t>Column Labels</t>
  </si>
  <si>
    <t>Sum of final_amount</t>
  </si>
  <si>
    <t>Unit Cost</t>
  </si>
  <si>
    <t>Average of profit_margin</t>
  </si>
  <si>
    <t>Rank</t>
  </si>
  <si>
    <t>West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</si>
</sst>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9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2"/>
      <color rgb="FF1F4E79"/>
      <name val="Arial"/>
    </font>
    <font>
      <sz val="10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name val="Arial"/>
    </font>
    <font>
      <b/>
      <sz val="16"/>
      <color rgb="FFFFFFFF"/>
      <name val="Arial"/>
    </font>
    <font>
      <i/>
      <sz val="10"/>
      <color rgb="FF1F4E79"/>
      <name val="Arial"/>
    </font>
    <font>
      <b/>
      <sz val="10"/>
      <color rgb="FF1F4E79"/>
      <name val="Arial"/>
    </font>
    <font>
      <i/>
      <sz val="9"/>
      <color rgb="FF595959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" xfId="0" applyBorder="1"/>
    <xf numFmtId="0" fontId="6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15" fillId="0" borderId="0" xfId="0" applyFont="1"/>
    <xf numFmtId="0" fontId="16" fillId="0" borderId="1" xfId="0" applyFont="1" applyBorder="1" applyAlignment="1">
      <alignment horizontal="left"/>
    </xf>
    <xf numFmtId="0" fontId="17" fillId="0" borderId="2" xfId="0" applyFont="1" applyBorder="1" applyAlignment="1">
      <alignment horizontal="left" vertical="center" wrapText="1"/>
    </xf>
    <xf numFmtId="0" fontId="0" fillId="0" borderId="0" xfId="0"/>
    <xf numFmtId="0" fontId="18" fillId="2" borderId="3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  <xf numFmtId="10" fontId="0" fillId="0" borderId="0" xfId="0" applyNumberFormat="1"/>
    <xf numFmtId="10" fontId="8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0" fillId="0" borderId="0" xfId="0"/>
    <xf numFmtId="0" fontId="4" fillId="0" borderId="0" xfId="0" applyFont="1"/>
    <xf numFmtId="0" fontId="10" fillId="0" borderId="2" xfId="0" applyFont="1" applyBorder="1" applyAlignment="1">
      <alignment horizontal="center" vertical="center"/>
    </xf>
    <xf numFmtId="0" fontId="0" fillId="0" borderId="2" xfId="0" applyBorder="1"/>
    <xf numFmtId="0" fontId="9" fillId="2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3" fontId="0" fillId="0" borderId="0" xfId="0" applyNumberFormat="1"/>
    <xf numFmtId="3" fontId="8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83.790891435186" createdVersion="6" refreshedVersion="6" minRefreshableVersion="3" recordCount="2000">
  <cacheSource type="worksheet">
    <worksheetSource ref="A1:R2001" sheet="Orders"/>
  </cacheSource>
  <cacheFields count="19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4-12-31T00:00:00" count="365">
        <d v="2024-09-14T00:00:00"/>
        <d v="2024-02-18T00:00:00"/>
        <d v="2024-03-20T00:00:00"/>
        <d v="2024-05-01T00:00:00"/>
        <d v="2024-11-15T00:00:00"/>
        <d v="2024-04-24T00:00:00"/>
        <d v="2024-06-12T00:00:00"/>
        <d v="2024-11-21T00:00:00"/>
        <d v="2024-04-14T00:00:00"/>
        <d v="2024-09-25T00:00:00"/>
        <d v="2024-02-10T00:00:00"/>
        <d v="2024-08-03T00:00:00"/>
        <d v="2024-06-23T00:00:00"/>
        <d v="2024-03-14T00:00:00"/>
        <d v="2024-09-11T00:00:00"/>
        <d v="2024-08-08T00:00:00"/>
        <d v="2024-12-28T00:00:00"/>
        <d v="2024-11-30T00:00:00"/>
        <d v="2024-04-12T00:00:00"/>
        <d v="2024-06-27T00:00:00"/>
        <d v="2024-03-03T00:00:00"/>
        <d v="2024-08-26T00:00:00"/>
        <d v="2024-06-29T00:00:00"/>
        <d v="2024-10-05T00:00:00"/>
        <d v="2024-04-19T00:00:00"/>
        <d v="2024-08-13T00:00:00"/>
        <d v="2024-03-12T00:00:00"/>
        <d v="2024-03-16T00:00:00"/>
        <d v="2024-10-04T00:00:00"/>
        <d v="2024-12-15T00:00:00"/>
        <d v="2024-02-21T00:00:00"/>
        <d v="2024-10-11T00:00:00"/>
        <d v="2024-06-19T00:00:00"/>
        <d v="2024-05-30T00:00:00"/>
        <d v="2024-12-20T00:00:00"/>
        <d v="2024-07-05T00:00:00"/>
        <d v="2024-03-04T00:00:00"/>
        <d v="2024-11-03T00:00:00"/>
        <d v="2024-11-10T00:00:00"/>
        <d v="2024-05-20T00:00:00"/>
        <d v="2024-04-10T00:00:00"/>
        <d v="2024-03-22T00:00:00"/>
        <d v="2024-01-21T00:00:00"/>
        <d v="2024-03-19T00:00:00"/>
        <d v="2024-04-07T00:00:00"/>
        <d v="2024-09-30T00:00:00"/>
        <d v="2024-02-01T00:00:00"/>
        <d v="2024-08-02T00:00:00"/>
        <d v="2024-11-20T00:00:00"/>
        <d v="2024-05-16T00:00:00"/>
        <d v="2024-08-11T00:00:00"/>
        <d v="2024-12-23T00:00:00"/>
        <d v="2024-10-08T00:00:00"/>
        <d v="2024-05-05T00:00:00"/>
        <d v="2024-05-13T00:00:00"/>
        <d v="2024-10-24T00:00:00"/>
        <d v="2024-07-15T00:00:00"/>
        <d v="2024-06-22T00:00:00"/>
        <d v="2024-01-26T00:00:00"/>
        <d v="2024-07-26T00:00:00"/>
        <d v="2024-02-06T00:00:00"/>
        <d v="2024-06-16T00:00:00"/>
        <d v="2024-04-16T00:00:00"/>
        <d v="2024-02-24T00:00:00"/>
        <d v="2024-07-10T00:00:00"/>
        <d v="2024-10-20T00:00:00"/>
        <d v="2024-07-27T00:00:00"/>
        <d v="2024-03-24T00:00:00"/>
        <d v="2024-05-31T00:00:00"/>
        <d v="2024-04-08T00:00:00"/>
        <d v="2024-11-19T00:00:00"/>
        <d v="2024-07-25T00:00:00"/>
        <d v="2024-08-24T00:00:00"/>
        <d v="2024-04-20T00:00:00"/>
        <d v="2024-09-12T00:00:00"/>
        <d v="2024-05-12T00:00:00"/>
        <d v="2024-06-18T00:00:00"/>
        <d v="2024-11-04T00:00:00"/>
        <d v="2024-10-22T00:00:00"/>
        <d v="2024-08-14T00:00:00"/>
        <d v="2024-08-29T00:00:00"/>
        <d v="2024-11-26T00:00:00"/>
        <d v="2024-03-29T00:00:00"/>
        <d v="2024-12-22T00:00:00"/>
        <d v="2024-11-11T00:00:00"/>
        <d v="2024-05-02T00:00:00"/>
        <d v="2024-06-15T00:00:00"/>
        <d v="2024-05-14T00:00:00"/>
        <d v="2024-09-22T00:00:00"/>
        <d v="2024-08-05T00:00:00"/>
        <d v="2024-02-07T00:00:00"/>
        <d v="2024-04-29T00:00:00"/>
        <d v="2024-01-06T00:00:00"/>
        <d v="2024-12-14T00:00:00"/>
        <d v="2024-01-31T00:00:00"/>
        <d v="2024-10-27T00:00:00"/>
        <d v="2024-05-27T00:00:00"/>
        <d v="2024-07-13T00:00:00"/>
        <d v="2024-12-03T00:00:00"/>
        <d v="2024-06-10T00:00:00"/>
        <d v="2024-11-01T00:00:00"/>
        <d v="2024-08-27T00:00:00"/>
        <d v="2024-10-31T00:00:00"/>
        <d v="2024-05-08T00:00:00"/>
        <d v="2024-05-04T00:00:00"/>
        <d v="2024-11-18T00:00:00"/>
        <d v="2024-10-28T00:00:00"/>
        <d v="2024-03-09T00:00:00"/>
        <d v="2024-12-02T00:00:00"/>
        <d v="2024-11-16T00:00:00"/>
        <d v="2024-09-06T00:00:00"/>
        <d v="2024-08-20T00:00:00"/>
        <d v="2024-02-22T00:00:00"/>
        <d v="2024-06-20T00:00:00"/>
        <d v="2024-01-10T00:00:00"/>
        <d v="2024-09-24T00:00:00"/>
        <d v="2024-02-29T00:00:00"/>
        <d v="2024-11-08T00:00:00"/>
        <d v="2024-08-04T00:00:00"/>
        <d v="2024-01-18T00:00:00"/>
        <d v="2024-06-05T00:00:00"/>
        <d v="2024-06-06T00:00:00"/>
        <d v="2024-09-20T00:00:00"/>
        <d v="2024-02-19T00:00:00"/>
        <d v="2024-05-10T00:00:00"/>
        <d v="2024-01-27T00:00:00"/>
        <d v="2024-08-17T00:00:00"/>
        <d v="2024-10-30T00:00:00"/>
        <d v="2024-12-18T00:00:00"/>
        <d v="2024-01-07T00:00:00"/>
        <d v="2024-06-04T00:00:00"/>
        <d v="2024-11-05T00:00:00"/>
        <d v="2024-04-27T00:00:00"/>
        <d v="2024-10-14T00:00:00"/>
        <d v="2024-02-27T00:00:00"/>
        <d v="2024-07-16T00:00:00"/>
        <d v="2024-06-14T00:00:00"/>
        <d v="2024-01-03T00:00:00"/>
        <d v="2024-02-23T00:00:00"/>
        <d v="2024-04-09T00:00:00"/>
        <d v="2024-05-07T00:00:00"/>
        <d v="2024-01-15T00:00:00"/>
        <d v="2024-12-07T00:00:00"/>
        <d v="2024-03-31T00:00:00"/>
        <d v="2024-02-11T00:00:00"/>
        <d v="2024-06-13T00:00:00"/>
        <d v="2024-01-04T00:00:00"/>
        <d v="2024-08-28T00:00:00"/>
        <d v="2024-09-29T00:00:00"/>
        <d v="2024-09-04T00:00:00"/>
        <d v="2024-11-09T00:00:00"/>
        <d v="2024-06-17T00:00:00"/>
        <d v="2024-09-03T00:00:00"/>
        <d v="2024-01-29T00:00:00"/>
        <d v="2024-02-28T00:00:00"/>
        <d v="2024-07-19T00:00:00"/>
        <d v="2024-07-17T00:00:00"/>
        <d v="2024-10-26T00:00:00"/>
        <d v="2024-01-28T00:00:00"/>
        <d v="2024-08-23T00:00:00"/>
        <d v="2024-10-07T00:00:00"/>
        <d v="2024-12-11T00:00:00"/>
        <d v="2024-01-24T00:00:00"/>
        <d v="2024-03-23T00:00:00"/>
        <d v="2024-02-13T00:00:00"/>
        <d v="2024-12-30T00:00:00"/>
        <d v="2024-08-30T00:00:00"/>
        <d v="2024-12-13T00:00:00"/>
        <d v="2024-12-27T00:00:00"/>
        <d v="2024-04-18T00:00:00"/>
        <d v="2024-11-12T00:00:00"/>
        <d v="2024-04-23T00:00:00"/>
        <d v="2024-07-31T00:00:00"/>
        <d v="2024-07-14T00:00:00"/>
        <d v="2024-01-02T00:00:00"/>
        <d v="2024-12-17T00:00:00"/>
        <d v="2024-09-07T00:00:00"/>
        <d v="2024-03-02T00:00:00"/>
        <d v="2024-07-07T00:00:00"/>
        <d v="2024-02-04T00:00:00"/>
        <d v="2024-12-01T00:00:00"/>
        <d v="2024-12-24T00:00:00"/>
        <d v="2024-09-10T00:00:00"/>
        <d v="2024-04-13T00:00:00"/>
        <d v="2024-12-10T00:00:00"/>
        <d v="2024-07-22T00:00:00"/>
        <d v="2024-02-15T00:00:00"/>
        <d v="2024-08-07T00:00:00"/>
        <d v="2024-01-30T00:00:00"/>
        <d v="2024-10-10T00:00:00"/>
        <d v="2024-08-18T00:00:00"/>
        <d v="2024-08-09T00:00:00"/>
        <d v="2024-04-25T00:00:00"/>
        <d v="2024-01-08T00:00:00"/>
        <d v="2024-04-04T00:00:00"/>
        <d v="2024-05-18T00:00:00"/>
        <d v="2024-05-06T00:00:00"/>
        <d v="2024-01-05T00:00:00"/>
        <d v="2024-12-12T00:00:00"/>
        <d v="2024-04-26T00:00:00"/>
        <d v="2024-02-16T00:00:00"/>
        <d v="2024-08-25T00:00:00"/>
        <d v="2024-01-19T00:00:00"/>
        <d v="2024-01-23T00:00:00"/>
        <d v="2024-11-23T00:00:00"/>
        <d v="2024-09-02T00:00:00"/>
        <d v="2024-07-02T00:00:00"/>
        <d v="2024-11-28T00:00:00"/>
        <d v="2024-12-09T00:00:00"/>
        <d v="2024-05-03T00:00:00"/>
        <d v="2024-04-21T00:00:00"/>
        <d v="2024-09-19T00:00:00"/>
        <d v="2024-01-09T00:00:00"/>
        <d v="2024-03-17T00:00:00"/>
        <d v="2024-07-08T00:00:00"/>
        <d v="2024-12-06T00:00:00"/>
        <d v="2024-06-07T00:00:00"/>
        <d v="2024-04-03T00:00:00"/>
        <d v="2024-12-19T00:00:00"/>
        <d v="2024-12-29T00:00:00"/>
        <d v="2024-02-17T00:00:00"/>
        <d v="2024-11-22T00:00:00"/>
        <d v="2024-10-25T00:00:00"/>
        <d v="2024-09-18T00:00:00"/>
        <d v="2024-05-22T00:00:00"/>
        <d v="2024-06-03T00:00:00"/>
        <d v="2024-08-16T00:00:00"/>
        <d v="2024-09-09T00:00:00"/>
        <d v="2024-10-15T00:00:00"/>
        <d v="2024-03-28T00:00:00"/>
        <d v="2024-09-26T00:00:00"/>
        <d v="2024-01-17T00:00:00"/>
        <d v="2024-09-28T00:00:00"/>
        <d v="2024-07-03T00:00:00"/>
        <d v="2024-03-13T00:00:00"/>
        <d v="2024-11-27T00:00:00"/>
        <d v="2024-05-29T00:00:00"/>
        <d v="2024-10-02T00:00:00"/>
        <d v="2024-02-09T00:00:00"/>
        <d v="2024-03-27T00:00:00"/>
        <d v="2024-07-30T00:00:00"/>
        <d v="2024-10-19T00:00:00"/>
        <d v="2024-05-28T00:00:00"/>
        <d v="2024-03-07T00:00:00"/>
        <d v="2024-04-05T00:00:00"/>
        <d v="2024-04-15T00:00:00"/>
        <d v="2024-01-16T00:00:00"/>
        <d v="2024-11-24T00:00:00"/>
        <d v="2024-10-16T00:00:00"/>
        <d v="2024-04-30T00:00:00"/>
        <d v="2024-03-15T00:00:00"/>
        <d v="2024-10-12T00:00:00"/>
        <d v="2024-12-05T00:00:00"/>
        <d v="2024-06-11T00:00:00"/>
        <d v="2024-09-27T00:00:00"/>
        <d v="2024-07-24T00:00:00"/>
        <d v="2024-08-06T00:00:00"/>
        <d v="2024-03-30T00:00:00"/>
        <d v="2024-02-02T00:00:00"/>
        <d v="2024-02-08T00:00:00"/>
        <d v="2024-02-14T00:00:00"/>
        <d v="2024-10-21T00:00:00"/>
        <d v="2024-12-21T00:00:00"/>
        <d v="2024-07-23T00:00:00"/>
        <d v="2024-03-18T00:00:00"/>
        <d v="2024-08-01T00:00:00"/>
        <d v="2024-04-01T00:00:00"/>
        <d v="2024-07-01T00:00:00"/>
        <d v="2024-03-10T00:00:00"/>
        <d v="2024-09-15T00:00:00"/>
        <d v="2024-07-12T00:00:00"/>
        <d v="2024-08-19T00:00:00"/>
        <d v="2024-01-11T00:00:00"/>
        <d v="2024-05-15T00:00:00"/>
        <d v="2024-04-11T00:00:00"/>
        <d v="2024-08-31T00:00:00"/>
        <d v="2024-10-23T00:00:00"/>
        <d v="2024-06-26T00:00:00"/>
        <d v="2024-09-17T00:00:00"/>
        <d v="2024-03-01T00:00:00"/>
        <d v="2024-04-22T00:00:00"/>
        <d v="2024-08-15T00:00:00"/>
        <d v="2024-08-10T00:00:00"/>
        <d v="2024-08-21T00:00:00"/>
        <d v="2024-11-17T00:00:00"/>
        <d v="2024-07-11T00:00:00"/>
        <d v="2024-10-01T00:00:00"/>
        <d v="2024-12-08T00:00:00"/>
        <d v="2024-01-20T00:00:00"/>
        <d v="2024-09-13T00:00:00"/>
        <d v="2024-06-25T00:00:00"/>
        <d v="2024-01-12T00:00:00"/>
        <d v="2024-05-09T00:00:00"/>
        <d v="2024-07-20T00:00:00"/>
        <d v="2024-11-14T00:00:00"/>
        <d v="2024-05-24T00:00:00"/>
        <d v="2024-10-03T00:00:00"/>
        <d v="2024-10-06T00:00:00"/>
        <d v="2024-03-06T00:00:00"/>
        <d v="2024-06-24T00:00:00"/>
        <d v="2024-01-13T00:00:00"/>
        <d v="2024-05-21T00:00:00"/>
        <d v="2024-07-04T00:00:00"/>
        <d v="2024-11-13T00:00:00"/>
        <d v="2024-07-18T00:00:00"/>
        <d v="2024-02-20T00:00:00"/>
        <d v="2024-04-28T00:00:00"/>
        <d v="2024-09-23T00:00:00"/>
        <d v="2024-10-09T00:00:00"/>
        <d v="2024-01-25T00:00:00"/>
        <d v="2024-06-08T00:00:00"/>
        <d v="2024-11-02T00:00:00"/>
        <d v="2024-03-26T00:00:00"/>
        <d v="2024-05-19T00:00:00"/>
        <d v="2024-06-28T00:00:00"/>
        <d v="2024-07-21T00:00:00"/>
        <d v="2024-12-04T00:00:00"/>
        <d v="2024-09-16T00:00:00"/>
        <d v="2024-05-11T00:00:00"/>
        <d v="2024-07-06T00:00:00"/>
        <d v="2024-03-05T00:00:00"/>
        <d v="2024-04-06T00:00:00"/>
        <d v="2024-02-05T00:00:00"/>
        <d v="2024-02-12T00:00:00"/>
        <d v="2024-02-25T00:00:00"/>
        <d v="2024-12-26T00:00:00"/>
        <d v="2024-09-05T00:00:00"/>
        <d v="2024-11-29T00:00:00"/>
        <d v="2024-06-01T00:00:00"/>
        <d v="2024-10-17T00:00:00"/>
        <d v="2024-12-25T00:00:00"/>
        <d v="2024-03-11T00:00:00"/>
        <d v="2024-03-21T00:00:00"/>
        <d v="2024-02-26T00:00:00"/>
        <d v="2024-05-26T00:00:00"/>
        <d v="2024-05-17T00:00:00"/>
        <d v="2024-10-18T00:00:00"/>
        <d v="2024-07-09T00:00:00"/>
        <d v="2024-06-02T00:00:00"/>
        <d v="2024-06-30T00:00:00"/>
        <d v="2024-08-12T00:00:00"/>
        <d v="2024-11-06T00:00:00"/>
        <d v="2024-04-17T00:00:00"/>
        <d v="2024-01-22T00:00:00"/>
        <d v="2024-10-13T00:00:00"/>
        <d v="2024-10-29T00:00:00"/>
        <d v="2024-01-01T00:00:00"/>
        <d v="2024-05-23T00:00:00"/>
        <d v="2024-11-07T00:00:00"/>
        <d v="2024-07-29T00:00:00"/>
        <d v="2024-07-28T00:00:00"/>
        <d v="2024-03-25T00:00:00"/>
        <d v="2024-05-25T00:00:00"/>
        <d v="2024-03-08T00:00:00"/>
        <d v="2024-02-03T00:00:00"/>
        <d v="2024-09-01T00:00:00"/>
        <d v="2024-11-25T00:00:00"/>
        <d v="2024-08-22T00:00:00"/>
        <d v="2024-06-09T00:00:00"/>
        <d v="2024-01-14T00:00:00"/>
        <d v="2024-04-02T00:00:00"/>
        <d v="2024-09-21T00:00:00"/>
        <d v="2024-12-16T00:00:00"/>
        <d v="2024-09-08T00:00:00"/>
        <d v="2024-06-21T00:00:00"/>
      </sharedItems>
      <fieldGroup par="18" base="1">
        <rangePr groupBy="days" startDate="2024-01-01T00:00:00" endDate="2024-12-31T00:00:00"/>
        <groupItems count="368">
          <s v="&lt;1/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31/2024"/>
        </groupItems>
      </fieldGroup>
    </cacheField>
    <cacheField name="customer_id" numFmtId="0">
      <sharedItems/>
    </cacheField>
    <cacheField name="product_id" numFmtId="0">
      <sharedItems/>
    </cacheField>
    <cacheField name="sales_rep_id" numFmtId="0">
      <sharedItems count="30">
        <s v="R007"/>
        <s v="R005"/>
        <s v="R014"/>
        <s v="R006"/>
        <s v="R008"/>
        <s v="R025"/>
        <s v="R024"/>
        <s v="R019"/>
        <s v="R028"/>
        <s v="R010"/>
        <s v="R004"/>
        <s v="R003"/>
        <s v="R023"/>
        <s v="R021"/>
        <s v="R030"/>
        <s v="R015"/>
        <s v="R020"/>
        <s v="R026"/>
        <s v="R009"/>
        <s v="R001"/>
        <s v="R029"/>
        <s v="R017"/>
        <s v="R013"/>
        <s v="R011"/>
        <s v="R022"/>
        <s v="R002"/>
        <s v="R018"/>
        <s v="R012"/>
        <s v="R027"/>
        <s v="R016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90" maxValue="6940"/>
    </cacheField>
    <cacheField name="discount_pct" numFmtId="0">
      <sharedItems containsSemiMixedTypes="0" containsString="0" containsNumber="1" minValue="0.1" maxValue="30"/>
    </cacheField>
    <cacheField name="final_amount" numFmtId="0">
      <sharedItems containsSemiMixedTypes="0" containsString="0" containsNumber="1" minValue="150.66999999999999" maxValue="68081.399999999994"/>
    </cacheField>
    <cacheField name="payment_status" numFmtId="0">
      <sharedItems/>
    </cacheField>
    <cacheField name="ship_city" numFmtId="0">
      <sharedItems/>
    </cacheField>
    <cacheField name="Category" numFmtId="0">
      <sharedItems count="6">
        <s v="Apparel"/>
        <s v="Sports"/>
        <s v="Grocery"/>
        <s v="Home"/>
        <s v="Electronics"/>
        <s v="Beauty"/>
      </sharedItems>
    </cacheField>
    <cacheField name="Segment" numFmtId="0">
      <sharedItems/>
    </cacheField>
    <cacheField name="Age " numFmtId="0">
      <sharedItems containsMixedTypes="1" containsNumber="1" containsInteger="1" minValue="22" maxValue="65"/>
    </cacheField>
    <cacheField name="Region" numFmtId="0">
      <sharedItems count="4">
        <s v="North"/>
        <s v="South"/>
        <s v="West"/>
        <s v="East"/>
      </sharedItems>
    </cacheField>
    <cacheField name="sales_rep_id2" numFmtId="0">
      <sharedItems/>
    </cacheField>
    <cacheField name="Total Revenue" numFmtId="0">
      <sharedItems containsSemiMixedTypes="0" containsString="0" containsNumber="1" minValue="576305.08000000019" maxValue="1138648.73"/>
    </cacheField>
    <cacheField name="Region " numFmtId="0">
      <sharedItems count="4">
        <s v="North"/>
        <s v="South"/>
        <s v="West"/>
        <s v="East"/>
      </sharedItems>
    </cacheField>
    <cacheField name="Months" numFmtId="0" databaseField="0">
      <fieldGroup base="1">
        <rangePr groupBy="months" startDate="2024-01-01T00:00:00" endDate="2024-12-3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ELL" refreshedDate="46283.81100277778" createdVersion="6" refreshedVersion="6" minRefreshableVersion="3" recordCount="2000">
  <cacheSource type="worksheet">
    <worksheetSource ref="A1:T2001" sheet="Orders"/>
  </cacheSource>
  <cacheFields count="21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4-12-31T00:00:00"/>
    </cacheField>
    <cacheField name="customer_id" numFmtId="0">
      <sharedItems/>
    </cacheField>
    <cacheField name="product_id" numFmtId="0">
      <sharedItems/>
    </cacheField>
    <cacheField name="sales_rep_id" numFmtId="0">
      <sharedItems/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90" maxValue="6940"/>
    </cacheField>
    <cacheField name="discount_pct" numFmtId="0">
      <sharedItems containsSemiMixedTypes="0" containsString="0" containsNumber="1" minValue="0.1" maxValue="30"/>
    </cacheField>
    <cacheField name="final_amount" numFmtId="0">
      <sharedItems containsSemiMixedTypes="0" containsString="0" containsNumber="1" minValue="150.66999999999999" maxValue="68081.399999999994"/>
    </cacheField>
    <cacheField name="payment_status" numFmtId="0">
      <sharedItems/>
    </cacheField>
    <cacheField name="ship_city" numFmtId="0">
      <sharedItems count="8">
        <s v="Pune"/>
        <s v="Chennai"/>
        <s v="Delhi"/>
        <s v="Mumbai"/>
        <s v="Bengaluru"/>
        <s v="Hyderabad"/>
        <s v=" Delhi "/>
        <s v=" Chennai "/>
      </sharedItems>
    </cacheField>
    <cacheField name="Category" numFmtId="0">
      <sharedItems/>
    </cacheField>
    <cacheField name="Segment" numFmtId="0">
      <sharedItems/>
    </cacheField>
    <cacheField name="Age " numFmtId="0">
      <sharedItems containsMixedTypes="1" containsNumber="1" containsInteger="1" minValue="22" maxValue="65"/>
    </cacheField>
    <cacheField name="Region" numFmtId="0">
      <sharedItems/>
    </cacheField>
    <cacheField name="sales_rep_id2" numFmtId="0">
      <sharedItems/>
    </cacheField>
    <cacheField name="Total Revenue" numFmtId="0">
      <sharedItems containsSemiMixedTypes="0" containsString="0" containsNumber="1" minValue="576305.08000000019" maxValue="1138648.73"/>
    </cacheField>
    <cacheField name="Region " numFmtId="0">
      <sharedItems/>
    </cacheField>
    <cacheField name="Category2" numFmtId="0">
      <sharedItems/>
    </cacheField>
    <cacheField name="Unit Cost" numFmtId="0">
      <sharedItems containsSemiMixedTypes="0" containsString="0" containsNumber="1" containsInteger="1" minValue="128" maxValue="2911"/>
    </cacheField>
    <cacheField name="profit_margin" numFmtId="0" formula="(unit_price-'Unit Cost')/unit_pric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">
  <r>
    <s v="ORD-00001"/>
    <x v="0"/>
    <s v="CUST-0243"/>
    <s v="PROD-014"/>
    <x v="0"/>
    <n v="8"/>
    <n v="3620"/>
    <n v="15.4"/>
    <n v="24500.16"/>
    <s v="Completed"/>
    <s v="Pune"/>
    <x v="0"/>
    <s v="SMB"/>
    <n v="44"/>
    <x v="0"/>
    <s v="R007"/>
    <n v="855749.67999999982"/>
    <x v="0"/>
  </r>
  <r>
    <s v="ORD-00002"/>
    <x v="1"/>
    <s v="CUST-0202"/>
    <s v="PROD-020"/>
    <x v="1"/>
    <n v="2"/>
    <n v="820"/>
    <n v="10.8"/>
    <n v="1462.88"/>
    <s v="Pending"/>
    <s v="Chennai"/>
    <x v="0"/>
    <s v="Retail"/>
    <n v="39"/>
    <x v="0"/>
    <s v="R005"/>
    <n v="782445.33"/>
    <x v="0"/>
  </r>
  <r>
    <s v="ORD-00003"/>
    <x v="2"/>
    <s v="CUST-0098"/>
    <s v="PROD-053"/>
    <x v="2"/>
    <n v="8"/>
    <n v="470"/>
    <n v="3.3"/>
    <n v="3635.92"/>
    <s v="Pending"/>
    <s v="Delhi"/>
    <x v="1"/>
    <s v="Retail"/>
    <n v="52"/>
    <x v="1"/>
    <s v="R014"/>
    <n v="995713.54000000015"/>
    <x v="1"/>
  </r>
  <r>
    <s v="ORD-00004"/>
    <x v="3"/>
    <s v="CUST-0071"/>
    <s v="PROD-028"/>
    <x v="3"/>
    <n v="1"/>
    <n v="3660"/>
    <n v="15.7"/>
    <n v="3085.38"/>
    <s v="Completed"/>
    <s v="Delhi"/>
    <x v="2"/>
    <s v="Corporate"/>
    <n v="46"/>
    <x v="0"/>
    <s v="R006"/>
    <n v="1138648.73"/>
    <x v="0"/>
  </r>
  <r>
    <s v="ORD-00005"/>
    <x v="4"/>
    <s v="CUST-0180"/>
    <s v="PROD-012"/>
    <x v="4"/>
    <n v="1"/>
    <n v="3160"/>
    <n v="26"/>
    <n v="2338.4"/>
    <s v="Completed"/>
    <s v="Chennai"/>
    <x v="0"/>
    <s v="Retail"/>
    <n v="36"/>
    <x v="0"/>
    <s v="R008"/>
    <n v="861553.33"/>
    <x v="0"/>
  </r>
  <r>
    <s v="ORD-00006"/>
    <x v="5"/>
    <s v="CUST-0275"/>
    <s v="PROD-032"/>
    <x v="5"/>
    <n v="4"/>
    <n v="370"/>
    <n v="29"/>
    <n v="1050.8"/>
    <s v="Completed"/>
    <s v="Mumbai"/>
    <x v="3"/>
    <s v="Retail"/>
    <n v="36"/>
    <x v="2"/>
    <s v="R025"/>
    <n v="901298.89"/>
    <x v="2"/>
  </r>
  <r>
    <s v="ORD-00007"/>
    <x v="6"/>
    <s v="CUST-0293"/>
    <s v="PROD-057"/>
    <x v="6"/>
    <n v="3"/>
    <n v="960"/>
    <n v="5.8"/>
    <n v="2712.96"/>
    <s v="Completed"/>
    <s v="Bengaluru"/>
    <x v="1"/>
    <s v="Retail"/>
    <n v="27"/>
    <x v="2"/>
    <s v="R024"/>
    <n v="819558.58"/>
    <x v="2"/>
  </r>
  <r>
    <s v="ORD-00008"/>
    <x v="7"/>
    <s v="CUST-0281"/>
    <s v="PROD-007"/>
    <x v="7"/>
    <n v="8"/>
    <n v="1430"/>
    <n v="2.4"/>
    <n v="11165.44"/>
    <s v="Completed"/>
    <s v="Bengaluru"/>
    <x v="4"/>
    <s v="Corporate"/>
    <n v="57"/>
    <x v="3"/>
    <s v="R019"/>
    <n v="971183.52000000014"/>
    <x v="3"/>
  </r>
  <r>
    <s v="ORD-00009"/>
    <x v="0"/>
    <s v="CUST-0260"/>
    <s v="PROD-038"/>
    <x v="4"/>
    <n v="3"/>
    <n v="5490"/>
    <n v="14.2"/>
    <n v="14131.26"/>
    <s v="Completed"/>
    <s v="Bengaluru"/>
    <x v="3"/>
    <s v="Retail"/>
    <n v="42"/>
    <x v="0"/>
    <s v="R008"/>
    <n v="861553.33"/>
    <x v="0"/>
  </r>
  <r>
    <s v="ORD-00010"/>
    <x v="8"/>
    <s v="CUST-0147"/>
    <s v="PROD-030"/>
    <x v="8"/>
    <n v="3"/>
    <n v="970"/>
    <n v="1.2"/>
    <n v="2875.08"/>
    <s v="Completed"/>
    <s v="Pune"/>
    <x v="2"/>
    <s v="Retail"/>
    <n v="56"/>
    <x v="2"/>
    <s v="R028"/>
    <n v="880468.05"/>
    <x v="2"/>
  </r>
  <r>
    <s v="ORD-00011"/>
    <x v="9"/>
    <s v="CUST-0204"/>
    <s v="PROD-024"/>
    <x v="9"/>
    <n v="7"/>
    <n v="2270"/>
    <n v="7.1"/>
    <n v="14761.81"/>
    <s v="Pending"/>
    <s v="Hyderabad"/>
    <x v="2"/>
    <s v="Retail"/>
    <n v="60"/>
    <x v="1"/>
    <s v="R010"/>
    <n v="880345.20000000007"/>
    <x v="1"/>
  </r>
  <r>
    <s v="ORD-00012"/>
    <x v="10"/>
    <s v="CUST-0147"/>
    <s v="PROD-010"/>
    <x v="6"/>
    <n v="9"/>
    <n v="2640"/>
    <n v="21.7"/>
    <n v="18604.080000000002"/>
    <s v="Completed"/>
    <s v="Pune"/>
    <x v="4"/>
    <s v="Retail"/>
    <n v="56"/>
    <x v="2"/>
    <s v="R024"/>
    <n v="819558.58"/>
    <x v="2"/>
  </r>
  <r>
    <s v="ORD-00013"/>
    <x v="11"/>
    <s v="CUST-0280"/>
    <s v="PROD-002"/>
    <x v="10"/>
    <n v="3"/>
    <n v="2600"/>
    <n v="4.3"/>
    <n v="7464.6"/>
    <s v="Cancelled"/>
    <s v="Delhi"/>
    <x v="4"/>
    <s v="SMB"/>
    <n v="27"/>
    <x v="0"/>
    <s v="R004"/>
    <n v="589026.2899999998"/>
    <x v="0"/>
  </r>
  <r>
    <s v="ORD-00014"/>
    <x v="12"/>
    <s v="CUST-0008"/>
    <s v="PROD-036"/>
    <x v="5"/>
    <n v="3"/>
    <n v="3250"/>
    <n v="14.1"/>
    <n v="8375.25"/>
    <s v="Refunded"/>
    <s v="Pune"/>
    <x v="3"/>
    <s v="SMB"/>
    <n v="39"/>
    <x v="2"/>
    <s v="R025"/>
    <n v="901298.89"/>
    <x v="2"/>
  </r>
  <r>
    <s v="ORD-00015"/>
    <x v="13"/>
    <s v="CUST-0052"/>
    <s v="PROD-060"/>
    <x v="11"/>
    <n v="1"/>
    <n v="190"/>
    <n v="20.7"/>
    <n v="150.66999999999999"/>
    <s v="Completed"/>
    <s v="Pune"/>
    <x v="1"/>
    <s v="Retail"/>
    <n v="38"/>
    <x v="0"/>
    <s v="R003"/>
    <n v="986692.91"/>
    <x v="0"/>
  </r>
  <r>
    <s v="ORD-00016"/>
    <x v="14"/>
    <s v="CUST-0184"/>
    <s v="PROD-058"/>
    <x v="2"/>
    <n v="7"/>
    <n v="2400"/>
    <n v="10.199999999999999"/>
    <n v="15086.4"/>
    <s v="Pending"/>
    <s v="Pune"/>
    <x v="1"/>
    <s v="Retail"/>
    <n v="63"/>
    <x v="1"/>
    <s v="R014"/>
    <n v="995713.54000000015"/>
    <x v="1"/>
  </r>
  <r>
    <s v="ORD-00017"/>
    <x v="15"/>
    <s v="CUST-0056"/>
    <s v="PROD-028"/>
    <x v="12"/>
    <n v="4"/>
    <n v="3660"/>
    <n v="2.6"/>
    <n v="14259.36"/>
    <s v="Completed"/>
    <s v="Bengaluru"/>
    <x v="2"/>
    <s v="SMB"/>
    <n v="46"/>
    <x v="3"/>
    <s v="R023"/>
    <n v="983787.4800000001"/>
    <x v="3"/>
  </r>
  <r>
    <s v="ORD-00018"/>
    <x v="16"/>
    <s v="CUST-0273"/>
    <s v="PROD-047"/>
    <x v="13"/>
    <n v="8"/>
    <n v="3450"/>
    <n v="18.5"/>
    <n v="22494"/>
    <s v="Completed"/>
    <s v="Hyderabad"/>
    <x v="5"/>
    <s v="Corporate"/>
    <n v="32"/>
    <x v="3"/>
    <s v="R021"/>
    <n v="761507.17000000027"/>
    <x v="3"/>
  </r>
  <r>
    <s v="ORD-00019"/>
    <x v="17"/>
    <s v="CUST-0182"/>
    <s v="PROD-051"/>
    <x v="12"/>
    <n v="5"/>
    <n v="3450"/>
    <n v="7.3"/>
    <n v="15990.75"/>
    <s v="Completed"/>
    <s v="Mumbai"/>
    <x v="1"/>
    <s v="Retail"/>
    <n v="54"/>
    <x v="3"/>
    <s v="R023"/>
    <n v="983787.4800000001"/>
    <x v="3"/>
  </r>
  <r>
    <s v="ORD-00020"/>
    <x v="18"/>
    <s v="CUST-0265"/>
    <s v="PROD-040"/>
    <x v="12"/>
    <n v="8"/>
    <n v="1080"/>
    <n v="2.2000000000000002"/>
    <n v="8449.92"/>
    <s v="Completed"/>
    <s v="Chennai"/>
    <x v="3"/>
    <s v="Retail"/>
    <n v="49"/>
    <x v="3"/>
    <s v="R023"/>
    <n v="983787.4800000001"/>
    <x v="3"/>
  </r>
  <r>
    <s v="ORD-00021"/>
    <x v="19"/>
    <s v="CUST-0159"/>
    <s v="PROD-019"/>
    <x v="3"/>
    <n v="7"/>
    <n v="2480"/>
    <n v="28.7"/>
    <n v="12377.68"/>
    <s v="Completed"/>
    <s v="Hyderabad"/>
    <x v="0"/>
    <s v="Retail"/>
    <n v="32"/>
    <x v="0"/>
    <s v="R006"/>
    <n v="1138648.73"/>
    <x v="0"/>
  </r>
  <r>
    <s v="ORD-00022"/>
    <x v="20"/>
    <s v="CUST-0259"/>
    <s v="PROD-036"/>
    <x v="14"/>
    <n v="4"/>
    <n v="3250"/>
    <n v="24.6"/>
    <n v="9802"/>
    <s v="Completed"/>
    <s v="Mumbai"/>
    <x v="3"/>
    <s v="Retail"/>
    <n v="34"/>
    <x v="2"/>
    <s v="R030"/>
    <n v="747624.36999999988"/>
    <x v="2"/>
  </r>
  <r>
    <s v="ORD-00023"/>
    <x v="21"/>
    <s v="CUST-0107"/>
    <s v="PROD-015"/>
    <x v="14"/>
    <n v="9"/>
    <n v="2720"/>
    <n v="26.2"/>
    <n v="18066.240000000002"/>
    <s v="Completed"/>
    <s v="Pune"/>
    <x v="0"/>
    <s v="Retail"/>
    <n v="50"/>
    <x v="2"/>
    <s v="R030"/>
    <n v="747624.36999999988"/>
    <x v="2"/>
  </r>
  <r>
    <s v="ORD-00024"/>
    <x v="22"/>
    <s v="CUST-0101"/>
    <s v="PROD-044"/>
    <x v="11"/>
    <n v="2"/>
    <n v="1650"/>
    <n v="9.4"/>
    <n v="2989.8"/>
    <s v="Completed"/>
    <s v="Hyderabad"/>
    <x v="5"/>
    <s v="SMB"/>
    <n v="40"/>
    <x v="0"/>
    <s v="R003"/>
    <n v="986692.91"/>
    <x v="0"/>
  </r>
  <r>
    <s v="ORD-00025"/>
    <x v="18"/>
    <s v="CUST-0142"/>
    <s v="PROD-043"/>
    <x v="12"/>
    <n v="6"/>
    <n v="3350"/>
    <n v="6.1"/>
    <n v="18873.900000000001"/>
    <s v="Pending"/>
    <s v="Chennai"/>
    <x v="5"/>
    <s v="Corporate"/>
    <n v="55"/>
    <x v="3"/>
    <s v="R023"/>
    <n v="983787.4800000001"/>
    <x v="3"/>
  </r>
  <r>
    <s v="ORD-00026"/>
    <x v="23"/>
    <s v="CUST-0250"/>
    <s v="PROD-054"/>
    <x v="7"/>
    <n v="2"/>
    <n v="1010"/>
    <n v="16.5"/>
    <n v="1686.7"/>
    <s v="Cancelled"/>
    <s v="Delhi"/>
    <x v="1"/>
    <s v="Retail"/>
    <n v="31"/>
    <x v="3"/>
    <s v="R019"/>
    <n v="971183.52000000014"/>
    <x v="3"/>
  </r>
  <r>
    <s v="ORD-00027"/>
    <x v="24"/>
    <s v="CUST-0098"/>
    <s v="PROD-046"/>
    <x v="3"/>
    <n v="5"/>
    <n v="4880"/>
    <n v="23.6"/>
    <n v="18641.599999999999"/>
    <s v="Completed"/>
    <s v="Delhi"/>
    <x v="5"/>
    <s v="Retail"/>
    <n v="52"/>
    <x v="0"/>
    <s v="R006"/>
    <n v="1138648.73"/>
    <x v="0"/>
  </r>
  <r>
    <s v="ORD-00028"/>
    <x v="25"/>
    <s v="CUST-0143"/>
    <s v="PROD-003"/>
    <x v="15"/>
    <n v="7"/>
    <n v="3570"/>
    <n v="5.8"/>
    <n v="23540.58"/>
    <s v="Cancelled"/>
    <s v="Chennai"/>
    <x v="4"/>
    <s v="SMB"/>
    <n v="52"/>
    <x v="1"/>
    <s v="R015"/>
    <n v="1091740.1799999997"/>
    <x v="1"/>
  </r>
  <r>
    <s v="ORD-00029"/>
    <x v="26"/>
    <s v="CUST-0086"/>
    <s v="PROD-048"/>
    <x v="16"/>
    <n v="9"/>
    <n v="5100"/>
    <n v="16.7"/>
    <n v="38234.699999999997"/>
    <s v="Completed"/>
    <s v="Hyderabad"/>
    <x v="5"/>
    <s v="Corporate"/>
    <n v="56"/>
    <x v="3"/>
    <s v="R020"/>
    <n v="906107.71000000008"/>
    <x v="3"/>
  </r>
  <r>
    <s v="ORD-00030"/>
    <x v="27"/>
    <s v="CUST-0006"/>
    <s v="PROD-055"/>
    <x v="1"/>
    <n v="3"/>
    <n v="2860"/>
    <n v="25.8"/>
    <n v="6366.36"/>
    <s v="Completed"/>
    <s v="Pune"/>
    <x v="1"/>
    <s v="SMB"/>
    <n v="44"/>
    <x v="0"/>
    <s v="R005"/>
    <n v="782445.33"/>
    <x v="0"/>
  </r>
  <r>
    <s v="ORD-00031"/>
    <x v="28"/>
    <s v="CUST-0241"/>
    <s v="PROD-030"/>
    <x v="3"/>
    <n v="7"/>
    <n v="970"/>
    <n v="29.8"/>
    <n v="4766.58"/>
    <s v="Completed"/>
    <s v="Pune"/>
    <x v="2"/>
    <s v="Corporate"/>
    <n v="47"/>
    <x v="0"/>
    <s v="R006"/>
    <n v="1138648.73"/>
    <x v="0"/>
  </r>
  <r>
    <s v="ORD-00032"/>
    <x v="29"/>
    <s v="CUST-0035"/>
    <s v="PROD-021"/>
    <x v="17"/>
    <n v="4"/>
    <n v="2760"/>
    <n v="5.9"/>
    <n v="10388.64"/>
    <s v="Completed"/>
    <s v="Hyderabad"/>
    <x v="2"/>
    <s v="Retail"/>
    <n v="53"/>
    <x v="2"/>
    <s v="R026"/>
    <n v="576305.08000000019"/>
    <x v="2"/>
  </r>
  <r>
    <s v="ORD-00033"/>
    <x v="30"/>
    <s v="CUST-0273"/>
    <s v="PROD-037"/>
    <x v="18"/>
    <n v="10"/>
    <n v="660"/>
    <n v="18.3"/>
    <n v="5392.2"/>
    <s v="Pending"/>
    <s v="Hyderabad"/>
    <x v="3"/>
    <s v="Corporate"/>
    <n v="32"/>
    <x v="1"/>
    <s v="R009"/>
    <n v="914554.71999999986"/>
    <x v="1"/>
  </r>
  <r>
    <s v="ORD-00034"/>
    <x v="31"/>
    <s v="CUST-0064"/>
    <s v="PROD-036"/>
    <x v="7"/>
    <n v="1"/>
    <n v="3250"/>
    <n v="10.7"/>
    <n v="2902.25"/>
    <s v="Completed"/>
    <s v="Hyderabad"/>
    <x v="3"/>
    <s v="SMB"/>
    <n v="40"/>
    <x v="3"/>
    <s v="R019"/>
    <n v="971183.52000000014"/>
    <x v="3"/>
  </r>
  <r>
    <s v="ORD-00035"/>
    <x v="32"/>
    <s v="CUST-0118"/>
    <s v="PROD-048"/>
    <x v="7"/>
    <n v="8"/>
    <n v="5100"/>
    <n v="26.4"/>
    <n v="30028.799999999999"/>
    <s v="Cancelled"/>
    <s v="Hyderabad"/>
    <x v="5"/>
    <s v="Retail"/>
    <n v="26"/>
    <x v="3"/>
    <s v="R019"/>
    <n v="971183.52000000014"/>
    <x v="3"/>
  </r>
  <r>
    <s v="ORD-00036"/>
    <x v="33"/>
    <s v="CUST-0013"/>
    <s v="PROD-040"/>
    <x v="13"/>
    <n v="1"/>
    <n v="1080"/>
    <n v="5.0999999999999996"/>
    <n v="1024.92"/>
    <s v="Completed"/>
    <s v="Delhi"/>
    <x v="3"/>
    <s v="Retail"/>
    <n v="41"/>
    <x v="3"/>
    <s v="R021"/>
    <n v="761507.17000000027"/>
    <x v="3"/>
  </r>
  <r>
    <s v="ORD-00037"/>
    <x v="34"/>
    <s v="CUST-0177"/>
    <s v="PROD-038"/>
    <x v="18"/>
    <n v="2"/>
    <n v="5490"/>
    <n v="21.1"/>
    <n v="8663.2199999999993"/>
    <s v="Cancelled"/>
    <s v="Mumbai"/>
    <x v="3"/>
    <s v="SMB"/>
    <n v="36"/>
    <x v="1"/>
    <s v="R009"/>
    <n v="914554.71999999986"/>
    <x v="1"/>
  </r>
  <r>
    <s v="ORD-00038"/>
    <x v="35"/>
    <s v="CUST-0186"/>
    <s v="PROD-060"/>
    <x v="19"/>
    <n v="7"/>
    <n v="190"/>
    <n v="28.7"/>
    <n v="948.29"/>
    <s v="Completed"/>
    <s v="Bengaluru"/>
    <x v="1"/>
    <s v="Retail"/>
    <n v="42"/>
    <x v="0"/>
    <s v="R001"/>
    <n v="789849.60000000009"/>
    <x v="0"/>
  </r>
  <r>
    <s v="ORD-00039"/>
    <x v="36"/>
    <s v="CUST-0069"/>
    <s v="PROD-058"/>
    <x v="15"/>
    <n v="6"/>
    <n v="2400"/>
    <n v="2.7"/>
    <n v="14011.2"/>
    <s v="Completed"/>
    <s v="Chennai"/>
    <x v="1"/>
    <s v="Retail"/>
    <n v="51"/>
    <x v="1"/>
    <s v="R015"/>
    <n v="1091740.1799999997"/>
    <x v="1"/>
  </r>
  <r>
    <s v="ORD-00040"/>
    <x v="37"/>
    <s v="CUST-0283"/>
    <s v="PROD-044"/>
    <x v="12"/>
    <n v="9"/>
    <n v="1650"/>
    <n v="11.6"/>
    <n v="13127.4"/>
    <s v="Completed"/>
    <s v="Delhi"/>
    <x v="5"/>
    <s v="SMB"/>
    <n v="50"/>
    <x v="3"/>
    <s v="R023"/>
    <n v="983787.4800000001"/>
    <x v="3"/>
  </r>
  <r>
    <s v="ORD-00041"/>
    <x v="38"/>
    <s v="CUST-9507"/>
    <s v="PROD-038"/>
    <x v="3"/>
    <n v="4"/>
    <n v="5490"/>
    <n v="12.8"/>
    <n v="19149.12"/>
    <s v="Cancelled"/>
    <s v="Chennai"/>
    <x v="3"/>
    <e v="#N/A"/>
    <e v="#N/A"/>
    <x v="0"/>
    <s v="R006"/>
    <n v="1138648.73"/>
    <x v="0"/>
  </r>
  <r>
    <s v="ORD-00042"/>
    <x v="39"/>
    <s v="CUST-0053"/>
    <s v="PROD-046"/>
    <x v="2"/>
    <n v="10"/>
    <n v="4880"/>
    <n v="12.7"/>
    <n v="42602.400000000001"/>
    <s v="Completed"/>
    <s v="Delhi"/>
    <x v="5"/>
    <s v="Retail"/>
    <n v="53"/>
    <x v="1"/>
    <s v="R014"/>
    <n v="995713.54000000015"/>
    <x v="1"/>
  </r>
  <r>
    <s v="ORD-00043"/>
    <x v="40"/>
    <s v="CUST-0222"/>
    <s v="PROD-031"/>
    <x v="7"/>
    <n v="2"/>
    <n v="3730"/>
    <n v="25.8"/>
    <n v="5535.32"/>
    <s v="Completed"/>
    <s v="Chennai"/>
    <x v="3"/>
    <s v="Retail"/>
    <n v="37"/>
    <x v="3"/>
    <s v="R019"/>
    <n v="971183.52000000014"/>
    <x v="3"/>
  </r>
  <r>
    <s v="ORD-00044"/>
    <x v="8"/>
    <s v="CUST-0095"/>
    <s v="PROD-047"/>
    <x v="20"/>
    <n v="4"/>
    <n v="3450"/>
    <n v="20.7"/>
    <n v="10943.4"/>
    <s v="Completed"/>
    <s v="Mumbai"/>
    <x v="5"/>
    <s v="SMB"/>
    <n v="54"/>
    <x v="2"/>
    <s v="R029"/>
    <n v="1016696.8000000002"/>
    <x v="2"/>
  </r>
  <r>
    <s v="ORD-00045"/>
    <x v="41"/>
    <s v="CUST-0152"/>
    <s v="PROD-019"/>
    <x v="7"/>
    <n v="2"/>
    <n v="2480"/>
    <n v="17.3"/>
    <n v="4101.92"/>
    <s v="Completed"/>
    <s v="Bengaluru"/>
    <x v="0"/>
    <s v="SMB"/>
    <n v="64"/>
    <x v="3"/>
    <s v="R019"/>
    <n v="971183.52000000014"/>
    <x v="3"/>
  </r>
  <r>
    <s v="ORD-00046"/>
    <x v="42"/>
    <s v="CUST-0291"/>
    <s v="PROD-027"/>
    <x v="15"/>
    <n v="9"/>
    <n v="3780"/>
    <n v="8.6999999999999993"/>
    <n v="31060.26"/>
    <s v="Pending"/>
    <s v="Pune"/>
    <x v="2"/>
    <s v="SMB"/>
    <n v="29"/>
    <x v="1"/>
    <s v="R015"/>
    <n v="1091740.1799999997"/>
    <x v="1"/>
  </r>
  <r>
    <s v="ORD-00047"/>
    <x v="1"/>
    <s v="CUST-0112"/>
    <s v="PROD-013"/>
    <x v="21"/>
    <n v="4"/>
    <n v="3640"/>
    <n v="20.7"/>
    <n v="11546.08"/>
    <s v="Completed"/>
    <s v="Hyderabad"/>
    <x v="0"/>
    <s v="Retail"/>
    <n v="64"/>
    <x v="3"/>
    <s v="R017"/>
    <n v="780384.40999999992"/>
    <x v="3"/>
  </r>
  <r>
    <s v="ORD-00048"/>
    <x v="43"/>
    <s v="CUST-9800"/>
    <s v="PROD-050"/>
    <x v="11"/>
    <n v="8"/>
    <n v="6080"/>
    <n v="24.4"/>
    <n v="36771.839999999997"/>
    <s v="Completed"/>
    <s v="Pune"/>
    <x v="5"/>
    <e v="#N/A"/>
    <e v="#N/A"/>
    <x v="0"/>
    <s v="R003"/>
    <n v="986692.91"/>
    <x v="0"/>
  </r>
  <r>
    <s v="ORD-00049"/>
    <x v="44"/>
    <s v="CUST-0143"/>
    <s v="PROD-030"/>
    <x v="0"/>
    <n v="10"/>
    <n v="970"/>
    <n v="0.6"/>
    <n v="9641.7999999999993"/>
    <s v="Cancelled"/>
    <s v="Chennai"/>
    <x v="2"/>
    <s v="SMB"/>
    <n v="52"/>
    <x v="0"/>
    <s v="R007"/>
    <n v="855749.67999999982"/>
    <x v="0"/>
  </r>
  <r>
    <s v="ORD-00050"/>
    <x v="45"/>
    <s v="CUST-0226"/>
    <s v="PROD-022"/>
    <x v="8"/>
    <n v="1"/>
    <n v="2270"/>
    <n v="11.5"/>
    <n v="2008.95"/>
    <s v="Pending"/>
    <s v="Chennai"/>
    <x v="2"/>
    <s v="Corporate"/>
    <n v="52"/>
    <x v="2"/>
    <s v="R028"/>
    <n v="880468.05"/>
    <x v="2"/>
  </r>
  <r>
    <s v="ORD-00051"/>
    <x v="46"/>
    <s v="CUST-0234"/>
    <s v="PROD-004"/>
    <x v="12"/>
    <n v="7"/>
    <n v="3870"/>
    <n v="0.3"/>
    <n v="27008.73"/>
    <s v="Cancelled"/>
    <s v="Bengaluru"/>
    <x v="4"/>
    <s v="Retail"/>
    <n v="34"/>
    <x v="3"/>
    <s v="R023"/>
    <n v="983787.4800000001"/>
    <x v="3"/>
  </r>
  <r>
    <s v="ORD-00052"/>
    <x v="47"/>
    <s v="CUST-0176"/>
    <s v="PROD-046"/>
    <x v="18"/>
    <n v="1"/>
    <n v="4880"/>
    <n v="23.9"/>
    <n v="3713.68"/>
    <s v="Pending"/>
    <s v="Bengaluru"/>
    <x v="5"/>
    <s v="SMB"/>
    <n v="34"/>
    <x v="1"/>
    <s v="R009"/>
    <n v="914554.71999999986"/>
    <x v="1"/>
  </r>
  <r>
    <s v="ORD-00053"/>
    <x v="48"/>
    <s v="CUST-0180"/>
    <s v="PROD-027"/>
    <x v="22"/>
    <n v="5"/>
    <n v="3780"/>
    <n v="18.5"/>
    <n v="15403.5"/>
    <s v="Completed"/>
    <s v="Chennai"/>
    <x v="2"/>
    <s v="Retail"/>
    <n v="36"/>
    <x v="1"/>
    <s v="R013"/>
    <n v="811524.37999999989"/>
    <x v="1"/>
  </r>
  <r>
    <s v="ORD-00054"/>
    <x v="49"/>
    <s v="CUST-0088"/>
    <s v="PROD-036"/>
    <x v="16"/>
    <n v="10"/>
    <n v="3250"/>
    <n v="25.5"/>
    <n v="24212.5"/>
    <s v="Completed"/>
    <s v="Chennai"/>
    <x v="3"/>
    <s v="Retail"/>
    <n v="24"/>
    <x v="3"/>
    <s v="R020"/>
    <n v="906107.71000000008"/>
    <x v="3"/>
  </r>
  <r>
    <s v="ORD-00055"/>
    <x v="50"/>
    <s v="CUST-0267"/>
    <s v="PROD-013"/>
    <x v="0"/>
    <n v="4"/>
    <n v="3640"/>
    <n v="9.9"/>
    <n v="13118.56"/>
    <s v="Refunded"/>
    <s v="Hyderabad"/>
    <x v="0"/>
    <s v="Retail"/>
    <n v="27"/>
    <x v="0"/>
    <s v="R007"/>
    <n v="855749.67999999982"/>
    <x v="0"/>
  </r>
  <r>
    <s v="ORD-00056"/>
    <x v="51"/>
    <s v="CUST-0194"/>
    <s v="PROD-041"/>
    <x v="12"/>
    <n v="4"/>
    <n v="1540"/>
    <n v="28.8"/>
    <n v="4385.92"/>
    <s v="Completed"/>
    <s v="Delhi"/>
    <x v="5"/>
    <s v="SMB"/>
    <n v="55"/>
    <x v="3"/>
    <s v="R023"/>
    <n v="983787.4800000001"/>
    <x v="3"/>
  </r>
  <r>
    <s v="ORD-00057"/>
    <x v="48"/>
    <s v="CUST-0261"/>
    <s v="PROD-040"/>
    <x v="21"/>
    <n v="1"/>
    <n v="1080"/>
    <n v="23"/>
    <n v="831.6"/>
    <s v="Cancelled"/>
    <s v="Delhi"/>
    <x v="3"/>
    <s v="Retail"/>
    <n v="54"/>
    <x v="3"/>
    <s v="R017"/>
    <n v="780384.40999999992"/>
    <x v="3"/>
  </r>
  <r>
    <s v="ORD-00058"/>
    <x v="52"/>
    <s v="CUST-0031"/>
    <s v="PROD-026"/>
    <x v="0"/>
    <n v="1"/>
    <n v="4070"/>
    <n v="6.7"/>
    <n v="3797.31"/>
    <s v="Completed"/>
    <s v="Hyderabad"/>
    <x v="2"/>
    <s v="Retail"/>
    <n v="53"/>
    <x v="0"/>
    <s v="R007"/>
    <n v="855749.67999999982"/>
    <x v="0"/>
  </r>
  <r>
    <s v="ORD-00059"/>
    <x v="53"/>
    <s v="CUST-0175"/>
    <s v="PROD-009"/>
    <x v="14"/>
    <n v="2"/>
    <n v="1220"/>
    <n v="11.7"/>
    <n v="2154.52"/>
    <s v="Cancelled"/>
    <s v="Delhi"/>
    <x v="4"/>
    <s v="Corporate"/>
    <n v="55"/>
    <x v="2"/>
    <s v="R030"/>
    <n v="747624.36999999988"/>
    <x v="2"/>
  </r>
  <r>
    <s v="ORD-00060"/>
    <x v="54"/>
    <s v="CUST-0263"/>
    <s v="PROD-039"/>
    <x v="20"/>
    <n v="4"/>
    <n v="4610"/>
    <n v="26.9"/>
    <n v="13479.64"/>
    <s v="Pending"/>
    <s v="Mumbai"/>
    <x v="3"/>
    <s v="Retail"/>
    <n v="40"/>
    <x v="2"/>
    <s v="R029"/>
    <n v="1016696.8000000002"/>
    <x v="2"/>
  </r>
  <r>
    <s v="ORD-00061"/>
    <x v="55"/>
    <s v="CUST-0203"/>
    <s v="PROD-040"/>
    <x v="23"/>
    <n v="8"/>
    <n v="1080"/>
    <n v="28.4"/>
    <n v="6186.24"/>
    <s v="Completed"/>
    <s v="Chennai"/>
    <x v="3"/>
    <s v="SMB"/>
    <n v="55"/>
    <x v="1"/>
    <s v="R011"/>
    <n v="735207.75999999989"/>
    <x v="1"/>
  </r>
  <r>
    <s v="ORD-00062"/>
    <x v="56"/>
    <s v="CUST-0258"/>
    <s v="PROD-045"/>
    <x v="3"/>
    <n v="10"/>
    <n v="3020"/>
    <n v="25.4"/>
    <n v="22529.200000000001"/>
    <s v="Completed"/>
    <s v="Pune"/>
    <x v="5"/>
    <s v="Retail"/>
    <n v="44"/>
    <x v="0"/>
    <s v="R006"/>
    <n v="1138648.73"/>
    <x v="0"/>
  </r>
  <r>
    <s v="ORD-00063"/>
    <x v="57"/>
    <s v="CUST-0282"/>
    <s v="PROD-008"/>
    <x v="21"/>
    <n v="7"/>
    <n v="2660"/>
    <n v="5.3"/>
    <n v="17633.14"/>
    <s v="Completed"/>
    <s v="Hyderabad"/>
    <x v="4"/>
    <s v="Corporate"/>
    <n v="29"/>
    <x v="3"/>
    <s v="R017"/>
    <n v="780384.40999999992"/>
    <x v="3"/>
  </r>
  <r>
    <s v="ORD-00064"/>
    <x v="37"/>
    <s v="CUST-0168"/>
    <s v="PROD-005"/>
    <x v="11"/>
    <n v="9"/>
    <n v="300"/>
    <n v="25.3"/>
    <n v="2016.9"/>
    <s v="Completed"/>
    <s v="Pune"/>
    <x v="4"/>
    <s v="Retail"/>
    <n v="25"/>
    <x v="0"/>
    <s v="R003"/>
    <n v="986692.91"/>
    <x v="0"/>
  </r>
  <r>
    <s v="ORD-00065"/>
    <x v="58"/>
    <s v="CUST-0040"/>
    <s v="PROD-010"/>
    <x v="24"/>
    <n v="10"/>
    <n v="2640"/>
    <n v="18.7"/>
    <n v="21463.200000000001"/>
    <s v="Cancelled"/>
    <s v="Chennai"/>
    <x v="4"/>
    <s v="Retail"/>
    <n v="28"/>
    <x v="3"/>
    <s v="R022"/>
    <n v="1069570.5400000003"/>
    <x v="3"/>
  </r>
  <r>
    <s v="ORD-00066"/>
    <x v="32"/>
    <s v="CUST-0283"/>
    <s v="PROD-020"/>
    <x v="16"/>
    <n v="8"/>
    <n v="820"/>
    <n v="24"/>
    <n v="4985.6000000000004"/>
    <s v="Completed"/>
    <s v="Delhi"/>
    <x v="0"/>
    <s v="SMB"/>
    <n v="50"/>
    <x v="3"/>
    <s v="R020"/>
    <n v="906107.71000000008"/>
    <x v="3"/>
  </r>
  <r>
    <s v="ORD-00067"/>
    <x v="59"/>
    <s v="CUST-0202"/>
    <s v="PROD-021"/>
    <x v="8"/>
    <n v="1"/>
    <n v="2760"/>
    <n v="4.8"/>
    <n v="2627.52"/>
    <s v="Completed"/>
    <s v="Chennai"/>
    <x v="2"/>
    <s v="Retail"/>
    <n v="39"/>
    <x v="2"/>
    <s v="R028"/>
    <n v="880468.05"/>
    <x v="2"/>
  </r>
  <r>
    <s v="ORD-00068"/>
    <x v="60"/>
    <s v="CUST-0161"/>
    <s v="PROD-014"/>
    <x v="21"/>
    <n v="2"/>
    <n v="3620"/>
    <n v="19.100000000000001"/>
    <n v="5857.16"/>
    <s v="Completed"/>
    <s v="Chennai"/>
    <x v="0"/>
    <s v="Retail"/>
    <n v="38"/>
    <x v="3"/>
    <s v="R017"/>
    <n v="780384.40999999992"/>
    <x v="3"/>
  </r>
  <r>
    <s v="ORD-00069"/>
    <x v="61"/>
    <s v="CUST-0033"/>
    <s v="PROD-016"/>
    <x v="5"/>
    <n v="1"/>
    <n v="620"/>
    <n v="1"/>
    <n v="613.79999999999995"/>
    <s v="Completed"/>
    <s v="Delhi"/>
    <x v="0"/>
    <s v="Retail"/>
    <n v="35"/>
    <x v="2"/>
    <s v="R025"/>
    <n v="901298.89"/>
    <x v="2"/>
  </r>
  <r>
    <s v="ORD-00070"/>
    <x v="62"/>
    <s v="CUST-0191"/>
    <s v="PROD-033"/>
    <x v="14"/>
    <n v="1"/>
    <n v="2030"/>
    <n v="3.3"/>
    <n v="1963.01"/>
    <s v="Completed"/>
    <s v="Hyderabad"/>
    <x v="3"/>
    <s v="SMB"/>
    <n v="43"/>
    <x v="2"/>
    <s v="R030"/>
    <n v="747624.36999999988"/>
    <x v="2"/>
  </r>
  <r>
    <s v="ORD-00071"/>
    <x v="19"/>
    <s v="CUST-0180"/>
    <s v="PROD-012"/>
    <x v="25"/>
    <n v="10"/>
    <n v="3160"/>
    <n v="15.8"/>
    <n v="26607.200000000001"/>
    <s v="Completed"/>
    <s v="Chennai"/>
    <x v="0"/>
    <s v="Retail"/>
    <n v="36"/>
    <x v="0"/>
    <s v="R002"/>
    <n v="980063.65999999968"/>
    <x v="0"/>
  </r>
  <r>
    <s v="ORD-00072"/>
    <x v="63"/>
    <s v="CUST-0129"/>
    <s v="PROD-030"/>
    <x v="19"/>
    <n v="5"/>
    <n v="970"/>
    <n v="12.2"/>
    <n v="4258.3"/>
    <s v="Completed"/>
    <s v="Hyderabad"/>
    <x v="2"/>
    <s v="Retail"/>
    <n v="29"/>
    <x v="0"/>
    <s v="R001"/>
    <n v="789849.60000000009"/>
    <x v="0"/>
  </r>
  <r>
    <s v="ORD-00073"/>
    <x v="64"/>
    <s v="CUST-0189"/>
    <s v="PROD-043"/>
    <x v="11"/>
    <n v="9"/>
    <n v="3350"/>
    <n v="25.8"/>
    <n v="22371.3"/>
    <s v="Pending"/>
    <s v="Chennai"/>
    <x v="5"/>
    <s v="Retail"/>
    <n v="41"/>
    <x v="0"/>
    <s v="R003"/>
    <n v="986692.91"/>
    <x v="0"/>
  </r>
  <r>
    <s v="ORD-00074"/>
    <x v="65"/>
    <s v="CUST-0194"/>
    <s v="PROD-032"/>
    <x v="26"/>
    <n v="1"/>
    <n v="370"/>
    <n v="28.9"/>
    <n v="263.07"/>
    <s v="Completed"/>
    <s v="Delhi"/>
    <x v="3"/>
    <s v="SMB"/>
    <n v="55"/>
    <x v="3"/>
    <s v="R018"/>
    <n v="1112289.6400000001"/>
    <x v="3"/>
  </r>
  <r>
    <s v="ORD-00075"/>
    <x v="66"/>
    <s v="CUST-0200"/>
    <s v="PROD-030"/>
    <x v="9"/>
    <n v="3"/>
    <n v="970"/>
    <n v="4.3"/>
    <n v="2784.87"/>
    <s v="Cancelled"/>
    <s v="Hyderabad"/>
    <x v="2"/>
    <s v="Corporate"/>
    <n v="46"/>
    <x v="1"/>
    <s v="R010"/>
    <n v="880345.20000000007"/>
    <x v="1"/>
  </r>
  <r>
    <s v="ORD-00076"/>
    <x v="67"/>
    <s v="CUST-0008"/>
    <s v="PROD-021"/>
    <x v="24"/>
    <n v="6"/>
    <n v="2760"/>
    <n v="19.899999999999999"/>
    <n v="13264.56"/>
    <s v="Pending"/>
    <s v="Pune"/>
    <x v="2"/>
    <s v="SMB"/>
    <n v="39"/>
    <x v="3"/>
    <s v="R022"/>
    <n v="1069570.5400000003"/>
    <x v="3"/>
  </r>
  <r>
    <s v="ORD-00077"/>
    <x v="68"/>
    <s v="CUST-0051"/>
    <s v="PROD-021"/>
    <x v="7"/>
    <n v="7"/>
    <n v="2760"/>
    <n v="25.2"/>
    <n v="14451.36"/>
    <s v="Completed"/>
    <s v="Pune"/>
    <x v="2"/>
    <s v="SMB"/>
    <n v="54"/>
    <x v="3"/>
    <s v="R019"/>
    <n v="971183.52000000014"/>
    <x v="3"/>
  </r>
  <r>
    <s v="ORD-00078"/>
    <x v="69"/>
    <s v="CUST-0193"/>
    <s v="PROD-009"/>
    <x v="24"/>
    <n v="4"/>
    <n v="1220"/>
    <n v="8.4"/>
    <n v="4470.08"/>
    <s v="Completed"/>
    <s v="Bengaluru"/>
    <x v="4"/>
    <s v="Retail"/>
    <n v="42"/>
    <x v="3"/>
    <s v="R022"/>
    <n v="1069570.5400000003"/>
    <x v="3"/>
  </r>
  <r>
    <s v="ORD-00079"/>
    <x v="70"/>
    <s v="CUST-0020"/>
    <s v="PROD-002"/>
    <x v="8"/>
    <n v="2"/>
    <n v="2600"/>
    <n v="1.9"/>
    <n v="5101.2"/>
    <s v="Pending"/>
    <s v="Hyderabad"/>
    <x v="4"/>
    <s v="Retail"/>
    <n v="46"/>
    <x v="2"/>
    <s v="R028"/>
    <n v="880468.05"/>
    <x v="2"/>
  </r>
  <r>
    <s v="ORD-00080"/>
    <x v="71"/>
    <s v="CUST-0230"/>
    <s v="PROD-026"/>
    <x v="14"/>
    <n v="9"/>
    <n v="4070"/>
    <n v="28.8"/>
    <n v="26080.560000000001"/>
    <s v="Completed"/>
    <s v="Pune"/>
    <x v="2"/>
    <s v="Corporate"/>
    <n v="33"/>
    <x v="2"/>
    <s v="R030"/>
    <n v="747624.36999999988"/>
    <x v="2"/>
  </r>
  <r>
    <s v="ORD-00081"/>
    <x v="50"/>
    <s v="CUST-0094"/>
    <s v="PROD-024"/>
    <x v="1"/>
    <n v="2"/>
    <n v="2270"/>
    <n v="18"/>
    <n v="3722.8"/>
    <s v="Refunded"/>
    <s v="Pune"/>
    <x v="2"/>
    <s v="SMB"/>
    <n v="60"/>
    <x v="0"/>
    <s v="R005"/>
    <n v="782445.33"/>
    <x v="0"/>
  </r>
  <r>
    <s v="ORD-00082"/>
    <x v="72"/>
    <s v="CUST-0248"/>
    <s v="PROD-012"/>
    <x v="21"/>
    <n v="2"/>
    <n v="3160"/>
    <n v="18.3"/>
    <n v="5163.4399999999996"/>
    <s v="Completed"/>
    <s v="Chennai"/>
    <x v="0"/>
    <s v="SMB"/>
    <n v="57"/>
    <x v="3"/>
    <s v="R017"/>
    <n v="780384.40999999992"/>
    <x v="3"/>
  </r>
  <r>
    <s v="ORD-00083"/>
    <x v="73"/>
    <s v="CUST-0082"/>
    <s v="PROD-019"/>
    <x v="0"/>
    <n v="4"/>
    <n v="2480"/>
    <n v="1.1000000000000001"/>
    <n v="9810.8799999999992"/>
    <s v="Pending"/>
    <s v="Hyderabad"/>
    <x v="0"/>
    <s v="SMB"/>
    <n v="36"/>
    <x v="0"/>
    <s v="R007"/>
    <n v="855749.67999999982"/>
    <x v="0"/>
  </r>
  <r>
    <s v="ORD-00084"/>
    <x v="74"/>
    <s v="CUST-0078"/>
    <s v="PROD-008"/>
    <x v="17"/>
    <n v="1"/>
    <n v="2660"/>
    <n v="21"/>
    <n v="2101.4"/>
    <s v="Completed"/>
    <s v="Delhi"/>
    <x v="4"/>
    <s v="Retail"/>
    <n v="31"/>
    <x v="2"/>
    <s v="R026"/>
    <n v="576305.08000000019"/>
    <x v="2"/>
  </r>
  <r>
    <s v="ORD-00085"/>
    <x v="75"/>
    <s v="CUST-0032"/>
    <s v="PROD-045"/>
    <x v="27"/>
    <n v="5"/>
    <n v="3020"/>
    <n v="22.2"/>
    <n v="11747.8"/>
    <s v="Completed"/>
    <s v="Hyderabad"/>
    <x v="5"/>
    <s v="Retail"/>
    <n v="28"/>
    <x v="1"/>
    <s v="R012"/>
    <n v="901394.32000000007"/>
    <x v="1"/>
  </r>
  <r>
    <s v="ORD-00086"/>
    <x v="76"/>
    <s v="CUST-0006"/>
    <s v="PROD-016"/>
    <x v="14"/>
    <n v="9"/>
    <n v="620"/>
    <n v="23.3"/>
    <n v="4279.8599999999997"/>
    <s v="Completed"/>
    <s v="Pune"/>
    <x v="0"/>
    <s v="SMB"/>
    <n v="44"/>
    <x v="2"/>
    <s v="R030"/>
    <n v="747624.36999999988"/>
    <x v="2"/>
  </r>
  <r>
    <s v="ORD-00087"/>
    <x v="77"/>
    <s v="CUST-0084"/>
    <s v="PROD-053"/>
    <x v="17"/>
    <n v="2"/>
    <n v="470"/>
    <n v="5.4"/>
    <n v="889.24"/>
    <s v="Completed"/>
    <s v="Chennai"/>
    <x v="1"/>
    <s v="Retail"/>
    <n v="28"/>
    <x v="2"/>
    <s v="R026"/>
    <n v="576305.08000000019"/>
    <x v="2"/>
  </r>
  <r>
    <s v="ORD-00088"/>
    <x v="78"/>
    <s v="CUST-0107"/>
    <s v="PROD-007"/>
    <x v="9"/>
    <n v="3"/>
    <n v="1430"/>
    <n v="6.5"/>
    <n v="4011.15"/>
    <s v="Completed"/>
    <s v="Pune"/>
    <x v="4"/>
    <s v="Retail"/>
    <n v="50"/>
    <x v="1"/>
    <s v="R010"/>
    <n v="880345.20000000007"/>
    <x v="1"/>
  </r>
  <r>
    <s v="ORD-00089"/>
    <x v="79"/>
    <s v="CUST-0108"/>
    <s v="PROD-016"/>
    <x v="10"/>
    <n v="6"/>
    <n v="620"/>
    <n v="2.6"/>
    <n v="3623.28"/>
    <s v="Completed"/>
    <s v="Bengaluru"/>
    <x v="0"/>
    <s v="Corporate"/>
    <n v="59"/>
    <x v="0"/>
    <s v="R004"/>
    <n v="589026.2899999998"/>
    <x v="0"/>
  </r>
  <r>
    <s v="ORD-00090"/>
    <x v="80"/>
    <s v="CUST-0139"/>
    <s v="PROD-003"/>
    <x v="27"/>
    <n v="4"/>
    <n v="3570"/>
    <n v="4.5"/>
    <n v="13637.4"/>
    <s v="Pending"/>
    <s v="Hyderabad"/>
    <x v="4"/>
    <s v="SMB"/>
    <n v="65"/>
    <x v="1"/>
    <s v="R012"/>
    <n v="901394.32000000007"/>
    <x v="1"/>
  </r>
  <r>
    <s v="ORD-00091"/>
    <x v="81"/>
    <s v="CUST-0200"/>
    <s v="PROD-022"/>
    <x v="9"/>
    <n v="6"/>
    <n v="2270"/>
    <n v="2"/>
    <n v="13347.6"/>
    <s v="Completed"/>
    <s v="Hyderabad"/>
    <x v="2"/>
    <s v="Corporate"/>
    <n v="46"/>
    <x v="1"/>
    <s v="R010"/>
    <n v="880345.20000000007"/>
    <x v="1"/>
  </r>
  <r>
    <s v="ORD-00092"/>
    <x v="60"/>
    <s v="CUST-0208"/>
    <s v="PROD-015"/>
    <x v="2"/>
    <n v="7"/>
    <n v="2720"/>
    <n v="15.4"/>
    <n v="16107.84"/>
    <s v="Completed"/>
    <s v="Mumbai"/>
    <x v="0"/>
    <s v="Retail"/>
    <n v="49"/>
    <x v="1"/>
    <s v="R014"/>
    <n v="995713.54000000015"/>
    <x v="1"/>
  </r>
  <r>
    <s v="ORD-00093"/>
    <x v="82"/>
    <s v="CUST-0161"/>
    <s v="PROD-029"/>
    <x v="19"/>
    <n v="9"/>
    <n v="2210"/>
    <n v="12.4"/>
    <n v="17423.64"/>
    <s v="Completed"/>
    <s v="Chennai"/>
    <x v="2"/>
    <s v="Retail"/>
    <n v="38"/>
    <x v="0"/>
    <s v="R001"/>
    <n v="789849.60000000009"/>
    <x v="0"/>
  </r>
  <r>
    <s v="ORD-00094"/>
    <x v="83"/>
    <s v="CUST-0042"/>
    <s v="PROD-060"/>
    <x v="17"/>
    <n v="6"/>
    <n v="190"/>
    <n v="19.2"/>
    <n v="921.12"/>
    <s v="Completed"/>
    <s v="Pune"/>
    <x v="1"/>
    <s v="Retail"/>
    <n v="25"/>
    <x v="2"/>
    <s v="R026"/>
    <n v="576305.08000000019"/>
    <x v="2"/>
  </r>
  <r>
    <s v="ORD-00095"/>
    <x v="84"/>
    <s v="CUST-0133"/>
    <s v="PROD-048"/>
    <x v="28"/>
    <n v="10"/>
    <n v="5100"/>
    <n v="25.4"/>
    <n v="38046"/>
    <s v="Refunded"/>
    <s v="Chennai"/>
    <x v="5"/>
    <s v="Retail"/>
    <n v="26"/>
    <x v="2"/>
    <s v="R027"/>
    <n v="917092.61999999965"/>
    <x v="2"/>
  </r>
  <r>
    <s v="ORD-00096"/>
    <x v="85"/>
    <s v="CUST-0219"/>
    <s v="PROD-054"/>
    <x v="29"/>
    <n v="5"/>
    <n v="1010"/>
    <n v="1.6"/>
    <n v="4969.2"/>
    <s v="Completed"/>
    <s v="Chennai"/>
    <x v="1"/>
    <s v="Corporate"/>
    <n v="38"/>
    <x v="1"/>
    <s v="R016"/>
    <n v="814563.7100000002"/>
    <x v="1"/>
  </r>
  <r>
    <s v="ORD-00097"/>
    <x v="60"/>
    <s v="CUST-0031"/>
    <s v="PROD-031"/>
    <x v="5"/>
    <n v="1"/>
    <n v="3730"/>
    <n v="22.7"/>
    <n v="2883.29"/>
    <s v="Completed"/>
    <s v="Hyderabad"/>
    <x v="3"/>
    <s v="Retail"/>
    <n v="53"/>
    <x v="2"/>
    <s v="R025"/>
    <n v="901298.89"/>
    <x v="2"/>
  </r>
  <r>
    <s v="ORD-00098"/>
    <x v="41"/>
    <s v="CUST-0189"/>
    <s v="PROD-002"/>
    <x v="8"/>
    <n v="10"/>
    <n v="2600"/>
    <n v="20.7"/>
    <n v="20618"/>
    <s v="Completed"/>
    <s v="Chennai"/>
    <x v="4"/>
    <s v="Retail"/>
    <n v="41"/>
    <x v="2"/>
    <s v="R028"/>
    <n v="880468.05"/>
    <x v="2"/>
  </r>
  <r>
    <s v="ORD-00099"/>
    <x v="86"/>
    <s v="CUST-0170"/>
    <s v="PROD-025"/>
    <x v="3"/>
    <n v="4"/>
    <n v="4060"/>
    <n v="13.9"/>
    <n v="13982.64"/>
    <s v="Completed"/>
    <s v="Mumbai"/>
    <x v="2"/>
    <s v="SMB"/>
    <n v="22"/>
    <x v="0"/>
    <s v="R006"/>
    <n v="1138648.73"/>
    <x v="0"/>
  </r>
  <r>
    <s v="ORD-00100"/>
    <x v="87"/>
    <s v="CUST-0164"/>
    <s v="PROD-050"/>
    <x v="28"/>
    <n v="6"/>
    <n v="6080"/>
    <n v="16.5"/>
    <n v="30460.799999999999"/>
    <s v="Completed"/>
    <s v="Chennai"/>
    <x v="5"/>
    <s v="Retail"/>
    <n v="60"/>
    <x v="2"/>
    <s v="R027"/>
    <n v="917092.61999999965"/>
    <x v="2"/>
  </r>
  <r>
    <s v="ORD-00101"/>
    <x v="88"/>
    <s v="CUST-0006"/>
    <s v="PROD-017"/>
    <x v="8"/>
    <n v="6"/>
    <n v="2510"/>
    <n v="11.7"/>
    <n v="13297.98"/>
    <s v="Completed"/>
    <s v="Pune"/>
    <x v="0"/>
    <s v="SMB"/>
    <n v="44"/>
    <x v="2"/>
    <s v="R028"/>
    <n v="880468.05"/>
    <x v="2"/>
  </r>
  <r>
    <s v="ORD-00102"/>
    <x v="89"/>
    <s v="CUST-0181"/>
    <s v="PROD-036"/>
    <x v="17"/>
    <n v="5"/>
    <n v="3250"/>
    <n v="18.399999999999999"/>
    <n v="13260"/>
    <s v="Completed"/>
    <s v="Delhi"/>
    <x v="3"/>
    <s v="SMB"/>
    <n v="38"/>
    <x v="2"/>
    <s v="R026"/>
    <n v="576305.08000000019"/>
    <x v="2"/>
  </r>
  <r>
    <s v="ORD-00103"/>
    <x v="90"/>
    <s v="CUST-0131"/>
    <s v="PROD-052"/>
    <x v="1"/>
    <n v="4"/>
    <n v="5410"/>
    <n v="9.8000000000000007"/>
    <n v="19519.28"/>
    <s v="Cancelled"/>
    <s v="Delhi"/>
    <x v="1"/>
    <s v="SMB"/>
    <n v="28"/>
    <x v="0"/>
    <s v="R005"/>
    <n v="782445.33"/>
    <x v="0"/>
  </r>
  <r>
    <s v="ORD-00104"/>
    <x v="91"/>
    <s v="CUST-0255"/>
    <s v="PROD-003"/>
    <x v="26"/>
    <n v="8"/>
    <n v="3570"/>
    <n v="11.1"/>
    <n v="25389.84"/>
    <s v="Completed"/>
    <s v="Chennai"/>
    <x v="4"/>
    <s v="Corporate"/>
    <n v="51"/>
    <x v="3"/>
    <s v="R018"/>
    <n v="1112289.6400000001"/>
    <x v="3"/>
  </r>
  <r>
    <s v="ORD-00105"/>
    <x v="92"/>
    <s v="CUST-0170"/>
    <s v="PROD-001"/>
    <x v="11"/>
    <n v="10"/>
    <n v="5330"/>
    <n v="21.2"/>
    <n v="42000.4"/>
    <s v="Completed"/>
    <s v="Mumbai"/>
    <x v="4"/>
    <s v="SMB"/>
    <n v="22"/>
    <x v="0"/>
    <s v="R003"/>
    <n v="986692.91"/>
    <x v="0"/>
  </r>
  <r>
    <s v="ORD-00106"/>
    <x v="93"/>
    <s v="CUST-0081"/>
    <s v="PROD-023"/>
    <x v="21"/>
    <n v="4"/>
    <n v="2380"/>
    <n v="26.2"/>
    <n v="7025.76"/>
    <s v="Completed"/>
    <s v="Mumbai"/>
    <x v="2"/>
    <s v="Retail"/>
    <n v="25"/>
    <x v="3"/>
    <s v="R017"/>
    <n v="780384.40999999992"/>
    <x v="3"/>
  </r>
  <r>
    <s v="ORD-00107"/>
    <x v="94"/>
    <s v="CUST-0102"/>
    <s v="PROD-054"/>
    <x v="28"/>
    <n v="1"/>
    <n v="1010"/>
    <n v="19.5"/>
    <n v="813.05"/>
    <s v="Cancelled"/>
    <s v="Chennai"/>
    <x v="1"/>
    <s v="SMB"/>
    <n v="62"/>
    <x v="2"/>
    <s v="R027"/>
    <n v="917092.61999999965"/>
    <x v="2"/>
  </r>
  <r>
    <s v="ORD-00108"/>
    <x v="85"/>
    <s v="CUST-0070"/>
    <s v="PROD-028"/>
    <x v="5"/>
    <n v="1"/>
    <n v="3660"/>
    <n v="1.3"/>
    <n v="3612.42"/>
    <s v="Completed"/>
    <s v="Mumbai"/>
    <x v="2"/>
    <s v="Retail"/>
    <n v="42"/>
    <x v="2"/>
    <s v="R025"/>
    <n v="901298.89"/>
    <x v="2"/>
  </r>
  <r>
    <s v="ORD-00109"/>
    <x v="95"/>
    <s v="CUST-0012"/>
    <s v="PROD-026"/>
    <x v="22"/>
    <n v="2"/>
    <n v="4070"/>
    <n v="29"/>
    <n v="5779.4"/>
    <s v="Cancelled"/>
    <s v="Pune"/>
    <x v="2"/>
    <s v="Retail"/>
    <n v="43"/>
    <x v="1"/>
    <s v="R013"/>
    <n v="811524.37999999989"/>
    <x v="1"/>
  </r>
  <r>
    <s v="ORD-00110"/>
    <x v="96"/>
    <s v="CUST-0086"/>
    <s v="PROD-037"/>
    <x v="20"/>
    <n v="6"/>
    <n v="660"/>
    <n v="20.2"/>
    <n v="3160.08"/>
    <s v="Pending"/>
    <s v="Hyderabad"/>
    <x v="3"/>
    <s v="Corporate"/>
    <n v="56"/>
    <x v="2"/>
    <s v="R029"/>
    <n v="1016696.8000000002"/>
    <x v="2"/>
  </r>
  <r>
    <s v="ORD-00111"/>
    <x v="97"/>
    <s v="CUST-0145"/>
    <s v="PROD-040"/>
    <x v="6"/>
    <n v="3"/>
    <n v="1080"/>
    <n v="29.7"/>
    <n v="2277.7199999999998"/>
    <s v="Completed"/>
    <s v="Bengaluru"/>
    <x v="3"/>
    <s v="SMB"/>
    <n v="44"/>
    <x v="2"/>
    <s v="R024"/>
    <n v="819558.58"/>
    <x v="2"/>
  </r>
  <r>
    <s v="ORD-00112"/>
    <x v="98"/>
    <s v="CUST-0287"/>
    <s v="PROD-020"/>
    <x v="3"/>
    <n v="7"/>
    <n v="820"/>
    <n v="13.5"/>
    <n v="4965.1000000000004"/>
    <s v="Cancelled"/>
    <s v="Chennai"/>
    <x v="0"/>
    <s v="SMB"/>
    <n v="53"/>
    <x v="0"/>
    <s v="R006"/>
    <n v="1138648.73"/>
    <x v="0"/>
  </r>
  <r>
    <s v="ORD-00113"/>
    <x v="18"/>
    <s v="CUST-0280"/>
    <s v="PROD-049"/>
    <x v="28"/>
    <n v="4"/>
    <n v="960"/>
    <n v="26"/>
    <n v="2841.6"/>
    <s v="Completed"/>
    <s v="Delhi"/>
    <x v="5"/>
    <s v="SMB"/>
    <n v="27"/>
    <x v="2"/>
    <s v="R027"/>
    <n v="917092.61999999965"/>
    <x v="2"/>
  </r>
  <r>
    <s v="ORD-00114"/>
    <x v="99"/>
    <s v="CUST-0096"/>
    <s v="PROD-002"/>
    <x v="2"/>
    <n v="3"/>
    <n v="2600"/>
    <n v="18.2"/>
    <n v="6380.4"/>
    <s v="Completed"/>
    <s v="Delhi"/>
    <x v="4"/>
    <s v="Corporate"/>
    <n v="27"/>
    <x v="1"/>
    <s v="R014"/>
    <n v="995713.54000000015"/>
    <x v="1"/>
  </r>
  <r>
    <s v="ORD-00115"/>
    <x v="43"/>
    <s v="CUST-0184"/>
    <s v="PROD-033"/>
    <x v="20"/>
    <n v="9"/>
    <n v="2030"/>
    <n v="26.1"/>
    <n v="13501.53"/>
    <s v="Completed"/>
    <s v="Pune"/>
    <x v="3"/>
    <s v="Retail"/>
    <n v="63"/>
    <x v="2"/>
    <s v="R029"/>
    <n v="1016696.8000000002"/>
    <x v="2"/>
  </r>
  <r>
    <s v="ORD-00116"/>
    <x v="100"/>
    <s v="CUST-0025"/>
    <s v="PROD-042"/>
    <x v="8"/>
    <n v="8"/>
    <n v="2290"/>
    <n v="20.8"/>
    <n v="14509.44"/>
    <s v="Completed"/>
    <s v="Bengaluru"/>
    <x v="5"/>
    <s v="Retail"/>
    <n v="23"/>
    <x v="2"/>
    <s v="R028"/>
    <n v="880468.05"/>
    <x v="2"/>
  </r>
  <r>
    <s v="ORD-00117"/>
    <x v="101"/>
    <s v="CUST-0149"/>
    <s v="PROD-031"/>
    <x v="20"/>
    <n v="3"/>
    <n v="3730"/>
    <n v="7.9"/>
    <n v="10305.99"/>
    <s v="Completed"/>
    <s v="Hyderabad"/>
    <x v="3"/>
    <s v="Retail"/>
    <n v="44"/>
    <x v="2"/>
    <s v="R029"/>
    <n v="1016696.8000000002"/>
    <x v="2"/>
  </r>
  <r>
    <s v="ORD-00118"/>
    <x v="102"/>
    <s v="CUST-0018"/>
    <s v="PROD-005"/>
    <x v="2"/>
    <n v="1"/>
    <n v="300"/>
    <n v="16.899999999999999"/>
    <n v="249.3"/>
    <s v="Pending"/>
    <s v="Pune"/>
    <x v="4"/>
    <s v="SMB"/>
    <n v="54"/>
    <x v="1"/>
    <s v="R014"/>
    <n v="995713.54000000015"/>
    <x v="1"/>
  </r>
  <r>
    <s v="ORD-00119"/>
    <x v="103"/>
    <s v="CUST-0216"/>
    <s v="PROD-005"/>
    <x v="27"/>
    <n v="3"/>
    <n v="300"/>
    <n v="0.6"/>
    <n v="894.6"/>
    <s v="Completed"/>
    <s v="Mumbai"/>
    <x v="4"/>
    <s v="Retail"/>
    <n v="50"/>
    <x v="1"/>
    <s v="R012"/>
    <n v="901394.32000000007"/>
    <x v="1"/>
  </r>
  <r>
    <s v="ORD-00120"/>
    <x v="90"/>
    <s v="CUST-0092"/>
    <s v="PROD-043"/>
    <x v="0"/>
    <n v="6"/>
    <n v="3350"/>
    <n v="2.2999999999999998"/>
    <n v="19637.7"/>
    <s v="Cancelled"/>
    <s v="Bengaluru"/>
    <x v="5"/>
    <s v="SMB"/>
    <n v="28"/>
    <x v="0"/>
    <s v="R007"/>
    <n v="855749.67999999982"/>
    <x v="0"/>
  </r>
  <r>
    <s v="ORD-00121"/>
    <x v="104"/>
    <s v="CUST-0056"/>
    <s v="PROD-001"/>
    <x v="11"/>
    <n v="4"/>
    <n v="5330"/>
    <n v="29.3"/>
    <n v="15073.24"/>
    <s v="Completed"/>
    <s v="Bengaluru"/>
    <x v="4"/>
    <s v="SMB"/>
    <n v="46"/>
    <x v="0"/>
    <s v="R003"/>
    <n v="986692.91"/>
    <x v="0"/>
  </r>
  <r>
    <s v="ORD-00122"/>
    <x v="105"/>
    <s v="CUST-0113"/>
    <s v="PROD-014"/>
    <x v="25"/>
    <n v="6"/>
    <n v="3620"/>
    <n v="10.8"/>
    <n v="19374.240000000002"/>
    <s v="Completed"/>
    <s v="Delhi"/>
    <x v="0"/>
    <s v="Retail"/>
    <n v="30"/>
    <x v="0"/>
    <s v="R002"/>
    <n v="980063.65999999968"/>
    <x v="0"/>
  </r>
  <r>
    <s v="ORD-00123"/>
    <x v="106"/>
    <s v="CUST-0253"/>
    <s v="PROD-014"/>
    <x v="1"/>
    <n v="6"/>
    <n v="3620"/>
    <n v="21.7"/>
    <n v="17006.759999999998"/>
    <s v="Completed"/>
    <s v="Delhi"/>
    <x v="0"/>
    <s v="SMB"/>
    <n v="53"/>
    <x v="0"/>
    <s v="R005"/>
    <n v="782445.33"/>
    <x v="0"/>
  </r>
  <r>
    <s v="ORD-00124"/>
    <x v="107"/>
    <s v="CUST-0187"/>
    <s v="PROD-057"/>
    <x v="4"/>
    <n v="8"/>
    <n v="960"/>
    <n v="27.9"/>
    <n v="5537.28"/>
    <s v="Completed"/>
    <s v="Chennai"/>
    <x v="1"/>
    <s v="SMB"/>
    <n v="51"/>
    <x v="0"/>
    <s v="R008"/>
    <n v="861553.33"/>
    <x v="0"/>
  </r>
  <r>
    <s v="ORD-00125"/>
    <x v="108"/>
    <s v="CUST-0028"/>
    <s v="PROD-044"/>
    <x v="5"/>
    <n v="5"/>
    <n v="1650"/>
    <n v="4.9000000000000004"/>
    <n v="7845.75"/>
    <s v="Completed"/>
    <s v="Bengaluru"/>
    <x v="5"/>
    <s v="Retail"/>
    <n v="59"/>
    <x v="2"/>
    <s v="R025"/>
    <n v="901298.89"/>
    <x v="2"/>
  </r>
  <r>
    <s v="ORD-00126"/>
    <x v="95"/>
    <s v="CUST-0224"/>
    <s v="PROD-049"/>
    <x v="9"/>
    <n v="9"/>
    <n v="960"/>
    <n v="25.1"/>
    <n v="6471.36"/>
    <s v="Refunded"/>
    <s v="Chennai"/>
    <x v="5"/>
    <s v="Corporate"/>
    <n v="24"/>
    <x v="1"/>
    <s v="R010"/>
    <n v="880345.20000000007"/>
    <x v="1"/>
  </r>
  <r>
    <s v="ORD-00127"/>
    <x v="99"/>
    <s v="CUST-0150"/>
    <s v="PROD-006"/>
    <x v="11"/>
    <n v="7"/>
    <n v="3970"/>
    <n v="13.8"/>
    <n v="23954.98"/>
    <s v="Pending"/>
    <s v="Pune"/>
    <x v="4"/>
    <s v="SMB"/>
    <n v="53"/>
    <x v="0"/>
    <s v="R003"/>
    <n v="986692.91"/>
    <x v="0"/>
  </r>
  <r>
    <s v="ORD-00128"/>
    <x v="109"/>
    <s v="CUST-0129"/>
    <s v="PROD-030"/>
    <x v="1"/>
    <n v="7"/>
    <n v="970"/>
    <n v="21.6"/>
    <n v="5323.36"/>
    <s v="Pending"/>
    <s v="Hyderabad"/>
    <x v="2"/>
    <s v="Retail"/>
    <n v="29"/>
    <x v="0"/>
    <s v="R005"/>
    <n v="782445.33"/>
    <x v="0"/>
  </r>
  <r>
    <s v="ORD-00129"/>
    <x v="110"/>
    <s v="CUST-0239"/>
    <s v="PROD-033"/>
    <x v="19"/>
    <n v="10"/>
    <n v="2030"/>
    <n v="1.2"/>
    <n v="20056.400000000001"/>
    <s v="Completed"/>
    <s v="Mumbai"/>
    <x v="3"/>
    <s v="Retail"/>
    <n v="61"/>
    <x v="0"/>
    <s v="R001"/>
    <n v="789849.60000000009"/>
    <x v="0"/>
  </r>
  <r>
    <s v="ORD-00130"/>
    <x v="93"/>
    <s v="CUST-0106"/>
    <s v="PROD-024"/>
    <x v="13"/>
    <n v="9"/>
    <n v="2270"/>
    <n v="13.2"/>
    <n v="17733.240000000002"/>
    <s v="Pending"/>
    <s v="Pune"/>
    <x v="2"/>
    <s v="Retail"/>
    <n v="22"/>
    <x v="3"/>
    <s v="R021"/>
    <n v="761507.17000000027"/>
    <x v="3"/>
  </r>
  <r>
    <s v="ORD-00131"/>
    <x v="111"/>
    <s v="CUST-0273"/>
    <s v="PROD-046"/>
    <x v="11"/>
    <n v="8"/>
    <n v="4880"/>
    <n v="13.4"/>
    <n v="33808.639999999999"/>
    <s v="Completed"/>
    <s v="Hyderabad"/>
    <x v="5"/>
    <s v="Corporate"/>
    <n v="32"/>
    <x v="0"/>
    <s v="R003"/>
    <n v="986692.91"/>
    <x v="0"/>
  </r>
  <r>
    <s v="ORD-00132"/>
    <x v="112"/>
    <s v="CUST-0114"/>
    <s v="PROD-004"/>
    <x v="23"/>
    <n v="10"/>
    <n v="3870"/>
    <n v="23.9"/>
    <n v="29450.7"/>
    <s v="Completed"/>
    <s v="Bengaluru"/>
    <x v="4"/>
    <s v="Corporate"/>
    <n v="42"/>
    <x v="1"/>
    <s v="R011"/>
    <n v="735207.75999999989"/>
    <x v="1"/>
  </r>
  <r>
    <s v="ORD-00133"/>
    <x v="113"/>
    <s v="CUST-0146"/>
    <s v="PROD-042"/>
    <x v="25"/>
    <n v="4"/>
    <n v="2290"/>
    <n v="15.2"/>
    <n v="7767.68"/>
    <s v="Completed"/>
    <s v="Hyderabad"/>
    <x v="5"/>
    <s v="Retail"/>
    <n v="22"/>
    <x v="0"/>
    <s v="R002"/>
    <n v="980063.65999999968"/>
    <x v="0"/>
  </r>
  <r>
    <s v="ORD-00134"/>
    <x v="68"/>
    <s v="CUST-0298"/>
    <s v="PROD-023"/>
    <x v="16"/>
    <n v="8"/>
    <n v="2380"/>
    <n v="4.2"/>
    <n v="18240.32"/>
    <s v="Completed"/>
    <s v="Delhi"/>
    <x v="2"/>
    <s v="Retail"/>
    <n v="44"/>
    <x v="3"/>
    <s v="R020"/>
    <n v="906107.71000000008"/>
    <x v="3"/>
  </r>
  <r>
    <s v="ORD-00135"/>
    <x v="114"/>
    <s v="CUST-0111"/>
    <s v="PROD-029"/>
    <x v="22"/>
    <n v="8"/>
    <n v="2210"/>
    <n v="11.5"/>
    <n v="15646.8"/>
    <s v="Completed"/>
    <s v="Chennai"/>
    <x v="2"/>
    <s v="SMB"/>
    <n v="64"/>
    <x v="1"/>
    <s v="R013"/>
    <n v="811524.37999999989"/>
    <x v="1"/>
  </r>
  <r>
    <s v="ORD-01445"/>
    <x v="107"/>
    <s v="CUST-0291"/>
    <s v="PROD-001"/>
    <x v="24"/>
    <n v="4"/>
    <n v="5330"/>
    <n v="22.6"/>
    <n v="16501.68"/>
    <s v="Pending"/>
    <s v="Pune"/>
    <x v="4"/>
    <s v="SMB"/>
    <n v="29"/>
    <x v="3"/>
    <s v="R022"/>
    <n v="1069570.5400000003"/>
    <x v="3"/>
  </r>
  <r>
    <s v="ORD-00137"/>
    <x v="115"/>
    <s v="CUST-0024"/>
    <s v="PROD-006"/>
    <x v="24"/>
    <n v="8"/>
    <n v="3970"/>
    <n v="21.8"/>
    <n v="24836.32"/>
    <s v="Completed"/>
    <s v="Chennai"/>
    <x v="4"/>
    <s v="SMB"/>
    <n v="64"/>
    <x v="3"/>
    <s v="R022"/>
    <n v="1069570.5400000003"/>
    <x v="3"/>
  </r>
  <r>
    <s v="ORD-00138"/>
    <x v="14"/>
    <s v="CUST-0210"/>
    <s v="PROD-012"/>
    <x v="16"/>
    <n v="10"/>
    <n v="3160"/>
    <n v="16.100000000000001"/>
    <n v="26512.400000000001"/>
    <s v="Cancelled"/>
    <s v="Pune"/>
    <x v="0"/>
    <s v="Corporate"/>
    <n v="48"/>
    <x v="3"/>
    <s v="R020"/>
    <n v="906107.71000000008"/>
    <x v="3"/>
  </r>
  <r>
    <s v="ORD-00139"/>
    <x v="54"/>
    <s v="CUST-0192"/>
    <s v="PROD-060"/>
    <x v="18"/>
    <n v="5"/>
    <n v="190"/>
    <n v="14.8"/>
    <n v="809.4"/>
    <s v="Completed"/>
    <s v="Bengaluru"/>
    <x v="1"/>
    <s v="Retail"/>
    <n v="55"/>
    <x v="1"/>
    <s v="R009"/>
    <n v="914554.71999999986"/>
    <x v="1"/>
  </r>
  <r>
    <s v="ORD-00140"/>
    <x v="116"/>
    <s v="CUST-0078"/>
    <s v="PROD-021"/>
    <x v="0"/>
    <n v="6"/>
    <n v="2760"/>
    <n v="19.8"/>
    <n v="13281.12"/>
    <s v="Completed"/>
    <s v="Delhi"/>
    <x v="2"/>
    <s v="Retail"/>
    <n v="31"/>
    <x v="0"/>
    <s v="R007"/>
    <n v="855749.67999999982"/>
    <x v="0"/>
  </r>
  <r>
    <s v="ORD-00141"/>
    <x v="117"/>
    <s v="CUST-0070"/>
    <s v="PROD-022"/>
    <x v="7"/>
    <n v="9"/>
    <n v="2270"/>
    <n v="20.8"/>
    <n v="16180.56"/>
    <s v="Cancelled"/>
    <s v="Mumbai"/>
    <x v="2"/>
    <s v="Retail"/>
    <n v="42"/>
    <x v="3"/>
    <s v="R019"/>
    <n v="971183.52000000014"/>
    <x v="3"/>
  </r>
  <r>
    <s v="ORD-00142"/>
    <x v="60"/>
    <s v="CUST-0159"/>
    <s v="PROD-052"/>
    <x v="19"/>
    <n v="8"/>
    <n v="5410"/>
    <n v="12.9"/>
    <n v="37696.879999999997"/>
    <s v="Completed"/>
    <s v="Hyderabad"/>
    <x v="1"/>
    <s v="Retail"/>
    <n v="32"/>
    <x v="0"/>
    <s v="R001"/>
    <n v="789849.60000000009"/>
    <x v="0"/>
  </r>
  <r>
    <s v="ORD-00143"/>
    <x v="118"/>
    <s v="CUST-0294"/>
    <s v="PROD-024"/>
    <x v="18"/>
    <n v="9"/>
    <n v="2270"/>
    <n v="6.8"/>
    <n v="19040.759999999998"/>
    <s v="Completed"/>
    <s v="Delhi"/>
    <x v="2"/>
    <s v="Corporate"/>
    <n v="31"/>
    <x v="1"/>
    <s v="R009"/>
    <n v="914554.71999999986"/>
    <x v="1"/>
  </r>
  <r>
    <s v="ORD-00144"/>
    <x v="119"/>
    <s v="CUST-0280"/>
    <s v="PROD-012"/>
    <x v="19"/>
    <n v="3"/>
    <n v="3160"/>
    <n v="12.8"/>
    <n v="8266.56"/>
    <s v="Completed"/>
    <s v="Delhi"/>
    <x v="0"/>
    <s v="SMB"/>
    <n v="27"/>
    <x v="0"/>
    <s v="R001"/>
    <n v="789849.60000000009"/>
    <x v="0"/>
  </r>
  <r>
    <s v="ORD-00145"/>
    <x v="120"/>
    <s v="CUST-0291"/>
    <s v="PROD-025"/>
    <x v="8"/>
    <n v="8"/>
    <n v="4060"/>
    <n v="20.9"/>
    <n v="25691.68"/>
    <s v="Completed"/>
    <s v="Pune"/>
    <x v="2"/>
    <s v="SMB"/>
    <n v="29"/>
    <x v="2"/>
    <s v="R028"/>
    <n v="880468.05"/>
    <x v="2"/>
  </r>
  <r>
    <s v="ORD-00146"/>
    <x v="121"/>
    <s v="CUST-9657"/>
    <s v="PROD-020"/>
    <x v="26"/>
    <n v="5"/>
    <n v="820"/>
    <n v="9.1"/>
    <n v="3726.9"/>
    <s v="Refunded"/>
    <s v="Pune"/>
    <x v="0"/>
    <e v="#N/A"/>
    <e v="#N/A"/>
    <x v="3"/>
    <s v="R018"/>
    <n v="1112289.6400000001"/>
    <x v="3"/>
  </r>
  <r>
    <s v="ORD-00147"/>
    <x v="122"/>
    <s v="CUST-0080"/>
    <s v="PROD-032"/>
    <x v="0"/>
    <n v="5"/>
    <n v="370"/>
    <n v="11.5"/>
    <n v="1637.25"/>
    <s v="Completed"/>
    <s v="Pune"/>
    <x v="3"/>
    <s v="SMB"/>
    <n v="30"/>
    <x v="0"/>
    <s v="R007"/>
    <n v="855749.67999999982"/>
    <x v="0"/>
  </r>
  <r>
    <s v="ORD-00148"/>
    <x v="123"/>
    <s v="CUST-0172"/>
    <s v="PROD-034"/>
    <x v="25"/>
    <n v="9"/>
    <n v="5080"/>
    <n v="27.5"/>
    <n v="33147"/>
    <s v="Completed"/>
    <s v="Pune"/>
    <x v="3"/>
    <s v="Retail"/>
    <n v="65"/>
    <x v="0"/>
    <s v="R002"/>
    <n v="980063.65999999968"/>
    <x v="0"/>
  </r>
  <r>
    <s v="ORD-00149"/>
    <x v="124"/>
    <s v="CUST-0051"/>
    <s v="PROD-026"/>
    <x v="27"/>
    <n v="6"/>
    <n v="4070"/>
    <n v="12.5"/>
    <n v="21367.5"/>
    <s v="Completed"/>
    <s v="Pune"/>
    <x v="2"/>
    <s v="SMB"/>
    <n v="54"/>
    <x v="1"/>
    <s v="R012"/>
    <n v="901394.32000000007"/>
    <x v="1"/>
  </r>
  <r>
    <s v="ORD-00150"/>
    <x v="63"/>
    <s v="CUST-0080"/>
    <s v="PROD-005"/>
    <x v="6"/>
    <n v="5"/>
    <n v="300"/>
    <n v="25.8"/>
    <n v="1113"/>
    <s v="Completed"/>
    <s v="Pune"/>
    <x v="4"/>
    <s v="SMB"/>
    <n v="30"/>
    <x v="2"/>
    <s v="R024"/>
    <n v="819558.58"/>
    <x v="2"/>
  </r>
  <r>
    <s v="ORD-00151"/>
    <x v="125"/>
    <s v="CUST-0137"/>
    <s v="PROD-048"/>
    <x v="23"/>
    <n v="7"/>
    <n v="5100"/>
    <n v="28.8"/>
    <n v="25418.400000000001"/>
    <s v="Completed"/>
    <s v="Mumbai"/>
    <x v="5"/>
    <s v="Retail"/>
    <n v="41"/>
    <x v="1"/>
    <s v="R011"/>
    <n v="735207.75999999989"/>
    <x v="1"/>
  </r>
  <r>
    <s v="ORD-00152"/>
    <x v="126"/>
    <s v="CUST-0222"/>
    <s v="PROD-038"/>
    <x v="27"/>
    <n v="2"/>
    <n v="5490"/>
    <n v="5.5"/>
    <n v="10376.1"/>
    <s v="Completed"/>
    <s v="Chennai"/>
    <x v="3"/>
    <s v="Retail"/>
    <n v="37"/>
    <x v="1"/>
    <s v="R012"/>
    <n v="901394.32000000007"/>
    <x v="1"/>
  </r>
  <r>
    <s v="ORD-00153"/>
    <x v="127"/>
    <s v="CUST-0117"/>
    <s v="PROD-011"/>
    <x v="15"/>
    <n v="2"/>
    <n v="3450"/>
    <n v="1.2"/>
    <n v="6817.2"/>
    <s v="Completed"/>
    <s v="Delhi"/>
    <x v="0"/>
    <s v="SMB"/>
    <n v="34"/>
    <x v="1"/>
    <s v="R015"/>
    <n v="1091740.1799999997"/>
    <x v="1"/>
  </r>
  <r>
    <s v="ORD-00154"/>
    <x v="21"/>
    <s v="CUST-0104"/>
    <s v="PROD-029"/>
    <x v="25"/>
    <n v="10"/>
    <n v="2210"/>
    <n v="18.8"/>
    <n v="17945.2"/>
    <s v="Completed"/>
    <s v="Hyderabad"/>
    <x v="2"/>
    <s v="Corporate"/>
    <n v="43"/>
    <x v="0"/>
    <s v="R002"/>
    <n v="980063.65999999968"/>
    <x v="0"/>
  </r>
  <r>
    <s v="ORD-00155"/>
    <x v="128"/>
    <s v="CUST-0082"/>
    <s v="PROD-036"/>
    <x v="22"/>
    <n v="2"/>
    <n v="3250"/>
    <n v="26.2"/>
    <n v="4797"/>
    <s v="Completed"/>
    <s v="Hyderabad"/>
    <x v="3"/>
    <s v="SMB"/>
    <n v="36"/>
    <x v="1"/>
    <s v="R013"/>
    <n v="811524.37999999989"/>
    <x v="1"/>
  </r>
  <r>
    <s v="ORD-00156"/>
    <x v="129"/>
    <s v="CUST-0165"/>
    <s v="PROD-012"/>
    <x v="19"/>
    <n v="5"/>
    <n v="3160"/>
    <n v="0.9"/>
    <n v="15657.8"/>
    <s v="Completed"/>
    <s v="Pune"/>
    <x v="0"/>
    <s v="Retail"/>
    <n v="29"/>
    <x v="0"/>
    <s v="R001"/>
    <n v="789849.60000000009"/>
    <x v="0"/>
  </r>
  <r>
    <s v="ORD-00157"/>
    <x v="130"/>
    <s v="CUST-0150"/>
    <s v="PROD-004"/>
    <x v="14"/>
    <n v="4"/>
    <n v="3870"/>
    <n v="29.6"/>
    <n v="10897.92"/>
    <s v="Cancelled"/>
    <s v="Pune"/>
    <x v="4"/>
    <s v="SMB"/>
    <n v="53"/>
    <x v="2"/>
    <s v="R030"/>
    <n v="747624.36999999988"/>
    <x v="2"/>
  </r>
  <r>
    <s v="ORD-00158"/>
    <x v="131"/>
    <s v="CUST-0228"/>
    <s v="PROD-059"/>
    <x v="24"/>
    <n v="4"/>
    <n v="3780"/>
    <n v="3.5"/>
    <n v="14590.8"/>
    <s v="Cancelled"/>
    <s v="Pune"/>
    <x v="1"/>
    <s v="Corporate"/>
    <n v="37"/>
    <x v="3"/>
    <s v="R022"/>
    <n v="1069570.5400000003"/>
    <x v="3"/>
  </r>
  <r>
    <s v="ORD-00159"/>
    <x v="49"/>
    <s v="CUST-0197"/>
    <s v="PROD-045"/>
    <x v="13"/>
    <n v="4"/>
    <n v="3020"/>
    <n v="18.899999999999999"/>
    <n v="9796.8799999999992"/>
    <s v="Completed"/>
    <s v="Bengaluru"/>
    <x v="5"/>
    <s v="Retail"/>
    <n v="55"/>
    <x v="3"/>
    <s v="R021"/>
    <n v="761507.17000000027"/>
    <x v="3"/>
  </r>
  <r>
    <s v="ORD-00160"/>
    <x v="132"/>
    <s v="CUST-0009"/>
    <s v="PROD-031"/>
    <x v="15"/>
    <n v="1"/>
    <n v="3730"/>
    <n v="10.8"/>
    <n v="3327.16"/>
    <s v="Refunded"/>
    <s v="Mumbai"/>
    <x v="3"/>
    <s v="Retail"/>
    <n v="61"/>
    <x v="1"/>
    <s v="R015"/>
    <n v="1091740.1799999997"/>
    <x v="1"/>
  </r>
  <r>
    <s v="ORD-00161"/>
    <x v="18"/>
    <s v="CUST-0139"/>
    <s v="PROD-046"/>
    <x v="26"/>
    <n v="8"/>
    <n v="4880"/>
    <n v="20.3"/>
    <n v="31114.880000000001"/>
    <s v="Completed"/>
    <s v="Hyderabad"/>
    <x v="5"/>
    <s v="SMB"/>
    <n v="65"/>
    <x v="3"/>
    <s v="R018"/>
    <n v="1112289.6400000001"/>
    <x v="3"/>
  </r>
  <r>
    <s v="ORD-00162"/>
    <x v="133"/>
    <s v="CUST-0184"/>
    <s v="PROD-030"/>
    <x v="17"/>
    <n v="9"/>
    <n v="970"/>
    <n v="18.2"/>
    <n v="7141.14"/>
    <s v="Completed"/>
    <s v="Pune"/>
    <x v="2"/>
    <s v="Retail"/>
    <n v="63"/>
    <x v="2"/>
    <s v="R026"/>
    <n v="576305.08000000019"/>
    <x v="2"/>
  </r>
  <r>
    <s v="ORD-00163"/>
    <x v="33"/>
    <s v="CUST-0119"/>
    <s v="PROD-008"/>
    <x v="21"/>
    <n v="8"/>
    <n v="2660"/>
    <n v="17.600000000000001"/>
    <n v="17534.72"/>
    <s v="Completed"/>
    <s v="Bengaluru"/>
    <x v="4"/>
    <s v="SMB"/>
    <n v="43"/>
    <x v="3"/>
    <s v="R017"/>
    <n v="780384.40999999992"/>
    <x v="3"/>
  </r>
  <r>
    <s v="ORD-00164"/>
    <x v="85"/>
    <s v="CUST-0280"/>
    <s v="PROD-020"/>
    <x v="15"/>
    <n v="2"/>
    <n v="820"/>
    <n v="18.100000000000001"/>
    <n v="1343.16"/>
    <s v="Cancelled"/>
    <s v="Delhi"/>
    <x v="0"/>
    <s v="SMB"/>
    <n v="27"/>
    <x v="1"/>
    <s v="R015"/>
    <n v="1091740.1799999997"/>
    <x v="1"/>
  </r>
  <r>
    <s v="ORD-00165"/>
    <x v="134"/>
    <s v="CUST-0240"/>
    <s v="PROD-033"/>
    <x v="18"/>
    <n v="7"/>
    <n v="2030"/>
    <n v="23.7"/>
    <n v="10842.23"/>
    <s v="Pending"/>
    <s v="Chennai"/>
    <x v="3"/>
    <s v="Corporate"/>
    <n v="35"/>
    <x v="1"/>
    <s v="R009"/>
    <n v="914554.71999999986"/>
    <x v="1"/>
  </r>
  <r>
    <s v="ORD-00166"/>
    <x v="80"/>
    <s v="CUST-0067"/>
    <s v="PROD-016"/>
    <x v="18"/>
    <n v="5"/>
    <n v="620"/>
    <n v="13.8"/>
    <n v="2672.2"/>
    <s v="Completed"/>
    <s v="Delhi"/>
    <x v="0"/>
    <s v="SMB"/>
    <n v="59"/>
    <x v="1"/>
    <s v="R009"/>
    <n v="914554.71999999986"/>
    <x v="1"/>
  </r>
  <r>
    <s v="ORD-00167"/>
    <x v="135"/>
    <s v="CUST-0117"/>
    <s v="PROD-022"/>
    <x v="24"/>
    <n v="7"/>
    <n v="2270"/>
    <n v="5.5"/>
    <n v="15016.05"/>
    <s v="Completed"/>
    <s v="Delhi"/>
    <x v="2"/>
    <s v="SMB"/>
    <n v="34"/>
    <x v="3"/>
    <s v="R022"/>
    <n v="1069570.5400000003"/>
    <x v="3"/>
  </r>
  <r>
    <s v="ORD-00168"/>
    <x v="136"/>
    <s v="CUST-0101"/>
    <s v="PROD-053"/>
    <x v="29"/>
    <n v="1"/>
    <n v="470"/>
    <n v="13.7"/>
    <n v="405.61"/>
    <s v="Pending"/>
    <s v="Hyderabad"/>
    <x v="1"/>
    <s v="SMB"/>
    <n v="40"/>
    <x v="1"/>
    <s v="R016"/>
    <n v="814563.7100000002"/>
    <x v="1"/>
  </r>
  <r>
    <s v="ORD-00169"/>
    <x v="131"/>
    <s v="CUST-0184"/>
    <s v="PROD-001"/>
    <x v="0"/>
    <n v="6"/>
    <n v="5330"/>
    <n v="17.899999999999999"/>
    <n v="26255.58"/>
    <s v="Completed"/>
    <s v="Pune"/>
    <x v="4"/>
    <s v="Retail"/>
    <n v="63"/>
    <x v="0"/>
    <s v="R007"/>
    <n v="855749.67999999982"/>
    <x v="0"/>
  </r>
  <r>
    <s v="ORD-00170"/>
    <x v="137"/>
    <s v="CUST-0087"/>
    <s v="PROD-050"/>
    <x v="25"/>
    <n v="1"/>
    <n v="6080"/>
    <n v="25.5"/>
    <n v="4529.6000000000004"/>
    <s v="Completed"/>
    <s v="Pune"/>
    <x v="5"/>
    <s v="SMB"/>
    <n v="49"/>
    <x v="0"/>
    <s v="R002"/>
    <n v="980063.65999999968"/>
    <x v="0"/>
  </r>
  <r>
    <s v="ORD-00171"/>
    <x v="138"/>
    <s v="CUST-0261"/>
    <s v="PROD-027"/>
    <x v="24"/>
    <n v="5"/>
    <n v="3780"/>
    <n v="28.6"/>
    <n v="13494.6"/>
    <s v="Completed"/>
    <s v="Delhi"/>
    <x v="2"/>
    <s v="Retail"/>
    <n v="54"/>
    <x v="3"/>
    <s v="R022"/>
    <n v="1069570.5400000003"/>
    <x v="3"/>
  </r>
  <r>
    <s v="ORD-00172"/>
    <x v="139"/>
    <s v="CUST-0027"/>
    <s v="PROD-016"/>
    <x v="9"/>
    <n v="5"/>
    <n v="620"/>
    <n v="6.9"/>
    <n v="2886.1"/>
    <s v="Cancelled"/>
    <s v="Hyderabad"/>
    <x v="0"/>
    <s v="Corporate"/>
    <n v="52"/>
    <x v="1"/>
    <s v="R010"/>
    <n v="880345.20000000007"/>
    <x v="1"/>
  </r>
  <r>
    <s v="ORD-00173"/>
    <x v="140"/>
    <s v="CUST-0210"/>
    <s v="PROD-017"/>
    <x v="28"/>
    <n v="8"/>
    <n v="2510"/>
    <n v="0.7"/>
    <n v="19939.439999999999"/>
    <s v="Completed"/>
    <s v="Pune"/>
    <x v="0"/>
    <s v="Corporate"/>
    <n v="48"/>
    <x v="2"/>
    <s v="R027"/>
    <n v="917092.61999999965"/>
    <x v="2"/>
  </r>
  <r>
    <s v="ORD-00174"/>
    <x v="141"/>
    <s v="CUST-0163"/>
    <s v="PROD-015"/>
    <x v="16"/>
    <n v="1"/>
    <n v="2720"/>
    <n v="13.7"/>
    <n v="2347.36"/>
    <s v="Completed"/>
    <s v="Pune"/>
    <x v="0"/>
    <s v="Retail"/>
    <n v="49"/>
    <x v="3"/>
    <s v="R020"/>
    <n v="906107.71000000008"/>
    <x v="3"/>
  </r>
  <r>
    <s v="ORD-00175"/>
    <x v="14"/>
    <s v="CUST-0059"/>
    <s v="PROD-053"/>
    <x v="26"/>
    <n v="9"/>
    <n v="470"/>
    <n v="23.6"/>
    <n v="3231.72"/>
    <s v="Completed"/>
    <s v="Pune"/>
    <x v="1"/>
    <s v="Corporate"/>
    <n v="29"/>
    <x v="3"/>
    <s v="R018"/>
    <n v="1112289.6400000001"/>
    <x v="3"/>
  </r>
  <r>
    <s v="ORD-00176"/>
    <x v="142"/>
    <s v="CUST-0020"/>
    <s v="PROD-036"/>
    <x v="26"/>
    <n v="10"/>
    <n v="3250"/>
    <n v="21"/>
    <n v="25675"/>
    <s v="Cancelled"/>
    <s v="Hyderabad"/>
    <x v="3"/>
    <s v="Retail"/>
    <n v="46"/>
    <x v="3"/>
    <s v="R018"/>
    <n v="1112289.6400000001"/>
    <x v="3"/>
  </r>
  <r>
    <s v="ORD-00177"/>
    <x v="51"/>
    <s v="CUST-0048"/>
    <s v="PROD-034"/>
    <x v="8"/>
    <n v="6"/>
    <n v="5080"/>
    <n v="16.8"/>
    <n v="25359.360000000001"/>
    <s v="Pending"/>
    <s v="Delhi"/>
    <x v="3"/>
    <s v="Retail"/>
    <n v="59"/>
    <x v="2"/>
    <s v="R028"/>
    <n v="880468.05"/>
    <x v="2"/>
  </r>
  <r>
    <s v="ORD-00178"/>
    <x v="42"/>
    <s v="CUST-0172"/>
    <s v="PROD-003"/>
    <x v="27"/>
    <n v="2"/>
    <n v="3570"/>
    <n v="6.7"/>
    <n v="6661.62"/>
    <s v="Cancelled"/>
    <s v="Pune"/>
    <x v="4"/>
    <s v="Retail"/>
    <n v="65"/>
    <x v="1"/>
    <s v="R012"/>
    <n v="901394.32000000007"/>
    <x v="1"/>
  </r>
  <r>
    <s v="ORD-00179"/>
    <x v="143"/>
    <s v="CUST-0124"/>
    <s v="PROD-013"/>
    <x v="27"/>
    <n v="4"/>
    <n v="3640"/>
    <n v="18.399999999999999"/>
    <n v="11880.96"/>
    <s v="Completed"/>
    <s v="Pune"/>
    <x v="0"/>
    <s v="Retail"/>
    <n v="57"/>
    <x v="1"/>
    <s v="R012"/>
    <n v="901394.32000000007"/>
    <x v="1"/>
  </r>
  <r>
    <s v="ORD-00180"/>
    <x v="111"/>
    <s v="CUST-0184"/>
    <s v="PROD-026"/>
    <x v="19"/>
    <n v="8"/>
    <n v="4070"/>
    <n v="6.6"/>
    <n v="30411.040000000001"/>
    <s v="Completed"/>
    <s v="Pune"/>
    <x v="2"/>
    <s v="Retail"/>
    <n v="63"/>
    <x v="0"/>
    <s v="R001"/>
    <n v="789849.60000000009"/>
    <x v="0"/>
  </r>
  <r>
    <s v="ORD-00181"/>
    <x v="40"/>
    <s v="CUST-0259"/>
    <s v="PROD-011"/>
    <x v="27"/>
    <n v="6"/>
    <n v="3450"/>
    <n v="14.4"/>
    <n v="17719.2"/>
    <s v="Pending"/>
    <s v="Mumbai"/>
    <x v="0"/>
    <s v="Retail"/>
    <n v="34"/>
    <x v="1"/>
    <s v="R012"/>
    <n v="901394.32000000007"/>
    <x v="1"/>
  </r>
  <r>
    <s v="ORD-00182"/>
    <x v="68"/>
    <s v="CUST-0204"/>
    <s v="PROD-034"/>
    <x v="20"/>
    <n v="7"/>
    <n v="5080"/>
    <n v="25.4"/>
    <n v="26527.759999999998"/>
    <s v="Pending"/>
    <s v="Hyderabad"/>
    <x v="3"/>
    <s v="Retail"/>
    <n v="60"/>
    <x v="2"/>
    <s v="R029"/>
    <n v="1016696.8000000002"/>
    <x v="2"/>
  </r>
  <r>
    <s v="ORD-00183"/>
    <x v="144"/>
    <s v="CUST-0032"/>
    <s v="PROD-021"/>
    <x v="8"/>
    <n v="10"/>
    <n v="2760"/>
    <n v="20.100000000000001"/>
    <n v="22052.400000000001"/>
    <s v="Completed"/>
    <s v="Hyderabad"/>
    <x v="2"/>
    <s v="Retail"/>
    <n v="28"/>
    <x v="2"/>
    <s v="R028"/>
    <n v="880468.05"/>
    <x v="2"/>
  </r>
  <r>
    <s v="ORD-00184"/>
    <x v="145"/>
    <s v="CUST-0239"/>
    <s v="PROD-044"/>
    <x v="29"/>
    <n v="6"/>
    <n v="1650"/>
    <n v="11.3"/>
    <n v="8781.2999999999993"/>
    <s v="Pending"/>
    <s v="Mumbai"/>
    <x v="5"/>
    <s v="Retail"/>
    <n v="61"/>
    <x v="1"/>
    <s v="R016"/>
    <n v="814563.7100000002"/>
    <x v="1"/>
  </r>
  <r>
    <s v="ORD-00185"/>
    <x v="146"/>
    <s v="CUST-0191"/>
    <s v="PROD-004"/>
    <x v="0"/>
    <n v="9"/>
    <n v="3870"/>
    <n v="27.5"/>
    <n v="25251.75"/>
    <s v="Completed"/>
    <s v="Hyderabad"/>
    <x v="4"/>
    <s v="SMB"/>
    <n v="43"/>
    <x v="0"/>
    <s v="R007"/>
    <n v="855749.67999999982"/>
    <x v="0"/>
  </r>
  <r>
    <s v="ORD-00186"/>
    <x v="147"/>
    <s v="CUST-0284"/>
    <s v="PROD-035"/>
    <x v="24"/>
    <n v="2"/>
    <n v="1090"/>
    <n v="18.7"/>
    <n v="1772.34"/>
    <s v="Refunded"/>
    <s v="Hyderabad"/>
    <x v="3"/>
    <s v="SMB"/>
    <n v="65"/>
    <x v="3"/>
    <s v="R022"/>
    <n v="1069570.5400000003"/>
    <x v="3"/>
  </r>
  <r>
    <s v="ORD-00187"/>
    <x v="148"/>
    <s v="CUST-0274"/>
    <s v="PROD-049"/>
    <x v="5"/>
    <n v="4"/>
    <n v="960"/>
    <n v="23.4"/>
    <n v="2941.44"/>
    <s v="Completed"/>
    <s v="Bengaluru"/>
    <x v="5"/>
    <s v="Corporate"/>
    <n v="36"/>
    <x v="2"/>
    <s v="R025"/>
    <n v="901298.89"/>
    <x v="2"/>
  </r>
  <r>
    <s v="ORD-00188"/>
    <x v="149"/>
    <s v="CUST-0234"/>
    <s v="PROD-043"/>
    <x v="13"/>
    <n v="3"/>
    <n v="3350"/>
    <n v="17.899999999999999"/>
    <n v="8251.0499999999993"/>
    <s v="Completed"/>
    <s v="Bengaluru"/>
    <x v="5"/>
    <s v="Retail"/>
    <n v="34"/>
    <x v="3"/>
    <s v="R021"/>
    <n v="761507.17000000027"/>
    <x v="3"/>
  </r>
  <r>
    <s v="ORD-00189"/>
    <x v="150"/>
    <s v="CUST-0264"/>
    <s v="PROD-022"/>
    <x v="1"/>
    <n v="4"/>
    <n v="2270"/>
    <n v="29"/>
    <n v="6446.8"/>
    <s v="Completed"/>
    <s v="Pune"/>
    <x v="2"/>
    <s v="Retail"/>
    <n v="59"/>
    <x v="0"/>
    <s v="R005"/>
    <n v="782445.33"/>
    <x v="0"/>
  </r>
  <r>
    <s v="ORD-00190"/>
    <x v="151"/>
    <s v="CUST-0192"/>
    <s v="PROD-039"/>
    <x v="12"/>
    <n v="9"/>
    <n v="4610"/>
    <n v="28.3"/>
    <n v="29748.33"/>
    <s v="Pending"/>
    <s v="Bengaluru"/>
    <x v="3"/>
    <s v="Retail"/>
    <n v="55"/>
    <x v="3"/>
    <s v="R023"/>
    <n v="983787.4800000001"/>
    <x v="3"/>
  </r>
  <r>
    <s v="ORD-00191"/>
    <x v="152"/>
    <s v="CUST-0041"/>
    <s v="PROD-012"/>
    <x v="18"/>
    <n v="3"/>
    <n v="3160"/>
    <n v="7.3"/>
    <n v="8787.9599999999991"/>
    <s v="Completed"/>
    <s v="Bengaluru"/>
    <x v="0"/>
    <s v="SMB"/>
    <n v="26"/>
    <x v="1"/>
    <s v="R009"/>
    <n v="914554.71999999986"/>
    <x v="1"/>
  </r>
  <r>
    <s v="ORD-00192"/>
    <x v="52"/>
    <s v="CUST-0043"/>
    <s v="PROD-022"/>
    <x v="10"/>
    <n v="8"/>
    <n v="2270"/>
    <n v="15.6"/>
    <n v="15327.04"/>
    <s v="Completed"/>
    <s v="Hyderabad"/>
    <x v="2"/>
    <s v="Retail"/>
    <n v="61"/>
    <x v="0"/>
    <s v="R004"/>
    <n v="589026.2899999998"/>
    <x v="0"/>
  </r>
  <r>
    <s v="ORD-00193"/>
    <x v="64"/>
    <s v="CUST-0147"/>
    <s v="PROD-045"/>
    <x v="8"/>
    <n v="8"/>
    <n v="3020"/>
    <n v="16.3"/>
    <n v="20221.919999999998"/>
    <s v="Cancelled"/>
    <s v="Pune"/>
    <x v="5"/>
    <s v="Retail"/>
    <n v="56"/>
    <x v="2"/>
    <s v="R028"/>
    <n v="880468.05"/>
    <x v="2"/>
  </r>
  <r>
    <s v="ORD-00194"/>
    <x v="7"/>
    <s v="CUST-0056"/>
    <s v="PROD-056"/>
    <x v="14"/>
    <n v="7"/>
    <n v="6940"/>
    <n v="8.5"/>
    <n v="44450.7"/>
    <s v="Completed"/>
    <s v="Bengaluru"/>
    <x v="1"/>
    <s v="SMB"/>
    <n v="46"/>
    <x v="2"/>
    <s v="R030"/>
    <n v="747624.36999999988"/>
    <x v="2"/>
  </r>
  <r>
    <s v="ORD-00195"/>
    <x v="14"/>
    <s v="CUST-0059"/>
    <s v="PROD-041"/>
    <x v="27"/>
    <n v="8"/>
    <n v="1540"/>
    <n v="21"/>
    <n v="9732.7999999999993"/>
    <s v="Completed"/>
    <s v="Pune"/>
    <x v="5"/>
    <s v="Corporate"/>
    <n v="29"/>
    <x v="1"/>
    <s v="R012"/>
    <n v="901394.32000000007"/>
    <x v="1"/>
  </r>
  <r>
    <s v="ORD-00196"/>
    <x v="82"/>
    <s v="CUST-0047"/>
    <s v="PROD-019"/>
    <x v="20"/>
    <n v="6"/>
    <n v="2480"/>
    <n v="27.9"/>
    <n v="10728.48"/>
    <s v="Completed"/>
    <s v="Pune"/>
    <x v="0"/>
    <s v="Retail"/>
    <n v="49"/>
    <x v="2"/>
    <s v="R029"/>
    <n v="1016696.8000000002"/>
    <x v="2"/>
  </r>
  <r>
    <s v="ORD-00197"/>
    <x v="153"/>
    <s v="CUST-0162"/>
    <s v="PROD-060"/>
    <x v="24"/>
    <n v="4"/>
    <n v="190"/>
    <n v="21.5"/>
    <n v="596.6"/>
    <s v="Completed"/>
    <s v="Mumbai"/>
    <x v="1"/>
    <s v="Corporate"/>
    <n v="35"/>
    <x v="3"/>
    <s v="R022"/>
    <n v="1069570.5400000003"/>
    <x v="3"/>
  </r>
  <r>
    <s v="ORD-00198"/>
    <x v="36"/>
    <s v="CUST-0121"/>
    <s v="PROD-055"/>
    <x v="2"/>
    <n v="1"/>
    <n v="2860"/>
    <n v="15.3"/>
    <n v="2422.42"/>
    <s v="Completed"/>
    <s v="Delhi"/>
    <x v="1"/>
    <s v="SMB"/>
    <n v="55"/>
    <x v="1"/>
    <s v="R014"/>
    <n v="995713.54000000015"/>
    <x v="1"/>
  </r>
  <r>
    <s v="ORD-00199"/>
    <x v="154"/>
    <s v="CUST-0075"/>
    <s v="PROD-017"/>
    <x v="15"/>
    <n v="4"/>
    <n v="2510"/>
    <n v="10.1"/>
    <n v="9025.9599999999991"/>
    <s v="Refunded"/>
    <s v="Mumbai"/>
    <x v="0"/>
    <s v="Corporate"/>
    <n v="55"/>
    <x v="1"/>
    <s v="R015"/>
    <n v="1091740.1799999997"/>
    <x v="1"/>
  </r>
  <r>
    <s v="ORD-00200"/>
    <x v="78"/>
    <s v="CUST-0025"/>
    <s v="PROD-003"/>
    <x v="11"/>
    <n v="2"/>
    <n v="3570"/>
    <n v="11.6"/>
    <n v="6311.76"/>
    <s v="Pending"/>
    <s v="Bengaluru"/>
    <x v="4"/>
    <s v="Retail"/>
    <n v="23"/>
    <x v="0"/>
    <s v="R003"/>
    <n v="986692.91"/>
    <x v="0"/>
  </r>
  <r>
    <s v="ORD-00201"/>
    <x v="112"/>
    <s v="CUST-0048"/>
    <s v="PROD-031"/>
    <x v="29"/>
    <n v="7"/>
    <n v="3730"/>
    <n v="2.5"/>
    <n v="25457.25"/>
    <s v="Cancelled"/>
    <s v="Delhi"/>
    <x v="3"/>
    <s v="Retail"/>
    <n v="59"/>
    <x v="1"/>
    <s v="R016"/>
    <n v="814563.7100000002"/>
    <x v="1"/>
  </r>
  <r>
    <s v="ORD-00202"/>
    <x v="155"/>
    <s v="CUST-0251"/>
    <s v="PROD-032"/>
    <x v="14"/>
    <n v="6"/>
    <n v="370"/>
    <n v="9.9"/>
    <n v="2000.22"/>
    <s v="Completed"/>
    <s v="Mumbai"/>
    <x v="3"/>
    <s v="Retail"/>
    <n v="44"/>
    <x v="2"/>
    <s v="R030"/>
    <n v="747624.36999999988"/>
    <x v="2"/>
  </r>
  <r>
    <s v="ORD-00203"/>
    <x v="156"/>
    <s v="CUST-0125"/>
    <s v="PROD-008"/>
    <x v="2"/>
    <n v="4"/>
    <n v="2660"/>
    <n v="29.7"/>
    <n v="7479.92"/>
    <s v="Completed"/>
    <s v="Delhi"/>
    <x v="4"/>
    <s v="Retail"/>
    <n v="45"/>
    <x v="1"/>
    <s v="R014"/>
    <n v="995713.54000000015"/>
    <x v="1"/>
  </r>
  <r>
    <s v="ORD-00204"/>
    <x v="152"/>
    <s v="CUST-0025"/>
    <s v="PROD-021"/>
    <x v="15"/>
    <n v="6"/>
    <n v="2760"/>
    <n v="0.9"/>
    <n v="16410.96"/>
    <s v="Completed"/>
    <s v="Bengaluru"/>
    <x v="2"/>
    <s v="Retail"/>
    <n v="23"/>
    <x v="1"/>
    <s v="R015"/>
    <n v="1091740.1799999997"/>
    <x v="1"/>
  </r>
  <r>
    <s v="ORD-00205"/>
    <x v="157"/>
    <s v="CUST-0068"/>
    <s v="PROD-043"/>
    <x v="18"/>
    <n v="6"/>
    <n v="3350"/>
    <n v="17.899999999999999"/>
    <n v="16502.099999999999"/>
    <s v="Completed"/>
    <s v="Delhi"/>
    <x v="5"/>
    <s v="SMB"/>
    <n v="48"/>
    <x v="1"/>
    <s v="R009"/>
    <n v="914554.71999999986"/>
    <x v="1"/>
  </r>
  <r>
    <s v="ORD-00206"/>
    <x v="158"/>
    <s v="CUST-0080"/>
    <s v="PROD-005"/>
    <x v="21"/>
    <n v="8"/>
    <n v="300"/>
    <n v="20.6"/>
    <n v="1905.6"/>
    <s v="Refunded"/>
    <s v="Pune"/>
    <x v="4"/>
    <s v="SMB"/>
    <n v="30"/>
    <x v="3"/>
    <s v="R017"/>
    <n v="780384.40999999992"/>
    <x v="3"/>
  </r>
  <r>
    <s v="ORD-00207"/>
    <x v="159"/>
    <s v="CUST-0251"/>
    <s v="PROD-015"/>
    <x v="25"/>
    <n v="5"/>
    <n v="2720"/>
    <n v="17.100000000000001"/>
    <n v="11274.4"/>
    <s v="Pending"/>
    <s v="Mumbai"/>
    <x v="0"/>
    <s v="Retail"/>
    <n v="44"/>
    <x v="0"/>
    <s v="R002"/>
    <n v="980063.65999999968"/>
    <x v="0"/>
  </r>
  <r>
    <s v="ORD-00208"/>
    <x v="160"/>
    <s v="CUST-0077"/>
    <s v="PROD-004"/>
    <x v="15"/>
    <n v="1"/>
    <n v="3870"/>
    <n v="23.5"/>
    <n v="2960.55"/>
    <s v="Pending"/>
    <s v="Hyderabad"/>
    <x v="4"/>
    <s v="SMB"/>
    <n v="48"/>
    <x v="1"/>
    <s v="R015"/>
    <n v="1091740.1799999997"/>
    <x v="1"/>
  </r>
  <r>
    <s v="ORD-00209"/>
    <x v="161"/>
    <s v="CUST-0232"/>
    <s v="PROD-031"/>
    <x v="27"/>
    <n v="3"/>
    <n v="3730"/>
    <n v="0.7"/>
    <n v="11111.67"/>
    <s v="Pending"/>
    <s v="Hyderabad"/>
    <x v="3"/>
    <s v="Retail"/>
    <n v="38"/>
    <x v="1"/>
    <s v="R012"/>
    <n v="901394.32000000007"/>
    <x v="1"/>
  </r>
  <r>
    <s v="ORD-00210"/>
    <x v="162"/>
    <s v="CUST-0277"/>
    <s v="PROD-019"/>
    <x v="27"/>
    <n v="8"/>
    <n v="2480"/>
    <n v="18.2"/>
    <n v="16229.12"/>
    <s v="Cancelled"/>
    <s v="Chennai"/>
    <x v="0"/>
    <s v="Corporate"/>
    <n v="34"/>
    <x v="1"/>
    <s v="R012"/>
    <n v="901394.32000000007"/>
    <x v="1"/>
  </r>
  <r>
    <s v="ORD-00211"/>
    <x v="163"/>
    <s v="CUST-0149"/>
    <s v="PROD-057"/>
    <x v="7"/>
    <n v="2"/>
    <n v="960"/>
    <n v="2.2000000000000002"/>
    <n v="1877.76"/>
    <s v="Completed"/>
    <s v="Hyderabad"/>
    <x v="1"/>
    <s v="Retail"/>
    <n v="44"/>
    <x v="3"/>
    <s v="R019"/>
    <n v="971183.52000000014"/>
    <x v="3"/>
  </r>
  <r>
    <s v="ORD-00212"/>
    <x v="164"/>
    <s v="CUST-0178"/>
    <s v="PROD-046"/>
    <x v="26"/>
    <n v="8"/>
    <n v="4880"/>
    <n v="11.9"/>
    <n v="34394.239999999998"/>
    <s v="Completed"/>
    <s v="Hyderabad"/>
    <x v="5"/>
    <s v="Retail"/>
    <n v="25"/>
    <x v="3"/>
    <s v="R018"/>
    <n v="1112289.6400000001"/>
    <x v="3"/>
  </r>
  <r>
    <s v="ORD-00213"/>
    <x v="165"/>
    <s v="CUST-0246"/>
    <s v="PROD-014"/>
    <x v="14"/>
    <n v="2"/>
    <n v="3620"/>
    <n v="1.1000000000000001"/>
    <n v="7160.36"/>
    <s v="Pending"/>
    <s v="Delhi"/>
    <x v="0"/>
    <s v="SMB"/>
    <n v="29"/>
    <x v="2"/>
    <s v="R030"/>
    <n v="747624.36999999988"/>
    <x v="2"/>
  </r>
  <r>
    <s v="ORD-00214"/>
    <x v="52"/>
    <s v="CUST-0033"/>
    <s v="PROD-006"/>
    <x v="4"/>
    <n v="8"/>
    <n v="3970"/>
    <n v="18.100000000000001"/>
    <n v="26011.439999999999"/>
    <s v="Completed"/>
    <s v="Delhi"/>
    <x v="4"/>
    <s v="Retail"/>
    <n v="35"/>
    <x v="0"/>
    <s v="R008"/>
    <n v="861553.33"/>
    <x v="0"/>
  </r>
  <r>
    <s v="ORD-00215"/>
    <x v="166"/>
    <s v="CUST-0159"/>
    <s v="PROD-022"/>
    <x v="17"/>
    <n v="8"/>
    <n v="2270"/>
    <n v="19.600000000000001"/>
    <n v="14600.64"/>
    <s v="Completed"/>
    <s v="Hyderabad"/>
    <x v="2"/>
    <s v="Retail"/>
    <n v="32"/>
    <x v="2"/>
    <s v="R026"/>
    <n v="576305.08000000019"/>
    <x v="2"/>
  </r>
  <r>
    <s v="ORD-00216"/>
    <x v="167"/>
    <s v="CUST-0175"/>
    <s v="PROD-027"/>
    <x v="22"/>
    <n v="1"/>
    <n v="3780"/>
    <n v="22.6"/>
    <n v="2925.72"/>
    <s v="Completed"/>
    <s v="Delhi"/>
    <x v="2"/>
    <s v="Corporate"/>
    <n v="55"/>
    <x v="1"/>
    <s v="R013"/>
    <n v="811524.37999999989"/>
    <x v="1"/>
  </r>
  <r>
    <s v="ORD-00217"/>
    <x v="168"/>
    <s v="CUST-0079"/>
    <s v="PROD-026"/>
    <x v="24"/>
    <n v="9"/>
    <n v="4070"/>
    <n v="28.2"/>
    <n v="26300.34"/>
    <s v="Completed"/>
    <s v="Mumbai"/>
    <x v="2"/>
    <s v="Corporate"/>
    <n v="60"/>
    <x v="3"/>
    <s v="R022"/>
    <n v="1069570.5400000003"/>
    <x v="3"/>
  </r>
  <r>
    <s v="ORD-00218"/>
    <x v="75"/>
    <s v="CUST-0173"/>
    <s v="PROD-008"/>
    <x v="3"/>
    <n v="9"/>
    <n v="2660"/>
    <n v="13.1"/>
    <n v="20803.86"/>
    <s v="Pending"/>
    <s v="Mumbai"/>
    <x v="4"/>
    <s v="Retail"/>
    <n v="65"/>
    <x v="0"/>
    <s v="R006"/>
    <n v="1138648.73"/>
    <x v="0"/>
  </r>
  <r>
    <s v="ORD-00219"/>
    <x v="169"/>
    <s v="CUST-0050"/>
    <s v="PROD-003"/>
    <x v="10"/>
    <n v="4"/>
    <n v="3570"/>
    <n v="1.5"/>
    <n v="14065.8"/>
    <s v="Cancelled"/>
    <s v="Mumbai"/>
    <x v="4"/>
    <s v="Retail"/>
    <n v="37"/>
    <x v="0"/>
    <s v="R004"/>
    <n v="589026.2899999998"/>
    <x v="0"/>
  </r>
  <r>
    <s v="ORD-00220"/>
    <x v="101"/>
    <s v="CUST-0097"/>
    <s v="PROD-049"/>
    <x v="19"/>
    <n v="2"/>
    <n v="960"/>
    <n v="18.600000000000001"/>
    <n v="1562.88"/>
    <s v="Completed"/>
    <s v="Mumbai"/>
    <x v="5"/>
    <s v="Retail"/>
    <n v="65"/>
    <x v="0"/>
    <s v="R001"/>
    <n v="789849.60000000009"/>
    <x v="0"/>
  </r>
  <r>
    <s v="ORD-00221"/>
    <x v="14"/>
    <s v="CUST-0026"/>
    <s v="PROD-047"/>
    <x v="26"/>
    <n v="2"/>
    <n v="3450"/>
    <n v="3.7"/>
    <n v="6644.7"/>
    <s v="Completed"/>
    <s v="Pune"/>
    <x v="5"/>
    <s v="Retail"/>
    <n v="62"/>
    <x v="3"/>
    <s v="R018"/>
    <n v="1112289.6400000001"/>
    <x v="3"/>
  </r>
  <r>
    <s v="ORD-00222"/>
    <x v="170"/>
    <s v="CUST-0185"/>
    <s v="PROD-048"/>
    <x v="0"/>
    <n v="6"/>
    <n v="5100"/>
    <n v="1.2"/>
    <n v="30232.799999999999"/>
    <s v="Completed"/>
    <s v="Hyderabad"/>
    <x v="5"/>
    <s v="SMB"/>
    <n v="43"/>
    <x v="0"/>
    <s v="R007"/>
    <n v="855749.67999999982"/>
    <x v="0"/>
  </r>
  <r>
    <s v="ORD-00223"/>
    <x v="105"/>
    <s v="CUST-0135"/>
    <s v="PROD-005"/>
    <x v="1"/>
    <n v="9"/>
    <n v="300"/>
    <n v="25.4"/>
    <n v="2014.2"/>
    <s v="Cancelled"/>
    <s v="Pune"/>
    <x v="4"/>
    <s v="SMB"/>
    <n v="24"/>
    <x v="0"/>
    <s v="R005"/>
    <n v="782445.33"/>
    <x v="0"/>
  </r>
  <r>
    <s v="ORD-00224"/>
    <x v="171"/>
    <s v="CUST-0010"/>
    <s v="PROD-046"/>
    <x v="16"/>
    <n v="7"/>
    <n v="4880"/>
    <n v="16.899999999999999"/>
    <n v="28386.959999999999"/>
    <s v="Pending"/>
    <s v="Mumbai"/>
    <x v="5"/>
    <s v="SMB"/>
    <n v="61"/>
    <x v="3"/>
    <s v="R020"/>
    <n v="906107.71000000008"/>
    <x v="3"/>
  </r>
  <r>
    <s v="ORD-00225"/>
    <x v="172"/>
    <s v="CUST-0271"/>
    <s v="PROD-036"/>
    <x v="12"/>
    <n v="9"/>
    <n v="3250"/>
    <n v="10.8"/>
    <n v="26091"/>
    <s v="Cancelled"/>
    <s v="Bengaluru"/>
    <x v="3"/>
    <s v="Corporate"/>
    <n v="41"/>
    <x v="3"/>
    <s v="R023"/>
    <n v="983787.4800000001"/>
    <x v="3"/>
  </r>
  <r>
    <s v="ORD-00226"/>
    <x v="129"/>
    <s v="CUST-0172"/>
    <s v="PROD-047"/>
    <x v="3"/>
    <n v="3"/>
    <n v="3450"/>
    <n v="5.4"/>
    <n v="9791.1"/>
    <s v="Pending"/>
    <s v="Pune"/>
    <x v="5"/>
    <s v="Retail"/>
    <n v="65"/>
    <x v="0"/>
    <s v="R006"/>
    <n v="1138648.73"/>
    <x v="0"/>
  </r>
  <r>
    <s v="ORD-00227"/>
    <x v="63"/>
    <s v="CUST-0296"/>
    <s v="PROD-050"/>
    <x v="13"/>
    <n v="5"/>
    <n v="6080"/>
    <n v="18"/>
    <n v="24928"/>
    <s v="Completed"/>
    <s v="Delhi"/>
    <x v="5"/>
    <s v="Corporate"/>
    <n v="47"/>
    <x v="3"/>
    <s v="R021"/>
    <n v="761507.17000000027"/>
    <x v="3"/>
  </r>
  <r>
    <s v="ORD-00228"/>
    <x v="173"/>
    <s v="CUST-0080"/>
    <s v="PROD-050"/>
    <x v="24"/>
    <n v="7"/>
    <n v="6080"/>
    <n v="9.1999999999999993"/>
    <n v="38644.480000000003"/>
    <s v="Completed"/>
    <s v="Pune"/>
    <x v="5"/>
    <s v="SMB"/>
    <n v="30"/>
    <x v="3"/>
    <s v="R022"/>
    <n v="1069570.5400000003"/>
    <x v="3"/>
  </r>
  <r>
    <s v="ORD-00229"/>
    <x v="65"/>
    <s v="CUST-0232"/>
    <s v="PROD-024"/>
    <x v="2"/>
    <n v="5"/>
    <n v="2270"/>
    <n v="0.4"/>
    <n v="11304.6"/>
    <s v="Cancelled"/>
    <s v="Hyderabad"/>
    <x v="2"/>
    <s v="Retail"/>
    <n v="38"/>
    <x v="1"/>
    <s v="R014"/>
    <n v="995713.54000000015"/>
    <x v="1"/>
  </r>
  <r>
    <s v="ORD-00230"/>
    <x v="41"/>
    <s v="CUST-0070"/>
    <s v="PROD-046"/>
    <x v="29"/>
    <n v="10"/>
    <n v="4880"/>
    <n v="24.5"/>
    <n v="36844"/>
    <s v="Refunded"/>
    <s v="Mumbai"/>
    <x v="5"/>
    <s v="Retail"/>
    <n v="42"/>
    <x v="1"/>
    <s v="R016"/>
    <n v="814563.7100000002"/>
    <x v="1"/>
  </r>
  <r>
    <s v="ORD-00231"/>
    <x v="174"/>
    <s v="CUST-0142"/>
    <s v="PROD-023"/>
    <x v="25"/>
    <n v="2"/>
    <n v="2380"/>
    <n v="2.2999999999999998"/>
    <n v="4650.5200000000004"/>
    <s v="Completed"/>
    <s v="Chennai"/>
    <x v="2"/>
    <s v="Corporate"/>
    <n v="55"/>
    <x v="0"/>
    <s v="R002"/>
    <n v="980063.65999999968"/>
    <x v="0"/>
  </r>
  <r>
    <s v="ORD-00232"/>
    <x v="71"/>
    <s v="CUST-0161"/>
    <s v="PROD-054"/>
    <x v="5"/>
    <n v="1"/>
    <n v="1010"/>
    <n v="29.9"/>
    <n v="708.01"/>
    <s v="Completed"/>
    <s v="Chennai"/>
    <x v="1"/>
    <s v="Retail"/>
    <n v="38"/>
    <x v="2"/>
    <s v="R025"/>
    <n v="901298.89"/>
    <x v="2"/>
  </r>
  <r>
    <s v="ORD-00233"/>
    <x v="175"/>
    <s v="CUST-0020"/>
    <s v="PROD-056"/>
    <x v="20"/>
    <n v="7"/>
    <n v="6940"/>
    <n v="25.8"/>
    <n v="36046.36"/>
    <s v="Completed"/>
    <s v="Hyderabad"/>
    <x v="1"/>
    <s v="Retail"/>
    <n v="46"/>
    <x v="2"/>
    <s v="R029"/>
    <n v="1016696.8000000002"/>
    <x v="2"/>
  </r>
  <r>
    <s v="ORD-00234"/>
    <x v="176"/>
    <s v="CUST-0173"/>
    <s v="PROD-042"/>
    <x v="6"/>
    <n v="6"/>
    <n v="2290"/>
    <n v="25.9"/>
    <n v="10181.34"/>
    <s v="Pending"/>
    <s v="Mumbai"/>
    <x v="5"/>
    <s v="Retail"/>
    <n v="65"/>
    <x v="2"/>
    <s v="R024"/>
    <n v="819558.58"/>
    <x v="2"/>
  </r>
  <r>
    <s v="ORD-00235"/>
    <x v="118"/>
    <s v="CUST-0280"/>
    <s v="PROD-032"/>
    <x v="2"/>
    <n v="2"/>
    <n v="370"/>
    <n v="3.9"/>
    <n v="711.14"/>
    <s v="Completed"/>
    <s v="Delhi"/>
    <x v="3"/>
    <s v="SMB"/>
    <n v="27"/>
    <x v="1"/>
    <s v="R014"/>
    <n v="995713.54000000015"/>
    <x v="1"/>
  </r>
  <r>
    <s v="ORD-00236"/>
    <x v="177"/>
    <s v="CUST-0073"/>
    <s v="PROD-022"/>
    <x v="16"/>
    <n v="1"/>
    <n v="2270"/>
    <n v="25.3"/>
    <n v="1695.69"/>
    <s v="Completed"/>
    <s v="Pune"/>
    <x v="2"/>
    <s v="Corporate"/>
    <n v="40"/>
    <x v="3"/>
    <s v="R020"/>
    <n v="906107.71000000008"/>
    <x v="3"/>
  </r>
  <r>
    <s v="ORD-00237"/>
    <x v="112"/>
    <s v="CUST-0242"/>
    <s v="PROD-050"/>
    <x v="25"/>
    <n v="4"/>
    <n v="6080"/>
    <n v="28.8"/>
    <n v="17315.84"/>
    <s v="Pending"/>
    <s v="Chennai"/>
    <x v="5"/>
    <s v="SMB"/>
    <n v="59"/>
    <x v="0"/>
    <s v="R002"/>
    <n v="980063.65999999968"/>
    <x v="0"/>
  </r>
  <r>
    <s v="ORD-00238"/>
    <x v="44"/>
    <s v="CUST-0234"/>
    <s v="PROD-001"/>
    <x v="26"/>
    <n v="2"/>
    <n v="5330"/>
    <n v="23.8"/>
    <n v="8122.92"/>
    <s v="Pending"/>
    <s v="Bengaluru"/>
    <x v="4"/>
    <s v="Retail"/>
    <n v="34"/>
    <x v="3"/>
    <s v="R018"/>
    <n v="1112289.6400000001"/>
    <x v="3"/>
  </r>
  <r>
    <s v="ORD-00239"/>
    <x v="112"/>
    <s v="CUST-0085"/>
    <s v="PROD-026"/>
    <x v="6"/>
    <n v="2"/>
    <n v="4070"/>
    <n v="4.3"/>
    <n v="7789.98"/>
    <s v="Completed"/>
    <s v="Chennai"/>
    <x v="2"/>
    <s v="Retail"/>
    <n v="26"/>
    <x v="2"/>
    <s v="R024"/>
    <n v="819558.58"/>
    <x v="2"/>
  </r>
  <r>
    <s v="ORD-00240"/>
    <x v="178"/>
    <s v="CUST-0228"/>
    <s v="PROD-005"/>
    <x v="10"/>
    <n v="6"/>
    <n v="300"/>
    <n v="17.399999999999999"/>
    <n v="1486.8"/>
    <s v="Cancelled"/>
    <s v="Pune"/>
    <x v="4"/>
    <s v="Corporate"/>
    <n v="37"/>
    <x v="0"/>
    <s v="R004"/>
    <n v="589026.2899999998"/>
    <x v="0"/>
  </r>
  <r>
    <s v="ORD-00241"/>
    <x v="56"/>
    <s v="CUST-0147"/>
    <s v="PROD-046"/>
    <x v="2"/>
    <n v="1"/>
    <n v="4880"/>
    <n v="17.5"/>
    <n v="4026"/>
    <s v="Completed"/>
    <s v="Pune"/>
    <x v="5"/>
    <s v="Retail"/>
    <n v="56"/>
    <x v="1"/>
    <s v="R014"/>
    <n v="995713.54000000015"/>
    <x v="1"/>
  </r>
  <r>
    <s v="ORD-00242"/>
    <x v="179"/>
    <s v="CUST-0171"/>
    <s v="PROD-055"/>
    <x v="28"/>
    <n v="3"/>
    <n v="2860"/>
    <n v="20.100000000000001"/>
    <n v="6855.42"/>
    <s v="Completed"/>
    <s v="Chennai"/>
    <x v="1"/>
    <s v="Corporate"/>
    <n v="30"/>
    <x v="2"/>
    <s v="R027"/>
    <n v="917092.61999999965"/>
    <x v="2"/>
  </r>
  <r>
    <s v="ORD-00243"/>
    <x v="180"/>
    <s v="CUST-0051"/>
    <s v="PROD-041"/>
    <x v="25"/>
    <n v="3"/>
    <n v="1540"/>
    <n v="20.9"/>
    <n v="3654.42"/>
    <s v="Completed"/>
    <s v="Pune"/>
    <x v="5"/>
    <s v="SMB"/>
    <n v="54"/>
    <x v="0"/>
    <s v="R002"/>
    <n v="980063.65999999968"/>
    <x v="0"/>
  </r>
  <r>
    <s v="ORD-00244"/>
    <x v="31"/>
    <s v="CUST-0285"/>
    <s v="PROD-010"/>
    <x v="9"/>
    <n v="10"/>
    <n v="2640"/>
    <n v="11.2"/>
    <n v="23443.200000000001"/>
    <s v="Pending"/>
    <s v="Hyderabad"/>
    <x v="4"/>
    <s v="Retail"/>
    <n v="22"/>
    <x v="1"/>
    <s v="R010"/>
    <n v="880345.20000000007"/>
    <x v="1"/>
  </r>
  <r>
    <s v="ORD-00245"/>
    <x v="58"/>
    <s v="CUST-0114"/>
    <s v="PROD-012"/>
    <x v="22"/>
    <n v="1"/>
    <n v="3160"/>
    <n v="11.5"/>
    <n v="2796.6"/>
    <s v="Completed"/>
    <s v="Bengaluru"/>
    <x v="0"/>
    <s v="Corporate"/>
    <n v="42"/>
    <x v="1"/>
    <s v="R013"/>
    <n v="811524.37999999989"/>
    <x v="1"/>
  </r>
  <r>
    <s v="ORD-00246"/>
    <x v="181"/>
    <s v="CUST-0295"/>
    <s v="PROD-040"/>
    <x v="0"/>
    <n v="4"/>
    <n v="1080"/>
    <n v="20.7"/>
    <n v="3425.76"/>
    <s v="Pending"/>
    <s v="Delhi"/>
    <x v="3"/>
    <s v="SMB"/>
    <n v="48"/>
    <x v="0"/>
    <s v="R007"/>
    <n v="855749.67999999982"/>
    <x v="0"/>
  </r>
  <r>
    <s v="ORD-00247"/>
    <x v="65"/>
    <s v="CUST-0218"/>
    <s v="PROD-054"/>
    <x v="22"/>
    <n v="4"/>
    <n v="1010"/>
    <n v="29.5"/>
    <n v="2848.2"/>
    <s v="Pending"/>
    <s v="Mumbai"/>
    <x v="1"/>
    <s v="Retail"/>
    <n v="39"/>
    <x v="1"/>
    <s v="R013"/>
    <n v="811524.37999999989"/>
    <x v="1"/>
  </r>
  <r>
    <s v="ORD-00248"/>
    <x v="182"/>
    <s v="CUST-0090"/>
    <s v="PROD-002"/>
    <x v="28"/>
    <n v="7"/>
    <n v="2600"/>
    <n v="6.6"/>
    <n v="16998.8"/>
    <s v="Completed"/>
    <s v="Bengaluru"/>
    <x v="4"/>
    <s v="Corporate"/>
    <n v="26"/>
    <x v="2"/>
    <s v="R027"/>
    <n v="917092.61999999965"/>
    <x v="2"/>
  </r>
  <r>
    <s v="ORD-00249"/>
    <x v="183"/>
    <s v="CUST-0194"/>
    <s v="PROD-017"/>
    <x v="18"/>
    <n v="4"/>
    <n v="2510"/>
    <n v="1"/>
    <n v="9939.6"/>
    <s v="Completed"/>
    <s v="Delhi"/>
    <x v="0"/>
    <s v="SMB"/>
    <n v="55"/>
    <x v="1"/>
    <s v="R009"/>
    <n v="914554.71999999986"/>
    <x v="1"/>
  </r>
  <r>
    <s v="ORD-00250"/>
    <x v="184"/>
    <s v="CUST-0231"/>
    <s v="PROD-026"/>
    <x v="24"/>
    <n v="9"/>
    <n v="4070"/>
    <n v="6.7"/>
    <n v="34175.79"/>
    <s v="Cancelled"/>
    <s v="Chennai"/>
    <x v="2"/>
    <s v="Retail"/>
    <n v="61"/>
    <x v="3"/>
    <s v="R022"/>
    <n v="1069570.5400000003"/>
    <x v="3"/>
  </r>
  <r>
    <s v="ORD-00251"/>
    <x v="109"/>
    <s v="CUST-0055"/>
    <s v="PROD-020"/>
    <x v="9"/>
    <n v="6"/>
    <n v="820"/>
    <n v="14"/>
    <n v="4231.2"/>
    <s v="Completed"/>
    <s v="Bengaluru"/>
    <x v="0"/>
    <s v="Retail"/>
    <n v="34"/>
    <x v="1"/>
    <s v="R010"/>
    <n v="880345.20000000007"/>
    <x v="1"/>
  </r>
  <r>
    <s v="ORD-00252"/>
    <x v="185"/>
    <s v="CUST-0262"/>
    <s v="PROD-030"/>
    <x v="1"/>
    <n v="2"/>
    <n v="970"/>
    <n v="23.8"/>
    <n v="1478.28"/>
    <s v="Completed"/>
    <s v="Mumbai"/>
    <x v="2"/>
    <s v="Retail"/>
    <n v="52"/>
    <x v="0"/>
    <s v="R005"/>
    <n v="782445.33"/>
    <x v="0"/>
  </r>
  <r>
    <s v="ORD-00253"/>
    <x v="186"/>
    <s v="CUST-0155"/>
    <s v="PROD-026"/>
    <x v="27"/>
    <n v="4"/>
    <n v="4070"/>
    <n v="19"/>
    <n v="13186.8"/>
    <s v="Pending"/>
    <s v="Pune"/>
    <x v="2"/>
    <s v="Corporate"/>
    <n v="40"/>
    <x v="1"/>
    <s v="R012"/>
    <n v="901394.32000000007"/>
    <x v="1"/>
  </r>
  <r>
    <s v="ORD-00254"/>
    <x v="144"/>
    <s v="CUST-0169"/>
    <s v="PROD-047"/>
    <x v="21"/>
    <n v="3"/>
    <n v="3450"/>
    <n v="4.4000000000000004"/>
    <n v="9894.6"/>
    <s v="Cancelled"/>
    <s v="Bengaluru"/>
    <x v="5"/>
    <s v="SMB"/>
    <n v="42"/>
    <x v="3"/>
    <s v="R017"/>
    <n v="780384.40999999992"/>
    <x v="3"/>
  </r>
  <r>
    <s v="ORD-00255"/>
    <x v="187"/>
    <s v="CUST-0208"/>
    <s v="PROD-027"/>
    <x v="9"/>
    <n v="5"/>
    <n v="3780"/>
    <n v="13.5"/>
    <n v="16348.5"/>
    <s v="Completed"/>
    <s v="Mumbai"/>
    <x v="2"/>
    <s v="Retail"/>
    <n v="49"/>
    <x v="1"/>
    <s v="R010"/>
    <n v="880345.20000000007"/>
    <x v="1"/>
  </r>
  <r>
    <s v="ORD-00256"/>
    <x v="127"/>
    <s v="CUST-0249"/>
    <s v="PROD-057"/>
    <x v="10"/>
    <n v="1"/>
    <n v="960"/>
    <n v="29.2"/>
    <n v="679.68"/>
    <s v="Completed"/>
    <s v="Mumbai"/>
    <x v="1"/>
    <s v="Retail"/>
    <n v="44"/>
    <x v="0"/>
    <s v="R004"/>
    <n v="589026.2899999998"/>
    <x v="0"/>
  </r>
  <r>
    <s v="ORD-00257"/>
    <x v="188"/>
    <s v="CUST-0151"/>
    <s v="PROD-003"/>
    <x v="24"/>
    <n v="10"/>
    <n v="3570"/>
    <n v="10.7"/>
    <n v="31880.1"/>
    <s v="Completed"/>
    <s v="Mumbai"/>
    <x v="4"/>
    <s v="Retail"/>
    <n v="53"/>
    <x v="3"/>
    <s v="R022"/>
    <n v="1069570.5400000003"/>
    <x v="3"/>
  </r>
  <r>
    <s v="ORD-00258"/>
    <x v="187"/>
    <s v="CUST-0115"/>
    <s v="PROD-003"/>
    <x v="6"/>
    <n v="7"/>
    <n v="3570"/>
    <n v="12.2"/>
    <n v="21941.22"/>
    <s v="Completed"/>
    <s v="Mumbai"/>
    <x v="4"/>
    <s v="SMB"/>
    <n v="65"/>
    <x v="2"/>
    <s v="R024"/>
    <n v="819558.58"/>
    <x v="2"/>
  </r>
  <r>
    <s v="ORD-00259"/>
    <x v="189"/>
    <s v="CUST-0041"/>
    <s v="PROD-040"/>
    <x v="2"/>
    <n v="6"/>
    <n v="1080"/>
    <n v="19.8"/>
    <n v="5196.96"/>
    <s v="Completed"/>
    <s v="Bengaluru"/>
    <x v="3"/>
    <s v="SMB"/>
    <n v="26"/>
    <x v="1"/>
    <s v="R014"/>
    <n v="995713.54000000015"/>
    <x v="1"/>
  </r>
  <r>
    <s v="ORD-00260"/>
    <x v="51"/>
    <s v="CUST-0101"/>
    <s v="PROD-011"/>
    <x v="9"/>
    <n v="8"/>
    <n v="3450"/>
    <n v="19"/>
    <n v="22356"/>
    <s v="Completed"/>
    <s v="Hyderabad"/>
    <x v="0"/>
    <s v="SMB"/>
    <n v="40"/>
    <x v="1"/>
    <s v="R010"/>
    <n v="880345.20000000007"/>
    <x v="1"/>
  </r>
  <r>
    <s v="ORD-00261"/>
    <x v="2"/>
    <s v="CUST-0198"/>
    <s v="PROD-008"/>
    <x v="12"/>
    <n v="4"/>
    <n v="2660"/>
    <n v="18.8"/>
    <n v="8639.68"/>
    <s v="Pending"/>
    <s v="Chennai"/>
    <x v="4"/>
    <s v="Corporate"/>
    <n v="22"/>
    <x v="3"/>
    <s v="R023"/>
    <n v="983787.4800000001"/>
    <x v="3"/>
  </r>
  <r>
    <s v="ORD-00262"/>
    <x v="190"/>
    <s v="CUST-0200"/>
    <s v="PROD-058"/>
    <x v="18"/>
    <n v="4"/>
    <n v="2400"/>
    <n v="5.6"/>
    <n v="9062.4"/>
    <s v="Completed"/>
    <s v="Hyderabad"/>
    <x v="1"/>
    <s v="Corporate"/>
    <n v="46"/>
    <x v="1"/>
    <s v="R009"/>
    <n v="914554.71999999986"/>
    <x v="1"/>
  </r>
  <r>
    <s v="ORD-00263"/>
    <x v="191"/>
    <s v="CUST-0110"/>
    <s v="PROD-002"/>
    <x v="11"/>
    <n v="10"/>
    <n v="2600"/>
    <n v="24.7"/>
    <n v="19578"/>
    <s v="Completed"/>
    <s v="Pune"/>
    <x v="4"/>
    <s v="Corporate"/>
    <n v="31"/>
    <x v="0"/>
    <s v="R003"/>
    <n v="986692.91"/>
    <x v="0"/>
  </r>
  <r>
    <s v="ORD-00264"/>
    <x v="191"/>
    <s v="CUST-0134"/>
    <s v="PROD-025"/>
    <x v="10"/>
    <n v="3"/>
    <n v="4060"/>
    <n v="6.9"/>
    <n v="11339.58"/>
    <s v="Completed"/>
    <s v="Delhi"/>
    <x v="2"/>
    <s v="Retail"/>
    <n v="40"/>
    <x v="0"/>
    <s v="R004"/>
    <n v="589026.2899999998"/>
    <x v="0"/>
  </r>
  <r>
    <s v="ORD-00265"/>
    <x v="57"/>
    <s v="CUST-0141"/>
    <s v="PROD-038"/>
    <x v="12"/>
    <n v="6"/>
    <n v="5490"/>
    <n v="8.4"/>
    <n v="30173.040000000001"/>
    <s v="Completed"/>
    <s v="Hyderabad"/>
    <x v="3"/>
    <s v="Corporate"/>
    <n v="22"/>
    <x v="3"/>
    <s v="R023"/>
    <n v="983787.4800000001"/>
    <x v="3"/>
  </r>
  <r>
    <s v="ORD-00266"/>
    <x v="192"/>
    <s v="CUST-0163"/>
    <s v="PROD-032"/>
    <x v="26"/>
    <n v="6"/>
    <n v="370"/>
    <n v="15.1"/>
    <n v="1884.78"/>
    <s v="Completed"/>
    <s v="Pune"/>
    <x v="3"/>
    <s v="Retail"/>
    <n v="49"/>
    <x v="3"/>
    <s v="R018"/>
    <n v="1112289.6400000001"/>
    <x v="3"/>
  </r>
  <r>
    <s v="ORD-00267"/>
    <x v="171"/>
    <s v="CUST-0181"/>
    <s v="PROD-016"/>
    <x v="12"/>
    <n v="5"/>
    <n v="620"/>
    <n v="13.1"/>
    <n v="2693.9"/>
    <s v="Cancelled"/>
    <s v="Delhi"/>
    <x v="0"/>
    <s v="SMB"/>
    <n v="38"/>
    <x v="3"/>
    <s v="R023"/>
    <n v="983787.4800000001"/>
    <x v="3"/>
  </r>
  <r>
    <s v="ORD-00268"/>
    <x v="10"/>
    <s v="CUST-0133"/>
    <s v="PROD-036"/>
    <x v="20"/>
    <n v="9"/>
    <n v="3250"/>
    <n v="16.5"/>
    <n v="24423.75"/>
    <s v="Completed"/>
    <s v="Chennai"/>
    <x v="3"/>
    <s v="Retail"/>
    <n v="26"/>
    <x v="2"/>
    <s v="R029"/>
    <n v="1016696.8000000002"/>
    <x v="2"/>
  </r>
  <r>
    <s v="ORD-00269"/>
    <x v="193"/>
    <s v="CUST-0095"/>
    <s v="PROD-050"/>
    <x v="23"/>
    <n v="1"/>
    <n v="6080"/>
    <n v="0.1"/>
    <n v="6073.92"/>
    <s v="Completed"/>
    <s v="Mumbai"/>
    <x v="5"/>
    <s v="SMB"/>
    <n v="54"/>
    <x v="1"/>
    <s v="R011"/>
    <n v="735207.75999999989"/>
    <x v="1"/>
  </r>
  <r>
    <s v="ORD-00270"/>
    <x v="194"/>
    <s v="CUST-0171"/>
    <s v="PROD-013"/>
    <x v="2"/>
    <n v="8"/>
    <n v="3640"/>
    <n v="13.5"/>
    <n v="25188.799999999999"/>
    <s v="Completed"/>
    <s v="Chennai"/>
    <x v="0"/>
    <s v="Corporate"/>
    <n v="30"/>
    <x v="1"/>
    <s v="R014"/>
    <n v="995713.54000000015"/>
    <x v="1"/>
  </r>
  <r>
    <s v="ORD-00271"/>
    <x v="22"/>
    <s v="CUST-0238"/>
    <s v="PROD-012"/>
    <x v="1"/>
    <n v="9"/>
    <n v="3160"/>
    <n v="29.7"/>
    <n v="19993.32"/>
    <s v="Completed"/>
    <s v="Delhi"/>
    <x v="0"/>
    <s v="Retail"/>
    <n v="49"/>
    <x v="0"/>
    <s v="R005"/>
    <n v="782445.33"/>
    <x v="0"/>
  </r>
  <r>
    <s v="ORD-00272"/>
    <x v="49"/>
    <s v="CUST-0185"/>
    <s v="PROD-004"/>
    <x v="0"/>
    <n v="2"/>
    <n v="3870"/>
    <n v="18.100000000000001"/>
    <n v="6339.06"/>
    <s v="Cancelled"/>
    <s v="Hyderabad"/>
    <x v="4"/>
    <s v="SMB"/>
    <n v="43"/>
    <x v="0"/>
    <s v="R007"/>
    <n v="855749.67999999982"/>
    <x v="0"/>
  </r>
  <r>
    <s v="ORD-00273"/>
    <x v="195"/>
    <s v="CUST-0167"/>
    <s v="PROD-037"/>
    <x v="14"/>
    <n v="3"/>
    <n v="660"/>
    <n v="9.1999999999999993"/>
    <n v="1797.84"/>
    <s v="Completed"/>
    <s v="Delhi"/>
    <x v="3"/>
    <s v="Retail"/>
    <n v="43"/>
    <x v="2"/>
    <s v="R030"/>
    <n v="747624.36999999988"/>
    <x v="2"/>
  </r>
  <r>
    <s v="ORD-00274"/>
    <x v="196"/>
    <s v="CUST-0224"/>
    <s v="PROD-025"/>
    <x v="22"/>
    <n v="4"/>
    <n v="4060"/>
    <n v="28"/>
    <n v="11692.8"/>
    <s v="Completed"/>
    <s v="Chennai"/>
    <x v="2"/>
    <s v="Corporate"/>
    <n v="24"/>
    <x v="1"/>
    <s v="R013"/>
    <n v="811524.37999999989"/>
    <x v="1"/>
  </r>
  <r>
    <s v="ORD-00275"/>
    <x v="107"/>
    <s v="CUST-0181"/>
    <s v="PROD-034"/>
    <x v="29"/>
    <n v="2"/>
    <n v="5080"/>
    <n v="7.7"/>
    <n v="9377.68"/>
    <s v="Refunded"/>
    <s v="Delhi"/>
    <x v="3"/>
    <s v="SMB"/>
    <n v="38"/>
    <x v="1"/>
    <s v="R016"/>
    <n v="814563.7100000002"/>
    <x v="1"/>
  </r>
  <r>
    <s v="ORD-00276"/>
    <x v="197"/>
    <s v="CUST-0020"/>
    <s v="PROD-003"/>
    <x v="1"/>
    <n v="3"/>
    <n v="3570"/>
    <n v="9.5"/>
    <n v="9692.5499999999993"/>
    <s v="Completed"/>
    <s v="Hyderabad"/>
    <x v="4"/>
    <s v="Retail"/>
    <n v="46"/>
    <x v="0"/>
    <s v="R005"/>
    <n v="782445.33"/>
    <x v="0"/>
  </r>
  <r>
    <s v="ORD-00277"/>
    <x v="151"/>
    <s v="CUST-0183"/>
    <s v="PROD-016"/>
    <x v="16"/>
    <n v="2"/>
    <n v="620"/>
    <n v="29.5"/>
    <n v="874.2"/>
    <s v="Completed"/>
    <s v="Mumbai"/>
    <x v="0"/>
    <s v="SMB"/>
    <n v="27"/>
    <x v="3"/>
    <s v="R020"/>
    <n v="906107.71000000008"/>
    <x v="3"/>
  </r>
  <r>
    <s v="ORD-00278"/>
    <x v="198"/>
    <s v="CUST-0028"/>
    <s v="PROD-011"/>
    <x v="22"/>
    <n v="3"/>
    <n v="3450"/>
    <n v="3"/>
    <n v="10039.5"/>
    <s v="Completed"/>
    <s v="Bengaluru"/>
    <x v="0"/>
    <s v="Retail"/>
    <n v="59"/>
    <x v="1"/>
    <s v="R013"/>
    <n v="811524.37999999989"/>
    <x v="1"/>
  </r>
  <r>
    <s v="ORD-00279"/>
    <x v="199"/>
    <s v="CUST-0121"/>
    <s v="PROD-048"/>
    <x v="3"/>
    <n v="7"/>
    <n v="5100"/>
    <n v="4.3"/>
    <n v="34164.9"/>
    <s v="Completed"/>
    <s v="Delhi"/>
    <x v="5"/>
    <s v="SMB"/>
    <n v="55"/>
    <x v="0"/>
    <s v="R006"/>
    <n v="1138648.73"/>
    <x v="0"/>
  </r>
  <r>
    <s v="ORD-00280"/>
    <x v="110"/>
    <s v="CUST-0192"/>
    <s v="PROD-004"/>
    <x v="11"/>
    <n v="9"/>
    <n v="3870"/>
    <n v="4.8"/>
    <n v="33158.160000000003"/>
    <s v="Completed"/>
    <s v="Bengaluru"/>
    <x v="4"/>
    <s v="Retail"/>
    <n v="55"/>
    <x v="0"/>
    <s v="R003"/>
    <n v="986692.91"/>
    <x v="0"/>
  </r>
  <r>
    <s v="ORD-00281"/>
    <x v="142"/>
    <s v="CUST-0155"/>
    <s v="PROD-009"/>
    <x v="20"/>
    <n v="5"/>
    <n v="1220"/>
    <n v="4"/>
    <n v="5856"/>
    <s v="Cancelled"/>
    <s v="Pune"/>
    <x v="4"/>
    <s v="Corporate"/>
    <n v="40"/>
    <x v="2"/>
    <s v="R029"/>
    <n v="1016696.8000000002"/>
    <x v="2"/>
  </r>
  <r>
    <s v="ORD-00282"/>
    <x v="200"/>
    <s v="CUST-0159"/>
    <s v="PROD-038"/>
    <x v="12"/>
    <n v="5"/>
    <n v="5490"/>
    <n v="19.8"/>
    <n v="22014.9"/>
    <s v="Completed"/>
    <s v="Hyderabad"/>
    <x v="3"/>
    <s v="Retail"/>
    <n v="32"/>
    <x v="3"/>
    <s v="R023"/>
    <n v="983787.4800000001"/>
    <x v="3"/>
  </r>
  <r>
    <s v="ORD-00283"/>
    <x v="201"/>
    <s v="CUST-0025"/>
    <s v="PROD-044"/>
    <x v="19"/>
    <n v="1"/>
    <n v="1650"/>
    <n v="26.2"/>
    <n v="1217.7"/>
    <s v="Completed"/>
    <s v="Bengaluru"/>
    <x v="5"/>
    <s v="Retail"/>
    <n v="23"/>
    <x v="0"/>
    <s v="R001"/>
    <n v="789849.60000000009"/>
    <x v="0"/>
  </r>
  <r>
    <s v="ORD-00284"/>
    <x v="151"/>
    <s v="CUST-0297"/>
    <s v="PROD-008"/>
    <x v="11"/>
    <n v="1"/>
    <n v="2660"/>
    <n v="21"/>
    <n v="2101.4"/>
    <s v="Completed"/>
    <s v="Hyderabad"/>
    <x v="4"/>
    <s v="Retail"/>
    <n v="50"/>
    <x v="0"/>
    <s v="R003"/>
    <n v="986692.91"/>
    <x v="0"/>
  </r>
  <r>
    <s v="ORD-00285"/>
    <x v="67"/>
    <s v="CUST-0108"/>
    <s v="PROD-029"/>
    <x v="11"/>
    <n v="6"/>
    <n v="2210"/>
    <n v="9.8000000000000007"/>
    <n v="11960.52"/>
    <s v="Pending"/>
    <s v="Bengaluru"/>
    <x v="2"/>
    <s v="Corporate"/>
    <n v="59"/>
    <x v="0"/>
    <s v="R003"/>
    <n v="986692.91"/>
    <x v="0"/>
  </r>
  <r>
    <s v="ORD-00286"/>
    <x v="202"/>
    <s v="CUST-0121"/>
    <s v="PROD-002"/>
    <x v="19"/>
    <n v="9"/>
    <n v="2600"/>
    <n v="15.7"/>
    <n v="19726.2"/>
    <s v="Completed"/>
    <s v="Delhi"/>
    <x v="4"/>
    <s v="SMB"/>
    <n v="55"/>
    <x v="0"/>
    <s v="R001"/>
    <n v="789849.60000000009"/>
    <x v="0"/>
  </r>
  <r>
    <s v="ORD-00287"/>
    <x v="203"/>
    <s v="CUST-0160"/>
    <s v="PROD-045"/>
    <x v="5"/>
    <n v="3"/>
    <n v="3020"/>
    <n v="22.6"/>
    <n v="7012.44"/>
    <s v="Completed"/>
    <s v="Hyderabad"/>
    <x v="5"/>
    <s v="Retail"/>
    <n v="27"/>
    <x v="2"/>
    <s v="R025"/>
    <n v="901298.89"/>
    <x v="2"/>
  </r>
  <r>
    <s v="ORD-00288"/>
    <x v="61"/>
    <s v="CUST-0230"/>
    <s v="PROD-032"/>
    <x v="1"/>
    <n v="6"/>
    <n v="370"/>
    <n v="12.4"/>
    <n v="1944.72"/>
    <s v="Completed"/>
    <s v="Pune"/>
    <x v="3"/>
    <s v="Corporate"/>
    <n v="33"/>
    <x v="0"/>
    <s v="R005"/>
    <n v="782445.33"/>
    <x v="0"/>
  </r>
  <r>
    <s v="ORD-00289"/>
    <x v="42"/>
    <s v="CUST-0151"/>
    <s v="PROD-001"/>
    <x v="3"/>
    <n v="8"/>
    <n v="5330"/>
    <n v="16.2"/>
    <n v="35732.32"/>
    <s v="Completed"/>
    <s v="Mumbai"/>
    <x v="4"/>
    <s v="Retail"/>
    <n v="53"/>
    <x v="0"/>
    <s v="R006"/>
    <n v="1138648.73"/>
    <x v="0"/>
  </r>
  <r>
    <s v="ORD-00290"/>
    <x v="66"/>
    <s v="CUST-0222"/>
    <s v="PROD-018"/>
    <x v="14"/>
    <n v="4"/>
    <n v="3560"/>
    <n v="10.5"/>
    <n v="12744.8"/>
    <s v="Completed"/>
    <s v="Chennai"/>
    <x v="0"/>
    <s v="Retail"/>
    <n v="37"/>
    <x v="2"/>
    <s v="R030"/>
    <n v="747624.36999999988"/>
    <x v="2"/>
  </r>
  <r>
    <s v="ORD-00291"/>
    <x v="44"/>
    <s v="CUST-0055"/>
    <s v="PROD-054"/>
    <x v="14"/>
    <n v="10"/>
    <n v="1010"/>
    <n v="10.8"/>
    <n v="9009.2000000000007"/>
    <s v="Completed"/>
    <s v="Bengaluru"/>
    <x v="1"/>
    <s v="Retail"/>
    <n v="34"/>
    <x v="2"/>
    <s v="R030"/>
    <n v="747624.36999999988"/>
    <x v="2"/>
  </r>
  <r>
    <s v="ORD-00292"/>
    <x v="204"/>
    <s v="CUST-0011"/>
    <s v="PROD-056"/>
    <x v="3"/>
    <n v="8"/>
    <n v="6940"/>
    <n v="3.2"/>
    <n v="53743.360000000001"/>
    <s v="Cancelled"/>
    <s v="Chennai"/>
    <x v="1"/>
    <s v="Corporate"/>
    <n v="41"/>
    <x v="0"/>
    <s v="R006"/>
    <n v="1138648.73"/>
    <x v="0"/>
  </r>
  <r>
    <s v="ORD-00335"/>
    <x v="7"/>
    <s v="CUST-0020"/>
    <s v="PROD-012"/>
    <x v="15"/>
    <n v="7"/>
    <n v="3160"/>
    <n v="3.6"/>
    <n v="21323.68"/>
    <s v="Completed"/>
    <s v="Hyderabad"/>
    <x v="0"/>
    <s v="Retail"/>
    <n v="46"/>
    <x v="1"/>
    <s v="R015"/>
    <n v="1091740.1799999997"/>
    <x v="1"/>
  </r>
  <r>
    <s v="ORD-00294"/>
    <x v="93"/>
    <s v="CUST-0163"/>
    <s v="PROD-028"/>
    <x v="4"/>
    <n v="2"/>
    <n v="3660"/>
    <n v="30"/>
    <n v="5124"/>
    <s v="Pending"/>
    <s v="Pune"/>
    <x v="2"/>
    <s v="Retail"/>
    <n v="49"/>
    <x v="0"/>
    <s v="R008"/>
    <n v="861553.33"/>
    <x v="0"/>
  </r>
  <r>
    <s v="ORD-00295"/>
    <x v="24"/>
    <s v="CUST-0081"/>
    <s v="PROD-024"/>
    <x v="1"/>
    <n v="1"/>
    <n v="2270"/>
    <n v="4.8"/>
    <n v="2161.04"/>
    <s v="Cancelled"/>
    <s v="Mumbai"/>
    <x v="2"/>
    <s v="Retail"/>
    <n v="25"/>
    <x v="0"/>
    <s v="R005"/>
    <n v="782445.33"/>
    <x v="0"/>
  </r>
  <r>
    <s v="ORD-00296"/>
    <x v="171"/>
    <s v="CUST-0053"/>
    <s v="PROD-059"/>
    <x v="5"/>
    <n v="8"/>
    <n v="3780"/>
    <n v="13"/>
    <n v="26308.799999999999"/>
    <s v="Completed"/>
    <s v="Delhi"/>
    <x v="1"/>
    <s v="Retail"/>
    <n v="53"/>
    <x v="2"/>
    <s v="R025"/>
    <n v="901298.89"/>
    <x v="2"/>
  </r>
  <r>
    <s v="ORD-01770"/>
    <x v="205"/>
    <s v="CUST-0115"/>
    <s v="PROD-013"/>
    <x v="27"/>
    <n v="1"/>
    <n v="3640"/>
    <n v="15.3"/>
    <n v="3083.08"/>
    <s v="Pending"/>
    <s v="Mumbai"/>
    <x v="0"/>
    <s v="SMB"/>
    <n v="65"/>
    <x v="1"/>
    <s v="R012"/>
    <n v="901394.32000000007"/>
    <x v="1"/>
  </r>
  <r>
    <s v="ORD-00298"/>
    <x v="206"/>
    <s v="CUST-0166"/>
    <s v="PROD-009"/>
    <x v="18"/>
    <n v="8"/>
    <n v="1220"/>
    <n v="28.2"/>
    <n v="7007.68"/>
    <s v="Completed"/>
    <s v="Hyderabad"/>
    <x v="4"/>
    <s v="Retail"/>
    <n v="31"/>
    <x v="1"/>
    <s v="R009"/>
    <n v="914554.71999999986"/>
    <x v="1"/>
  </r>
  <r>
    <s v="ORD-00299"/>
    <x v="207"/>
    <s v="CUST-0263"/>
    <s v="PROD-017"/>
    <x v="14"/>
    <n v="3"/>
    <n v="2510"/>
    <n v="17.399999999999999"/>
    <n v="6219.78"/>
    <s v="Completed"/>
    <s v="Mumbai"/>
    <x v="0"/>
    <s v="Retail"/>
    <n v="40"/>
    <x v="2"/>
    <s v="R030"/>
    <n v="747624.36999999988"/>
    <x v="2"/>
  </r>
  <r>
    <s v="ORD-00300"/>
    <x v="208"/>
    <s v="CUST-0010"/>
    <s v="PROD-040"/>
    <x v="10"/>
    <n v="1"/>
    <n v="1080"/>
    <n v="13.9"/>
    <n v="929.88"/>
    <s v="Completed"/>
    <s v="Mumbai"/>
    <x v="3"/>
    <s v="SMB"/>
    <n v="61"/>
    <x v="0"/>
    <s v="R004"/>
    <n v="589026.2899999998"/>
    <x v="0"/>
  </r>
  <r>
    <s v="ORD-00301"/>
    <x v="183"/>
    <s v="CUST-0036"/>
    <s v="PROD-033"/>
    <x v="29"/>
    <n v="7"/>
    <n v="2030"/>
    <n v="29.2"/>
    <n v="10060.68"/>
    <s v="Completed"/>
    <s v="Mumbai"/>
    <x v="3"/>
    <s v="Retail"/>
    <n v="35"/>
    <x v="1"/>
    <s v="R016"/>
    <n v="814563.7100000002"/>
    <x v="1"/>
  </r>
  <r>
    <s v="ORD-00302"/>
    <x v="209"/>
    <s v="CUST-0259"/>
    <s v="PROD-059"/>
    <x v="16"/>
    <n v="6"/>
    <n v="3780"/>
    <n v="20.9"/>
    <n v="17939.88"/>
    <s v="Refunded"/>
    <s v="Mumbai"/>
    <x v="1"/>
    <s v="Retail"/>
    <n v="34"/>
    <x v="3"/>
    <s v="R020"/>
    <n v="906107.71000000008"/>
    <x v="3"/>
  </r>
  <r>
    <s v="ORD-00303"/>
    <x v="168"/>
    <s v="CUST-0247"/>
    <s v="PROD-012"/>
    <x v="29"/>
    <n v="1"/>
    <n v="3160"/>
    <n v="10.7"/>
    <n v="2821.88"/>
    <s v="Completed"/>
    <s v="Pune"/>
    <x v="0"/>
    <s v="SMB"/>
    <n v="35"/>
    <x v="1"/>
    <s v="R016"/>
    <n v="814563.7100000002"/>
    <x v="1"/>
  </r>
  <r>
    <s v="ORD-00881"/>
    <x v="148"/>
    <s v="CUST-0191"/>
    <s v="PROD-046"/>
    <x v="9"/>
    <n v="5"/>
    <n v="4880"/>
    <n v="11.4"/>
    <n v="21618.400000000001"/>
    <s v="Completed"/>
    <s v="Hyderabad"/>
    <x v="5"/>
    <s v="SMB"/>
    <n v="43"/>
    <x v="1"/>
    <s v="R010"/>
    <n v="880345.20000000007"/>
    <x v="1"/>
  </r>
  <r>
    <s v="ORD-00305"/>
    <x v="142"/>
    <s v="CUST-0167"/>
    <s v="PROD-031"/>
    <x v="18"/>
    <n v="9"/>
    <n v="3730"/>
    <n v="10"/>
    <n v="30213"/>
    <s v="Completed"/>
    <s v="Delhi"/>
    <x v="3"/>
    <s v="Retail"/>
    <n v="43"/>
    <x v="1"/>
    <s v="R009"/>
    <n v="914554.71999999986"/>
    <x v="1"/>
  </r>
  <r>
    <s v="ORD-00306"/>
    <x v="119"/>
    <s v="CUST-0196"/>
    <s v="PROD-034"/>
    <x v="10"/>
    <n v="5"/>
    <n v="5080"/>
    <n v="15.3"/>
    <n v="21513.8"/>
    <s v="Completed"/>
    <s v="Chennai"/>
    <x v="3"/>
    <s v="Retail"/>
    <n v="26"/>
    <x v="0"/>
    <s v="R004"/>
    <n v="589026.2899999998"/>
    <x v="0"/>
  </r>
  <r>
    <s v="ORD-00307"/>
    <x v="210"/>
    <s v="CUST-0182"/>
    <s v="PROD-042"/>
    <x v="22"/>
    <n v="9"/>
    <n v="2290"/>
    <n v="3.3"/>
    <n v="19929.87"/>
    <s v="Pending"/>
    <s v="Mumbai"/>
    <x v="5"/>
    <s v="Retail"/>
    <n v="54"/>
    <x v="1"/>
    <s v="R013"/>
    <n v="811524.37999999989"/>
    <x v="1"/>
  </r>
  <r>
    <s v="ORD-00308"/>
    <x v="211"/>
    <s v="CUST-0246"/>
    <s v="PROD-008"/>
    <x v="9"/>
    <n v="5"/>
    <n v="2660"/>
    <n v="8.3000000000000007"/>
    <n v="12196.1"/>
    <s v="Completed"/>
    <s v="Delhi"/>
    <x v="4"/>
    <s v="SMB"/>
    <n v="29"/>
    <x v="1"/>
    <s v="R010"/>
    <n v="880345.20000000007"/>
    <x v="1"/>
  </r>
  <r>
    <s v="ORD-00309"/>
    <x v="201"/>
    <s v="CUST-0132"/>
    <s v="PROD-027"/>
    <x v="5"/>
    <n v="6"/>
    <n v="3780"/>
    <n v="28.3"/>
    <n v="16261.56"/>
    <s v="Completed"/>
    <s v="Delhi"/>
    <x v="2"/>
    <s v="Retail"/>
    <n v="41"/>
    <x v="2"/>
    <s v="R025"/>
    <n v="901298.89"/>
    <x v="2"/>
  </r>
  <r>
    <s v="ORD-00310"/>
    <x v="212"/>
    <s v="CUST-0153"/>
    <s v="PROD-021"/>
    <x v="8"/>
    <n v="5"/>
    <n v="2760"/>
    <n v="4.9000000000000004"/>
    <n v="13123.8"/>
    <s v="Completed"/>
    <s v="Mumbai"/>
    <x v="2"/>
    <s v="Retail"/>
    <n v="35"/>
    <x v="2"/>
    <s v="R028"/>
    <n v="880468.05"/>
    <x v="2"/>
  </r>
  <r>
    <s v="ORD-00311"/>
    <x v="213"/>
    <s v="CUST-0139"/>
    <s v="PROD-041"/>
    <x v="3"/>
    <n v="8"/>
    <n v="1540"/>
    <n v="29.4"/>
    <n v="8697.92"/>
    <s v="Cancelled"/>
    <s v="Hyderabad"/>
    <x v="5"/>
    <s v="SMB"/>
    <n v="65"/>
    <x v="0"/>
    <s v="R006"/>
    <n v="1138648.73"/>
    <x v="0"/>
  </r>
  <r>
    <s v="ORD-00312"/>
    <x v="163"/>
    <s v="CUST-0256"/>
    <s v="PROD-046"/>
    <x v="24"/>
    <n v="1"/>
    <n v="4880"/>
    <n v="18.100000000000001"/>
    <n v="3996.72"/>
    <s v="Completed"/>
    <s v="Hyderabad"/>
    <x v="5"/>
    <s v="Retail"/>
    <n v="28"/>
    <x v="3"/>
    <s v="R022"/>
    <n v="1069570.5400000003"/>
    <x v="3"/>
  </r>
  <r>
    <s v="ORD-00313"/>
    <x v="95"/>
    <s v="CUST-0027"/>
    <s v="PROD-024"/>
    <x v="15"/>
    <n v="8"/>
    <n v="2270"/>
    <n v="19.8"/>
    <n v="14564.32"/>
    <s v="Pending"/>
    <s v="Hyderabad"/>
    <x v="2"/>
    <s v="Corporate"/>
    <n v="52"/>
    <x v="1"/>
    <s v="R015"/>
    <n v="1091740.1799999997"/>
    <x v="1"/>
  </r>
  <r>
    <s v="ORD-00314"/>
    <x v="118"/>
    <s v="CUST-0151"/>
    <s v="PROD-019"/>
    <x v="9"/>
    <n v="10"/>
    <n v="2480"/>
    <n v="24.4"/>
    <n v="18748.8"/>
    <s v="Pending"/>
    <s v="Mumbai"/>
    <x v="0"/>
    <s v="Retail"/>
    <n v="53"/>
    <x v="1"/>
    <s v="R010"/>
    <n v="880345.20000000007"/>
    <x v="1"/>
  </r>
  <r>
    <s v="ORD-00315"/>
    <x v="214"/>
    <s v="CUST-0204"/>
    <s v="PROD-045"/>
    <x v="2"/>
    <n v="8"/>
    <n v="3020"/>
    <n v="15.2"/>
    <n v="20487.68"/>
    <s v="Pending"/>
    <s v="Hyderabad"/>
    <x v="5"/>
    <s v="Retail"/>
    <n v="60"/>
    <x v="1"/>
    <s v="R014"/>
    <n v="995713.54000000015"/>
    <x v="1"/>
  </r>
  <r>
    <s v="ORD-00316"/>
    <x v="25"/>
    <s v="CUST-0084"/>
    <s v="PROD-041"/>
    <x v="7"/>
    <n v="10"/>
    <n v="1540"/>
    <n v="0.6"/>
    <n v="15307.6"/>
    <s v="Completed"/>
    <s v="Chennai"/>
    <x v="5"/>
    <s v="Retail"/>
    <n v="28"/>
    <x v="3"/>
    <s v="R019"/>
    <n v="971183.52000000014"/>
    <x v="3"/>
  </r>
  <r>
    <s v="ORD-00317"/>
    <x v="215"/>
    <s v="CUST-0048"/>
    <s v="PROD-012"/>
    <x v="19"/>
    <n v="7"/>
    <n v="3160"/>
    <n v="8.9"/>
    <n v="20151.32"/>
    <s v="Completed"/>
    <s v="Delhi"/>
    <x v="0"/>
    <s v="Retail"/>
    <n v="59"/>
    <x v="0"/>
    <s v="R001"/>
    <n v="789849.60000000009"/>
    <x v="0"/>
  </r>
  <r>
    <s v="ORD-00318"/>
    <x v="95"/>
    <s v="CUST-0013"/>
    <s v="PROD-054"/>
    <x v="22"/>
    <n v="6"/>
    <n v="1010"/>
    <n v="12.9"/>
    <n v="5278.26"/>
    <s v="Completed"/>
    <s v="Delhi"/>
    <x v="1"/>
    <s v="Retail"/>
    <n v="41"/>
    <x v="1"/>
    <s v="R013"/>
    <n v="811524.37999999989"/>
    <x v="1"/>
  </r>
  <r>
    <s v="ORD-00319"/>
    <x v="216"/>
    <s v="CUST-0245"/>
    <s v="PROD-039"/>
    <x v="16"/>
    <n v="4"/>
    <n v="4610"/>
    <n v="18.2"/>
    <n v="15083.92"/>
    <s v="Completed"/>
    <s v="Hyderabad"/>
    <x v="3"/>
    <s v="Retail"/>
    <n v="65"/>
    <x v="3"/>
    <s v="R020"/>
    <n v="906107.71000000008"/>
    <x v="3"/>
  </r>
  <r>
    <s v="ORD-00320"/>
    <x v="30"/>
    <s v="CUST-0031"/>
    <s v="PROD-025"/>
    <x v="20"/>
    <n v="6"/>
    <n v="4060"/>
    <n v="24.3"/>
    <n v="18440.52"/>
    <s v="Completed"/>
    <s v="Hyderabad"/>
    <x v="2"/>
    <s v="Retail"/>
    <n v="53"/>
    <x v="2"/>
    <s v="R029"/>
    <n v="1016696.8000000002"/>
    <x v="2"/>
  </r>
  <r>
    <s v="ORD-00321"/>
    <x v="89"/>
    <s v="CUST-0212"/>
    <s v="PROD-016"/>
    <x v="19"/>
    <n v="5"/>
    <n v="620"/>
    <n v="10.7"/>
    <n v="2768.3"/>
    <s v="Refunded"/>
    <s v="Chennai"/>
    <x v="0"/>
    <s v="SMB"/>
    <n v="46"/>
    <x v="0"/>
    <s v="R001"/>
    <n v="789849.60000000009"/>
    <x v="0"/>
  </r>
  <r>
    <s v="ORD-00322"/>
    <x v="191"/>
    <s v="CUST-0104"/>
    <s v="PROD-018"/>
    <x v="11"/>
    <n v="3"/>
    <n v="3560"/>
    <n v="4.0999999999999996"/>
    <n v="10242.120000000001"/>
    <s v="Completed"/>
    <s v="Hyderabad"/>
    <x v="0"/>
    <s v="Corporate"/>
    <n v="43"/>
    <x v="0"/>
    <s v="R003"/>
    <n v="986692.91"/>
    <x v="0"/>
  </r>
  <r>
    <s v="ORD-00323"/>
    <x v="66"/>
    <s v="CUST-0157"/>
    <s v="PROD-058"/>
    <x v="27"/>
    <n v="2"/>
    <n v="2400"/>
    <n v="13"/>
    <n v="4176"/>
    <s v="Completed"/>
    <s v="Pune"/>
    <x v="1"/>
    <s v="Corporate"/>
    <n v="52"/>
    <x v="1"/>
    <s v="R012"/>
    <n v="901394.32000000007"/>
    <x v="1"/>
  </r>
  <r>
    <s v="ORD-00324"/>
    <x v="192"/>
    <s v="CUST-0004"/>
    <s v="PROD-056"/>
    <x v="3"/>
    <n v="9"/>
    <n v="6940"/>
    <n v="26.2"/>
    <n v="46095.48"/>
    <s v="Completed"/>
    <s v="Delhi"/>
    <x v="1"/>
    <s v="Retail"/>
    <n v="53"/>
    <x v="0"/>
    <s v="R006"/>
    <n v="1138648.73"/>
    <x v="0"/>
  </r>
  <r>
    <s v="ORD-00325"/>
    <x v="217"/>
    <s v="CUST-0003"/>
    <s v="PROD-023"/>
    <x v="5"/>
    <n v="9"/>
    <n v="2380"/>
    <n v="22.7"/>
    <n v="16557.66"/>
    <s v="Completed"/>
    <s v="Mumbai"/>
    <x v="2"/>
    <s v="Retail"/>
    <n v="33"/>
    <x v="2"/>
    <s v="R025"/>
    <n v="901298.89"/>
    <x v="2"/>
  </r>
  <r>
    <s v="ORD-00326"/>
    <x v="176"/>
    <s v="CUST-0175"/>
    <s v="PROD-014"/>
    <x v="8"/>
    <n v="6"/>
    <n v="3620"/>
    <n v="9.1999999999999993"/>
    <n v="19721.759999999998"/>
    <s v="Completed"/>
    <s v="Delhi"/>
    <x v="0"/>
    <s v="Corporate"/>
    <n v="55"/>
    <x v="2"/>
    <s v="R028"/>
    <n v="880468.05"/>
    <x v="2"/>
  </r>
  <r>
    <s v="ORD-00327"/>
    <x v="124"/>
    <s v="CUST-0104"/>
    <s v="PROD-050"/>
    <x v="10"/>
    <n v="1"/>
    <n v="6080"/>
    <n v="29.4"/>
    <n v="4292.4799999999996"/>
    <s v="Cancelled"/>
    <s v="Hyderabad"/>
    <x v="5"/>
    <s v="Corporate"/>
    <n v="43"/>
    <x v="0"/>
    <s v="R004"/>
    <n v="589026.2899999998"/>
    <x v="0"/>
  </r>
  <r>
    <s v="ORD-00328"/>
    <x v="30"/>
    <s v="CUST-0196"/>
    <s v="PROD-020"/>
    <x v="26"/>
    <n v="6"/>
    <n v="820"/>
    <n v="29.1"/>
    <n v="3488.28"/>
    <s v="Completed"/>
    <s v="Chennai"/>
    <x v="0"/>
    <s v="Retail"/>
    <n v="26"/>
    <x v="3"/>
    <s v="R018"/>
    <n v="1112289.6400000001"/>
    <x v="3"/>
  </r>
  <r>
    <s v="ORD-00329"/>
    <x v="34"/>
    <s v="CUST-0299"/>
    <s v="PROD-045"/>
    <x v="6"/>
    <n v="9"/>
    <n v="3020"/>
    <n v="7.9"/>
    <n v="25032.78"/>
    <s v="Completed"/>
    <s v="Mumbai"/>
    <x v="5"/>
    <s v="Corporate"/>
    <n v="51"/>
    <x v="2"/>
    <s v="R024"/>
    <n v="819558.58"/>
    <x v="2"/>
  </r>
  <r>
    <s v="ORD-00330"/>
    <x v="218"/>
    <s v="CUST-0066"/>
    <s v="PROD-004"/>
    <x v="20"/>
    <n v="8"/>
    <n v="3870"/>
    <n v="11.9"/>
    <n v="27275.759999999998"/>
    <s v="Completed"/>
    <s v="Delhi"/>
    <x v="4"/>
    <s v="Retail"/>
    <n v="24"/>
    <x v="2"/>
    <s v="R029"/>
    <n v="1016696.8000000002"/>
    <x v="2"/>
  </r>
  <r>
    <s v="ORD-00331"/>
    <x v="72"/>
    <s v="CUST-0080"/>
    <s v="PROD-047"/>
    <x v="14"/>
    <n v="6"/>
    <n v="3450"/>
    <n v="13.9"/>
    <n v="17822.7"/>
    <s v="Completed"/>
    <s v="Pune"/>
    <x v="5"/>
    <s v="SMB"/>
    <n v="30"/>
    <x v="2"/>
    <s v="R030"/>
    <n v="747624.36999999988"/>
    <x v="2"/>
  </r>
  <r>
    <s v="ORD-00332"/>
    <x v="219"/>
    <s v="CUST-0138"/>
    <s v="PROD-048"/>
    <x v="4"/>
    <n v="9"/>
    <n v="5100"/>
    <n v="2.1"/>
    <n v="44936.1"/>
    <s v="Completed"/>
    <s v="Chennai"/>
    <x v="5"/>
    <s v="Retail"/>
    <n v="24"/>
    <x v="0"/>
    <s v="R008"/>
    <n v="861553.33"/>
    <x v="0"/>
  </r>
  <r>
    <s v="ORD-00333"/>
    <x v="79"/>
    <s v="CUST-0253"/>
    <s v="PROD-026"/>
    <x v="4"/>
    <n v="2"/>
    <n v="4070"/>
    <n v="28.6"/>
    <n v="5811.96"/>
    <s v="Completed"/>
    <s v="Delhi"/>
    <x v="2"/>
    <s v="SMB"/>
    <n v="53"/>
    <x v="0"/>
    <s v="R008"/>
    <n v="861553.33"/>
    <x v="0"/>
  </r>
  <r>
    <s v="ORD-00334"/>
    <x v="220"/>
    <s v="CUST-0247"/>
    <s v="PROD-001"/>
    <x v="0"/>
    <n v="9"/>
    <n v="5330"/>
    <n v="6.2"/>
    <n v="44995.86"/>
    <s v="Completed"/>
    <s v="Pune"/>
    <x v="4"/>
    <s v="SMB"/>
    <n v="35"/>
    <x v="0"/>
    <s v="R007"/>
    <n v="855749.67999999982"/>
    <x v="0"/>
  </r>
  <r>
    <s v="ORD-00335"/>
    <x v="158"/>
    <s v="CUST-0269"/>
    <s v="PROD-024"/>
    <x v="16"/>
    <n v="6"/>
    <n v="2270"/>
    <n v="23.7"/>
    <n v="10392.06"/>
    <s v="Completed"/>
    <s v="Pune"/>
    <x v="2"/>
    <s v="Retail"/>
    <n v="48"/>
    <x v="3"/>
    <s v="R020"/>
    <n v="906107.71000000008"/>
    <x v="3"/>
  </r>
  <r>
    <s v="ORD-00336"/>
    <x v="221"/>
    <s v="CUST-0008"/>
    <s v="PROD-017"/>
    <x v="6"/>
    <n v="5"/>
    <n v="2510"/>
    <n v="25"/>
    <n v="9412.5"/>
    <s v="Completed"/>
    <s v="Pune"/>
    <x v="0"/>
    <s v="SMB"/>
    <n v="39"/>
    <x v="2"/>
    <s v="R024"/>
    <n v="819558.58"/>
    <x v="2"/>
  </r>
  <r>
    <s v="ORD-00337"/>
    <x v="164"/>
    <s v="CUST-0134"/>
    <s v="PROD-023"/>
    <x v="7"/>
    <n v="9"/>
    <n v="2380"/>
    <n v="16.8"/>
    <n v="17821.439999999999"/>
    <s v="Completed"/>
    <s v="Delhi"/>
    <x v="2"/>
    <s v="Retail"/>
    <n v="40"/>
    <x v="3"/>
    <s v="R019"/>
    <n v="971183.52000000014"/>
    <x v="3"/>
  </r>
  <r>
    <s v="ORD-00338"/>
    <x v="103"/>
    <s v="CUST-0016"/>
    <s v="PROD-011"/>
    <x v="4"/>
    <n v="1"/>
    <n v="3450"/>
    <n v="1.5"/>
    <n v="3398.25"/>
    <s v="Refunded"/>
    <s v="Delhi"/>
    <x v="0"/>
    <s v="SMB"/>
    <n v="26"/>
    <x v="0"/>
    <s v="R008"/>
    <n v="861553.33"/>
    <x v="0"/>
  </r>
  <r>
    <s v="ORD-00339"/>
    <x v="146"/>
    <s v="CUST-0281"/>
    <s v="PROD-003"/>
    <x v="25"/>
    <n v="5"/>
    <n v="3570"/>
    <n v="12.8"/>
    <n v="15565.2"/>
    <s v="Completed"/>
    <s v="Bengaluru"/>
    <x v="4"/>
    <s v="Corporate"/>
    <n v="57"/>
    <x v="0"/>
    <s v="R002"/>
    <n v="980063.65999999968"/>
    <x v="0"/>
  </r>
  <r>
    <s v="ORD-00340"/>
    <x v="222"/>
    <s v="CUST-0267"/>
    <s v="PROD-001"/>
    <x v="20"/>
    <n v="3"/>
    <n v="5330"/>
    <n v="16.2"/>
    <n v="13399.62"/>
    <s v="Completed"/>
    <s v="Hyderabad"/>
    <x v="4"/>
    <s v="Retail"/>
    <n v="27"/>
    <x v="2"/>
    <s v="R029"/>
    <n v="1016696.8000000002"/>
    <x v="2"/>
  </r>
  <r>
    <s v="ORD-00341"/>
    <x v="123"/>
    <s v="CUST-0279"/>
    <s v="PROD-028"/>
    <x v="28"/>
    <n v="3"/>
    <n v="3660"/>
    <n v="25.3"/>
    <n v="8202.06"/>
    <s v="Completed"/>
    <s v="Mumbai"/>
    <x v="2"/>
    <s v="Retail"/>
    <n v="56"/>
    <x v="2"/>
    <s v="R027"/>
    <n v="917092.61999999965"/>
    <x v="2"/>
  </r>
  <r>
    <s v="ORD-00342"/>
    <x v="77"/>
    <s v="CUST-0036"/>
    <s v="PROD-054"/>
    <x v="15"/>
    <n v="2"/>
    <n v="1010"/>
    <n v="29.2"/>
    <n v="1430.16"/>
    <s v="Completed"/>
    <s v="Mumbai"/>
    <x v="1"/>
    <s v="Retail"/>
    <n v="35"/>
    <x v="1"/>
    <s v="R015"/>
    <n v="1091740.1799999997"/>
    <x v="1"/>
  </r>
  <r>
    <s v="ORD-00343"/>
    <x v="47"/>
    <s v="CUST-0295"/>
    <s v="PROD-040"/>
    <x v="15"/>
    <n v="1"/>
    <n v="1080"/>
    <n v="1.8"/>
    <n v="1060.56"/>
    <s v="Completed"/>
    <s v="Delhi"/>
    <x v="3"/>
    <s v="SMB"/>
    <n v="48"/>
    <x v="1"/>
    <s v="R015"/>
    <n v="1091740.1799999997"/>
    <x v="1"/>
  </r>
  <r>
    <s v="ORD-00344"/>
    <x v="85"/>
    <s v="CUST-0106"/>
    <s v="PROD-051"/>
    <x v="9"/>
    <n v="8"/>
    <n v="3450"/>
    <n v="20.399999999999999"/>
    <n v="21969.599999999999"/>
    <s v="Completed"/>
    <s v="Pune"/>
    <x v="1"/>
    <s v="Retail"/>
    <n v="22"/>
    <x v="1"/>
    <s v="R010"/>
    <n v="880345.20000000007"/>
    <x v="1"/>
  </r>
  <r>
    <s v="ORD-00593"/>
    <x v="223"/>
    <s v="CUST-0070"/>
    <s v="PROD-056"/>
    <x v="15"/>
    <n v="8"/>
    <n v="6940"/>
    <n v="19.399999999999999"/>
    <n v="44749.120000000003"/>
    <s v="Completed"/>
    <s v="Mumbai"/>
    <x v="1"/>
    <s v="Retail"/>
    <n v="42"/>
    <x v="1"/>
    <s v="R015"/>
    <n v="1091740.1799999997"/>
    <x v="1"/>
  </r>
  <r>
    <s v="ORD-00346"/>
    <x v="224"/>
    <s v="CUST-0062"/>
    <s v="PROD-041"/>
    <x v="11"/>
    <n v="2"/>
    <n v="1540"/>
    <n v="9.3000000000000007"/>
    <n v="2793.56"/>
    <s v="Completed"/>
    <s v="Pune"/>
    <x v="5"/>
    <s v="Retail"/>
    <n v="54"/>
    <x v="0"/>
    <s v="R003"/>
    <n v="986692.91"/>
    <x v="0"/>
  </r>
  <r>
    <s v="ORD-00347"/>
    <x v="225"/>
    <s v="CUST-0241"/>
    <s v="PROD-010"/>
    <x v="15"/>
    <n v="4"/>
    <n v="2640"/>
    <n v="23.2"/>
    <n v="8110.08"/>
    <s v="Refunded"/>
    <s v="Pune"/>
    <x v="4"/>
    <s v="Corporate"/>
    <n v="47"/>
    <x v="1"/>
    <s v="R015"/>
    <n v="1091740.1799999997"/>
    <x v="1"/>
  </r>
  <r>
    <s v="ORD-00348"/>
    <x v="17"/>
    <s v="CUST-0001"/>
    <s v="PROD-052"/>
    <x v="6"/>
    <n v="6"/>
    <n v="5410"/>
    <n v="29.4"/>
    <n v="22916.76"/>
    <s v="Completed"/>
    <s v="Pune"/>
    <x v="1"/>
    <s v="Retail"/>
    <n v="36"/>
    <x v="2"/>
    <s v="R024"/>
    <n v="819558.58"/>
    <x v="2"/>
  </r>
  <r>
    <s v="ORD-00349"/>
    <x v="61"/>
    <s v="CUST-0181"/>
    <s v="PROD-003"/>
    <x v="28"/>
    <n v="1"/>
    <n v="3570"/>
    <n v="4.3"/>
    <n v="3416.49"/>
    <s v="Completed"/>
    <s v="Delhi"/>
    <x v="4"/>
    <s v="SMB"/>
    <n v="38"/>
    <x v="2"/>
    <s v="R027"/>
    <n v="917092.61999999965"/>
    <x v="2"/>
  </r>
  <r>
    <s v="ORD-00350"/>
    <x v="226"/>
    <s v="CUST-0044"/>
    <s v="PROD-032"/>
    <x v="8"/>
    <n v="2"/>
    <n v="370"/>
    <n v="7.2"/>
    <n v="686.72"/>
    <s v="Completed"/>
    <s v="Hyderabad"/>
    <x v="3"/>
    <s v="SMB"/>
    <n v="29"/>
    <x v="2"/>
    <s v="R028"/>
    <n v="880468.05"/>
    <x v="2"/>
  </r>
  <r>
    <s v="ORD-00351"/>
    <x v="203"/>
    <s v="CUST-0218"/>
    <s v="PROD-017"/>
    <x v="21"/>
    <n v="1"/>
    <n v="2510"/>
    <n v="2.4"/>
    <n v="2449.7600000000002"/>
    <s v="Completed"/>
    <s v="Mumbai"/>
    <x v="0"/>
    <s v="Retail"/>
    <n v="39"/>
    <x v="3"/>
    <s v="R017"/>
    <n v="780384.40999999992"/>
    <x v="3"/>
  </r>
  <r>
    <s v="ORD-00352"/>
    <x v="178"/>
    <s v="CUST-0061"/>
    <s v="PROD-013"/>
    <x v="24"/>
    <n v="8"/>
    <n v="3640"/>
    <n v="28.7"/>
    <n v="20762.560000000001"/>
    <s v="Pending"/>
    <s v="Hyderabad"/>
    <x v="0"/>
    <s v="Retail"/>
    <n v="64"/>
    <x v="3"/>
    <s v="R022"/>
    <n v="1069570.5400000003"/>
    <x v="3"/>
  </r>
  <r>
    <s v="ORD-00353"/>
    <x v="226"/>
    <s v="CUST-0143"/>
    <s v="PROD-044"/>
    <x v="20"/>
    <n v="5"/>
    <n v="1650"/>
    <n v="13.4"/>
    <n v="7144.5"/>
    <s v="Pending"/>
    <s v="Chennai"/>
    <x v="5"/>
    <s v="SMB"/>
    <n v="52"/>
    <x v="2"/>
    <s v="R029"/>
    <n v="1016696.8000000002"/>
    <x v="2"/>
  </r>
  <r>
    <s v="ORD-00354"/>
    <x v="107"/>
    <s v="CUST-0164"/>
    <s v="PROD-049"/>
    <x v="6"/>
    <n v="9"/>
    <n v="960"/>
    <n v="28.6"/>
    <n v="6168.96"/>
    <s v="Pending"/>
    <s v="Chennai"/>
    <x v="5"/>
    <s v="Retail"/>
    <n v="60"/>
    <x v="2"/>
    <s v="R024"/>
    <n v="819558.58"/>
    <x v="2"/>
  </r>
  <r>
    <s v="ORD-00355"/>
    <x v="97"/>
    <s v="CUST-0152"/>
    <s v="PROD-027"/>
    <x v="13"/>
    <n v="4"/>
    <n v="3780"/>
    <n v="25.3"/>
    <n v="11294.64"/>
    <s v="Completed"/>
    <s v="Bengaluru"/>
    <x v="2"/>
    <s v="SMB"/>
    <n v="64"/>
    <x v="3"/>
    <s v="R021"/>
    <n v="761507.17000000027"/>
    <x v="3"/>
  </r>
  <r>
    <s v="ORD-00356"/>
    <x v="227"/>
    <s v="CUST-0143"/>
    <s v="PROD-044"/>
    <x v="2"/>
    <n v="4"/>
    <n v="1650"/>
    <n v="13.7"/>
    <n v="5695.8"/>
    <s v="Cancelled"/>
    <s v="Chennai"/>
    <x v="5"/>
    <s v="SMB"/>
    <n v="52"/>
    <x v="1"/>
    <s v="R014"/>
    <n v="995713.54000000015"/>
    <x v="1"/>
  </r>
  <r>
    <s v="ORD-00357"/>
    <x v="228"/>
    <s v="CUST-0232"/>
    <s v="PROD-014"/>
    <x v="27"/>
    <n v="6"/>
    <n v="3620"/>
    <n v="21.3"/>
    <n v="17093.64"/>
    <s v="Pending"/>
    <s v="Hyderabad"/>
    <x v="0"/>
    <s v="Retail"/>
    <n v="38"/>
    <x v="1"/>
    <s v="R012"/>
    <n v="901394.32000000007"/>
    <x v="1"/>
  </r>
  <r>
    <s v="ORD-00358"/>
    <x v="42"/>
    <s v="CUST-0067"/>
    <s v="PROD-022"/>
    <x v="14"/>
    <n v="10"/>
    <n v="2270"/>
    <n v="17.7"/>
    <n v="18682.099999999999"/>
    <s v="Completed"/>
    <s v="Delhi"/>
    <x v="2"/>
    <s v="SMB"/>
    <n v="59"/>
    <x v="2"/>
    <s v="R030"/>
    <n v="747624.36999999988"/>
    <x v="2"/>
  </r>
  <r>
    <s v="ORD-00359"/>
    <x v="130"/>
    <s v="CUST-0292"/>
    <s v="PROD-041"/>
    <x v="22"/>
    <n v="9"/>
    <n v="1540"/>
    <n v="10.7"/>
    <n v="12376.98"/>
    <s v="Completed"/>
    <s v="Bengaluru"/>
    <x v="5"/>
    <s v="Retail"/>
    <n v="32"/>
    <x v="1"/>
    <s v="R013"/>
    <n v="811524.37999999989"/>
    <x v="1"/>
  </r>
  <r>
    <s v="ORD-00360"/>
    <x v="84"/>
    <s v="CUST-0118"/>
    <s v="PROD-055"/>
    <x v="13"/>
    <n v="9"/>
    <n v="2860"/>
    <n v="12.9"/>
    <n v="22419.54"/>
    <s v="Completed"/>
    <s v="Hyderabad"/>
    <x v="1"/>
    <s v="Retail"/>
    <n v="26"/>
    <x v="3"/>
    <s v="R021"/>
    <n v="761507.17000000027"/>
    <x v="3"/>
  </r>
  <r>
    <s v="ORD-00361"/>
    <x v="229"/>
    <s v="CUST-0212"/>
    <s v="PROD-029"/>
    <x v="29"/>
    <n v="5"/>
    <n v="2210"/>
    <n v="5.0999999999999996"/>
    <n v="10486.45"/>
    <s v="Completed"/>
    <s v="Chennai"/>
    <x v="2"/>
    <s v="SMB"/>
    <n v="46"/>
    <x v="1"/>
    <s v="R016"/>
    <n v="814563.7100000002"/>
    <x v="1"/>
  </r>
  <r>
    <s v="ORD-00362"/>
    <x v="157"/>
    <s v="CUST-0287"/>
    <s v="PROD-009"/>
    <x v="20"/>
    <n v="1"/>
    <n v="1220"/>
    <n v="16.100000000000001"/>
    <n v="1023.58"/>
    <s v="Completed"/>
    <s v="Chennai"/>
    <x v="4"/>
    <s v="SMB"/>
    <n v="53"/>
    <x v="2"/>
    <s v="R029"/>
    <n v="1016696.8000000002"/>
    <x v="2"/>
  </r>
  <r>
    <s v="ORD-00363"/>
    <x v="230"/>
    <s v="CUST-0030"/>
    <s v="PROD-003"/>
    <x v="3"/>
    <n v="2"/>
    <n v="3570"/>
    <n v="1.1000000000000001"/>
    <n v="7061.46"/>
    <s v="Completed"/>
    <s v="Bengaluru"/>
    <x v="4"/>
    <s v="Corporate"/>
    <n v="43"/>
    <x v="0"/>
    <s v="R006"/>
    <n v="1138648.73"/>
    <x v="0"/>
  </r>
  <r>
    <s v="ORD-00364"/>
    <x v="231"/>
    <s v="CUST-0270"/>
    <s v="PROD-011"/>
    <x v="29"/>
    <n v="10"/>
    <n v="3450"/>
    <n v="12.6"/>
    <n v="30153"/>
    <s v="Completed"/>
    <s v="Bengaluru"/>
    <x v="0"/>
    <s v="Retail"/>
    <n v="29"/>
    <x v="1"/>
    <s v="R016"/>
    <n v="814563.7100000002"/>
    <x v="1"/>
  </r>
  <r>
    <s v="ORD-00365"/>
    <x v="232"/>
    <s v="CUST-0001"/>
    <s v="PROD-029"/>
    <x v="13"/>
    <n v="4"/>
    <n v="2210"/>
    <n v="5.4"/>
    <n v="8362.64"/>
    <s v="Completed"/>
    <s v="Pune"/>
    <x v="2"/>
    <s v="Retail"/>
    <n v="36"/>
    <x v="3"/>
    <s v="R021"/>
    <n v="761507.17000000027"/>
    <x v="3"/>
  </r>
  <r>
    <s v="ORD-00366"/>
    <x v="233"/>
    <s v="CUST-0215"/>
    <s v="PROD-035"/>
    <x v="2"/>
    <n v="6"/>
    <n v="1090"/>
    <n v="2.9"/>
    <n v="6350.34"/>
    <s v="Cancelled"/>
    <s v="Hyderabad"/>
    <x v="3"/>
    <s v="Retail"/>
    <n v="52"/>
    <x v="1"/>
    <s v="R014"/>
    <n v="995713.54000000015"/>
    <x v="1"/>
  </r>
  <r>
    <s v="ORD-00367"/>
    <x v="234"/>
    <s v="CUST-0225"/>
    <s v="PROD-041"/>
    <x v="21"/>
    <n v="8"/>
    <n v="1540"/>
    <n v="17.899999999999999"/>
    <n v="10114.719999999999"/>
    <s v="Pending"/>
    <s v="Chennai"/>
    <x v="5"/>
    <s v="SMB"/>
    <n v="26"/>
    <x v="3"/>
    <s v="R017"/>
    <n v="780384.40999999992"/>
    <x v="3"/>
  </r>
  <r>
    <s v="ORD-00368"/>
    <x v="2"/>
    <s v="CUST-0163"/>
    <s v="PROD-002"/>
    <x v="8"/>
    <n v="9"/>
    <n v="2600"/>
    <n v="4.0999999999999996"/>
    <n v="22440.6"/>
    <s v="Completed"/>
    <s v="Pune"/>
    <x v="4"/>
    <s v="Retail"/>
    <n v="49"/>
    <x v="2"/>
    <s v="R028"/>
    <n v="880468.05"/>
    <x v="2"/>
  </r>
  <r>
    <s v="ORD-00369"/>
    <x v="235"/>
    <s v="CUST-0196"/>
    <s v="PROD-060"/>
    <x v="0"/>
    <n v="2"/>
    <n v="190"/>
    <n v="4.8"/>
    <n v="361.76"/>
    <s v="Completed"/>
    <s v="Chennai"/>
    <x v="1"/>
    <s v="Retail"/>
    <n v="26"/>
    <x v="0"/>
    <s v="R007"/>
    <n v="855749.67999999982"/>
    <x v="0"/>
  </r>
  <r>
    <s v="ORD-00370"/>
    <x v="236"/>
    <s v="CUST-0002"/>
    <s v="PROD-019"/>
    <x v="2"/>
    <n v="9"/>
    <n v="2480"/>
    <n v="28.3"/>
    <n v="16003.44"/>
    <s v="Completed"/>
    <s v="Pune"/>
    <x v="0"/>
    <s v="Corporate"/>
    <n v="42"/>
    <x v="1"/>
    <s v="R014"/>
    <n v="995713.54000000015"/>
    <x v="1"/>
  </r>
  <r>
    <s v="ORD-00371"/>
    <x v="33"/>
    <s v="CUST-0057"/>
    <s v="PROD-042"/>
    <x v="3"/>
    <n v="7"/>
    <n v="2290"/>
    <n v="25"/>
    <n v="12022.5"/>
    <s v="Cancelled"/>
    <s v="Pune"/>
    <x v="5"/>
    <s v="Retail"/>
    <n v="35"/>
    <x v="0"/>
    <s v="R006"/>
    <n v="1138648.73"/>
    <x v="0"/>
  </r>
  <r>
    <s v="ORD-00372"/>
    <x v="237"/>
    <s v="CUST-0112"/>
    <s v="PROD-041"/>
    <x v="15"/>
    <n v="9"/>
    <n v="1540"/>
    <n v="23.3"/>
    <n v="10630.62"/>
    <s v="Completed"/>
    <s v="Hyderabad"/>
    <x v="5"/>
    <s v="Retail"/>
    <n v="64"/>
    <x v="1"/>
    <s v="R015"/>
    <n v="1091740.1799999997"/>
    <x v="1"/>
  </r>
  <r>
    <s v="ORD-00373"/>
    <x v="168"/>
    <s v="CUST-0131"/>
    <s v="PROD-034"/>
    <x v="5"/>
    <n v="2"/>
    <n v="5080"/>
    <n v="2.5"/>
    <n v="9906"/>
    <s v="Cancelled"/>
    <s v="Delhi"/>
    <x v="3"/>
    <s v="SMB"/>
    <n v="28"/>
    <x v="2"/>
    <s v="R025"/>
    <n v="901298.89"/>
    <x v="2"/>
  </r>
  <r>
    <s v="ORD-00374"/>
    <x v="238"/>
    <s v="CUST-0124"/>
    <s v="PROD-017"/>
    <x v="29"/>
    <n v="4"/>
    <n v="2510"/>
    <n v="23.6"/>
    <n v="7670.56"/>
    <s v="Completed"/>
    <s v="Pune"/>
    <x v="0"/>
    <s v="Retail"/>
    <n v="57"/>
    <x v="1"/>
    <s v="R016"/>
    <n v="814563.7100000002"/>
    <x v="1"/>
  </r>
  <r>
    <s v="ORD-00375"/>
    <x v="10"/>
    <s v="CUST-0131"/>
    <s v="PROD-042"/>
    <x v="23"/>
    <n v="5"/>
    <n v="2290"/>
    <n v="17"/>
    <n v="9503.5"/>
    <s v="Completed"/>
    <s v="Delhi"/>
    <x v="5"/>
    <s v="SMB"/>
    <n v="28"/>
    <x v="1"/>
    <s v="R011"/>
    <n v="735207.75999999989"/>
    <x v="1"/>
  </r>
  <r>
    <s v="ORD-00376"/>
    <x v="1"/>
    <s v="CUST-0084"/>
    <s v="PROD-053"/>
    <x v="3"/>
    <n v="8"/>
    <n v="470"/>
    <n v="9.3000000000000007"/>
    <n v="3410.32"/>
    <s v="Completed"/>
    <s v="Chennai"/>
    <x v="1"/>
    <s v="Retail"/>
    <n v="28"/>
    <x v="0"/>
    <s v="R006"/>
    <n v="1138648.73"/>
    <x v="0"/>
  </r>
  <r>
    <s v="ORD-00377"/>
    <x v="148"/>
    <s v="CUST-0082"/>
    <s v="PROD-048"/>
    <x v="18"/>
    <n v="8"/>
    <n v="5100"/>
    <n v="4.5999999999999996"/>
    <n v="38923.199999999997"/>
    <s v="Completed"/>
    <s v="Hyderabad"/>
    <x v="5"/>
    <s v="SMB"/>
    <n v="36"/>
    <x v="1"/>
    <s v="R009"/>
    <n v="914554.71999999986"/>
    <x v="1"/>
  </r>
  <r>
    <s v="ORD-00378"/>
    <x v="197"/>
    <s v="CUST-0242"/>
    <s v="PROD-001"/>
    <x v="9"/>
    <n v="7"/>
    <n v="5330"/>
    <n v="2.5"/>
    <n v="36377.25"/>
    <s v="Completed"/>
    <s v="Chennai"/>
    <x v="4"/>
    <s v="SMB"/>
    <n v="59"/>
    <x v="1"/>
    <s v="R010"/>
    <n v="880345.20000000007"/>
    <x v="1"/>
  </r>
  <r>
    <s v="ORD-00379"/>
    <x v="234"/>
    <s v="CUST-0074"/>
    <s v="PROD-033"/>
    <x v="8"/>
    <n v="10"/>
    <n v="2030"/>
    <n v="8.5"/>
    <n v="18574.5"/>
    <s v="Completed"/>
    <s v="Bengaluru"/>
    <x v="3"/>
    <s v="Retail"/>
    <n v="27"/>
    <x v="2"/>
    <s v="R028"/>
    <n v="880468.05"/>
    <x v="2"/>
  </r>
  <r>
    <s v="ORD-00380"/>
    <x v="9"/>
    <s v="CUST-0221"/>
    <s v="PROD-034"/>
    <x v="11"/>
    <n v="8"/>
    <n v="5080"/>
    <n v="9.6"/>
    <n v="36738.559999999998"/>
    <s v="Cancelled"/>
    <s v="Delhi"/>
    <x v="3"/>
    <s v="SMB"/>
    <n v="29"/>
    <x v="0"/>
    <s v="R003"/>
    <n v="986692.91"/>
    <x v="0"/>
  </r>
  <r>
    <s v="ORD-00381"/>
    <x v="239"/>
    <s v="CUST-0101"/>
    <s v="PROD-023"/>
    <x v="2"/>
    <n v="1"/>
    <n v="2380"/>
    <n v="11.6"/>
    <n v="2103.92"/>
    <s v="Pending"/>
    <s v="Hyderabad"/>
    <x v="2"/>
    <s v="SMB"/>
    <n v="40"/>
    <x v="1"/>
    <s v="R014"/>
    <n v="995713.54000000015"/>
    <x v="1"/>
  </r>
  <r>
    <s v="ORD-00382"/>
    <x v="222"/>
    <s v="CUST-0203"/>
    <s v="PROD-041"/>
    <x v="28"/>
    <n v="8"/>
    <n v="1540"/>
    <n v="27.8"/>
    <n v="8895.0400000000009"/>
    <s v="Completed"/>
    <s v="Chennai"/>
    <x v="5"/>
    <s v="SMB"/>
    <n v="55"/>
    <x v="2"/>
    <s v="R027"/>
    <n v="917092.61999999965"/>
    <x v="2"/>
  </r>
  <r>
    <s v="ORD-00383"/>
    <x v="157"/>
    <s v="CUST-0209"/>
    <s v="PROD-024"/>
    <x v="6"/>
    <n v="1"/>
    <n v="2270"/>
    <n v="6.5"/>
    <n v="2122.4499999999998"/>
    <s v="Pending"/>
    <s v="Pune"/>
    <x v="2"/>
    <s v="Retail"/>
    <n v="31"/>
    <x v="2"/>
    <s v="R024"/>
    <n v="819558.58"/>
    <x v="2"/>
  </r>
  <r>
    <s v="ORD-00384"/>
    <x v="240"/>
    <s v="CUST-0094"/>
    <s v="PROD-019"/>
    <x v="8"/>
    <n v="6"/>
    <n v="2480"/>
    <n v="25.9"/>
    <n v="11026.08"/>
    <s v="Completed"/>
    <s v="Pune"/>
    <x v="0"/>
    <s v="SMB"/>
    <n v="60"/>
    <x v="2"/>
    <s v="R028"/>
    <n v="880468.05"/>
    <x v="2"/>
  </r>
  <r>
    <s v="ORD-00385"/>
    <x v="170"/>
    <s v="CUST-0248"/>
    <s v="PROD-018"/>
    <x v="7"/>
    <n v="3"/>
    <n v="3560"/>
    <n v="0.4"/>
    <n v="10637.28"/>
    <s v="Refunded"/>
    <s v="Chennai"/>
    <x v="0"/>
    <s v="SMB"/>
    <n v="57"/>
    <x v="3"/>
    <s v="R019"/>
    <n v="971183.52000000014"/>
    <x v="3"/>
  </r>
  <r>
    <s v="ORD-00386"/>
    <x v="124"/>
    <s v="CUST-0297"/>
    <s v="PROD-008"/>
    <x v="3"/>
    <n v="4"/>
    <n v="2660"/>
    <n v="19.7"/>
    <n v="8543.92"/>
    <s v="Cancelled"/>
    <s v="Hyderabad"/>
    <x v="4"/>
    <s v="Retail"/>
    <n v="50"/>
    <x v="0"/>
    <s v="R006"/>
    <n v="1138648.73"/>
    <x v="0"/>
  </r>
  <r>
    <s v="ORD-00387"/>
    <x v="194"/>
    <s v="CUST-0107"/>
    <s v="PROD-009"/>
    <x v="22"/>
    <n v="10"/>
    <n v="1220"/>
    <n v="10.1"/>
    <n v="10967.8"/>
    <s v="Cancelled"/>
    <s v="Pune"/>
    <x v="4"/>
    <s v="Retail"/>
    <n v="50"/>
    <x v="1"/>
    <s v="R013"/>
    <n v="811524.37999999989"/>
    <x v="1"/>
  </r>
  <r>
    <s v="ORD-00388"/>
    <x v="241"/>
    <s v="CUST-0247"/>
    <s v="PROD-002"/>
    <x v="2"/>
    <n v="8"/>
    <n v="2600"/>
    <n v="26.7"/>
    <n v="15246.4"/>
    <s v="Completed"/>
    <s v="Pune"/>
    <x v="4"/>
    <s v="SMB"/>
    <n v="35"/>
    <x v="1"/>
    <s v="R014"/>
    <n v="995713.54000000015"/>
    <x v="1"/>
  </r>
  <r>
    <s v="ORD-00389"/>
    <x v="242"/>
    <s v="CUST-0047"/>
    <s v="PROD-011"/>
    <x v="16"/>
    <n v="10"/>
    <n v="3450"/>
    <n v="20.399999999999999"/>
    <n v="27462"/>
    <s v="Completed"/>
    <s v="Pune"/>
    <x v="0"/>
    <s v="Retail"/>
    <n v="49"/>
    <x v="3"/>
    <s v="R020"/>
    <n v="906107.71000000008"/>
    <x v="3"/>
  </r>
  <r>
    <s v="ORD-00390"/>
    <x v="242"/>
    <s v="CUST-0118"/>
    <s v="PROD-056"/>
    <x v="7"/>
    <n v="1"/>
    <n v="6940"/>
    <n v="9.6999999999999993"/>
    <n v="6266.82"/>
    <s v="Completed"/>
    <s v="Hyderabad"/>
    <x v="1"/>
    <s v="Retail"/>
    <n v="26"/>
    <x v="3"/>
    <s v="R019"/>
    <n v="971183.52000000014"/>
    <x v="3"/>
  </r>
  <r>
    <s v="ORD-00391"/>
    <x v="243"/>
    <s v="CUST-0019"/>
    <s v="PROD-043"/>
    <x v="3"/>
    <n v="10"/>
    <n v="3350"/>
    <n v="3.2"/>
    <n v="32428"/>
    <s v="Completed"/>
    <s v="Chennai"/>
    <x v="5"/>
    <s v="Retail"/>
    <n v="22"/>
    <x v="0"/>
    <s v="R006"/>
    <n v="1138648.73"/>
    <x v="0"/>
  </r>
  <r>
    <s v="ORD-00392"/>
    <x v="244"/>
    <s v="CUST-0290"/>
    <s v="PROD-041"/>
    <x v="17"/>
    <n v="7"/>
    <n v="1540"/>
    <n v="0.5"/>
    <n v="10726.1"/>
    <s v="Completed"/>
    <s v="Delhi"/>
    <x v="5"/>
    <s v="Retail"/>
    <n v="63"/>
    <x v="2"/>
    <s v="R026"/>
    <n v="576305.08000000019"/>
    <x v="2"/>
  </r>
  <r>
    <s v="ORD-00393"/>
    <x v="219"/>
    <s v="CUST-9557"/>
    <s v="PROD-014"/>
    <x v="17"/>
    <n v="10"/>
    <n v="3620"/>
    <n v="22"/>
    <n v="28236"/>
    <s v="Completed"/>
    <s v="Pune"/>
    <x v="0"/>
    <e v="#N/A"/>
    <e v="#N/A"/>
    <x v="2"/>
    <s v="R026"/>
    <n v="576305.08000000019"/>
    <x v="2"/>
  </r>
  <r>
    <s v="ORD-00394"/>
    <x v="98"/>
    <s v="CUST-0291"/>
    <s v="PROD-053"/>
    <x v="17"/>
    <n v="2"/>
    <n v="470"/>
    <n v="26.5"/>
    <n v="690.9"/>
    <s v="Pending"/>
    <s v="Pune"/>
    <x v="1"/>
    <s v="SMB"/>
    <n v="29"/>
    <x v="2"/>
    <s v="R026"/>
    <n v="576305.08000000019"/>
    <x v="2"/>
  </r>
  <r>
    <s v="ORD-00395"/>
    <x v="46"/>
    <s v="CUST-0045"/>
    <s v="PROD-028"/>
    <x v="9"/>
    <n v="6"/>
    <n v="3660"/>
    <n v="1.5"/>
    <n v="21630.6"/>
    <s v="Completed"/>
    <s v="Chennai"/>
    <x v="2"/>
    <s v="SMB"/>
    <n v="39"/>
    <x v="1"/>
    <s v="R010"/>
    <n v="880345.20000000007"/>
    <x v="1"/>
  </r>
  <r>
    <s v="ORD-00396"/>
    <x v="39"/>
    <s v="CUST-0281"/>
    <s v="PROD-056"/>
    <x v="21"/>
    <n v="10"/>
    <n v="6940"/>
    <n v="1.9"/>
    <n v="68081.399999999994"/>
    <s v="Completed"/>
    <s v="Bengaluru"/>
    <x v="1"/>
    <s v="Corporate"/>
    <n v="57"/>
    <x v="3"/>
    <s v="R017"/>
    <n v="780384.40999999992"/>
    <x v="3"/>
  </r>
  <r>
    <s v="ORD-00397"/>
    <x v="245"/>
    <s v="CUST-0073"/>
    <s v="PROD-042"/>
    <x v="1"/>
    <n v="8"/>
    <n v="2290"/>
    <n v="27.9"/>
    <n v="13208.72"/>
    <s v="Completed"/>
    <s v="Pune"/>
    <x v="5"/>
    <s v="Corporate"/>
    <n v="40"/>
    <x v="0"/>
    <s v="R005"/>
    <n v="782445.33"/>
    <x v="0"/>
  </r>
  <r>
    <s v="ORD-00398"/>
    <x v="52"/>
    <s v="CUST-0043"/>
    <s v="PROD-012"/>
    <x v="6"/>
    <n v="9"/>
    <n v="3160"/>
    <n v="10.199999999999999"/>
    <n v="25539.119999999999"/>
    <s v="Completed"/>
    <s v="Hyderabad"/>
    <x v="0"/>
    <s v="Retail"/>
    <n v="61"/>
    <x v="2"/>
    <s v="R024"/>
    <n v="819558.58"/>
    <x v="2"/>
  </r>
  <r>
    <s v="ORD-00399"/>
    <x v="246"/>
    <s v="CUST-0154"/>
    <s v="PROD-034"/>
    <x v="8"/>
    <n v="6"/>
    <n v="5080"/>
    <n v="25.4"/>
    <n v="22738.080000000002"/>
    <s v="Completed"/>
    <s v="Pune"/>
    <x v="3"/>
    <s v="Retail"/>
    <n v="36"/>
    <x v="2"/>
    <s v="R028"/>
    <n v="880468.05"/>
    <x v="2"/>
  </r>
  <r>
    <s v="ORD-00400"/>
    <x v="247"/>
    <s v="CUST-0061"/>
    <s v="PROD-021"/>
    <x v="27"/>
    <n v="6"/>
    <n v="2760"/>
    <n v="21.3"/>
    <n v="13032.72"/>
    <s v="Completed"/>
    <s v="Hyderabad"/>
    <x v="2"/>
    <s v="Retail"/>
    <n v="64"/>
    <x v="1"/>
    <s v="R012"/>
    <n v="901394.32000000007"/>
    <x v="1"/>
  </r>
  <r>
    <s v="ORD-00401"/>
    <x v="32"/>
    <s v="CUST-9654"/>
    <s v="PROD-009"/>
    <x v="27"/>
    <n v="5"/>
    <n v="1220"/>
    <n v="7.6"/>
    <n v="5636.4"/>
    <s v="Completed"/>
    <s v="Mumbai"/>
    <x v="4"/>
    <e v="#N/A"/>
    <e v="#N/A"/>
    <x v="1"/>
    <s v="R012"/>
    <n v="901394.32000000007"/>
    <x v="1"/>
  </r>
  <r>
    <s v="ORD-00402"/>
    <x v="81"/>
    <s v="CUST-0189"/>
    <s v="PROD-046"/>
    <x v="8"/>
    <n v="5"/>
    <n v="4880"/>
    <n v="8.5"/>
    <n v="22326"/>
    <s v="Completed"/>
    <s v="Chennai"/>
    <x v="5"/>
    <s v="Retail"/>
    <n v="41"/>
    <x v="2"/>
    <s v="R028"/>
    <n v="880468.05"/>
    <x v="2"/>
  </r>
  <r>
    <s v="ORD-00403"/>
    <x v="102"/>
    <s v="CUST-0152"/>
    <s v="PROD-026"/>
    <x v="24"/>
    <n v="7"/>
    <n v="4070"/>
    <n v="28"/>
    <n v="20512.8"/>
    <s v="Completed"/>
    <s v="Bengaluru"/>
    <x v="2"/>
    <s v="SMB"/>
    <n v="64"/>
    <x v="3"/>
    <s v="R022"/>
    <n v="1069570.5400000003"/>
    <x v="3"/>
  </r>
  <r>
    <s v="ORD-00404"/>
    <x v="47"/>
    <s v="CUST-0284"/>
    <s v="PROD-006"/>
    <x v="8"/>
    <n v="2"/>
    <n v="3970"/>
    <n v="14"/>
    <n v="6828.4"/>
    <s v="Completed"/>
    <s v="Hyderabad"/>
    <x v="4"/>
    <s v="SMB"/>
    <n v="65"/>
    <x v="2"/>
    <s v="R028"/>
    <n v="880468.05"/>
    <x v="2"/>
  </r>
  <r>
    <s v="ORD-00405"/>
    <x v="134"/>
    <s v="CUST-0175"/>
    <s v="PROD-008"/>
    <x v="26"/>
    <n v="9"/>
    <n v="2660"/>
    <n v="10.1"/>
    <n v="21522.06"/>
    <s v="Completed"/>
    <s v="Delhi"/>
    <x v="4"/>
    <s v="Corporate"/>
    <n v="55"/>
    <x v="3"/>
    <s v="R018"/>
    <n v="1112289.6400000001"/>
    <x v="3"/>
  </r>
  <r>
    <s v="ORD-00406"/>
    <x v="192"/>
    <s v="CUST-0093"/>
    <s v="PROD-055"/>
    <x v="24"/>
    <n v="9"/>
    <n v="2860"/>
    <n v="10.1"/>
    <n v="23140.26"/>
    <s v="Refunded"/>
    <s v="Pune"/>
    <x v="1"/>
    <s v="Retail"/>
    <n v="36"/>
    <x v="3"/>
    <s v="R022"/>
    <n v="1069570.5400000003"/>
    <x v="3"/>
  </r>
  <r>
    <s v="ORD-00407"/>
    <x v="157"/>
    <s v="CUST-0033"/>
    <s v="PROD-009"/>
    <x v="0"/>
    <n v="7"/>
    <n v="1220"/>
    <n v="23.5"/>
    <n v="6533.1"/>
    <s v="Refunded"/>
    <s v="Delhi"/>
    <x v="4"/>
    <s v="Retail"/>
    <n v="35"/>
    <x v="0"/>
    <s v="R007"/>
    <n v="855749.67999999982"/>
    <x v="0"/>
  </r>
  <r>
    <s v="ORD-00408"/>
    <x v="241"/>
    <s v="CUST-0294"/>
    <s v="PROD-022"/>
    <x v="17"/>
    <n v="1"/>
    <n v="2270"/>
    <n v="5.8"/>
    <n v="2138.34"/>
    <s v="Cancelled"/>
    <s v="Delhi"/>
    <x v="2"/>
    <s v="Corporate"/>
    <n v="31"/>
    <x v="2"/>
    <s v="R026"/>
    <n v="576305.08000000019"/>
    <x v="2"/>
  </r>
  <r>
    <s v="ORD-00409"/>
    <x v="248"/>
    <s v="CUST-0115"/>
    <s v="PROD-037"/>
    <x v="25"/>
    <n v="2"/>
    <n v="660"/>
    <n v="2.2999999999999998"/>
    <n v="1289.6400000000001"/>
    <s v="Completed"/>
    <s v="Mumbai"/>
    <x v="3"/>
    <s v="SMB"/>
    <n v="65"/>
    <x v="0"/>
    <s v="R002"/>
    <n v="980063.65999999968"/>
    <x v="0"/>
  </r>
  <r>
    <s v="ORD-00410"/>
    <x v="236"/>
    <s v="CUST-0219"/>
    <s v="PROD-012"/>
    <x v="2"/>
    <n v="1"/>
    <n v="3160"/>
    <n v="5.6"/>
    <n v="2983.04"/>
    <s v="Completed"/>
    <s v="Chennai"/>
    <x v="0"/>
    <s v="Corporate"/>
    <n v="38"/>
    <x v="1"/>
    <s v="R014"/>
    <n v="995713.54000000015"/>
    <x v="1"/>
  </r>
  <r>
    <s v="ORD-00411"/>
    <x v="199"/>
    <s v="CUST-0180"/>
    <s v="PROD-002"/>
    <x v="22"/>
    <n v="1"/>
    <n v="2600"/>
    <n v="1"/>
    <n v="2574"/>
    <s v="Completed"/>
    <s v="Chennai"/>
    <x v="4"/>
    <s v="Retail"/>
    <n v="36"/>
    <x v="1"/>
    <s v="R013"/>
    <n v="811524.37999999989"/>
    <x v="1"/>
  </r>
  <r>
    <s v="ORD-00412"/>
    <x v="50"/>
    <s v="CUST-0148"/>
    <s v="PROD-039"/>
    <x v="2"/>
    <n v="4"/>
    <n v="4610"/>
    <n v="18.7"/>
    <n v="14991.72"/>
    <s v="Completed"/>
    <s v="Chennai"/>
    <x v="3"/>
    <s v="Retail"/>
    <n v="32"/>
    <x v="1"/>
    <s v="R014"/>
    <n v="995713.54000000015"/>
    <x v="1"/>
  </r>
  <r>
    <s v="ORD-00413"/>
    <x v="249"/>
    <s v="CUST-0026"/>
    <s v="PROD-013"/>
    <x v="26"/>
    <n v="3"/>
    <n v="3640"/>
    <n v="9.6999999999999993"/>
    <n v="9860.76"/>
    <s v="Cancelled"/>
    <s v="Pune"/>
    <x v="0"/>
    <s v="Retail"/>
    <n v="62"/>
    <x v="3"/>
    <s v="R018"/>
    <n v="1112289.6400000001"/>
    <x v="3"/>
  </r>
  <r>
    <s v="ORD-00414"/>
    <x v="120"/>
    <s v="CUST-0246"/>
    <s v="PROD-015"/>
    <x v="10"/>
    <n v="6"/>
    <n v="2720"/>
    <n v="13"/>
    <n v="14198.4"/>
    <s v="Pending"/>
    <s v="Delhi"/>
    <x v="0"/>
    <s v="SMB"/>
    <n v="29"/>
    <x v="0"/>
    <s v="R004"/>
    <n v="589026.2899999998"/>
    <x v="0"/>
  </r>
  <r>
    <s v="ORD-00415"/>
    <x v="128"/>
    <s v="CUST-0125"/>
    <s v="PROD-059"/>
    <x v="4"/>
    <n v="5"/>
    <n v="3780"/>
    <n v="15.2"/>
    <n v="16027.2"/>
    <s v="Completed"/>
    <s v="Delhi"/>
    <x v="1"/>
    <s v="Retail"/>
    <n v="45"/>
    <x v="0"/>
    <s v="R008"/>
    <n v="861553.33"/>
    <x v="0"/>
  </r>
  <r>
    <s v="ORD-00416"/>
    <x v="192"/>
    <s v="CUST-0190"/>
    <s v="PROD-035"/>
    <x v="14"/>
    <n v="9"/>
    <n v="1090"/>
    <n v="28.5"/>
    <n v="7014.15"/>
    <s v="Completed"/>
    <s v="Hyderabad"/>
    <x v="3"/>
    <s v="Retail"/>
    <n v="52"/>
    <x v="2"/>
    <s v="R030"/>
    <n v="747624.36999999988"/>
    <x v="2"/>
  </r>
  <r>
    <s v="ORD-00417"/>
    <x v="248"/>
    <s v="CUST-0085"/>
    <s v="PROD-035"/>
    <x v="8"/>
    <n v="6"/>
    <n v="1090"/>
    <n v="28.7"/>
    <n v="4663.0200000000004"/>
    <s v="Completed"/>
    <s v="Chennai"/>
    <x v="3"/>
    <s v="Retail"/>
    <n v="26"/>
    <x v="2"/>
    <s v="R028"/>
    <n v="880468.05"/>
    <x v="2"/>
  </r>
  <r>
    <s v="ORD-00418"/>
    <x v="250"/>
    <s v="CUST-0249"/>
    <s v="PROD-017"/>
    <x v="14"/>
    <n v="5"/>
    <n v="2510"/>
    <n v="25"/>
    <n v="9412.5"/>
    <s v="Completed"/>
    <s v="Mumbai"/>
    <x v="0"/>
    <s v="Retail"/>
    <n v="44"/>
    <x v="2"/>
    <s v="R030"/>
    <n v="747624.36999999988"/>
    <x v="2"/>
  </r>
  <r>
    <s v="ORD-00419"/>
    <x v="251"/>
    <s v="CUST-0012"/>
    <s v="PROD-006"/>
    <x v="9"/>
    <n v="5"/>
    <n v="3970"/>
    <n v="26"/>
    <n v="14689"/>
    <s v="Completed"/>
    <s v="Pune"/>
    <x v="4"/>
    <s v="Retail"/>
    <n v="43"/>
    <x v="1"/>
    <s v="R010"/>
    <n v="880345.20000000007"/>
    <x v="1"/>
  </r>
  <r>
    <s v="ORD-00420"/>
    <x v="144"/>
    <s v="CUST-0251"/>
    <s v="PROD-026"/>
    <x v="19"/>
    <n v="9"/>
    <n v="4070"/>
    <n v="15.7"/>
    <n v="30879.09"/>
    <s v="Completed"/>
    <s v="Mumbai"/>
    <x v="2"/>
    <s v="Retail"/>
    <n v="44"/>
    <x v="0"/>
    <s v="R001"/>
    <n v="789849.60000000009"/>
    <x v="0"/>
  </r>
  <r>
    <s v="ORD-00421"/>
    <x v="196"/>
    <s v="CUST-0088"/>
    <s v="PROD-038"/>
    <x v="10"/>
    <n v="6"/>
    <n v="5490"/>
    <n v="8.5"/>
    <n v="30140.1"/>
    <s v="Refunded"/>
    <s v="Chennai"/>
    <x v="3"/>
    <s v="Retail"/>
    <n v="24"/>
    <x v="0"/>
    <s v="R004"/>
    <n v="589026.2899999998"/>
    <x v="0"/>
  </r>
  <r>
    <s v="ORD-00422"/>
    <x v="70"/>
    <s v="CUST-0037"/>
    <s v="PROD-054"/>
    <x v="24"/>
    <n v="9"/>
    <n v="1010"/>
    <n v="3.6"/>
    <n v="8762.76"/>
    <s v="Completed"/>
    <s v="Bengaluru"/>
    <x v="1"/>
    <s v="Retail"/>
    <n v="52"/>
    <x v="3"/>
    <s v="R022"/>
    <n v="1069570.5400000003"/>
    <x v="3"/>
  </r>
  <r>
    <s v="ORD-00423"/>
    <x v="252"/>
    <s v="CUST-0039"/>
    <s v="PROD-028"/>
    <x v="4"/>
    <n v="6"/>
    <n v="3660"/>
    <n v="10.8"/>
    <n v="19588.32"/>
    <s v="Completed"/>
    <s v="Bengaluru"/>
    <x v="2"/>
    <s v="Retail"/>
    <n v="37"/>
    <x v="0"/>
    <s v="R008"/>
    <n v="861553.33"/>
    <x v="0"/>
  </r>
  <r>
    <s v="ORD-00424"/>
    <x v="111"/>
    <s v="CUST-0106"/>
    <s v="PROD-047"/>
    <x v="29"/>
    <n v="6"/>
    <n v="3450"/>
    <n v="10.7"/>
    <n v="18485.099999999999"/>
    <s v="Completed"/>
    <s v="Pune"/>
    <x v="5"/>
    <s v="Retail"/>
    <n v="22"/>
    <x v="1"/>
    <s v="R016"/>
    <n v="814563.7100000002"/>
    <x v="1"/>
  </r>
  <r>
    <s v="ORD-00425"/>
    <x v="229"/>
    <s v="CUST-0222"/>
    <s v="PROD-026"/>
    <x v="23"/>
    <n v="10"/>
    <n v="4070"/>
    <n v="23.4"/>
    <n v="31176.2"/>
    <s v="Refunded"/>
    <s v="Chennai"/>
    <x v="2"/>
    <s v="Retail"/>
    <n v="37"/>
    <x v="1"/>
    <s v="R011"/>
    <n v="735207.75999999989"/>
    <x v="1"/>
  </r>
  <r>
    <s v="ORD-00426"/>
    <x v="253"/>
    <s v="CUST-0130"/>
    <s v="PROD-003"/>
    <x v="5"/>
    <n v="9"/>
    <n v="3570"/>
    <n v="15.2"/>
    <n v="27246.240000000002"/>
    <s v="Completed"/>
    <s v="Bengaluru"/>
    <x v="4"/>
    <s v="Corporate"/>
    <n v="41"/>
    <x v="2"/>
    <s v="R025"/>
    <n v="901298.89"/>
    <x v="2"/>
  </r>
  <r>
    <s v="ORD-00427"/>
    <x v="254"/>
    <s v="CUST-0281"/>
    <s v="PROD-056"/>
    <x v="1"/>
    <n v="10"/>
    <n v="6940"/>
    <n v="21.8"/>
    <n v="54270.8"/>
    <s v="Pending"/>
    <s v="Bengaluru"/>
    <x v="1"/>
    <s v="Corporate"/>
    <n v="57"/>
    <x v="0"/>
    <s v="R005"/>
    <n v="782445.33"/>
    <x v="0"/>
  </r>
  <r>
    <s v="ORD-00428"/>
    <x v="135"/>
    <s v="CUST-0094"/>
    <s v="PROD-044"/>
    <x v="2"/>
    <n v="9"/>
    <n v="1650"/>
    <n v="24.3"/>
    <n v="11241.45"/>
    <s v="Completed"/>
    <s v="Pune"/>
    <x v="5"/>
    <s v="SMB"/>
    <n v="60"/>
    <x v="1"/>
    <s v="R014"/>
    <n v="995713.54000000015"/>
    <x v="1"/>
  </r>
  <r>
    <s v="ORD-00429"/>
    <x v="207"/>
    <s v="CUST-0271"/>
    <s v="PROD-007"/>
    <x v="2"/>
    <n v="10"/>
    <n v="1430"/>
    <n v="25.2"/>
    <n v="10696.4"/>
    <s v="Completed"/>
    <s v="Bengaluru"/>
    <x v="4"/>
    <s v="Corporate"/>
    <n v="41"/>
    <x v="1"/>
    <s v="R014"/>
    <n v="995713.54000000015"/>
    <x v="1"/>
  </r>
  <r>
    <s v="ORD-00430"/>
    <x v="178"/>
    <s v="CUST-0110"/>
    <s v="PROD-025"/>
    <x v="9"/>
    <n v="4"/>
    <n v="4060"/>
    <n v="1.6"/>
    <n v="15980.16"/>
    <s v="Completed"/>
    <s v="Pune"/>
    <x v="2"/>
    <s v="Corporate"/>
    <n v="31"/>
    <x v="1"/>
    <s v="R010"/>
    <n v="880345.20000000007"/>
    <x v="1"/>
  </r>
  <r>
    <s v="ORD-00431"/>
    <x v="103"/>
    <s v="CUST-0262"/>
    <s v="PROD-032"/>
    <x v="1"/>
    <n v="9"/>
    <n v="370"/>
    <n v="17"/>
    <n v="2763.9"/>
    <s v="Completed"/>
    <s v="Mumbai"/>
    <x v="3"/>
    <s v="Retail"/>
    <n v="52"/>
    <x v="0"/>
    <s v="R005"/>
    <n v="782445.33"/>
    <x v="0"/>
  </r>
  <r>
    <s v="ORD-00432"/>
    <x v="94"/>
    <s v="CUST-0157"/>
    <s v="PROD-041"/>
    <x v="9"/>
    <n v="1"/>
    <n v="1540"/>
    <n v="24"/>
    <n v="1170.4000000000001"/>
    <s v="Cancelled"/>
    <s v="Pune"/>
    <x v="5"/>
    <s v="Corporate"/>
    <n v="52"/>
    <x v="1"/>
    <s v="R010"/>
    <n v="880345.20000000007"/>
    <x v="1"/>
  </r>
  <r>
    <s v="ORD-00433"/>
    <x v="143"/>
    <s v="CUST-0135"/>
    <s v="PROD-002"/>
    <x v="5"/>
    <n v="9"/>
    <n v="2600"/>
    <n v="7.7"/>
    <n v="21598.2"/>
    <s v="Completed"/>
    <s v="Pune"/>
    <x v="4"/>
    <s v="SMB"/>
    <n v="24"/>
    <x v="2"/>
    <s v="R025"/>
    <n v="901298.89"/>
    <x v="2"/>
  </r>
  <r>
    <s v="ORD-00434"/>
    <x v="255"/>
    <s v="CUST-0136"/>
    <s v="PROD-017"/>
    <x v="15"/>
    <n v="8"/>
    <n v="2510"/>
    <n v="3.7"/>
    <n v="19337.04"/>
    <s v="Completed"/>
    <s v="Chennai"/>
    <x v="0"/>
    <s v="SMB"/>
    <n v="26"/>
    <x v="1"/>
    <s v="R015"/>
    <n v="1091740.1799999997"/>
    <x v="1"/>
  </r>
  <r>
    <s v="ORD-00435"/>
    <x v="256"/>
    <s v="CUST-0110"/>
    <s v="PROD-001"/>
    <x v="11"/>
    <n v="6"/>
    <n v="5330"/>
    <n v="8.4"/>
    <n v="29293.68"/>
    <s v="Completed"/>
    <s v="Pune"/>
    <x v="4"/>
    <s v="Corporate"/>
    <n v="31"/>
    <x v="0"/>
    <s v="R003"/>
    <n v="986692.91"/>
    <x v="0"/>
  </r>
  <r>
    <s v="ORD-00436"/>
    <x v="190"/>
    <s v="CUST-0192"/>
    <s v="PROD-034"/>
    <x v="2"/>
    <n v="5"/>
    <n v="5080"/>
    <n v="10.3"/>
    <n v="22783.8"/>
    <s v="Completed"/>
    <s v="Bengaluru"/>
    <x v="3"/>
    <s v="Retail"/>
    <n v="55"/>
    <x v="1"/>
    <s v="R014"/>
    <n v="995713.54000000015"/>
    <x v="1"/>
  </r>
  <r>
    <s v="ORD-00437"/>
    <x v="257"/>
    <s v="CUST-0169"/>
    <s v="PROD-026"/>
    <x v="5"/>
    <n v="3"/>
    <n v="4070"/>
    <n v="23.7"/>
    <n v="9316.23"/>
    <s v="Completed"/>
    <s v="Bengaluru"/>
    <x v="2"/>
    <s v="SMB"/>
    <n v="42"/>
    <x v="2"/>
    <s v="R025"/>
    <n v="901298.89"/>
    <x v="2"/>
  </r>
  <r>
    <s v="ORD-00438"/>
    <x v="187"/>
    <s v="CUST-0086"/>
    <s v="PROD-016"/>
    <x v="22"/>
    <n v="4"/>
    <n v="620"/>
    <n v="18.8"/>
    <n v="2013.76"/>
    <s v="Completed"/>
    <s v="Hyderabad"/>
    <x v="0"/>
    <s v="Corporate"/>
    <n v="56"/>
    <x v="1"/>
    <s v="R013"/>
    <n v="811524.37999999989"/>
    <x v="1"/>
  </r>
  <r>
    <s v="ORD-00439"/>
    <x v="108"/>
    <s v="CUST-0217"/>
    <s v="PROD-010"/>
    <x v="21"/>
    <n v="10"/>
    <n v="2640"/>
    <n v="12.7"/>
    <n v="23047.200000000001"/>
    <s v="Completed"/>
    <s v="Pune"/>
    <x v="4"/>
    <s v="SMB"/>
    <n v="59"/>
    <x v="3"/>
    <s v="R017"/>
    <n v="780384.40999999992"/>
    <x v="3"/>
  </r>
  <r>
    <s v="ORD-00440"/>
    <x v="179"/>
    <s v="CUST-0119"/>
    <s v="PROD-026"/>
    <x v="14"/>
    <n v="2"/>
    <n v="4070"/>
    <n v="29"/>
    <n v="5779.4"/>
    <s v="Completed"/>
    <s v="Bengaluru"/>
    <x v="2"/>
    <s v="SMB"/>
    <n v="43"/>
    <x v="2"/>
    <s v="R030"/>
    <n v="747624.36999999988"/>
    <x v="2"/>
  </r>
  <r>
    <s v="ORD-00441"/>
    <x v="230"/>
    <s v="CUST-0011"/>
    <s v="PROD-054"/>
    <x v="0"/>
    <n v="8"/>
    <n v="1010"/>
    <n v="25.4"/>
    <n v="6027.68"/>
    <s v="Completed"/>
    <s v="Chennai"/>
    <x v="1"/>
    <s v="Corporate"/>
    <n v="41"/>
    <x v="0"/>
    <s v="R007"/>
    <n v="855749.67999999982"/>
    <x v="0"/>
  </r>
  <r>
    <s v="ORD-00442"/>
    <x v="98"/>
    <s v="CUST-0059"/>
    <s v="PROD-036"/>
    <x v="1"/>
    <n v="8"/>
    <n v="3250"/>
    <n v="5.4"/>
    <n v="24596"/>
    <s v="Completed"/>
    <s v="Pune"/>
    <x v="3"/>
    <s v="Corporate"/>
    <n v="29"/>
    <x v="0"/>
    <s v="R005"/>
    <n v="782445.33"/>
    <x v="0"/>
  </r>
  <r>
    <s v="ORD-00443"/>
    <x v="151"/>
    <s v="CUST-0210"/>
    <s v="PROD-007"/>
    <x v="18"/>
    <n v="7"/>
    <n v="1430"/>
    <n v="19.3"/>
    <n v="8078.07"/>
    <s v="Completed"/>
    <s v="Pune"/>
    <x v="4"/>
    <s v="Corporate"/>
    <n v="48"/>
    <x v="1"/>
    <s v="R009"/>
    <n v="914554.71999999986"/>
    <x v="1"/>
  </r>
  <r>
    <s v="ORD-00444"/>
    <x v="100"/>
    <s v="CUST-0145"/>
    <s v="PROD-045"/>
    <x v="26"/>
    <n v="9"/>
    <n v="3020"/>
    <n v="15"/>
    <n v="23103"/>
    <s v="Completed"/>
    <s v="Bengaluru"/>
    <x v="5"/>
    <s v="SMB"/>
    <n v="44"/>
    <x v="3"/>
    <s v="R018"/>
    <n v="1112289.6400000001"/>
    <x v="3"/>
  </r>
  <r>
    <s v="ORD-00445"/>
    <x v="258"/>
    <s v="CUST-9626"/>
    <s v="PROD-008"/>
    <x v="25"/>
    <n v="2"/>
    <n v="2660"/>
    <n v="21.4"/>
    <n v="4181.5200000000004"/>
    <s v="Completed"/>
    <s v="Chennai"/>
    <x v="4"/>
    <e v="#N/A"/>
    <e v="#N/A"/>
    <x v="0"/>
    <s v="R002"/>
    <n v="980063.65999999968"/>
    <x v="0"/>
  </r>
  <r>
    <s v="ORD-00446"/>
    <x v="156"/>
    <s v="CUST-0250"/>
    <s v="PROD-003"/>
    <x v="7"/>
    <n v="10"/>
    <n v="3570"/>
    <n v="20.3"/>
    <n v="28452.9"/>
    <s v="Completed"/>
    <s v="Delhi"/>
    <x v="4"/>
    <s v="Retail"/>
    <n v="31"/>
    <x v="3"/>
    <s v="R019"/>
    <n v="971183.52000000014"/>
    <x v="3"/>
  </r>
  <r>
    <s v="ORD-00447"/>
    <x v="259"/>
    <s v="CUST-0241"/>
    <s v="PROD-043"/>
    <x v="9"/>
    <n v="4"/>
    <n v="3350"/>
    <n v="28.1"/>
    <n v="9634.6"/>
    <s v="Completed"/>
    <s v="Pune"/>
    <x v="5"/>
    <s v="Corporate"/>
    <n v="47"/>
    <x v="1"/>
    <s v="R010"/>
    <n v="880345.20000000007"/>
    <x v="1"/>
  </r>
  <r>
    <s v="ORD-00448"/>
    <x v="260"/>
    <s v="CUST-0071"/>
    <s v="PROD-019"/>
    <x v="13"/>
    <n v="1"/>
    <n v="2480"/>
    <n v="13.5"/>
    <n v="2145.1999999999998"/>
    <s v="Completed"/>
    <s v="Delhi"/>
    <x v="0"/>
    <s v="Corporate"/>
    <n v="46"/>
    <x v="3"/>
    <s v="R021"/>
    <n v="761507.17000000027"/>
    <x v="3"/>
  </r>
  <r>
    <s v="ORD-00449"/>
    <x v="51"/>
    <s v="CUST-0017"/>
    <s v="PROD-052"/>
    <x v="15"/>
    <n v="10"/>
    <n v="5410"/>
    <n v="26.1"/>
    <n v="39979.9"/>
    <s v="Completed"/>
    <s v="Delhi"/>
    <x v="1"/>
    <s v="SMB"/>
    <n v="38"/>
    <x v="1"/>
    <s v="R015"/>
    <n v="1091740.1799999997"/>
    <x v="1"/>
  </r>
  <r>
    <s v="ORD-00450"/>
    <x v="261"/>
    <s v="CUST-0007"/>
    <s v="PROD-037"/>
    <x v="12"/>
    <n v="2"/>
    <n v="660"/>
    <n v="5"/>
    <n v="1254"/>
    <s v="Completed"/>
    <s v="Bengaluru"/>
    <x v="3"/>
    <s v="Retail"/>
    <n v="47"/>
    <x v="3"/>
    <s v="R023"/>
    <n v="983787.4800000001"/>
    <x v="3"/>
  </r>
  <r>
    <s v="ORD-00451"/>
    <x v="262"/>
    <s v="CUST-0054"/>
    <s v="PROD-054"/>
    <x v="0"/>
    <n v="10"/>
    <n v="1010"/>
    <n v="10"/>
    <n v="9090"/>
    <s v="Completed"/>
    <s v="Mumbai"/>
    <x v="1"/>
    <s v="Corporate"/>
    <n v="62"/>
    <x v="0"/>
    <s v="R007"/>
    <n v="855749.67999999982"/>
    <x v="0"/>
  </r>
  <r>
    <s v="ORD-00452"/>
    <x v="263"/>
    <s v="CUST-0038"/>
    <s v="PROD-042"/>
    <x v="19"/>
    <n v="3"/>
    <n v="2290"/>
    <n v="8.9"/>
    <n v="6258.57"/>
    <s v="Completed"/>
    <s v="Mumbai"/>
    <x v="5"/>
    <s v="Retail"/>
    <n v="57"/>
    <x v="0"/>
    <s v="R001"/>
    <n v="789849.60000000009"/>
    <x v="0"/>
  </r>
  <r>
    <s v="ORD-00453"/>
    <x v="264"/>
    <s v="CUST-0066"/>
    <s v="PROD-047"/>
    <x v="19"/>
    <n v="9"/>
    <n v="3450"/>
    <n v="24.3"/>
    <n v="23504.85"/>
    <s v="Completed"/>
    <s v="Delhi"/>
    <x v="5"/>
    <s v="Retail"/>
    <n v="24"/>
    <x v="0"/>
    <s v="R001"/>
    <n v="789849.60000000009"/>
    <x v="0"/>
  </r>
  <r>
    <s v="ORD-00454"/>
    <x v="44"/>
    <s v="CUST-0161"/>
    <s v="PROD-013"/>
    <x v="11"/>
    <n v="10"/>
    <n v="3640"/>
    <n v="21.4"/>
    <n v="28610.400000000001"/>
    <s v="Cancelled"/>
    <s v="Chennai"/>
    <x v="0"/>
    <s v="Retail"/>
    <n v="38"/>
    <x v="0"/>
    <s v="R003"/>
    <n v="986692.91"/>
    <x v="0"/>
  </r>
  <r>
    <s v="ORD-00455"/>
    <x v="260"/>
    <s v="CUST-0072"/>
    <s v="PROD-023"/>
    <x v="15"/>
    <n v="5"/>
    <n v="2380"/>
    <n v="12.2"/>
    <n v="10448.200000000001"/>
    <s v="Completed"/>
    <s v="Mumbai"/>
    <x v="2"/>
    <s v="Corporate"/>
    <n v="62"/>
    <x v="1"/>
    <s v="R015"/>
    <n v="1091740.1799999997"/>
    <x v="1"/>
  </r>
  <r>
    <s v="ORD-00456"/>
    <x v="265"/>
    <s v="CUST-0232"/>
    <s v="PROD-052"/>
    <x v="21"/>
    <n v="10"/>
    <n v="5410"/>
    <n v="29.8"/>
    <n v="37978.199999999997"/>
    <s v="Completed"/>
    <s v="Hyderabad"/>
    <x v="1"/>
    <s v="Retail"/>
    <n v="38"/>
    <x v="3"/>
    <s v="R017"/>
    <n v="780384.40999999992"/>
    <x v="3"/>
  </r>
  <r>
    <s v="ORD-00457"/>
    <x v="67"/>
    <s v="CUST-0054"/>
    <s v="PROD-044"/>
    <x v="13"/>
    <n v="3"/>
    <n v="1650"/>
    <n v="9.4"/>
    <n v="4484.7"/>
    <s v="Cancelled"/>
    <s v="Mumbai"/>
    <x v="5"/>
    <s v="Corporate"/>
    <n v="62"/>
    <x v="3"/>
    <s v="R021"/>
    <n v="761507.17000000027"/>
    <x v="3"/>
  </r>
  <r>
    <s v="ORD-00458"/>
    <x v="266"/>
    <s v="CUST-0214"/>
    <s v="PROD-002"/>
    <x v="24"/>
    <n v="7"/>
    <n v="2600"/>
    <n v="19.899999999999999"/>
    <n v="14578.2"/>
    <s v="Pending"/>
    <s v="Mumbai"/>
    <x v="4"/>
    <s v="Retail"/>
    <n v="22"/>
    <x v="3"/>
    <s v="R022"/>
    <n v="1069570.5400000003"/>
    <x v="3"/>
  </r>
  <r>
    <s v="ORD-00135"/>
    <x v="267"/>
    <s v="CUST-0236"/>
    <s v="PROD-039"/>
    <x v="25"/>
    <n v="4"/>
    <n v="4610"/>
    <n v="13.2"/>
    <n v="16005.92"/>
    <s v="Completed"/>
    <s v="Hyderabad"/>
    <x v="3"/>
    <s v="SMB"/>
    <n v="28"/>
    <x v="0"/>
    <s v="R002"/>
    <n v="980063.65999999968"/>
    <x v="0"/>
  </r>
  <r>
    <s v="ORD-00460"/>
    <x v="268"/>
    <s v="CUST-0031"/>
    <s v="PROD-039"/>
    <x v="13"/>
    <n v="9"/>
    <n v="4610"/>
    <n v="25.8"/>
    <n v="30785.58"/>
    <s v="Completed"/>
    <s v="Hyderabad"/>
    <x v="3"/>
    <s v="Retail"/>
    <n v="53"/>
    <x v="3"/>
    <s v="R021"/>
    <n v="761507.17000000027"/>
    <x v="3"/>
  </r>
  <r>
    <s v="ORD-00461"/>
    <x v="269"/>
    <s v="CUST-0123"/>
    <s v="PROD-005"/>
    <x v="2"/>
    <n v="5"/>
    <n v="300"/>
    <n v="11.8"/>
    <n v="1323"/>
    <s v="Completed"/>
    <s v="Chennai"/>
    <x v="4"/>
    <s v="Corporate"/>
    <n v="44"/>
    <x v="1"/>
    <s v="R014"/>
    <n v="995713.54000000015"/>
    <x v="1"/>
  </r>
  <r>
    <s v="ORD-00462"/>
    <x v="270"/>
    <s v="CUST-0019"/>
    <s v="PROD-011"/>
    <x v="16"/>
    <n v="3"/>
    <n v="3450"/>
    <n v="14.2"/>
    <n v="8880.2999999999993"/>
    <s v="Completed"/>
    <s v="Chennai"/>
    <x v="0"/>
    <s v="Retail"/>
    <n v="22"/>
    <x v="3"/>
    <s v="R020"/>
    <n v="906107.71000000008"/>
    <x v="3"/>
  </r>
  <r>
    <s v="ORD-00463"/>
    <x v="271"/>
    <s v="CUST-0171"/>
    <s v="PROD-015"/>
    <x v="8"/>
    <n v="2"/>
    <n v="2720"/>
    <n v="14.6"/>
    <n v="4645.76"/>
    <s v="Cancelled"/>
    <s v="Chennai"/>
    <x v="0"/>
    <s v="Corporate"/>
    <n v="30"/>
    <x v="2"/>
    <s v="R028"/>
    <n v="880468.05"/>
    <x v="2"/>
  </r>
  <r>
    <s v="ORD-00464"/>
    <x v="17"/>
    <s v="CUST-0166"/>
    <s v="PROD-008"/>
    <x v="21"/>
    <n v="7"/>
    <n v="2660"/>
    <n v="27.4"/>
    <n v="13518.12"/>
    <s v="Cancelled"/>
    <s v="Hyderabad"/>
    <x v="4"/>
    <s v="Retail"/>
    <n v="31"/>
    <x v="3"/>
    <s v="R017"/>
    <n v="780384.40999999992"/>
    <x v="3"/>
  </r>
  <r>
    <s v="ORD-00465"/>
    <x v="272"/>
    <s v="CUST-0151"/>
    <s v="PROD-051"/>
    <x v="1"/>
    <n v="8"/>
    <n v="3450"/>
    <n v="20.399999999999999"/>
    <n v="21969.599999999999"/>
    <s v="Completed"/>
    <s v="Mumbai"/>
    <x v="1"/>
    <s v="Retail"/>
    <n v="53"/>
    <x v="0"/>
    <s v="R005"/>
    <n v="782445.33"/>
    <x v="0"/>
  </r>
  <r>
    <s v="ORD-00466"/>
    <x v="273"/>
    <s v="CUST-0027"/>
    <s v="PROD-052"/>
    <x v="29"/>
    <n v="2"/>
    <n v="5410"/>
    <n v="7.2"/>
    <n v="10040.959999999999"/>
    <s v="Completed"/>
    <s v="Hyderabad"/>
    <x v="1"/>
    <s v="Corporate"/>
    <n v="52"/>
    <x v="1"/>
    <s v="R016"/>
    <n v="814563.7100000002"/>
    <x v="1"/>
  </r>
  <r>
    <s v="ORD-00467"/>
    <x v="162"/>
    <s v="CUST-0171"/>
    <s v="PROD-004"/>
    <x v="22"/>
    <n v="3"/>
    <n v="3870"/>
    <n v="4.2"/>
    <n v="11122.38"/>
    <s v="Completed"/>
    <s v="Chennai"/>
    <x v="4"/>
    <s v="Corporate"/>
    <n v="30"/>
    <x v="1"/>
    <s v="R013"/>
    <n v="811524.37999999989"/>
    <x v="1"/>
  </r>
  <r>
    <s v="ORD-00468"/>
    <x v="60"/>
    <s v="CUST-0094"/>
    <s v="PROD-024"/>
    <x v="1"/>
    <n v="10"/>
    <n v="2270"/>
    <n v="17.3"/>
    <n v="18772.900000000001"/>
    <s v="Completed"/>
    <s v="Pune"/>
    <x v="2"/>
    <s v="SMB"/>
    <n v="60"/>
    <x v="0"/>
    <s v="R005"/>
    <n v="782445.33"/>
    <x v="0"/>
  </r>
  <r>
    <s v="ORD-00469"/>
    <x v="18"/>
    <s v="CUST-0223"/>
    <s v="PROD-001"/>
    <x v="5"/>
    <n v="1"/>
    <n v="5330"/>
    <n v="24.2"/>
    <n v="4040.14"/>
    <s v="Completed"/>
    <s v="Bengaluru"/>
    <x v="4"/>
    <s v="Retail"/>
    <n v="46"/>
    <x v="2"/>
    <s v="R025"/>
    <n v="901298.89"/>
    <x v="2"/>
  </r>
  <r>
    <s v="ORD-00470"/>
    <x v="85"/>
    <s v="CUST-0281"/>
    <s v="PROD-043"/>
    <x v="15"/>
    <n v="2"/>
    <n v="3350"/>
    <n v="23.4"/>
    <n v="5132.2"/>
    <s v="Completed"/>
    <s v="Bengaluru"/>
    <x v="5"/>
    <s v="Corporate"/>
    <n v="57"/>
    <x v="1"/>
    <s v="R015"/>
    <n v="1091740.1799999997"/>
    <x v="1"/>
  </r>
  <r>
    <s v="ORD-00471"/>
    <x v="274"/>
    <s v="CUST-0148"/>
    <s v="PROD-045"/>
    <x v="3"/>
    <n v="7"/>
    <n v="3020"/>
    <n v="23.7"/>
    <n v="16129.82"/>
    <s v="Completed"/>
    <s v="Chennai"/>
    <x v="5"/>
    <s v="Retail"/>
    <n v="32"/>
    <x v="0"/>
    <s v="R006"/>
    <n v="1138648.73"/>
    <x v="0"/>
  </r>
  <r>
    <s v="ORD-00472"/>
    <x v="275"/>
    <s v="CUST-0010"/>
    <s v="PROD-012"/>
    <x v="16"/>
    <n v="7"/>
    <n v="3160"/>
    <n v="22.8"/>
    <n v="17076.64"/>
    <s v="Completed"/>
    <s v="Mumbai"/>
    <x v="0"/>
    <s v="SMB"/>
    <n v="61"/>
    <x v="3"/>
    <s v="R020"/>
    <n v="906107.71000000008"/>
    <x v="3"/>
  </r>
  <r>
    <s v="ORD-00473"/>
    <x v="110"/>
    <s v="CUST-0254"/>
    <s v="PROD-053"/>
    <x v="16"/>
    <n v="2"/>
    <n v="470"/>
    <n v="28.8"/>
    <n v="669.28"/>
    <s v="Cancelled"/>
    <s v="Bengaluru"/>
    <x v="1"/>
    <s v="Retail"/>
    <n v="35"/>
    <x v="3"/>
    <s v="R020"/>
    <n v="906107.71000000008"/>
    <x v="3"/>
  </r>
  <r>
    <s v="ORD-00474"/>
    <x v="253"/>
    <s v="CUST-0126"/>
    <s v="PROD-036"/>
    <x v="13"/>
    <n v="2"/>
    <n v="3250"/>
    <n v="24.7"/>
    <n v="4894.5"/>
    <s v="Completed"/>
    <s v="Mumbai"/>
    <x v="3"/>
    <s v="Retail"/>
    <n v="37"/>
    <x v="3"/>
    <s v="R021"/>
    <n v="761507.17000000027"/>
    <x v="3"/>
  </r>
  <r>
    <s v="ORD-00475"/>
    <x v="252"/>
    <s v="CUST-0018"/>
    <s v="PROD-054"/>
    <x v="12"/>
    <n v="2"/>
    <n v="1010"/>
    <n v="5.2"/>
    <n v="1914.96"/>
    <s v="Cancelled"/>
    <s v="Pune"/>
    <x v="1"/>
    <s v="SMB"/>
    <n v="54"/>
    <x v="3"/>
    <s v="R023"/>
    <n v="983787.4800000001"/>
    <x v="3"/>
  </r>
  <r>
    <s v="ORD-00476"/>
    <x v="276"/>
    <s v="CUST-0089"/>
    <s v="PROD-005"/>
    <x v="19"/>
    <n v="9"/>
    <n v="300"/>
    <n v="7.9"/>
    <n v="2486.6999999999998"/>
    <s v="Completed"/>
    <s v="Mumbai"/>
    <x v="4"/>
    <s v="SMB"/>
    <n v="43"/>
    <x v="0"/>
    <s v="R001"/>
    <n v="789849.60000000009"/>
    <x v="0"/>
  </r>
  <r>
    <s v="ORD-00477"/>
    <x v="277"/>
    <s v="CUST-0157"/>
    <s v="PROD-048"/>
    <x v="3"/>
    <n v="10"/>
    <n v="5100"/>
    <n v="26.3"/>
    <n v="37587"/>
    <s v="Pending"/>
    <s v="Pune"/>
    <x v="5"/>
    <s v="Corporate"/>
    <n v="52"/>
    <x v="0"/>
    <s v="R006"/>
    <n v="1138648.73"/>
    <x v="0"/>
  </r>
  <r>
    <s v="ORD-00478"/>
    <x v="278"/>
    <s v="CUST-0201"/>
    <s v="PROD-043"/>
    <x v="8"/>
    <n v="1"/>
    <n v="3350"/>
    <n v="8.5"/>
    <n v="3065.25"/>
    <s v="Cancelled"/>
    <s v="Hyderabad"/>
    <x v="5"/>
    <s v="Retail"/>
    <n v="31"/>
    <x v="2"/>
    <s v="R028"/>
    <n v="880468.05"/>
    <x v="2"/>
  </r>
  <r>
    <s v="ORD-01195"/>
    <x v="211"/>
    <s v="CUST-0091"/>
    <s v="PROD-036"/>
    <x v="24"/>
    <n v="2"/>
    <n v="3250"/>
    <n v="25.7"/>
    <n v="4829.5"/>
    <s v="Refunded"/>
    <s v="Delhi"/>
    <x v="3"/>
    <s v="Retail"/>
    <n v="55"/>
    <x v="3"/>
    <s v="R022"/>
    <n v="1069570.5400000003"/>
    <x v="3"/>
  </r>
  <r>
    <s v="ORD-00480"/>
    <x v="279"/>
    <s v="CUST-0052"/>
    <s v="PROD-028"/>
    <x v="4"/>
    <n v="10"/>
    <n v="3660"/>
    <n v="12"/>
    <n v="32208"/>
    <s v="Completed"/>
    <s v="Pune"/>
    <x v="2"/>
    <s v="Retail"/>
    <n v="38"/>
    <x v="0"/>
    <s v="R008"/>
    <n v="861553.33"/>
    <x v="0"/>
  </r>
  <r>
    <s v="ORD-00481"/>
    <x v="126"/>
    <s v="CUST-0069"/>
    <s v="PROD-058"/>
    <x v="18"/>
    <n v="1"/>
    <n v="2400"/>
    <n v="24.5"/>
    <n v="1812"/>
    <s v="Completed"/>
    <s v="Chennai"/>
    <x v="1"/>
    <s v="Retail"/>
    <n v="51"/>
    <x v="1"/>
    <s v="R009"/>
    <n v="914554.71999999986"/>
    <x v="1"/>
  </r>
  <r>
    <s v="ORD-00482"/>
    <x v="263"/>
    <s v="CUST-0294"/>
    <s v="PROD-035"/>
    <x v="9"/>
    <n v="1"/>
    <n v="1090"/>
    <n v="18.399999999999999"/>
    <n v="889.44"/>
    <s v="Completed"/>
    <s v="Delhi"/>
    <x v="3"/>
    <s v="Corporate"/>
    <n v="31"/>
    <x v="1"/>
    <s v="R010"/>
    <n v="880345.20000000007"/>
    <x v="1"/>
  </r>
  <r>
    <s v="ORD-00483"/>
    <x v="280"/>
    <s v="CUST-0019"/>
    <s v="PROD-059"/>
    <x v="15"/>
    <n v="6"/>
    <n v="3780"/>
    <n v="15.9"/>
    <n v="19073.88"/>
    <s v="Completed"/>
    <s v="Chennai"/>
    <x v="1"/>
    <s v="Retail"/>
    <n v="22"/>
    <x v="1"/>
    <s v="R015"/>
    <n v="1091740.1799999997"/>
    <x v="1"/>
  </r>
  <r>
    <s v="ORD-00484"/>
    <x v="259"/>
    <s v="CUST-0087"/>
    <s v="PROD-043"/>
    <x v="7"/>
    <n v="3"/>
    <n v="3350"/>
    <n v="18.8"/>
    <n v="8160.6"/>
    <s v="Refunded"/>
    <s v="Pune"/>
    <x v="5"/>
    <s v="SMB"/>
    <n v="49"/>
    <x v="3"/>
    <s v="R019"/>
    <n v="971183.52000000014"/>
    <x v="3"/>
  </r>
  <r>
    <s v="ORD-00485"/>
    <x v="46"/>
    <s v="CUST-0281"/>
    <s v="PROD-040"/>
    <x v="14"/>
    <n v="3"/>
    <n v="1080"/>
    <n v="3.4"/>
    <n v="3129.84"/>
    <s v="Completed"/>
    <s v="Bengaluru"/>
    <x v="3"/>
    <s v="Corporate"/>
    <n v="57"/>
    <x v="2"/>
    <s v="R030"/>
    <n v="747624.36999999988"/>
    <x v="2"/>
  </r>
  <r>
    <s v="ORD-00486"/>
    <x v="281"/>
    <s v="CUST-0248"/>
    <s v="PROD-026"/>
    <x v="24"/>
    <n v="6"/>
    <n v="4070"/>
    <n v="27.7"/>
    <n v="17655.66"/>
    <s v="Pending"/>
    <s v="Chennai"/>
    <x v="2"/>
    <s v="SMB"/>
    <n v="57"/>
    <x v="3"/>
    <s v="R022"/>
    <n v="1069570.5400000003"/>
    <x v="3"/>
  </r>
  <r>
    <s v="ORD-00487"/>
    <x v="282"/>
    <s v="CUST-0019"/>
    <s v="PROD-041"/>
    <x v="17"/>
    <n v="5"/>
    <n v="1540"/>
    <n v="24.9"/>
    <n v="5782.7"/>
    <s v="Completed"/>
    <s v="Chennai"/>
    <x v="5"/>
    <s v="Retail"/>
    <n v="22"/>
    <x v="2"/>
    <s v="R026"/>
    <n v="576305.08000000019"/>
    <x v="2"/>
  </r>
  <r>
    <s v="ORD-00488"/>
    <x v="255"/>
    <s v="CUST-0092"/>
    <s v="PROD-021"/>
    <x v="8"/>
    <n v="6"/>
    <n v="2760"/>
    <n v="29.9"/>
    <n v="11608.56"/>
    <s v="Completed"/>
    <s v="Bengaluru"/>
    <x v="2"/>
    <s v="SMB"/>
    <n v="28"/>
    <x v="2"/>
    <s v="R028"/>
    <n v="880468.05"/>
    <x v="2"/>
  </r>
  <r>
    <s v="ORD-00489"/>
    <x v="167"/>
    <s v="CUST-0195"/>
    <s v="PROD-006"/>
    <x v="24"/>
    <n v="8"/>
    <n v="3970"/>
    <n v="23.7"/>
    <n v="24232.880000000001"/>
    <s v="Completed"/>
    <s v="Bengaluru"/>
    <x v="4"/>
    <s v="Retail"/>
    <n v="28"/>
    <x v="3"/>
    <s v="R022"/>
    <n v="1069570.5400000003"/>
    <x v="3"/>
  </r>
  <r>
    <s v="ORD-00490"/>
    <x v="254"/>
    <s v="CUST-0126"/>
    <s v="PROD-011"/>
    <x v="13"/>
    <n v="1"/>
    <n v="3450"/>
    <n v="7.4"/>
    <n v="3194.7"/>
    <s v="Completed"/>
    <s v="Mumbai"/>
    <x v="0"/>
    <s v="Retail"/>
    <n v="37"/>
    <x v="3"/>
    <s v="R021"/>
    <n v="761507.17000000027"/>
    <x v="3"/>
  </r>
  <r>
    <s v="ORD-00491"/>
    <x v="231"/>
    <s v="CUST-0274"/>
    <s v="PROD-018"/>
    <x v="1"/>
    <n v="3"/>
    <n v="3560"/>
    <n v="15.2"/>
    <n v="9056.64"/>
    <s v="Completed"/>
    <s v="Bengaluru"/>
    <x v="0"/>
    <s v="Corporate"/>
    <n v="36"/>
    <x v="0"/>
    <s v="R005"/>
    <n v="782445.33"/>
    <x v="0"/>
  </r>
  <r>
    <s v="ORD-00492"/>
    <x v="49"/>
    <s v="CUST-0059"/>
    <s v="PROD-003"/>
    <x v="14"/>
    <n v="4"/>
    <n v="3570"/>
    <n v="18.899999999999999"/>
    <n v="11581.08"/>
    <s v="Completed"/>
    <s v="Pune"/>
    <x v="4"/>
    <s v="Corporate"/>
    <n v="29"/>
    <x v="2"/>
    <s v="R030"/>
    <n v="747624.36999999988"/>
    <x v="2"/>
  </r>
  <r>
    <s v="ORD-00493"/>
    <x v="22"/>
    <s v="CUST-0264"/>
    <s v="PROD-057"/>
    <x v="5"/>
    <n v="9"/>
    <n v="960"/>
    <n v="14"/>
    <n v="7430.4"/>
    <s v="Refunded"/>
    <s v="Pune"/>
    <x v="1"/>
    <s v="Retail"/>
    <n v="59"/>
    <x v="2"/>
    <s v="R025"/>
    <n v="901298.89"/>
    <x v="2"/>
  </r>
  <r>
    <s v="ORD-00494"/>
    <x v="5"/>
    <s v="CUST-0157"/>
    <s v="PROD-047"/>
    <x v="29"/>
    <n v="9"/>
    <n v="3450"/>
    <n v="6"/>
    <n v="29187"/>
    <s v="Cancelled"/>
    <s v="Pune"/>
    <x v="5"/>
    <s v="Corporate"/>
    <n v="52"/>
    <x v="1"/>
    <s v="R016"/>
    <n v="814563.7100000002"/>
    <x v="1"/>
  </r>
  <r>
    <s v="ORD-00495"/>
    <x v="136"/>
    <s v="CUST-0028"/>
    <s v="PROD-043"/>
    <x v="27"/>
    <n v="7"/>
    <n v="3350"/>
    <n v="14"/>
    <n v="20167"/>
    <s v="Cancelled"/>
    <s v="Bengaluru"/>
    <x v="5"/>
    <s v="Retail"/>
    <n v="59"/>
    <x v="1"/>
    <s v="R012"/>
    <n v="901394.32000000007"/>
    <x v="1"/>
  </r>
  <r>
    <s v="ORD-00496"/>
    <x v="129"/>
    <s v="CUST-0033"/>
    <s v="PROD-049"/>
    <x v="10"/>
    <n v="6"/>
    <n v="960"/>
    <n v="10.1"/>
    <n v="5178.24"/>
    <s v="Completed"/>
    <s v="Delhi"/>
    <x v="5"/>
    <s v="Retail"/>
    <n v="35"/>
    <x v="0"/>
    <s v="R004"/>
    <n v="589026.2899999998"/>
    <x v="0"/>
  </r>
  <r>
    <s v="ORD-00497"/>
    <x v="186"/>
    <s v="CUST-0280"/>
    <s v="PROD-005"/>
    <x v="29"/>
    <n v="7"/>
    <n v="300"/>
    <n v="21.9"/>
    <n v="1640.1"/>
    <s v="Completed"/>
    <s v="Delhi"/>
    <x v="4"/>
    <s v="SMB"/>
    <n v="27"/>
    <x v="1"/>
    <s v="R016"/>
    <n v="814563.7100000002"/>
    <x v="1"/>
  </r>
  <r>
    <s v="ORD-00498"/>
    <x v="44"/>
    <s v="CUST-0232"/>
    <s v="PROD-023"/>
    <x v="7"/>
    <n v="2"/>
    <n v="2380"/>
    <n v="6.8"/>
    <n v="4436.32"/>
    <s v="Completed"/>
    <s v="Hyderabad"/>
    <x v="2"/>
    <s v="Retail"/>
    <n v="38"/>
    <x v="3"/>
    <s v="R019"/>
    <n v="971183.52000000014"/>
    <x v="3"/>
  </r>
  <r>
    <s v="ORD-00499"/>
    <x v="129"/>
    <s v="CUST-0270"/>
    <s v="PROD-057"/>
    <x v="6"/>
    <n v="5"/>
    <n v="960"/>
    <n v="15"/>
    <n v="4080"/>
    <s v="Cancelled"/>
    <s v="Bengaluru"/>
    <x v="1"/>
    <s v="Retail"/>
    <n v="29"/>
    <x v="2"/>
    <s v="R024"/>
    <n v="819558.58"/>
    <x v="2"/>
  </r>
  <r>
    <s v="ORD-00500"/>
    <x v="251"/>
    <s v="CUST-0203"/>
    <s v="PROD-059"/>
    <x v="27"/>
    <n v="10"/>
    <n v="3780"/>
    <n v="24.1"/>
    <n v="28690.2"/>
    <s v="Refunded"/>
    <s v="Chennai"/>
    <x v="1"/>
    <s v="SMB"/>
    <n v="55"/>
    <x v="1"/>
    <s v="R012"/>
    <n v="901394.32000000007"/>
    <x v="1"/>
  </r>
  <r>
    <s v="ORD-00501"/>
    <x v="36"/>
    <s v="CUST-0069"/>
    <s v="PROD-041"/>
    <x v="16"/>
    <n v="4"/>
    <n v="1540"/>
    <n v="14.2"/>
    <n v="5285.28"/>
    <s v="Cancelled"/>
    <s v="Chennai"/>
    <x v="5"/>
    <s v="Retail"/>
    <n v="51"/>
    <x v="3"/>
    <s v="R020"/>
    <n v="906107.71000000008"/>
    <x v="3"/>
  </r>
  <r>
    <s v="ORD-00502"/>
    <x v="113"/>
    <s v="CUST-0037"/>
    <s v="PROD-017"/>
    <x v="1"/>
    <n v="10"/>
    <n v="2510"/>
    <n v="20.8"/>
    <n v="19879.2"/>
    <s v="Completed"/>
    <s v="Bengaluru"/>
    <x v="0"/>
    <s v="Retail"/>
    <n v="52"/>
    <x v="0"/>
    <s v="R005"/>
    <n v="782445.33"/>
    <x v="0"/>
  </r>
  <r>
    <s v="ORD-00503"/>
    <x v="163"/>
    <s v="CUST-0149"/>
    <s v="PROD-025"/>
    <x v="2"/>
    <n v="9"/>
    <n v="4060"/>
    <n v="27.1"/>
    <n v="26637.66"/>
    <s v="Completed"/>
    <s v="Hyderabad"/>
    <x v="2"/>
    <s v="Retail"/>
    <n v="44"/>
    <x v="1"/>
    <s v="R014"/>
    <n v="995713.54000000015"/>
    <x v="1"/>
  </r>
  <r>
    <s v="ORD-00504"/>
    <x v="198"/>
    <s v="CUST-0131"/>
    <s v="PROD-058"/>
    <x v="5"/>
    <n v="4"/>
    <n v="2400"/>
    <n v="19.100000000000001"/>
    <n v="7766.4"/>
    <s v="Completed"/>
    <s v="Delhi"/>
    <x v="1"/>
    <s v="SMB"/>
    <n v="28"/>
    <x v="2"/>
    <s v="R025"/>
    <n v="901298.89"/>
    <x v="2"/>
  </r>
  <r>
    <s v="ORD-00505"/>
    <x v="283"/>
    <s v="CUST-0071"/>
    <s v="PROD-046"/>
    <x v="24"/>
    <n v="8"/>
    <n v="4880"/>
    <n v="9.1999999999999993"/>
    <n v="35448.32"/>
    <s v="Cancelled"/>
    <s v="Delhi"/>
    <x v="5"/>
    <s v="Corporate"/>
    <n v="46"/>
    <x v="3"/>
    <s v="R022"/>
    <n v="1069570.5400000003"/>
    <x v="3"/>
  </r>
  <r>
    <s v="ORD-00506"/>
    <x v="261"/>
    <s v="CUST-0249"/>
    <s v="PROD-048"/>
    <x v="7"/>
    <n v="9"/>
    <n v="5100"/>
    <n v="11.1"/>
    <n v="40805.1"/>
    <s v="Cancelled"/>
    <s v="Mumbai"/>
    <x v="5"/>
    <s v="Retail"/>
    <n v="44"/>
    <x v="3"/>
    <s v="R019"/>
    <n v="971183.52000000014"/>
    <x v="3"/>
  </r>
  <r>
    <s v="ORD-00507"/>
    <x v="161"/>
    <s v="CUST-0181"/>
    <s v="PROD-005"/>
    <x v="8"/>
    <n v="4"/>
    <n v="300"/>
    <n v="16.7"/>
    <n v="999.6"/>
    <s v="Completed"/>
    <s v="Delhi"/>
    <x v="4"/>
    <s v="SMB"/>
    <n v="38"/>
    <x v="2"/>
    <s v="R028"/>
    <n v="880468.05"/>
    <x v="2"/>
  </r>
  <r>
    <s v="ORD-00508"/>
    <x v="68"/>
    <s v="CUST-0085"/>
    <s v="PROD-019"/>
    <x v="2"/>
    <n v="6"/>
    <n v="2480"/>
    <n v="3.3"/>
    <n v="14388.96"/>
    <s v="Completed"/>
    <s v="Chennai"/>
    <x v="0"/>
    <s v="Retail"/>
    <n v="26"/>
    <x v="1"/>
    <s v="R014"/>
    <n v="995713.54000000015"/>
    <x v="1"/>
  </r>
  <r>
    <s v="ORD-00509"/>
    <x v="28"/>
    <s v="CUST-0180"/>
    <s v="PROD-044"/>
    <x v="12"/>
    <n v="10"/>
    <n v="1650"/>
    <n v="22.9"/>
    <n v="12721.5"/>
    <s v="Refunded"/>
    <s v="Chennai"/>
    <x v="5"/>
    <s v="Retail"/>
    <n v="36"/>
    <x v="3"/>
    <s v="R023"/>
    <n v="983787.4800000001"/>
    <x v="3"/>
  </r>
  <r>
    <s v="ORD-00510"/>
    <x v="158"/>
    <s v="CUST-0103"/>
    <s v="PROD-029"/>
    <x v="27"/>
    <n v="3"/>
    <n v="2210"/>
    <n v="11.1"/>
    <n v="5894.07"/>
    <s v="Completed"/>
    <s v="Hyderabad"/>
    <x v="2"/>
    <s v="Corporate"/>
    <n v="54"/>
    <x v="1"/>
    <s v="R012"/>
    <n v="901394.32000000007"/>
    <x v="1"/>
  </r>
  <r>
    <s v="ORD-00511"/>
    <x v="5"/>
    <s v="CUST-0174"/>
    <s v="PROD-019"/>
    <x v="1"/>
    <n v="10"/>
    <n v="2480"/>
    <n v="13"/>
    <n v="21576"/>
    <s v="Pending"/>
    <s v="Pune"/>
    <x v="0"/>
    <s v="Retail"/>
    <n v="54"/>
    <x v="0"/>
    <s v="R005"/>
    <n v="782445.33"/>
    <x v="0"/>
  </r>
  <r>
    <s v="ORD-00512"/>
    <x v="98"/>
    <s v="CUST-0071"/>
    <s v="PROD-001"/>
    <x v="12"/>
    <n v="10"/>
    <n v="5330"/>
    <n v="0.7"/>
    <n v="52926.9"/>
    <s v="Completed"/>
    <s v="Delhi"/>
    <x v="4"/>
    <s v="Corporate"/>
    <n v="46"/>
    <x v="3"/>
    <s v="R023"/>
    <n v="983787.4800000001"/>
    <x v="3"/>
  </r>
  <r>
    <s v="ORD-00513"/>
    <x v="109"/>
    <s v="CUST-0266"/>
    <s v="PROD-026"/>
    <x v="27"/>
    <n v="9"/>
    <n v="4070"/>
    <n v="15.6"/>
    <n v="30915.72"/>
    <s v="Completed"/>
    <s v="Pune"/>
    <x v="2"/>
    <s v="Retail"/>
    <n v="65"/>
    <x v="1"/>
    <s v="R012"/>
    <n v="901394.32000000007"/>
    <x v="1"/>
  </r>
  <r>
    <s v="ORD-00514"/>
    <x v="284"/>
    <s v="CUST-0148"/>
    <s v="PROD-015"/>
    <x v="19"/>
    <n v="5"/>
    <n v="2720"/>
    <n v="10.3"/>
    <n v="12199.2"/>
    <s v="Cancelled"/>
    <s v="Chennai"/>
    <x v="0"/>
    <s v="Retail"/>
    <n v="32"/>
    <x v="0"/>
    <s v="R001"/>
    <n v="789849.60000000009"/>
    <x v="0"/>
  </r>
  <r>
    <s v="ORD-00515"/>
    <x v="285"/>
    <s v="CUST-0030"/>
    <s v="PROD-055"/>
    <x v="20"/>
    <n v="6"/>
    <n v="2860"/>
    <n v="28.9"/>
    <n v="12200.76"/>
    <s v="Completed"/>
    <s v="Bengaluru"/>
    <x v="1"/>
    <s v="Corporate"/>
    <n v="43"/>
    <x v="2"/>
    <s v="R029"/>
    <n v="1016696.8000000002"/>
    <x v="2"/>
  </r>
  <r>
    <s v="ORD-00516"/>
    <x v="165"/>
    <s v="CUST-0128"/>
    <s v="PROD-014"/>
    <x v="27"/>
    <n v="5"/>
    <n v="3620"/>
    <n v="18.2"/>
    <n v="14805.8"/>
    <s v="Completed"/>
    <s v="Hyderabad"/>
    <x v="0"/>
    <s v="Retail"/>
    <n v="35"/>
    <x v="1"/>
    <s v="R012"/>
    <n v="901394.32000000007"/>
    <x v="1"/>
  </r>
  <r>
    <s v="ORD-00517"/>
    <x v="39"/>
    <s v="CUST-0056"/>
    <s v="PROD-044"/>
    <x v="26"/>
    <n v="3"/>
    <n v="1650"/>
    <n v="10.7"/>
    <n v="4420.3500000000004"/>
    <s v="Completed"/>
    <s v="Bengaluru"/>
    <x v="5"/>
    <s v="SMB"/>
    <n v="46"/>
    <x v="3"/>
    <s v="R018"/>
    <n v="1112289.6400000001"/>
    <x v="3"/>
  </r>
  <r>
    <s v="ORD-00518"/>
    <x v="185"/>
    <s v="CUST-0178"/>
    <s v="PROD-060"/>
    <x v="20"/>
    <n v="8"/>
    <n v="190"/>
    <n v="18"/>
    <n v="1246.4000000000001"/>
    <s v="Pending"/>
    <s v="Hyderabad"/>
    <x v="1"/>
    <s v="Retail"/>
    <n v="25"/>
    <x v="2"/>
    <s v="R029"/>
    <n v="1016696.8000000002"/>
    <x v="2"/>
  </r>
  <r>
    <s v="ORD-00519"/>
    <x v="68"/>
    <s v="CUST-0237"/>
    <s v="PROD-042"/>
    <x v="20"/>
    <n v="7"/>
    <n v="2290"/>
    <n v="12.5"/>
    <n v="14026.25"/>
    <s v="Completed"/>
    <s v="Mumbai"/>
    <x v="5"/>
    <s v="Retail"/>
    <n v="49"/>
    <x v="2"/>
    <s v="R029"/>
    <n v="1016696.8000000002"/>
    <x v="2"/>
  </r>
  <r>
    <s v="ORD-00520"/>
    <x v="198"/>
    <s v="CUST-0143"/>
    <s v="PROD-001"/>
    <x v="21"/>
    <n v="2"/>
    <n v="5330"/>
    <n v="26.5"/>
    <n v="7835.1"/>
    <s v="Completed"/>
    <s v="Chennai"/>
    <x v="4"/>
    <s v="SMB"/>
    <n v="52"/>
    <x v="3"/>
    <s v="R017"/>
    <n v="780384.40999999992"/>
    <x v="3"/>
  </r>
  <r>
    <s v="ORD-00521"/>
    <x v="233"/>
    <s v="CUST-0233"/>
    <s v="PROD-001"/>
    <x v="15"/>
    <n v="4"/>
    <n v="5330"/>
    <n v="25.6"/>
    <n v="15862.08"/>
    <s v="Completed"/>
    <s v="Mumbai"/>
    <x v="4"/>
    <s v="SMB"/>
    <n v="65"/>
    <x v="1"/>
    <s v="R015"/>
    <n v="1091740.1799999997"/>
    <x v="1"/>
  </r>
  <r>
    <s v="ORD-00522"/>
    <x v="286"/>
    <s v="CUST-0161"/>
    <s v="PROD-034"/>
    <x v="3"/>
    <n v="4"/>
    <n v="5080"/>
    <n v="28.6"/>
    <n v="14508.48"/>
    <s v="Completed"/>
    <s v="Chennai"/>
    <x v="3"/>
    <s v="Retail"/>
    <n v="38"/>
    <x v="0"/>
    <s v="R006"/>
    <n v="1138648.73"/>
    <x v="0"/>
  </r>
  <r>
    <s v="ORD-00523"/>
    <x v="40"/>
    <s v="CUST-0087"/>
    <s v="PROD-032"/>
    <x v="25"/>
    <n v="4"/>
    <n v="370"/>
    <n v="12.6"/>
    <n v="1293.52"/>
    <s v="Pending"/>
    <s v="Pune"/>
    <x v="3"/>
    <s v="SMB"/>
    <n v="49"/>
    <x v="0"/>
    <s v="R002"/>
    <n v="980063.65999999968"/>
    <x v="0"/>
  </r>
  <r>
    <s v="ORD-00524"/>
    <x v="230"/>
    <s v="CUST-0235"/>
    <s v="PROD-053"/>
    <x v="22"/>
    <n v="9"/>
    <n v="470"/>
    <n v="3.6"/>
    <n v="4077.72"/>
    <s v="Completed"/>
    <s v="Chennai"/>
    <x v="1"/>
    <s v="Retail"/>
    <n v="31"/>
    <x v="1"/>
    <s v="R013"/>
    <n v="811524.37999999989"/>
    <x v="1"/>
  </r>
  <r>
    <s v="ORD-00525"/>
    <x v="287"/>
    <s v="CUST-0183"/>
    <s v="PROD-052"/>
    <x v="28"/>
    <n v="4"/>
    <n v="5410"/>
    <n v="11.3"/>
    <n v="19194.68"/>
    <s v="Refunded"/>
    <s v="Mumbai"/>
    <x v="1"/>
    <s v="SMB"/>
    <n v="27"/>
    <x v="2"/>
    <s v="R027"/>
    <n v="917092.61999999965"/>
    <x v="2"/>
  </r>
  <r>
    <s v="ORD-00526"/>
    <x v="288"/>
    <s v="CUST-0199"/>
    <s v="PROD-014"/>
    <x v="0"/>
    <n v="10"/>
    <n v="3620"/>
    <n v="2.5"/>
    <n v="35295"/>
    <s v="Completed"/>
    <s v="Hyderabad"/>
    <x v="0"/>
    <s v="SMB"/>
    <n v="31"/>
    <x v="0"/>
    <s v="R007"/>
    <n v="855749.67999999982"/>
    <x v="0"/>
  </r>
  <r>
    <s v="ORD-00527"/>
    <x v="82"/>
    <s v="CUST-0034"/>
    <s v="PROD-021"/>
    <x v="14"/>
    <n v="1"/>
    <n v="2760"/>
    <n v="22.2"/>
    <n v="2147.2800000000002"/>
    <s v="Completed"/>
    <s v="Delhi"/>
    <x v="2"/>
    <s v="Retail"/>
    <n v="47"/>
    <x v="2"/>
    <s v="R030"/>
    <n v="747624.36999999988"/>
    <x v="2"/>
  </r>
  <r>
    <s v="ORD-00528"/>
    <x v="0"/>
    <s v="CUST-0206"/>
    <s v="PROD-047"/>
    <x v="19"/>
    <n v="7"/>
    <n v="3450"/>
    <n v="8.6"/>
    <n v="22073.1"/>
    <s v="Completed"/>
    <s v="Mumbai"/>
    <x v="5"/>
    <s v="Retail"/>
    <n v="40"/>
    <x v="0"/>
    <s v="R001"/>
    <n v="789849.60000000009"/>
    <x v="0"/>
  </r>
  <r>
    <s v="ORD-00529"/>
    <x v="196"/>
    <s v="CUST-0246"/>
    <s v="PROD-028"/>
    <x v="8"/>
    <n v="6"/>
    <n v="3660"/>
    <n v="10.6"/>
    <n v="19632.240000000002"/>
    <s v="Completed"/>
    <s v="Delhi"/>
    <x v="2"/>
    <s v="SMB"/>
    <n v="29"/>
    <x v="2"/>
    <s v="R028"/>
    <n v="880468.05"/>
    <x v="2"/>
  </r>
  <r>
    <s v="ORD-00530"/>
    <x v="147"/>
    <s v="CUST-0075"/>
    <s v="PROD-003"/>
    <x v="8"/>
    <n v="10"/>
    <n v="3570"/>
    <n v="1.2"/>
    <n v="35271.599999999999"/>
    <s v="Completed"/>
    <s v="Mumbai"/>
    <x v="4"/>
    <s v="Corporate"/>
    <n v="55"/>
    <x v="2"/>
    <s v="R028"/>
    <n v="880468.05"/>
    <x v="2"/>
  </r>
  <r>
    <s v="ORD-00531"/>
    <x v="176"/>
    <s v="CUST-0298"/>
    <s v="PROD-035"/>
    <x v="18"/>
    <n v="8"/>
    <n v="1090"/>
    <n v="13.2"/>
    <n v="7568.96"/>
    <s v="Refunded"/>
    <s v="Delhi"/>
    <x v="3"/>
    <s v="Retail"/>
    <n v="44"/>
    <x v="1"/>
    <s v="R009"/>
    <n v="914554.71999999986"/>
    <x v="1"/>
  </r>
  <r>
    <s v="ORD-00532"/>
    <x v="153"/>
    <s v="CUST-0165"/>
    <s v="PROD-014"/>
    <x v="26"/>
    <n v="8"/>
    <n v="3620"/>
    <n v="29"/>
    <n v="20561.599999999999"/>
    <s v="Completed"/>
    <s v="Pune"/>
    <x v="0"/>
    <s v="Retail"/>
    <n v="29"/>
    <x v="3"/>
    <s v="R018"/>
    <n v="1112289.6400000001"/>
    <x v="3"/>
  </r>
  <r>
    <s v="ORD-00533"/>
    <x v="289"/>
    <s v="CUST-0033"/>
    <s v="PROD-046"/>
    <x v="9"/>
    <n v="7"/>
    <n v="4880"/>
    <n v="25.6"/>
    <n v="25415.040000000001"/>
    <s v="Refunded"/>
    <s v="Delhi"/>
    <x v="5"/>
    <s v="Retail"/>
    <n v="35"/>
    <x v="1"/>
    <s v="R010"/>
    <n v="880345.20000000007"/>
    <x v="1"/>
  </r>
  <r>
    <s v="ORD-00534"/>
    <x v="224"/>
    <s v="CUST-0205"/>
    <s v="PROD-053"/>
    <x v="8"/>
    <n v="2"/>
    <n v="470"/>
    <n v="9.6999999999999993"/>
    <n v="848.82"/>
    <s v="Completed"/>
    <s v="Pune"/>
    <x v="1"/>
    <s v="Corporate"/>
    <n v="29"/>
    <x v="2"/>
    <s v="R028"/>
    <n v="880468.05"/>
    <x v="2"/>
  </r>
  <r>
    <s v="ORD-00535"/>
    <x v="149"/>
    <s v="CUST-0037"/>
    <s v="PROD-042"/>
    <x v="24"/>
    <n v="6"/>
    <n v="2290"/>
    <n v="8.9"/>
    <n v="12517.14"/>
    <s v="Completed"/>
    <s v="Bengaluru"/>
    <x v="5"/>
    <s v="Retail"/>
    <n v="52"/>
    <x v="3"/>
    <s v="R022"/>
    <n v="1069570.5400000003"/>
    <x v="3"/>
  </r>
  <r>
    <s v="ORD-00536"/>
    <x v="290"/>
    <s v="CUST-0228"/>
    <s v="PROD-023"/>
    <x v="9"/>
    <n v="3"/>
    <n v="2380"/>
    <n v="2.7"/>
    <n v="6947.22"/>
    <s v="Pending"/>
    <s v="Pune"/>
    <x v="2"/>
    <s v="Corporate"/>
    <n v="37"/>
    <x v="1"/>
    <s v="R010"/>
    <n v="880345.20000000007"/>
    <x v="1"/>
  </r>
  <r>
    <s v="ORD-00537"/>
    <x v="270"/>
    <s v="CUST-0279"/>
    <s v="PROD-023"/>
    <x v="4"/>
    <n v="9"/>
    <n v="2380"/>
    <n v="20.100000000000001"/>
    <n v="17114.580000000002"/>
    <s v="Completed"/>
    <s v="Mumbai"/>
    <x v="2"/>
    <s v="Retail"/>
    <n v="56"/>
    <x v="0"/>
    <s v="R008"/>
    <n v="861553.33"/>
    <x v="0"/>
  </r>
  <r>
    <s v="ORD-00538"/>
    <x v="291"/>
    <s v="CUST-0271"/>
    <s v="PROD-052"/>
    <x v="2"/>
    <n v="8"/>
    <n v="5410"/>
    <n v="11.2"/>
    <n v="38432.639999999999"/>
    <s v="Completed"/>
    <s v="Bengaluru"/>
    <x v="1"/>
    <s v="Corporate"/>
    <n v="41"/>
    <x v="1"/>
    <s v="R014"/>
    <n v="995713.54000000015"/>
    <x v="1"/>
  </r>
  <r>
    <s v="ORD-00539"/>
    <x v="150"/>
    <s v="CUST-0127"/>
    <s v="PROD-007"/>
    <x v="4"/>
    <n v="1"/>
    <n v="1430"/>
    <n v="19.600000000000001"/>
    <n v="1149.72"/>
    <s v="Completed"/>
    <s v="Bengaluru"/>
    <x v="4"/>
    <s v="SMB"/>
    <n v="36"/>
    <x v="0"/>
    <s v="R008"/>
    <n v="861553.33"/>
    <x v="0"/>
  </r>
  <r>
    <s v="ORD-00540"/>
    <x v="292"/>
    <s v="CUST-0007"/>
    <s v="PROD-058"/>
    <x v="28"/>
    <n v="9"/>
    <n v="2400"/>
    <n v="5"/>
    <n v="20520"/>
    <s v="Completed"/>
    <s v="Bengaluru"/>
    <x v="1"/>
    <s v="Retail"/>
    <n v="47"/>
    <x v="2"/>
    <s v="R027"/>
    <n v="917092.61999999965"/>
    <x v="2"/>
  </r>
  <r>
    <s v="ORD-00541"/>
    <x v="293"/>
    <s v="CUST-0005"/>
    <s v="PROD-027"/>
    <x v="19"/>
    <n v="1"/>
    <n v="3780"/>
    <n v="4.7"/>
    <n v="3602.34"/>
    <s v="Completed"/>
    <s v="Chennai"/>
    <x v="2"/>
    <s v="Corporate"/>
    <n v="52"/>
    <x v="0"/>
    <s v="R001"/>
    <n v="789849.60000000009"/>
    <x v="0"/>
  </r>
  <r>
    <s v="ORD-00542"/>
    <x v="95"/>
    <s v="CUST-0072"/>
    <s v="PROD-016"/>
    <x v="7"/>
    <n v="2"/>
    <n v="620"/>
    <n v="8"/>
    <n v="1140.8"/>
    <s v="Completed"/>
    <s v="Mumbai"/>
    <x v="0"/>
    <s v="Corporate"/>
    <n v="62"/>
    <x v="3"/>
    <s v="R019"/>
    <n v="971183.52000000014"/>
    <x v="3"/>
  </r>
  <r>
    <s v="ORD-00543"/>
    <x v="229"/>
    <s v="CUST-0167"/>
    <s v="PROD-060"/>
    <x v="0"/>
    <n v="3"/>
    <n v="190"/>
    <n v="17.899999999999999"/>
    <n v="467.97"/>
    <s v="Pending"/>
    <s v="Delhi"/>
    <x v="1"/>
    <s v="Retail"/>
    <n v="43"/>
    <x v="0"/>
    <s v="R007"/>
    <n v="855749.67999999982"/>
    <x v="0"/>
  </r>
  <r>
    <s v="ORD-00544"/>
    <x v="10"/>
    <s v="CUST-0244"/>
    <s v="PROD-014"/>
    <x v="7"/>
    <n v="2"/>
    <n v="3620"/>
    <n v="15.5"/>
    <n v="6117.8"/>
    <s v="Completed"/>
    <s v="Bengaluru"/>
    <x v="0"/>
    <s v="Retail"/>
    <n v="61"/>
    <x v="3"/>
    <s v="R019"/>
    <n v="971183.52000000014"/>
    <x v="3"/>
  </r>
  <r>
    <s v="ORD-00545"/>
    <x v="294"/>
    <s v="CUST-0086"/>
    <s v="PROD-055"/>
    <x v="26"/>
    <n v="5"/>
    <n v="2860"/>
    <n v="26.8"/>
    <n v="10467.6"/>
    <s v="Completed"/>
    <s v="Hyderabad"/>
    <x v="1"/>
    <s v="Corporate"/>
    <n v="56"/>
    <x v="3"/>
    <s v="R018"/>
    <n v="1112289.6400000001"/>
    <x v="3"/>
  </r>
  <r>
    <s v="ORD-00546"/>
    <x v="198"/>
    <s v="CUST-0091"/>
    <s v="PROD-058"/>
    <x v="12"/>
    <n v="6"/>
    <n v="2400"/>
    <n v="19.2"/>
    <n v="11635.2"/>
    <s v="Cancelled"/>
    <s v="Delhi"/>
    <x v="1"/>
    <s v="Retail"/>
    <n v="55"/>
    <x v="3"/>
    <s v="R023"/>
    <n v="983787.4800000001"/>
    <x v="3"/>
  </r>
  <r>
    <s v="ORD-00547"/>
    <x v="14"/>
    <s v="CUST-0169"/>
    <s v="PROD-034"/>
    <x v="18"/>
    <n v="7"/>
    <n v="5080"/>
    <n v="16.600000000000001"/>
    <n v="29657.040000000001"/>
    <s v="Pending"/>
    <s v="Bengaluru"/>
    <x v="3"/>
    <s v="SMB"/>
    <n v="42"/>
    <x v="1"/>
    <s v="R009"/>
    <n v="914554.71999999986"/>
    <x v="1"/>
  </r>
  <r>
    <s v="ORD-00548"/>
    <x v="295"/>
    <s v="CUST-0273"/>
    <s v="PROD-034"/>
    <x v="15"/>
    <n v="10"/>
    <n v="5080"/>
    <n v="24.6"/>
    <n v="38303.199999999997"/>
    <s v="Completed"/>
    <s v="Hyderabad"/>
    <x v="3"/>
    <s v="Corporate"/>
    <n v="32"/>
    <x v="1"/>
    <s v="R015"/>
    <n v="1091740.1799999997"/>
    <x v="1"/>
  </r>
  <r>
    <s v="ORD-00549"/>
    <x v="147"/>
    <s v="CUST-0233"/>
    <s v="PROD-057"/>
    <x v="4"/>
    <n v="7"/>
    <n v="960"/>
    <n v="16.600000000000001"/>
    <n v="5604.48"/>
    <s v="Completed"/>
    <s v="Mumbai"/>
    <x v="1"/>
    <s v="SMB"/>
    <n v="65"/>
    <x v="0"/>
    <s v="R008"/>
    <n v="861553.33"/>
    <x v="0"/>
  </r>
  <r>
    <s v="ORD-00550"/>
    <x v="296"/>
    <s v="CUST-0175"/>
    <s v="PROD-028"/>
    <x v="8"/>
    <n v="3"/>
    <n v="3660"/>
    <n v="3.2"/>
    <n v="10628.64"/>
    <s v="Pending"/>
    <s v="Delhi"/>
    <x v="2"/>
    <s v="Corporate"/>
    <n v="55"/>
    <x v="2"/>
    <s v="R028"/>
    <n v="880468.05"/>
    <x v="2"/>
  </r>
  <r>
    <s v="ORD-00551"/>
    <x v="160"/>
    <s v="CUST-0241"/>
    <s v="PROD-010"/>
    <x v="18"/>
    <n v="6"/>
    <n v="2640"/>
    <n v="26.3"/>
    <n v="11674.08"/>
    <s v="Completed"/>
    <s v="Pune"/>
    <x v="4"/>
    <s v="Corporate"/>
    <n v="47"/>
    <x v="1"/>
    <s v="R009"/>
    <n v="914554.71999999986"/>
    <x v="1"/>
  </r>
  <r>
    <s v="ORD-00552"/>
    <x v="254"/>
    <s v="CUST-0024"/>
    <s v="PROD-009"/>
    <x v="18"/>
    <n v="6"/>
    <n v="1220"/>
    <n v="22.3"/>
    <n v="5687.64"/>
    <s v="Cancelled"/>
    <s v="Chennai"/>
    <x v="4"/>
    <s v="SMB"/>
    <n v="64"/>
    <x v="1"/>
    <s v="R009"/>
    <n v="914554.71999999986"/>
    <x v="1"/>
  </r>
  <r>
    <s v="ORD-00553"/>
    <x v="138"/>
    <s v="CUST-0252"/>
    <s v="PROD-005"/>
    <x v="22"/>
    <n v="1"/>
    <n v="300"/>
    <n v="0.7"/>
    <n v="297.89999999999998"/>
    <s v="Completed"/>
    <s v="Bengaluru"/>
    <x v="4"/>
    <s v="Retail"/>
    <n v="27"/>
    <x v="1"/>
    <s v="R013"/>
    <n v="811524.37999999989"/>
    <x v="1"/>
  </r>
  <r>
    <s v="ORD-00554"/>
    <x v="43"/>
    <s v="CUST-0245"/>
    <s v="PROD-054"/>
    <x v="16"/>
    <n v="2"/>
    <n v="1010"/>
    <n v="28"/>
    <n v="1454.4"/>
    <s v="Completed"/>
    <s v="Hyderabad"/>
    <x v="1"/>
    <s v="Retail"/>
    <n v="65"/>
    <x v="3"/>
    <s v="R020"/>
    <n v="906107.71000000008"/>
    <x v="3"/>
  </r>
  <r>
    <s v="ORD-00555"/>
    <x v="192"/>
    <s v="CUST-0046"/>
    <s v="PROD-002"/>
    <x v="23"/>
    <n v="5"/>
    <n v="2600"/>
    <n v="0.8"/>
    <n v="12896"/>
    <s v="Cancelled"/>
    <s v="Delhi"/>
    <x v="4"/>
    <s v="SMB"/>
    <n v="45"/>
    <x v="1"/>
    <s v="R011"/>
    <n v="735207.75999999989"/>
    <x v="1"/>
  </r>
  <r>
    <s v="ORD-00556"/>
    <x v="186"/>
    <s v="CUST-0050"/>
    <s v="PROD-056"/>
    <x v="17"/>
    <n v="3"/>
    <n v="6940"/>
    <n v="10.7"/>
    <n v="18592.259999999998"/>
    <s v="Cancelled"/>
    <s v="Mumbai"/>
    <x v="1"/>
    <s v="Retail"/>
    <n v="37"/>
    <x v="2"/>
    <s v="R026"/>
    <n v="576305.08000000019"/>
    <x v="2"/>
  </r>
  <r>
    <s v="ORD-00557"/>
    <x v="297"/>
    <s v="CUST-0227"/>
    <s v="PROD-032"/>
    <x v="23"/>
    <n v="1"/>
    <n v="370"/>
    <n v="10.3"/>
    <n v="331.89"/>
    <s v="Refunded"/>
    <s v="Bengaluru"/>
    <x v="3"/>
    <s v="SMB"/>
    <n v="44"/>
    <x v="1"/>
    <s v="R011"/>
    <n v="735207.75999999989"/>
    <x v="1"/>
  </r>
  <r>
    <s v="ORD-00558"/>
    <x v="298"/>
    <s v="CUST-0218"/>
    <s v="PROD-027"/>
    <x v="20"/>
    <n v="2"/>
    <n v="3780"/>
    <n v="29.4"/>
    <n v="5337.36"/>
    <s v="Completed"/>
    <s v="Mumbai"/>
    <x v="2"/>
    <s v="Retail"/>
    <n v="39"/>
    <x v="2"/>
    <s v="R029"/>
    <n v="1016696.8000000002"/>
    <x v="2"/>
  </r>
  <r>
    <s v="ORD-00559"/>
    <x v="39"/>
    <s v="CUST-0087"/>
    <s v="PROD-030"/>
    <x v="24"/>
    <n v="5"/>
    <n v="970"/>
    <n v="14.6"/>
    <n v="4141.8999999999996"/>
    <s v="Completed"/>
    <s v="Pune"/>
    <x v="2"/>
    <s v="SMB"/>
    <n v="49"/>
    <x v="3"/>
    <s v="R022"/>
    <n v="1069570.5400000003"/>
    <x v="3"/>
  </r>
  <r>
    <s v="ORD-00560"/>
    <x v="117"/>
    <s v="CUST-0209"/>
    <s v="PROD-022"/>
    <x v="25"/>
    <n v="3"/>
    <n v="2270"/>
    <n v="6.5"/>
    <n v="6367.35"/>
    <s v="Completed"/>
    <s v="Pune"/>
    <x v="2"/>
    <s v="Retail"/>
    <n v="31"/>
    <x v="0"/>
    <s v="R002"/>
    <n v="980063.65999999968"/>
    <x v="0"/>
  </r>
  <r>
    <s v="ORD-00561"/>
    <x v="299"/>
    <s v="CUST-0212"/>
    <s v="PROD-041"/>
    <x v="20"/>
    <n v="10"/>
    <n v="1540"/>
    <n v="16.5"/>
    <n v="12859"/>
    <s v="Completed"/>
    <s v="Chennai"/>
    <x v="5"/>
    <s v="SMB"/>
    <n v="46"/>
    <x v="2"/>
    <s v="R029"/>
    <n v="1016696.8000000002"/>
    <x v="2"/>
  </r>
  <r>
    <s v="ORD-00562"/>
    <x v="51"/>
    <s v="CUST-0180"/>
    <s v="PROD-021"/>
    <x v="21"/>
    <n v="4"/>
    <n v="2760"/>
    <n v="19.8"/>
    <n v="8854.08"/>
    <s v="Completed"/>
    <s v="Chennai"/>
    <x v="2"/>
    <s v="Retail"/>
    <n v="36"/>
    <x v="3"/>
    <s v="R017"/>
    <n v="780384.40999999992"/>
    <x v="3"/>
  </r>
  <r>
    <s v="ORD-00563"/>
    <x v="10"/>
    <s v="CUST-0025"/>
    <s v="PROD-024"/>
    <x v="14"/>
    <n v="3"/>
    <n v="2270"/>
    <n v="29.5"/>
    <n v="4801.05"/>
    <s v="Refunded"/>
    <s v="Bengaluru"/>
    <x v="2"/>
    <s v="Retail"/>
    <n v="23"/>
    <x v="2"/>
    <s v="R030"/>
    <n v="747624.36999999988"/>
    <x v="2"/>
  </r>
  <r>
    <s v="ORD-00564"/>
    <x v="196"/>
    <s v="CUST-0271"/>
    <s v="PROD-045"/>
    <x v="15"/>
    <n v="8"/>
    <n v="3020"/>
    <n v="1.2"/>
    <n v="23870.080000000002"/>
    <s v="Completed"/>
    <s v="Bengaluru"/>
    <x v="5"/>
    <s v="Corporate"/>
    <n v="41"/>
    <x v="1"/>
    <s v="R015"/>
    <n v="1091740.1799999997"/>
    <x v="1"/>
  </r>
  <r>
    <s v="ORD-00565"/>
    <x v="156"/>
    <s v="CUST-0026"/>
    <s v="PROD-023"/>
    <x v="26"/>
    <n v="6"/>
    <n v="2380"/>
    <n v="20.399999999999999"/>
    <n v="11366.88"/>
    <s v="Completed"/>
    <s v="Pune"/>
    <x v="2"/>
    <s v="Retail"/>
    <n v="62"/>
    <x v="3"/>
    <s v="R018"/>
    <n v="1112289.6400000001"/>
    <x v="3"/>
  </r>
  <r>
    <s v="ORD-00566"/>
    <x v="19"/>
    <s v="CUST-0058"/>
    <s v="PROD-056"/>
    <x v="8"/>
    <n v="1"/>
    <n v="6940"/>
    <n v="15"/>
    <n v="5899"/>
    <s v="Cancelled"/>
    <s v="Bengaluru"/>
    <x v="1"/>
    <s v="SMB"/>
    <n v="49"/>
    <x v="2"/>
    <s v="R028"/>
    <n v="880468.05"/>
    <x v="2"/>
  </r>
  <r>
    <s v="ORD-00567"/>
    <x v="16"/>
    <s v="CUST-0033"/>
    <s v="PROD-008"/>
    <x v="9"/>
    <n v="1"/>
    <n v="2660"/>
    <n v="11.6"/>
    <n v="2351.44"/>
    <s v="Completed"/>
    <s v="Delhi"/>
    <x v="4"/>
    <s v="Retail"/>
    <n v="35"/>
    <x v="1"/>
    <s v="R010"/>
    <n v="880345.20000000007"/>
    <x v="1"/>
  </r>
  <r>
    <s v="ORD-00568"/>
    <x v="289"/>
    <s v="CUST-0057"/>
    <s v="PROD-030"/>
    <x v="22"/>
    <n v="4"/>
    <n v="970"/>
    <n v="11.6"/>
    <n v="3429.92"/>
    <s v="Completed"/>
    <s v="Pune"/>
    <x v="2"/>
    <s v="Retail"/>
    <n v="35"/>
    <x v="1"/>
    <s v="R013"/>
    <n v="811524.37999999989"/>
    <x v="1"/>
  </r>
  <r>
    <s v="ORD-00569"/>
    <x v="215"/>
    <s v="CUST-0231"/>
    <s v="PROD-022"/>
    <x v="25"/>
    <n v="7"/>
    <n v="2270"/>
    <n v="27.9"/>
    <n v="11456.69"/>
    <s v="Completed"/>
    <s v="Chennai"/>
    <x v="2"/>
    <s v="Retail"/>
    <n v="61"/>
    <x v="0"/>
    <s v="R002"/>
    <n v="980063.65999999968"/>
    <x v="0"/>
  </r>
  <r>
    <s v="ORD-00570"/>
    <x v="300"/>
    <s v="CUST-0031"/>
    <s v="PROD-054"/>
    <x v="29"/>
    <n v="8"/>
    <n v="1010"/>
    <n v="13.7"/>
    <n v="6973.04"/>
    <s v="Cancelled"/>
    <s v="Hyderabad"/>
    <x v="1"/>
    <s v="Retail"/>
    <n v="53"/>
    <x v="1"/>
    <s v="R016"/>
    <n v="814563.7100000002"/>
    <x v="1"/>
  </r>
  <r>
    <s v="ORD-00571"/>
    <x v="259"/>
    <s v="CUST-0228"/>
    <s v="PROD-023"/>
    <x v="19"/>
    <n v="8"/>
    <n v="2380"/>
    <n v="15.3"/>
    <n v="16126.88"/>
    <s v="Cancelled"/>
    <s v="Pune"/>
    <x v="2"/>
    <s v="Corporate"/>
    <n v="37"/>
    <x v="0"/>
    <s v="R001"/>
    <n v="789849.60000000009"/>
    <x v="0"/>
  </r>
  <r>
    <s v="ORD-00572"/>
    <x v="142"/>
    <s v="CUST-0127"/>
    <s v="PROD-053"/>
    <x v="26"/>
    <n v="10"/>
    <n v="470"/>
    <n v="2.1"/>
    <n v="4601.3"/>
    <s v="Completed"/>
    <s v="Bengaluru"/>
    <x v="1"/>
    <s v="SMB"/>
    <n v="36"/>
    <x v="3"/>
    <s v="R018"/>
    <n v="1112289.6400000001"/>
    <x v="3"/>
  </r>
  <r>
    <s v="ORD-00573"/>
    <x v="178"/>
    <s v="CUST-0117"/>
    <s v="PROD-048"/>
    <x v="5"/>
    <n v="5"/>
    <n v="5100"/>
    <n v="9.6999999999999993"/>
    <n v="23026.5"/>
    <s v="Completed"/>
    <s v="Delhi"/>
    <x v="5"/>
    <s v="SMB"/>
    <n v="34"/>
    <x v="2"/>
    <s v="R025"/>
    <n v="901298.89"/>
    <x v="2"/>
  </r>
  <r>
    <s v="ORD-00574"/>
    <x v="73"/>
    <s v="CUST-0159"/>
    <s v="PROD-049"/>
    <x v="17"/>
    <n v="9"/>
    <n v="960"/>
    <n v="17.7"/>
    <n v="7110.72"/>
    <s v="Completed"/>
    <s v="Hyderabad"/>
    <x v="5"/>
    <s v="Retail"/>
    <n v="32"/>
    <x v="2"/>
    <s v="R026"/>
    <n v="576305.08000000019"/>
    <x v="2"/>
  </r>
  <r>
    <s v="ORD-00575"/>
    <x v="35"/>
    <s v="CUST-0064"/>
    <s v="PROD-026"/>
    <x v="0"/>
    <n v="2"/>
    <n v="4070"/>
    <n v="2.1"/>
    <n v="7969.06"/>
    <s v="Completed"/>
    <s v="Hyderabad"/>
    <x v="2"/>
    <s v="SMB"/>
    <n v="40"/>
    <x v="0"/>
    <s v="R007"/>
    <n v="855749.67999999982"/>
    <x v="0"/>
  </r>
  <r>
    <s v="ORD-00576"/>
    <x v="243"/>
    <s v="CUST-0272"/>
    <s v="PROD-031"/>
    <x v="13"/>
    <n v="5"/>
    <n v="3730"/>
    <n v="16.5"/>
    <n v="15572.75"/>
    <s v="Completed"/>
    <s v="Mumbai"/>
    <x v="3"/>
    <s v="SMB"/>
    <n v="47"/>
    <x v="3"/>
    <s v="R021"/>
    <n v="761507.17000000027"/>
    <x v="3"/>
  </r>
  <r>
    <s v="ORD-00577"/>
    <x v="55"/>
    <s v="CUST-0071"/>
    <s v="PROD-055"/>
    <x v="24"/>
    <n v="1"/>
    <n v="2860"/>
    <n v="10.4"/>
    <n v="2562.56"/>
    <s v="Cancelled"/>
    <s v="Delhi"/>
    <x v="1"/>
    <s v="Corporate"/>
    <n v="46"/>
    <x v="3"/>
    <s v="R022"/>
    <n v="1069570.5400000003"/>
    <x v="3"/>
  </r>
  <r>
    <s v="ORD-00578"/>
    <x v="11"/>
    <s v="CUST-0045"/>
    <s v="PROD-046"/>
    <x v="26"/>
    <n v="4"/>
    <n v="4880"/>
    <n v="27.5"/>
    <n v="14152"/>
    <s v="Pending"/>
    <s v="Chennai"/>
    <x v="5"/>
    <s v="SMB"/>
    <n v="39"/>
    <x v="3"/>
    <s v="R018"/>
    <n v="1112289.6400000001"/>
    <x v="3"/>
  </r>
  <r>
    <s v="ORD-00579"/>
    <x v="19"/>
    <s v="CUST-0148"/>
    <s v="PROD-022"/>
    <x v="24"/>
    <n v="3"/>
    <n v="2270"/>
    <n v="6.7"/>
    <n v="6353.73"/>
    <s v="Completed"/>
    <s v="Chennai"/>
    <x v="2"/>
    <s v="Retail"/>
    <n v="32"/>
    <x v="3"/>
    <s v="R022"/>
    <n v="1069570.5400000003"/>
    <x v="3"/>
  </r>
  <r>
    <s v="ORD-00580"/>
    <x v="55"/>
    <s v="CUST-0097"/>
    <s v="PROD-025"/>
    <x v="0"/>
    <n v="10"/>
    <n v="4060"/>
    <n v="3.6"/>
    <n v="39138.400000000001"/>
    <s v="Pending"/>
    <s v="Mumbai"/>
    <x v="2"/>
    <s v="Retail"/>
    <n v="65"/>
    <x v="0"/>
    <s v="R007"/>
    <n v="855749.67999999982"/>
    <x v="0"/>
  </r>
  <r>
    <s v="ORD-00581"/>
    <x v="301"/>
    <s v="CUST-0151"/>
    <s v="PROD-010"/>
    <x v="10"/>
    <n v="8"/>
    <n v="2640"/>
    <n v="28.8"/>
    <n v="15037.44"/>
    <s v="Completed"/>
    <s v="Mumbai"/>
    <x v="4"/>
    <s v="Retail"/>
    <n v="53"/>
    <x v="0"/>
    <s v="R004"/>
    <n v="589026.2899999998"/>
    <x v="0"/>
  </r>
  <r>
    <s v="ORD-00582"/>
    <x v="302"/>
    <s v="CUST-0048"/>
    <s v="PROD-031"/>
    <x v="27"/>
    <n v="6"/>
    <n v="3730"/>
    <n v="21.9"/>
    <n v="17478.78"/>
    <s v="Completed"/>
    <s v="Delhi"/>
    <x v="3"/>
    <s v="Retail"/>
    <n v="59"/>
    <x v="1"/>
    <s v="R012"/>
    <n v="901394.32000000007"/>
    <x v="1"/>
  </r>
  <r>
    <s v="ORD-00583"/>
    <x v="68"/>
    <s v="CUST-0048"/>
    <s v="PROD-001"/>
    <x v="3"/>
    <n v="9"/>
    <n v="5330"/>
    <n v="29.4"/>
    <n v="33866.82"/>
    <s v="Cancelled"/>
    <s v="Delhi"/>
    <x v="4"/>
    <s v="Retail"/>
    <n v="59"/>
    <x v="0"/>
    <s v="R006"/>
    <n v="1138648.73"/>
    <x v="0"/>
  </r>
  <r>
    <s v="ORD-00584"/>
    <x v="94"/>
    <s v="CUST-0156"/>
    <s v="PROD-011"/>
    <x v="28"/>
    <n v="1"/>
    <n v="3450"/>
    <n v="23.3"/>
    <n v="2646.15"/>
    <s v="Completed"/>
    <s v="Mumbai"/>
    <x v="0"/>
    <s v="Retail"/>
    <n v="33"/>
    <x v="2"/>
    <s v="R027"/>
    <n v="917092.61999999965"/>
    <x v="2"/>
  </r>
  <r>
    <s v="ORD-00585"/>
    <x v="227"/>
    <s v="CUST-0022"/>
    <s v="PROD-050"/>
    <x v="21"/>
    <n v="3"/>
    <n v="6080"/>
    <n v="14.5"/>
    <n v="15595.2"/>
    <s v="Completed"/>
    <s v="Bengaluru"/>
    <x v="5"/>
    <s v="Corporate"/>
    <n v="55"/>
    <x v="3"/>
    <s v="R017"/>
    <n v="780384.40999999992"/>
    <x v="3"/>
  </r>
  <r>
    <s v="ORD-00586"/>
    <x v="303"/>
    <s v="CUST-0193"/>
    <s v="PROD-031"/>
    <x v="25"/>
    <n v="4"/>
    <n v="3730"/>
    <n v="3.4"/>
    <n v="14412.72"/>
    <s v="Cancelled"/>
    <s v="Bengaluru"/>
    <x v="3"/>
    <s v="Retail"/>
    <n v="42"/>
    <x v="0"/>
    <s v="R002"/>
    <n v="980063.65999999968"/>
    <x v="0"/>
  </r>
  <r>
    <s v="ORD-00587"/>
    <x v="304"/>
    <s v="CUST-0189"/>
    <s v="PROD-008"/>
    <x v="24"/>
    <n v="10"/>
    <n v="2660"/>
    <n v="2.1"/>
    <n v="26041.4"/>
    <s v="Completed"/>
    <s v="Chennai"/>
    <x v="4"/>
    <s v="Retail"/>
    <n v="41"/>
    <x v="3"/>
    <s v="R022"/>
    <n v="1069570.5400000003"/>
    <x v="3"/>
  </r>
  <r>
    <s v="ORD-00588"/>
    <x v="41"/>
    <s v="CUST-0101"/>
    <s v="PROD-029"/>
    <x v="13"/>
    <n v="7"/>
    <n v="2210"/>
    <n v="17.100000000000001"/>
    <n v="12824.63"/>
    <s v="Completed"/>
    <s v="Hyderabad"/>
    <x v="2"/>
    <s v="SMB"/>
    <n v="40"/>
    <x v="3"/>
    <s v="R021"/>
    <n v="761507.17000000027"/>
    <x v="3"/>
  </r>
  <r>
    <s v="ORD-00589"/>
    <x v="84"/>
    <s v="CUST-0006"/>
    <s v="PROD-059"/>
    <x v="22"/>
    <n v="6"/>
    <n v="3780"/>
    <n v="12.7"/>
    <n v="19799.64"/>
    <s v="Completed"/>
    <s v="Pune"/>
    <x v="1"/>
    <s v="SMB"/>
    <n v="44"/>
    <x v="1"/>
    <s v="R013"/>
    <n v="811524.37999999989"/>
    <x v="1"/>
  </r>
  <r>
    <s v="ORD-00590"/>
    <x v="249"/>
    <s v="CUST-0235"/>
    <s v="PROD-038"/>
    <x v="20"/>
    <n v="4"/>
    <n v="5490"/>
    <n v="26.9"/>
    <n v="16052.76"/>
    <s v="Completed"/>
    <s v="Chennai"/>
    <x v="3"/>
    <s v="Retail"/>
    <n v="31"/>
    <x v="2"/>
    <s v="R029"/>
    <n v="1016696.8000000002"/>
    <x v="2"/>
  </r>
  <r>
    <s v="ORD-00591"/>
    <x v="116"/>
    <s v="CUST-0045"/>
    <s v="PROD-008"/>
    <x v="22"/>
    <n v="9"/>
    <n v="2660"/>
    <n v="21.9"/>
    <n v="18697.14"/>
    <s v="Completed"/>
    <s v="Chennai"/>
    <x v="4"/>
    <s v="SMB"/>
    <n v="39"/>
    <x v="1"/>
    <s v="R013"/>
    <n v="811524.37999999989"/>
    <x v="1"/>
  </r>
  <r>
    <s v="ORD-00592"/>
    <x v="160"/>
    <s v="CUST-0028"/>
    <s v="PROD-056"/>
    <x v="8"/>
    <n v="9"/>
    <n v="6940"/>
    <n v="8"/>
    <n v="57463.199999999997"/>
    <s v="Completed"/>
    <s v="Bengaluru"/>
    <x v="1"/>
    <s v="Retail"/>
    <n v="59"/>
    <x v="2"/>
    <s v="R028"/>
    <n v="880468.05"/>
    <x v="2"/>
  </r>
  <r>
    <s v="ORD-00593"/>
    <x v="73"/>
    <s v="CUST-0241"/>
    <s v="PROD-004"/>
    <x v="3"/>
    <n v="1"/>
    <n v="3870"/>
    <n v="22.6"/>
    <n v="2995.38"/>
    <s v="Completed"/>
    <s v="Pune"/>
    <x v="4"/>
    <s v="Corporate"/>
    <n v="47"/>
    <x v="0"/>
    <s v="R006"/>
    <n v="1138648.73"/>
    <x v="0"/>
  </r>
  <r>
    <s v="ORD-00594"/>
    <x v="240"/>
    <s v="CUST-0278"/>
    <s v="PROD-035"/>
    <x v="4"/>
    <n v="3"/>
    <n v="1090"/>
    <n v="28.1"/>
    <n v="2351.13"/>
    <s v="Completed"/>
    <s v="Hyderabad"/>
    <x v="3"/>
    <s v="Retail"/>
    <n v="41"/>
    <x v="0"/>
    <s v="R008"/>
    <n v="861553.33"/>
    <x v="0"/>
  </r>
  <r>
    <s v="ORD-00595"/>
    <x v="111"/>
    <s v="CUST-0009"/>
    <s v="PROD-002"/>
    <x v="19"/>
    <n v="2"/>
    <n v="2600"/>
    <n v="5.6"/>
    <n v="4908.8"/>
    <s v="Completed"/>
    <s v="Mumbai"/>
    <x v="4"/>
    <s v="Retail"/>
    <n v="61"/>
    <x v="0"/>
    <s v="R001"/>
    <n v="789849.60000000009"/>
    <x v="0"/>
  </r>
  <r>
    <s v="ORD-00596"/>
    <x v="54"/>
    <s v="CUST-0217"/>
    <s v="PROD-057"/>
    <x v="16"/>
    <n v="4"/>
    <n v="960"/>
    <n v="21.7"/>
    <n v="3006.72"/>
    <s v="Completed"/>
    <s v="Pune"/>
    <x v="1"/>
    <s v="SMB"/>
    <n v="59"/>
    <x v="3"/>
    <s v="R020"/>
    <n v="906107.71000000008"/>
    <x v="3"/>
  </r>
  <r>
    <s v="ORD-00597"/>
    <x v="80"/>
    <s v="CUST-0289"/>
    <s v="PROD-032"/>
    <x v="17"/>
    <n v="6"/>
    <n v="370"/>
    <n v="22.5"/>
    <n v="1720.5"/>
    <s v="Completed"/>
    <s v="Mumbai"/>
    <x v="3"/>
    <s v="Retail"/>
    <n v="54"/>
    <x v="2"/>
    <s v="R026"/>
    <n v="576305.08000000019"/>
    <x v="2"/>
  </r>
  <r>
    <s v="ORD-00598"/>
    <x v="51"/>
    <s v="CUST-0176"/>
    <s v="PROD-034"/>
    <x v="3"/>
    <n v="5"/>
    <n v="5080"/>
    <n v="23.8"/>
    <n v="19354.8"/>
    <s v="Completed"/>
    <s v="Bengaluru"/>
    <x v="3"/>
    <s v="SMB"/>
    <n v="34"/>
    <x v="0"/>
    <s v="R006"/>
    <n v="1138648.73"/>
    <x v="0"/>
  </r>
  <r>
    <s v="ORD-00599"/>
    <x v="67"/>
    <s v="CUST-0026"/>
    <s v="PROD-041"/>
    <x v="11"/>
    <n v="5"/>
    <n v="1540"/>
    <n v="6.1"/>
    <n v="7230.3"/>
    <s v="Completed"/>
    <s v="Pune"/>
    <x v="5"/>
    <s v="Retail"/>
    <n v="62"/>
    <x v="0"/>
    <s v="R003"/>
    <n v="986692.91"/>
    <x v="0"/>
  </r>
  <r>
    <s v="ORD-00600"/>
    <x v="305"/>
    <s v="CUST-0213"/>
    <s v="PROD-024"/>
    <x v="15"/>
    <n v="7"/>
    <n v="2270"/>
    <n v="0.4"/>
    <n v="15826.44"/>
    <s v="Completed"/>
    <s v="Mumbai"/>
    <x v="2"/>
    <s v="Retail"/>
    <n v="37"/>
    <x v="1"/>
    <s v="R015"/>
    <n v="1091740.1799999997"/>
    <x v="1"/>
  </r>
  <r>
    <s v="ORD-00601"/>
    <x v="236"/>
    <s v="CUST-0190"/>
    <s v="PROD-057"/>
    <x v="15"/>
    <n v="2"/>
    <n v="960"/>
    <n v="3.7"/>
    <n v="1848.96"/>
    <s v="Completed"/>
    <s v="Hyderabad"/>
    <x v="1"/>
    <s v="Retail"/>
    <n v="52"/>
    <x v="1"/>
    <s v="R015"/>
    <n v="1091740.1799999997"/>
    <x v="1"/>
  </r>
  <r>
    <s v="ORD-00602"/>
    <x v="306"/>
    <s v="CUST-0150"/>
    <s v="PROD-007"/>
    <x v="28"/>
    <n v="6"/>
    <n v="1430"/>
    <n v="2"/>
    <n v="8408.4"/>
    <s v="Pending"/>
    <s v="Pune"/>
    <x v="4"/>
    <s v="SMB"/>
    <n v="53"/>
    <x v="2"/>
    <s v="R027"/>
    <n v="917092.61999999965"/>
    <x v="2"/>
  </r>
  <r>
    <s v="ORD-00603"/>
    <x v="276"/>
    <s v="CUST-0129"/>
    <s v="PROD-047"/>
    <x v="3"/>
    <n v="10"/>
    <n v="3450"/>
    <n v="19.100000000000001"/>
    <n v="27910.5"/>
    <s v="Completed"/>
    <s v="Hyderabad"/>
    <x v="5"/>
    <s v="Retail"/>
    <n v="29"/>
    <x v="0"/>
    <s v="R006"/>
    <n v="1138648.73"/>
    <x v="0"/>
  </r>
  <r>
    <s v="ORD-00604"/>
    <x v="249"/>
    <s v="CUST-0080"/>
    <s v="PROD-009"/>
    <x v="17"/>
    <n v="8"/>
    <n v="1220"/>
    <n v="16.899999999999999"/>
    <n v="8110.56"/>
    <s v="Completed"/>
    <s v="Pune"/>
    <x v="4"/>
    <s v="SMB"/>
    <n v="30"/>
    <x v="2"/>
    <s v="R026"/>
    <n v="576305.08000000019"/>
    <x v="2"/>
  </r>
  <r>
    <s v="ORD-00605"/>
    <x v="96"/>
    <s v="CUST-0034"/>
    <s v="PROD-021"/>
    <x v="16"/>
    <n v="9"/>
    <n v="2760"/>
    <n v="16.899999999999999"/>
    <n v="20642.04"/>
    <s v="Completed"/>
    <s v="Delhi"/>
    <x v="2"/>
    <s v="Retail"/>
    <n v="47"/>
    <x v="3"/>
    <s v="R020"/>
    <n v="906107.71000000008"/>
    <x v="3"/>
  </r>
  <r>
    <s v="ORD-00606"/>
    <x v="106"/>
    <s v="CUST-0179"/>
    <s v="PROD-043"/>
    <x v="21"/>
    <n v="6"/>
    <n v="3350"/>
    <n v="11.8"/>
    <n v="17728.2"/>
    <s v="Pending"/>
    <s v="Mumbai"/>
    <x v="5"/>
    <s v="SMB"/>
    <n v="54"/>
    <x v="3"/>
    <s v="R017"/>
    <n v="780384.40999999992"/>
    <x v="3"/>
  </r>
  <r>
    <s v="ORD-00607"/>
    <x v="23"/>
    <s v="CUST-0176"/>
    <s v="PROD-048"/>
    <x v="22"/>
    <n v="6"/>
    <n v="5100"/>
    <n v="13.2"/>
    <n v="26560.799999999999"/>
    <s v="Completed"/>
    <s v="Bengaluru"/>
    <x v="5"/>
    <s v="SMB"/>
    <n v="34"/>
    <x v="1"/>
    <s v="R013"/>
    <n v="811524.37999999989"/>
    <x v="1"/>
  </r>
  <r>
    <s v="ORD-00608"/>
    <x v="267"/>
    <s v="CUST-0144"/>
    <s v="PROD-010"/>
    <x v="28"/>
    <n v="6"/>
    <n v="2640"/>
    <n v="26.2"/>
    <n v="11689.92"/>
    <s v="Completed"/>
    <s v="Chennai"/>
    <x v="4"/>
    <s v="Retail"/>
    <n v="49"/>
    <x v="2"/>
    <s v="R027"/>
    <n v="917092.61999999965"/>
    <x v="2"/>
  </r>
  <r>
    <s v="ORD-00609"/>
    <x v="111"/>
    <s v="CUST-0218"/>
    <s v="PROD-028"/>
    <x v="29"/>
    <n v="1"/>
    <n v="3660"/>
    <n v="19.7"/>
    <n v="2938.98"/>
    <s v="Completed"/>
    <s v="Mumbai"/>
    <x v="2"/>
    <s v="Retail"/>
    <n v="39"/>
    <x v="1"/>
    <s v="R016"/>
    <n v="814563.7100000002"/>
    <x v="1"/>
  </r>
  <r>
    <s v="ORD-00610"/>
    <x v="290"/>
    <s v="CUST-0249"/>
    <s v="PROD-032"/>
    <x v="28"/>
    <n v="5"/>
    <n v="370"/>
    <n v="21.7"/>
    <n v="1448.55"/>
    <s v="Completed"/>
    <s v="Mumbai"/>
    <x v="3"/>
    <s v="Retail"/>
    <n v="44"/>
    <x v="2"/>
    <s v="R027"/>
    <n v="917092.61999999965"/>
    <x v="2"/>
  </r>
  <r>
    <s v="ORD-00611"/>
    <x v="260"/>
    <s v="CUST-0092"/>
    <s v="PROD-016"/>
    <x v="5"/>
    <n v="5"/>
    <n v="620"/>
    <n v="10.199999999999999"/>
    <n v="2783.8"/>
    <s v="Completed"/>
    <s v="Bengaluru"/>
    <x v="0"/>
    <s v="SMB"/>
    <n v="28"/>
    <x v="2"/>
    <s v="R025"/>
    <n v="901298.89"/>
    <x v="2"/>
  </r>
  <r>
    <s v="ORD-00612"/>
    <x v="40"/>
    <s v="CUST-0245"/>
    <s v="PROD-053"/>
    <x v="26"/>
    <n v="8"/>
    <n v="470"/>
    <n v="2.4"/>
    <n v="3669.76"/>
    <s v="Completed"/>
    <s v="Hyderabad"/>
    <x v="1"/>
    <s v="Retail"/>
    <n v="65"/>
    <x v="3"/>
    <s v="R018"/>
    <n v="1112289.6400000001"/>
    <x v="3"/>
  </r>
  <r>
    <s v="ORD-00613"/>
    <x v="294"/>
    <s v="CUST-0134"/>
    <s v="PROD-042"/>
    <x v="1"/>
    <n v="3"/>
    <n v="2290"/>
    <n v="20.8"/>
    <n v="5441.04"/>
    <s v="Completed"/>
    <s v="Delhi"/>
    <x v="5"/>
    <s v="Retail"/>
    <n v="40"/>
    <x v="0"/>
    <s v="R005"/>
    <n v="782445.33"/>
    <x v="0"/>
  </r>
  <r>
    <s v="ORD-00614"/>
    <x v="92"/>
    <s v="CUST-0063"/>
    <s v="PROD-057"/>
    <x v="6"/>
    <n v="4"/>
    <n v="960"/>
    <n v="28.8"/>
    <n v="2734.08"/>
    <s v="Pending"/>
    <s v="Mumbai"/>
    <x v="1"/>
    <s v="SMB"/>
    <n v="53"/>
    <x v="2"/>
    <s v="R024"/>
    <n v="819558.58"/>
    <x v="2"/>
  </r>
  <r>
    <s v="ORD-00615"/>
    <x v="307"/>
    <s v="CUST-0172"/>
    <s v="PROD-028"/>
    <x v="9"/>
    <n v="5"/>
    <n v="3660"/>
    <n v="11.9"/>
    <n v="16122.3"/>
    <s v="Pending"/>
    <s v="Pune"/>
    <x v="2"/>
    <s v="Retail"/>
    <n v="65"/>
    <x v="1"/>
    <s v="R010"/>
    <n v="880345.20000000007"/>
    <x v="1"/>
  </r>
  <r>
    <s v="ORD-00616"/>
    <x v="173"/>
    <s v="CUST-0139"/>
    <s v="PROD-003"/>
    <x v="7"/>
    <n v="5"/>
    <n v="3570"/>
    <n v="12.4"/>
    <n v="15636.6"/>
    <s v="Completed"/>
    <s v="Hyderabad"/>
    <x v="4"/>
    <s v="SMB"/>
    <n v="65"/>
    <x v="3"/>
    <s v="R019"/>
    <n v="971183.52000000014"/>
    <x v="3"/>
  </r>
  <r>
    <s v="ORD-00617"/>
    <x v="246"/>
    <s v="CUST-0275"/>
    <s v="PROD-033"/>
    <x v="21"/>
    <n v="9"/>
    <n v="2030"/>
    <n v="23.4"/>
    <n v="13994.82"/>
    <s v="Completed"/>
    <s v="Mumbai"/>
    <x v="3"/>
    <s v="Retail"/>
    <n v="36"/>
    <x v="3"/>
    <s v="R017"/>
    <n v="780384.40999999992"/>
    <x v="3"/>
  </r>
  <r>
    <s v="ORD-00618"/>
    <x v="60"/>
    <s v="CUST-0006"/>
    <s v="PROD-015"/>
    <x v="6"/>
    <n v="7"/>
    <n v="2720"/>
    <n v="11.2"/>
    <n v="16907.52"/>
    <s v="Refunded"/>
    <s v="Pune"/>
    <x v="0"/>
    <s v="SMB"/>
    <n v="44"/>
    <x v="2"/>
    <s v="R024"/>
    <n v="819558.58"/>
    <x v="2"/>
  </r>
  <r>
    <s v="ORD-00619"/>
    <x v="180"/>
    <s v="CUST-0279"/>
    <s v="PROD-003"/>
    <x v="4"/>
    <n v="2"/>
    <n v="3570"/>
    <n v="6.1"/>
    <n v="6704.46"/>
    <s v="Cancelled"/>
    <s v="Mumbai"/>
    <x v="4"/>
    <s v="Retail"/>
    <n v="56"/>
    <x v="0"/>
    <s v="R008"/>
    <n v="861553.33"/>
    <x v="0"/>
  </r>
  <r>
    <s v="ORD-00620"/>
    <x v="308"/>
    <s v="CUST-0093"/>
    <s v="PROD-058"/>
    <x v="19"/>
    <n v="5"/>
    <n v="2400"/>
    <n v="16.100000000000001"/>
    <n v="10068"/>
    <s v="Completed"/>
    <s v="Pune"/>
    <x v="1"/>
    <s v="Retail"/>
    <n v="36"/>
    <x v="0"/>
    <s v="R001"/>
    <n v="789849.60000000009"/>
    <x v="0"/>
  </r>
  <r>
    <s v="ORD-00621"/>
    <x v="95"/>
    <s v="CUST-0063"/>
    <s v="PROD-024"/>
    <x v="25"/>
    <n v="4"/>
    <n v="2270"/>
    <n v="27.5"/>
    <n v="6583"/>
    <s v="Pending"/>
    <s v="Mumbai"/>
    <x v="2"/>
    <s v="SMB"/>
    <n v="53"/>
    <x v="0"/>
    <s v="R002"/>
    <n v="980063.65999999968"/>
    <x v="0"/>
  </r>
  <r>
    <s v="ORD-00622"/>
    <x v="89"/>
    <s v="CUST-0071"/>
    <s v="PROD-030"/>
    <x v="27"/>
    <n v="1"/>
    <n v="970"/>
    <n v="12.7"/>
    <n v="846.81"/>
    <s v="Completed"/>
    <s v="Delhi"/>
    <x v="2"/>
    <s v="Corporate"/>
    <n v="46"/>
    <x v="1"/>
    <s v="R012"/>
    <n v="901394.32000000007"/>
    <x v="1"/>
  </r>
  <r>
    <s v="ORD-00623"/>
    <x v="246"/>
    <s v="CUST-0119"/>
    <s v="PROD-056"/>
    <x v="26"/>
    <n v="5"/>
    <n v="6940"/>
    <n v="16.2"/>
    <n v="29078.6"/>
    <s v="Completed"/>
    <s v="Bengaluru"/>
    <x v="1"/>
    <s v="SMB"/>
    <n v="43"/>
    <x v="3"/>
    <s v="R018"/>
    <n v="1112289.6400000001"/>
    <x v="3"/>
  </r>
  <r>
    <s v="ORD-00624"/>
    <x v="261"/>
    <s v="CUST-0035"/>
    <s v="PROD-056"/>
    <x v="18"/>
    <n v="4"/>
    <n v="6940"/>
    <n v="15.1"/>
    <n v="23568.240000000002"/>
    <s v="Completed"/>
    <s v="Hyderabad"/>
    <x v="1"/>
    <s v="Retail"/>
    <n v="53"/>
    <x v="1"/>
    <s v="R009"/>
    <n v="914554.71999999986"/>
    <x v="1"/>
  </r>
  <r>
    <s v="ORD-00625"/>
    <x v="78"/>
    <s v="CUST-0042"/>
    <s v="PROD-054"/>
    <x v="3"/>
    <n v="1"/>
    <n v="1010"/>
    <n v="1.7"/>
    <n v="992.83"/>
    <s v="Completed"/>
    <s v="Pune"/>
    <x v="1"/>
    <s v="Retail"/>
    <n v="25"/>
    <x v="0"/>
    <s v="R006"/>
    <n v="1138648.73"/>
    <x v="0"/>
  </r>
  <r>
    <s v="ORD-00626"/>
    <x v="303"/>
    <s v="CUST-0033"/>
    <s v="PROD-004"/>
    <x v="0"/>
    <n v="6"/>
    <n v="3870"/>
    <n v="12.2"/>
    <n v="20387.16"/>
    <s v="Completed"/>
    <s v="Delhi"/>
    <x v="4"/>
    <s v="Retail"/>
    <n v="35"/>
    <x v="0"/>
    <s v="R007"/>
    <n v="855749.67999999982"/>
    <x v="0"/>
  </r>
  <r>
    <s v="ORD-00627"/>
    <x v="309"/>
    <s v="CUST-0077"/>
    <s v="PROD-048"/>
    <x v="23"/>
    <n v="9"/>
    <n v="5100"/>
    <n v="26.4"/>
    <n v="33782.400000000001"/>
    <s v="Completed"/>
    <s v="Hyderabad"/>
    <x v="5"/>
    <s v="SMB"/>
    <n v="48"/>
    <x v="1"/>
    <s v="R011"/>
    <n v="735207.75999999989"/>
    <x v="1"/>
  </r>
  <r>
    <s v="ORD-00628"/>
    <x v="310"/>
    <s v="CUST-0266"/>
    <s v="PROD-012"/>
    <x v="4"/>
    <n v="2"/>
    <n v="3160"/>
    <n v="13.4"/>
    <n v="5473.12"/>
    <s v="Refunded"/>
    <s v="Pune"/>
    <x v="0"/>
    <s v="Retail"/>
    <n v="65"/>
    <x v="0"/>
    <s v="R008"/>
    <n v="861553.33"/>
    <x v="0"/>
  </r>
  <r>
    <s v="ORD-00629"/>
    <x v="211"/>
    <s v="CUST-0272"/>
    <s v="PROD-029"/>
    <x v="23"/>
    <n v="8"/>
    <n v="2210"/>
    <n v="26"/>
    <n v="13083.2"/>
    <s v="Completed"/>
    <s v="Mumbai"/>
    <x v="2"/>
    <s v="SMB"/>
    <n v="47"/>
    <x v="1"/>
    <s v="R011"/>
    <n v="735207.75999999989"/>
    <x v="1"/>
  </r>
  <r>
    <s v="ORD-00630"/>
    <x v="237"/>
    <s v="CUST-0253"/>
    <s v="PROD-018"/>
    <x v="17"/>
    <n v="5"/>
    <n v="3560"/>
    <n v="15"/>
    <n v="15130"/>
    <s v="Completed"/>
    <s v="Delhi"/>
    <x v="0"/>
    <s v="SMB"/>
    <n v="53"/>
    <x v="2"/>
    <s v="R026"/>
    <n v="576305.08000000019"/>
    <x v="2"/>
  </r>
  <r>
    <s v="ORD-00631"/>
    <x v="142"/>
    <s v="CUST-0252"/>
    <s v="PROD-016"/>
    <x v="9"/>
    <n v="10"/>
    <n v="620"/>
    <n v="15.8"/>
    <n v="5220.3999999999996"/>
    <s v="Refunded"/>
    <s v="Bengaluru"/>
    <x v="0"/>
    <s v="Retail"/>
    <n v="27"/>
    <x v="1"/>
    <s v="R010"/>
    <n v="880345.20000000007"/>
    <x v="1"/>
  </r>
  <r>
    <s v="ORD-00632"/>
    <x v="276"/>
    <s v="CUST-0097"/>
    <s v="PROD-021"/>
    <x v="25"/>
    <n v="3"/>
    <n v="2760"/>
    <n v="1.9"/>
    <n v="8122.68"/>
    <s v="Cancelled"/>
    <s v="Mumbai"/>
    <x v="2"/>
    <s v="Retail"/>
    <n v="65"/>
    <x v="0"/>
    <s v="R002"/>
    <n v="980063.65999999968"/>
    <x v="0"/>
  </r>
  <r>
    <s v="ORD-00633"/>
    <x v="287"/>
    <s v="CUST-0283"/>
    <s v="PROD-054"/>
    <x v="1"/>
    <n v="10"/>
    <n v="1010"/>
    <n v="28.9"/>
    <n v="7181.1"/>
    <s v="Completed"/>
    <s v="Delhi"/>
    <x v="1"/>
    <s v="SMB"/>
    <n v="50"/>
    <x v="0"/>
    <s v="R005"/>
    <n v="782445.33"/>
    <x v="0"/>
  </r>
  <r>
    <s v="ORD-00634"/>
    <x v="279"/>
    <s v="CUST-0064"/>
    <s v="PROD-013"/>
    <x v="25"/>
    <n v="1"/>
    <n v="3640"/>
    <n v="9.6999999999999993"/>
    <n v="3286.92"/>
    <s v="Completed"/>
    <s v="Hyderabad"/>
    <x v="0"/>
    <s v="SMB"/>
    <n v="40"/>
    <x v="0"/>
    <s v="R002"/>
    <n v="980063.65999999968"/>
    <x v="0"/>
  </r>
  <r>
    <s v="ORD-00635"/>
    <x v="135"/>
    <s v="CUST-0143"/>
    <s v="PROD-020"/>
    <x v="9"/>
    <n v="1"/>
    <n v="820"/>
    <n v="15"/>
    <n v="697"/>
    <s v="Completed"/>
    <s v="Chennai"/>
    <x v="0"/>
    <s v="SMB"/>
    <n v="52"/>
    <x v="1"/>
    <s v="R010"/>
    <n v="880345.20000000007"/>
    <x v="1"/>
  </r>
  <r>
    <s v="ORD-00636"/>
    <x v="305"/>
    <s v="CUST-0265"/>
    <s v="PROD-013"/>
    <x v="23"/>
    <n v="4"/>
    <n v="3640"/>
    <n v="17"/>
    <n v="12084.8"/>
    <s v="Completed"/>
    <s v="Chennai"/>
    <x v="0"/>
    <s v="Retail"/>
    <n v="49"/>
    <x v="1"/>
    <s v="R011"/>
    <n v="735207.75999999989"/>
    <x v="1"/>
  </r>
  <r>
    <s v="ORD-00637"/>
    <x v="54"/>
    <s v="CUST-0158"/>
    <s v="PROD-023"/>
    <x v="25"/>
    <n v="7"/>
    <n v="2380"/>
    <n v="25.5"/>
    <n v="12411.7"/>
    <s v="Completed"/>
    <s v="Pune"/>
    <x v="2"/>
    <s v="Corporate"/>
    <n v="42"/>
    <x v="0"/>
    <s v="R002"/>
    <n v="980063.65999999968"/>
    <x v="0"/>
  </r>
  <r>
    <s v="ORD-00638"/>
    <x v="311"/>
    <s v="CUST-0154"/>
    <s v="PROD-037"/>
    <x v="4"/>
    <n v="1"/>
    <n v="660"/>
    <n v="2.5"/>
    <n v="643.5"/>
    <s v="Completed"/>
    <s v="Pune"/>
    <x v="3"/>
    <s v="Retail"/>
    <n v="36"/>
    <x v="0"/>
    <s v="R008"/>
    <n v="861553.33"/>
    <x v="0"/>
  </r>
  <r>
    <s v="ORD-00639"/>
    <x v="177"/>
    <s v="CUST-0057"/>
    <s v="PROD-004"/>
    <x v="16"/>
    <n v="7"/>
    <n v="3870"/>
    <n v="20.3"/>
    <n v="21590.73"/>
    <s v="Pending"/>
    <s v="Pune"/>
    <x v="4"/>
    <s v="Retail"/>
    <n v="35"/>
    <x v="3"/>
    <s v="R020"/>
    <n v="906107.71000000008"/>
    <x v="3"/>
  </r>
  <r>
    <s v="ORD-00640"/>
    <x v="176"/>
    <s v="CUST-0088"/>
    <s v="PROD-032"/>
    <x v="29"/>
    <n v="10"/>
    <n v="370"/>
    <n v="1.3"/>
    <n v="3651.9"/>
    <s v="Refunded"/>
    <s v="Chennai"/>
    <x v="3"/>
    <s v="Retail"/>
    <n v="24"/>
    <x v="1"/>
    <s v="R016"/>
    <n v="814563.7100000002"/>
    <x v="1"/>
  </r>
  <r>
    <s v="ORD-00641"/>
    <x v="13"/>
    <s v="CUST-0064"/>
    <s v="PROD-014"/>
    <x v="26"/>
    <n v="1"/>
    <n v="3620"/>
    <n v="1.4"/>
    <n v="3569.32"/>
    <s v="Completed"/>
    <s v="Hyderabad"/>
    <x v="0"/>
    <s v="SMB"/>
    <n v="40"/>
    <x v="3"/>
    <s v="R018"/>
    <n v="1112289.6400000001"/>
    <x v="3"/>
  </r>
  <r>
    <s v="ORD-00642"/>
    <x v="308"/>
    <s v="CUST-0192"/>
    <s v="PROD-008"/>
    <x v="1"/>
    <n v="10"/>
    <n v="2660"/>
    <n v="20.2"/>
    <n v="21226.799999999999"/>
    <s v="Completed"/>
    <s v="Bengaluru"/>
    <x v="4"/>
    <s v="Retail"/>
    <n v="55"/>
    <x v="0"/>
    <s v="R005"/>
    <n v="782445.33"/>
    <x v="0"/>
  </r>
  <r>
    <s v="ORD-00643"/>
    <x v="105"/>
    <s v="CUST-0175"/>
    <s v="PROD-051"/>
    <x v="15"/>
    <n v="10"/>
    <n v="3450"/>
    <n v="25.1"/>
    <n v="25840.5"/>
    <s v="Completed"/>
    <s v="Delhi"/>
    <x v="1"/>
    <s v="Corporate"/>
    <n v="55"/>
    <x v="1"/>
    <s v="R015"/>
    <n v="1091740.1799999997"/>
    <x v="1"/>
  </r>
  <r>
    <s v="ORD-00644"/>
    <x v="98"/>
    <s v="CUST-0083"/>
    <s v="PROD-025"/>
    <x v="22"/>
    <n v="3"/>
    <n v="4060"/>
    <n v="2.5"/>
    <n v="11875.5"/>
    <s v="Refunded"/>
    <s v="Bengaluru"/>
    <x v="2"/>
    <s v="Corporate"/>
    <n v="31"/>
    <x v="1"/>
    <s v="R013"/>
    <n v="811524.37999999989"/>
    <x v="1"/>
  </r>
  <r>
    <s v="ORD-00645"/>
    <x v="137"/>
    <s v="CUST-0142"/>
    <s v="PROD-057"/>
    <x v="13"/>
    <n v="3"/>
    <n v="960"/>
    <n v="6.6"/>
    <n v="2689.92"/>
    <s v="Cancelled"/>
    <s v="Chennai"/>
    <x v="1"/>
    <s v="Corporate"/>
    <n v="55"/>
    <x v="3"/>
    <s v="R021"/>
    <n v="761507.17000000027"/>
    <x v="3"/>
  </r>
  <r>
    <s v="ORD-00646"/>
    <x v="196"/>
    <s v="CUST-0185"/>
    <s v="PROD-008"/>
    <x v="4"/>
    <n v="4"/>
    <n v="2660"/>
    <n v="16.899999999999999"/>
    <n v="8841.84"/>
    <s v="Completed"/>
    <s v="Hyderabad"/>
    <x v="4"/>
    <s v="SMB"/>
    <n v="43"/>
    <x v="0"/>
    <s v="R008"/>
    <n v="861553.33"/>
    <x v="0"/>
  </r>
  <r>
    <s v="ORD-00647"/>
    <x v="264"/>
    <s v="CUST-0284"/>
    <s v="PROD-024"/>
    <x v="26"/>
    <n v="6"/>
    <n v="2270"/>
    <n v="16.7"/>
    <n v="11345.46"/>
    <s v="Completed"/>
    <s v="Hyderabad"/>
    <x v="2"/>
    <s v="SMB"/>
    <n v="65"/>
    <x v="3"/>
    <s v="R018"/>
    <n v="1112289.6400000001"/>
    <x v="3"/>
  </r>
  <r>
    <s v="ORD-00648"/>
    <x v="0"/>
    <s v="CUST-0092"/>
    <s v="PROD-027"/>
    <x v="5"/>
    <n v="5"/>
    <n v="3780"/>
    <n v="21.5"/>
    <n v="14836.5"/>
    <s v="Completed"/>
    <s v="Bengaluru"/>
    <x v="2"/>
    <s v="SMB"/>
    <n v="28"/>
    <x v="2"/>
    <s v="R025"/>
    <n v="901298.89"/>
    <x v="2"/>
  </r>
  <r>
    <s v="ORD-00649"/>
    <x v="265"/>
    <s v="CUST-0091"/>
    <s v="PROD-037"/>
    <x v="7"/>
    <n v="10"/>
    <n v="660"/>
    <n v="18.8"/>
    <n v="5359.2"/>
    <s v="Completed"/>
    <s v="Delhi"/>
    <x v="3"/>
    <s v="Retail"/>
    <n v="55"/>
    <x v="3"/>
    <s v="R019"/>
    <n v="971183.52000000014"/>
    <x v="3"/>
  </r>
  <r>
    <s v="ORD-00650"/>
    <x v="3"/>
    <s v="CUST-0155"/>
    <s v="PROD-031"/>
    <x v="6"/>
    <n v="10"/>
    <n v="3730"/>
    <n v="15.1"/>
    <n v="31667.7"/>
    <s v="Completed"/>
    <s v="Pune"/>
    <x v="3"/>
    <s v="Corporate"/>
    <n v="40"/>
    <x v="2"/>
    <s v="R024"/>
    <n v="819558.58"/>
    <x v="2"/>
  </r>
  <r>
    <s v="ORD-00651"/>
    <x v="115"/>
    <s v="CUST-0280"/>
    <s v="PROD-025"/>
    <x v="13"/>
    <n v="6"/>
    <n v="4060"/>
    <n v="20.100000000000001"/>
    <n v="19463.64"/>
    <s v="Pending"/>
    <s v="Delhi"/>
    <x v="2"/>
    <s v="SMB"/>
    <n v="27"/>
    <x v="3"/>
    <s v="R021"/>
    <n v="761507.17000000027"/>
    <x v="3"/>
  </r>
  <r>
    <s v="ORD-00652"/>
    <x v="283"/>
    <s v="CUST-0127"/>
    <s v="PROD-024"/>
    <x v="11"/>
    <n v="2"/>
    <n v="2270"/>
    <n v="17.7"/>
    <n v="3736.42"/>
    <s v="Completed"/>
    <s v="Bengaluru"/>
    <x v="2"/>
    <s v="SMB"/>
    <n v="36"/>
    <x v="0"/>
    <s v="R003"/>
    <n v="986692.91"/>
    <x v="0"/>
  </r>
  <r>
    <s v="ORD-00653"/>
    <x v="294"/>
    <s v="CUST-0077"/>
    <s v="PROD-003"/>
    <x v="8"/>
    <n v="9"/>
    <n v="3570"/>
    <n v="29.9"/>
    <n v="22523.13"/>
    <s v="Completed"/>
    <s v="Hyderabad"/>
    <x v="4"/>
    <s v="SMB"/>
    <n v="48"/>
    <x v="2"/>
    <s v="R028"/>
    <n v="880468.05"/>
    <x v="2"/>
  </r>
  <r>
    <s v="ORD-00654"/>
    <x v="126"/>
    <s v="CUST-0190"/>
    <s v="PROD-029"/>
    <x v="10"/>
    <n v="7"/>
    <n v="2210"/>
    <n v="25"/>
    <n v="11602.5"/>
    <s v="Completed"/>
    <s v="Hyderabad"/>
    <x v="2"/>
    <s v="Retail"/>
    <n v="52"/>
    <x v="0"/>
    <s v="R004"/>
    <n v="589026.2899999998"/>
    <x v="0"/>
  </r>
  <r>
    <s v="ORD-00655"/>
    <x v="257"/>
    <s v="CUST-0089"/>
    <s v="PROD-057"/>
    <x v="17"/>
    <n v="2"/>
    <n v="960"/>
    <n v="8.1999999999999993"/>
    <n v="1762.56"/>
    <s v="Cancelled"/>
    <s v="Mumbai"/>
    <x v="1"/>
    <s v="SMB"/>
    <n v="43"/>
    <x v="2"/>
    <s v="R026"/>
    <n v="576305.08000000019"/>
    <x v="2"/>
  </r>
  <r>
    <s v="ORD-00656"/>
    <x v="24"/>
    <s v="CUST-0141"/>
    <s v="PROD-059"/>
    <x v="17"/>
    <n v="9"/>
    <n v="3780"/>
    <n v="28.4"/>
    <n v="24358.32"/>
    <s v="Pending"/>
    <s v="Hyderabad"/>
    <x v="1"/>
    <s v="Corporate"/>
    <n v="22"/>
    <x v="2"/>
    <s v="R026"/>
    <n v="576305.08000000019"/>
    <x v="2"/>
  </r>
  <r>
    <s v="ORD-00657"/>
    <x v="248"/>
    <s v="CUST-0123"/>
    <s v="PROD-048"/>
    <x v="2"/>
    <n v="2"/>
    <n v="5100"/>
    <n v="8.6"/>
    <n v="9322.7999999999993"/>
    <s v="Completed"/>
    <s v="Chennai"/>
    <x v="5"/>
    <s v="Corporate"/>
    <n v="44"/>
    <x v="1"/>
    <s v="R014"/>
    <n v="995713.54000000015"/>
    <x v="1"/>
  </r>
  <r>
    <s v="ORD-00658"/>
    <x v="85"/>
    <s v="CUST-0041"/>
    <s v="PROD-019"/>
    <x v="13"/>
    <n v="4"/>
    <n v="2480"/>
    <n v="16.600000000000001"/>
    <n v="8273.2800000000007"/>
    <s v="Completed"/>
    <s v="Bengaluru"/>
    <x v="0"/>
    <s v="SMB"/>
    <n v="26"/>
    <x v="3"/>
    <s v="R021"/>
    <n v="761507.17000000027"/>
    <x v="3"/>
  </r>
  <r>
    <s v="ORD-00659"/>
    <x v="68"/>
    <s v="CUST-0257"/>
    <s v="PROD-040"/>
    <x v="26"/>
    <n v="10"/>
    <n v="1080"/>
    <n v="14.5"/>
    <n v="9234"/>
    <s v="Completed"/>
    <s v="Mumbai"/>
    <x v="3"/>
    <s v="Corporate"/>
    <n v="46"/>
    <x v="3"/>
    <s v="R018"/>
    <n v="1112289.6400000001"/>
    <x v="3"/>
  </r>
  <r>
    <s v="ORD-00660"/>
    <x v="312"/>
    <s v="CUST-0134"/>
    <s v="PROD-002"/>
    <x v="20"/>
    <n v="7"/>
    <n v="2600"/>
    <n v="21"/>
    <n v="14378"/>
    <s v="Completed"/>
    <s v="Delhi"/>
    <x v="4"/>
    <s v="Retail"/>
    <n v="40"/>
    <x v="2"/>
    <s v="R029"/>
    <n v="1016696.8000000002"/>
    <x v="2"/>
  </r>
  <r>
    <s v="ORD-00661"/>
    <x v="81"/>
    <s v="CUST-0180"/>
    <s v="PROD-002"/>
    <x v="15"/>
    <n v="7"/>
    <n v="2600"/>
    <n v="6.7"/>
    <n v="16980.599999999999"/>
    <s v="Pending"/>
    <s v="Chennai"/>
    <x v="4"/>
    <s v="Retail"/>
    <n v="36"/>
    <x v="1"/>
    <s v="R015"/>
    <n v="1091740.1799999997"/>
    <x v="1"/>
  </r>
  <r>
    <s v="ORD-00662"/>
    <x v="210"/>
    <s v="CUST-0283"/>
    <s v="PROD-020"/>
    <x v="12"/>
    <n v="8"/>
    <n v="820"/>
    <n v="17.8"/>
    <n v="5392.32"/>
    <s v="Pending"/>
    <s v="Delhi"/>
    <x v="0"/>
    <s v="SMB"/>
    <n v="50"/>
    <x v="3"/>
    <s v="R023"/>
    <n v="983787.4800000001"/>
    <x v="3"/>
  </r>
  <r>
    <s v="ORD-00663"/>
    <x v="147"/>
    <s v="CUST-0047"/>
    <s v="PROD-057"/>
    <x v="18"/>
    <n v="3"/>
    <n v="960"/>
    <n v="17.8"/>
    <n v="2367.36"/>
    <s v="Completed"/>
    <s v="Pune"/>
    <x v="1"/>
    <s v="Retail"/>
    <n v="49"/>
    <x v="1"/>
    <s v="R009"/>
    <n v="914554.71999999986"/>
    <x v="1"/>
  </r>
  <r>
    <s v="ORD-00664"/>
    <x v="114"/>
    <s v="CUST-0175"/>
    <s v="PROD-041"/>
    <x v="12"/>
    <n v="2"/>
    <n v="1540"/>
    <n v="1.8"/>
    <n v="3024.56"/>
    <s v="Cancelled"/>
    <s v="Delhi"/>
    <x v="5"/>
    <s v="Corporate"/>
    <n v="55"/>
    <x v="3"/>
    <s v="R023"/>
    <n v="983787.4800000001"/>
    <x v="3"/>
  </r>
  <r>
    <s v="ORD-00665"/>
    <x v="81"/>
    <s v="CUST-0227"/>
    <s v="PROD-056"/>
    <x v="14"/>
    <n v="5"/>
    <n v="6940"/>
    <n v="2.9"/>
    <n v="33693.699999999997"/>
    <s v="Completed"/>
    <s v="Bengaluru"/>
    <x v="1"/>
    <s v="SMB"/>
    <n v="44"/>
    <x v="2"/>
    <s v="R030"/>
    <n v="747624.36999999988"/>
    <x v="2"/>
  </r>
  <r>
    <s v="ORD-00666"/>
    <x v="101"/>
    <s v="CUST-0287"/>
    <s v="PROD-041"/>
    <x v="22"/>
    <n v="5"/>
    <n v="1540"/>
    <n v="28.8"/>
    <n v="5482.4"/>
    <s v="Completed"/>
    <s v="Chennai"/>
    <x v="5"/>
    <s v="SMB"/>
    <n v="53"/>
    <x v="1"/>
    <s v="R013"/>
    <n v="811524.37999999989"/>
    <x v="1"/>
  </r>
  <r>
    <s v="ORD-00667"/>
    <x v="179"/>
    <s v="CUST-0004"/>
    <s v="PROD-031"/>
    <x v="27"/>
    <n v="8"/>
    <n v="3730"/>
    <n v="21.1"/>
    <n v="23543.759999999998"/>
    <s v="Completed"/>
    <s v="Delhi"/>
    <x v="3"/>
    <s v="Retail"/>
    <n v="53"/>
    <x v="1"/>
    <s v="R012"/>
    <n v="901394.32000000007"/>
    <x v="1"/>
  </r>
  <r>
    <s v="ORD-00668"/>
    <x v="208"/>
    <s v="CUST-0234"/>
    <s v="PROD-021"/>
    <x v="12"/>
    <n v="7"/>
    <n v="2760"/>
    <n v="1.2"/>
    <n v="19088.16"/>
    <s v="Cancelled"/>
    <s v="Bengaluru"/>
    <x v="2"/>
    <s v="Retail"/>
    <n v="34"/>
    <x v="3"/>
    <s v="R023"/>
    <n v="983787.4800000001"/>
    <x v="3"/>
  </r>
  <r>
    <s v="ORD-00669"/>
    <x v="313"/>
    <s v="CUST-0255"/>
    <s v="PROD-006"/>
    <x v="16"/>
    <n v="3"/>
    <n v="3970"/>
    <n v="18.3"/>
    <n v="9730.4699999999993"/>
    <s v="Completed"/>
    <s v="Chennai"/>
    <x v="4"/>
    <s v="Corporate"/>
    <n v="51"/>
    <x v="3"/>
    <s v="R020"/>
    <n v="906107.71000000008"/>
    <x v="3"/>
  </r>
  <r>
    <s v="ORD-00670"/>
    <x v="274"/>
    <s v="CUST-0092"/>
    <s v="PROD-027"/>
    <x v="12"/>
    <n v="4"/>
    <n v="3780"/>
    <n v="24.6"/>
    <n v="11400.48"/>
    <s v="Completed"/>
    <s v="Bengaluru"/>
    <x v="2"/>
    <s v="SMB"/>
    <n v="28"/>
    <x v="3"/>
    <s v="R023"/>
    <n v="983787.4800000001"/>
    <x v="3"/>
  </r>
  <r>
    <s v="ORD-00671"/>
    <x v="146"/>
    <s v="CUST-0037"/>
    <s v="PROD-015"/>
    <x v="4"/>
    <n v="10"/>
    <n v="2720"/>
    <n v="12.8"/>
    <n v="23718.400000000001"/>
    <s v="Completed"/>
    <s v="Bengaluru"/>
    <x v="0"/>
    <s v="Retail"/>
    <n v="52"/>
    <x v="0"/>
    <s v="R008"/>
    <n v="861553.33"/>
    <x v="0"/>
  </r>
  <r>
    <s v="ORD-00672"/>
    <x v="2"/>
    <s v="CUST-0208"/>
    <s v="PROD-006"/>
    <x v="21"/>
    <n v="5"/>
    <n v="3970"/>
    <n v="5.9"/>
    <n v="18678.849999999999"/>
    <s v="Completed"/>
    <s v="Mumbai"/>
    <x v="4"/>
    <s v="Retail"/>
    <n v="49"/>
    <x v="3"/>
    <s v="R017"/>
    <n v="780384.40999999992"/>
    <x v="3"/>
  </r>
  <r>
    <s v="ORD-00673"/>
    <x v="131"/>
    <s v="CUST-0008"/>
    <s v="PROD-020"/>
    <x v="23"/>
    <n v="3"/>
    <n v="820"/>
    <n v="19.399999999999999"/>
    <n v="1982.76"/>
    <s v="Completed"/>
    <s v="Pune"/>
    <x v="0"/>
    <s v="SMB"/>
    <n v="39"/>
    <x v="1"/>
    <s v="R011"/>
    <n v="735207.75999999989"/>
    <x v="1"/>
  </r>
  <r>
    <s v="ORD-00674"/>
    <x v="314"/>
    <s v="CUST-0050"/>
    <s v="PROD-016"/>
    <x v="9"/>
    <n v="7"/>
    <n v="620"/>
    <n v="9.9"/>
    <n v="3910.34"/>
    <s v="Completed"/>
    <s v="Mumbai"/>
    <x v="0"/>
    <s v="Retail"/>
    <n v="37"/>
    <x v="1"/>
    <s v="R010"/>
    <n v="880345.20000000007"/>
    <x v="1"/>
  </r>
  <r>
    <s v="ORD-00675"/>
    <x v="125"/>
    <s v="CUST-0166"/>
    <s v="PROD-042"/>
    <x v="28"/>
    <n v="8"/>
    <n v="2290"/>
    <n v="18.3"/>
    <n v="14967.44"/>
    <s v="Completed"/>
    <s v="Hyderabad"/>
    <x v="5"/>
    <s v="Retail"/>
    <n v="31"/>
    <x v="2"/>
    <s v="R027"/>
    <n v="917092.61999999965"/>
    <x v="2"/>
  </r>
  <r>
    <s v="ORD-00676"/>
    <x v="234"/>
    <s v="CUST-0271"/>
    <s v="PROD-030"/>
    <x v="5"/>
    <n v="3"/>
    <n v="970"/>
    <n v="18.399999999999999"/>
    <n v="2374.56"/>
    <s v="Completed"/>
    <s v="Bengaluru"/>
    <x v="2"/>
    <s v="Corporate"/>
    <n v="41"/>
    <x v="2"/>
    <s v="R025"/>
    <n v="901298.89"/>
    <x v="2"/>
  </r>
  <r>
    <s v="ORD-00677"/>
    <x v="140"/>
    <s v="CUST-0034"/>
    <s v="PROD-032"/>
    <x v="2"/>
    <n v="2"/>
    <n v="370"/>
    <n v="8.9"/>
    <n v="674.14"/>
    <s v="Completed"/>
    <s v="Delhi"/>
    <x v="3"/>
    <s v="Retail"/>
    <n v="47"/>
    <x v="1"/>
    <s v="R014"/>
    <n v="995713.54000000015"/>
    <x v="1"/>
  </r>
  <r>
    <s v="ORD-00678"/>
    <x v="215"/>
    <s v="CUST-0016"/>
    <s v="PROD-007"/>
    <x v="0"/>
    <n v="1"/>
    <n v="1430"/>
    <n v="5.9"/>
    <n v="1345.63"/>
    <s v="Cancelled"/>
    <s v="Delhi"/>
    <x v="4"/>
    <s v="SMB"/>
    <n v="26"/>
    <x v="0"/>
    <s v="R007"/>
    <n v="855749.67999999982"/>
    <x v="0"/>
  </r>
  <r>
    <s v="ORD-00679"/>
    <x v="315"/>
    <s v="CUST-0039"/>
    <s v="PROD-058"/>
    <x v="14"/>
    <n v="2"/>
    <n v="2400"/>
    <n v="29.1"/>
    <n v="3403.2"/>
    <s v="Completed"/>
    <s v="Bengaluru"/>
    <x v="1"/>
    <s v="Retail"/>
    <n v="37"/>
    <x v="2"/>
    <s v="R030"/>
    <n v="747624.36999999988"/>
    <x v="2"/>
  </r>
  <r>
    <s v="ORD-00680"/>
    <x v="186"/>
    <s v="CUST-0253"/>
    <s v="PROD-007"/>
    <x v="23"/>
    <n v="9"/>
    <n v="1430"/>
    <n v="6"/>
    <n v="12097.8"/>
    <s v="Completed"/>
    <s v="Delhi"/>
    <x v="4"/>
    <s v="SMB"/>
    <n v="53"/>
    <x v="1"/>
    <s v="R011"/>
    <n v="735207.75999999989"/>
    <x v="1"/>
  </r>
  <r>
    <s v="ORD-00681"/>
    <x v="256"/>
    <s v="CUST-0295"/>
    <s v="PROD-015"/>
    <x v="0"/>
    <n v="8"/>
    <n v="2720"/>
    <n v="25.7"/>
    <n v="16167.68"/>
    <s v="Completed"/>
    <s v="Delhi"/>
    <x v="0"/>
    <s v="SMB"/>
    <n v="48"/>
    <x v="0"/>
    <s v="R007"/>
    <n v="855749.67999999982"/>
    <x v="0"/>
  </r>
  <r>
    <s v="ORD-00682"/>
    <x v="160"/>
    <s v="CUST-0138"/>
    <s v="PROD-056"/>
    <x v="28"/>
    <n v="6"/>
    <n v="6940"/>
    <n v="25.7"/>
    <n v="30938.52"/>
    <s v="Completed"/>
    <s v="Chennai"/>
    <x v="1"/>
    <s v="Retail"/>
    <n v="24"/>
    <x v="2"/>
    <s v="R027"/>
    <n v="917092.61999999965"/>
    <x v="2"/>
  </r>
  <r>
    <s v="ORD-00683"/>
    <x v="22"/>
    <s v="CUST-0002"/>
    <s v="PROD-014"/>
    <x v="0"/>
    <n v="3"/>
    <n v="3620"/>
    <n v="29.7"/>
    <n v="7634.58"/>
    <s v="Completed"/>
    <s v="Pune"/>
    <x v="0"/>
    <s v="Corporate"/>
    <n v="42"/>
    <x v="0"/>
    <s v="R007"/>
    <n v="855749.67999999982"/>
    <x v="0"/>
  </r>
  <r>
    <s v="ORD-00684"/>
    <x v="70"/>
    <s v="CUST-0287"/>
    <s v="PROD-010"/>
    <x v="5"/>
    <n v="8"/>
    <n v="2640"/>
    <n v="24.4"/>
    <n v="15966.72"/>
    <s v="Completed"/>
    <s v="Chennai"/>
    <x v="4"/>
    <s v="SMB"/>
    <n v="53"/>
    <x v="2"/>
    <s v="R025"/>
    <n v="901298.89"/>
    <x v="2"/>
  </r>
  <r>
    <s v="ORD-00685"/>
    <x v="134"/>
    <s v="CUST-0279"/>
    <s v="PROD-038"/>
    <x v="3"/>
    <n v="3"/>
    <n v="5490"/>
    <n v="13.5"/>
    <n v="14246.55"/>
    <s v="Completed"/>
    <s v="Mumbai"/>
    <x v="3"/>
    <s v="Retail"/>
    <n v="56"/>
    <x v="0"/>
    <s v="R006"/>
    <n v="1138648.73"/>
    <x v="0"/>
  </r>
  <r>
    <s v="ORD-00686"/>
    <x v="3"/>
    <s v="CUST-0008"/>
    <s v="PROD-034"/>
    <x v="21"/>
    <n v="3"/>
    <n v="5080"/>
    <n v="9.3000000000000007"/>
    <n v="13822.68"/>
    <s v="Completed"/>
    <s v="Pune"/>
    <x v="3"/>
    <s v="SMB"/>
    <n v="39"/>
    <x v="3"/>
    <s v="R017"/>
    <n v="780384.40999999992"/>
    <x v="3"/>
  </r>
  <r>
    <s v="ORD-00687"/>
    <x v="50"/>
    <s v="CUST-0092"/>
    <s v="PROD-042"/>
    <x v="14"/>
    <n v="4"/>
    <n v="2290"/>
    <n v="24.4"/>
    <n v="6924.96"/>
    <s v="Completed"/>
    <s v="Bengaluru"/>
    <x v="5"/>
    <s v="SMB"/>
    <n v="28"/>
    <x v="2"/>
    <s v="R030"/>
    <n v="747624.36999999988"/>
    <x v="2"/>
  </r>
  <r>
    <s v="ORD-00688"/>
    <x v="113"/>
    <s v="CUST-0106"/>
    <s v="PROD-033"/>
    <x v="23"/>
    <n v="10"/>
    <n v="2030"/>
    <n v="13.6"/>
    <n v="17539.2"/>
    <s v="Pending"/>
    <s v="Pune"/>
    <x v="3"/>
    <s v="Retail"/>
    <n v="22"/>
    <x v="1"/>
    <s v="R011"/>
    <n v="735207.75999999989"/>
    <x v="1"/>
  </r>
  <r>
    <s v="ORD-00689"/>
    <x v="84"/>
    <s v="CUST-0010"/>
    <s v="PROD-007"/>
    <x v="27"/>
    <n v="10"/>
    <n v="1430"/>
    <n v="16.100000000000001"/>
    <n v="11997.7"/>
    <s v="Cancelled"/>
    <s v="Mumbai"/>
    <x v="4"/>
    <s v="SMB"/>
    <n v="61"/>
    <x v="1"/>
    <s v="R012"/>
    <n v="901394.32000000007"/>
    <x v="1"/>
  </r>
  <r>
    <s v="ORD-00690"/>
    <x v="298"/>
    <s v="CUST-0179"/>
    <s v="PROD-027"/>
    <x v="18"/>
    <n v="1"/>
    <n v="3780"/>
    <n v="22.7"/>
    <n v="2921.94"/>
    <s v="Completed"/>
    <s v="Mumbai"/>
    <x v="2"/>
    <s v="SMB"/>
    <n v="54"/>
    <x v="1"/>
    <s v="R009"/>
    <n v="914554.71999999986"/>
    <x v="1"/>
  </r>
  <r>
    <s v="ORD-00691"/>
    <x v="68"/>
    <s v="CUST-0216"/>
    <s v="PROD-012"/>
    <x v="13"/>
    <n v="10"/>
    <n v="3160"/>
    <n v="13.4"/>
    <n v="27365.599999999999"/>
    <s v="Completed"/>
    <s v="Mumbai"/>
    <x v="0"/>
    <s v="Retail"/>
    <n v="50"/>
    <x v="3"/>
    <s v="R021"/>
    <n v="761507.17000000027"/>
    <x v="3"/>
  </r>
  <r>
    <s v="ORD-00692"/>
    <x v="124"/>
    <s v="CUST-0172"/>
    <s v="PROD-007"/>
    <x v="11"/>
    <n v="2"/>
    <n v="1430"/>
    <n v="7.4"/>
    <n v="2648.36"/>
    <s v="Completed"/>
    <s v="Pune"/>
    <x v="4"/>
    <s v="Retail"/>
    <n v="65"/>
    <x v="0"/>
    <s v="R003"/>
    <n v="986692.91"/>
    <x v="0"/>
  </r>
  <r>
    <s v="ORD-00693"/>
    <x v="93"/>
    <s v="CUST-0152"/>
    <s v="PROD-012"/>
    <x v="3"/>
    <n v="5"/>
    <n v="3160"/>
    <n v="3.6"/>
    <n v="15231.2"/>
    <s v="Pending"/>
    <s v="Bengaluru"/>
    <x v="0"/>
    <s v="SMB"/>
    <n v="64"/>
    <x v="0"/>
    <s v="R006"/>
    <n v="1138648.73"/>
    <x v="0"/>
  </r>
  <r>
    <s v="ORD-00694"/>
    <x v="126"/>
    <s v="CUST-0154"/>
    <s v="PROD-042"/>
    <x v="10"/>
    <n v="2"/>
    <n v="2290"/>
    <n v="28.2"/>
    <n v="3288.44"/>
    <s v="Completed"/>
    <s v="Pune"/>
    <x v="5"/>
    <s v="Retail"/>
    <n v="36"/>
    <x v="0"/>
    <s v="R004"/>
    <n v="589026.2899999998"/>
    <x v="0"/>
  </r>
  <r>
    <s v="ORD-00695"/>
    <x v="250"/>
    <s v="CUST-0001"/>
    <s v="PROD-011"/>
    <x v="15"/>
    <n v="5"/>
    <n v="3450"/>
    <n v="18.100000000000001"/>
    <n v="14127.75"/>
    <s v="Cancelled"/>
    <s v="Pune"/>
    <x v="0"/>
    <s v="Retail"/>
    <n v="36"/>
    <x v="1"/>
    <s v="R015"/>
    <n v="1091740.1799999997"/>
    <x v="1"/>
  </r>
  <r>
    <s v="ORD-00696"/>
    <x v="96"/>
    <s v="CUST-0069"/>
    <s v="PROD-018"/>
    <x v="19"/>
    <n v="1"/>
    <n v="3560"/>
    <n v="18.7"/>
    <n v="2894.28"/>
    <s v="Completed"/>
    <s v="Chennai"/>
    <x v="0"/>
    <s v="Retail"/>
    <n v="51"/>
    <x v="0"/>
    <s v="R001"/>
    <n v="789849.60000000009"/>
    <x v="0"/>
  </r>
  <r>
    <s v="ORD-00697"/>
    <x v="87"/>
    <s v="CUST-0200"/>
    <s v="PROD-058"/>
    <x v="18"/>
    <n v="9"/>
    <n v="2400"/>
    <n v="18.5"/>
    <n v="17604"/>
    <s v="Completed"/>
    <s v="Hyderabad"/>
    <x v="1"/>
    <s v="Corporate"/>
    <n v="46"/>
    <x v="1"/>
    <s v="R009"/>
    <n v="914554.71999999986"/>
    <x v="1"/>
  </r>
  <r>
    <s v="ORD-00698"/>
    <x v="209"/>
    <s v="CUST-0164"/>
    <s v="PROD-004"/>
    <x v="12"/>
    <n v="9"/>
    <n v="3870"/>
    <n v="6.9"/>
    <n v="32426.73"/>
    <s v="Refunded"/>
    <s v="Chennai"/>
    <x v="4"/>
    <s v="Retail"/>
    <n v="60"/>
    <x v="3"/>
    <s v="R023"/>
    <n v="983787.4800000001"/>
    <x v="3"/>
  </r>
  <r>
    <s v="ORD-00699"/>
    <x v="247"/>
    <s v="CUST-0004"/>
    <s v="PROD-028"/>
    <x v="24"/>
    <n v="5"/>
    <n v="3660"/>
    <n v="11.7"/>
    <n v="16158.9"/>
    <s v="Completed"/>
    <s v="Delhi"/>
    <x v="2"/>
    <s v="Retail"/>
    <n v="53"/>
    <x v="3"/>
    <s v="R022"/>
    <n v="1069570.5400000003"/>
    <x v="3"/>
  </r>
  <r>
    <s v="ORD-00700"/>
    <x v="63"/>
    <s v="CUST-0224"/>
    <s v="PROD-040"/>
    <x v="14"/>
    <n v="4"/>
    <n v="1080"/>
    <n v="17.5"/>
    <n v="3564"/>
    <s v="Completed"/>
    <s v="Chennai"/>
    <x v="3"/>
    <s v="Corporate"/>
    <n v="24"/>
    <x v="2"/>
    <s v="R030"/>
    <n v="747624.36999999988"/>
    <x v="2"/>
  </r>
  <r>
    <s v="ORD-01185"/>
    <x v="92"/>
    <s v="CUST-0037"/>
    <s v="PROD-059"/>
    <x v="3"/>
    <n v="6"/>
    <n v="3780"/>
    <n v="27.8"/>
    <n v="16374.96"/>
    <s v="Completed"/>
    <s v="Bengaluru"/>
    <x v="1"/>
    <s v="Retail"/>
    <n v="52"/>
    <x v="0"/>
    <s v="R006"/>
    <n v="1138648.73"/>
    <x v="0"/>
  </r>
  <r>
    <s v="ORD-00702"/>
    <x v="126"/>
    <s v="CUST-0179"/>
    <s v="PROD-019"/>
    <x v="24"/>
    <n v="8"/>
    <n v="2480"/>
    <n v="15.7"/>
    <n v="16725.12"/>
    <s v="Pending"/>
    <s v="Mumbai"/>
    <x v="0"/>
    <s v="SMB"/>
    <n v="54"/>
    <x v="3"/>
    <s v="R022"/>
    <n v="1069570.5400000003"/>
    <x v="3"/>
  </r>
  <r>
    <s v="ORD-00703"/>
    <x v="132"/>
    <s v="CUST-0018"/>
    <s v="PROD-054"/>
    <x v="2"/>
    <n v="10"/>
    <n v="1010"/>
    <n v="0.1"/>
    <n v="10089.9"/>
    <s v="Pending"/>
    <s v="Pune"/>
    <x v="1"/>
    <s v="SMB"/>
    <n v="54"/>
    <x v="1"/>
    <s v="R014"/>
    <n v="995713.54000000015"/>
    <x v="1"/>
  </r>
  <r>
    <s v="ORD-00704"/>
    <x v="5"/>
    <s v="CUST-0184"/>
    <s v="PROD-053"/>
    <x v="15"/>
    <n v="3"/>
    <n v="470"/>
    <n v="1.1000000000000001"/>
    <n v="1394.49"/>
    <s v="Completed"/>
    <s v="Pune"/>
    <x v="1"/>
    <s v="Retail"/>
    <n v="63"/>
    <x v="1"/>
    <s v="R015"/>
    <n v="1091740.1799999997"/>
    <x v="1"/>
  </r>
  <r>
    <s v="ORD-00705"/>
    <x v="267"/>
    <s v="CUST-0066"/>
    <s v="PROD-024"/>
    <x v="7"/>
    <n v="4"/>
    <n v="2270"/>
    <n v="17.100000000000001"/>
    <n v="7527.32"/>
    <s v="Completed"/>
    <s v="Delhi"/>
    <x v="2"/>
    <s v="Retail"/>
    <n v="24"/>
    <x v="3"/>
    <s v="R019"/>
    <n v="971183.52000000014"/>
    <x v="3"/>
  </r>
  <r>
    <s v="ORD-00706"/>
    <x v="276"/>
    <s v="CUST-0053"/>
    <s v="PROD-021"/>
    <x v="9"/>
    <n v="7"/>
    <n v="2760"/>
    <n v="17.100000000000001"/>
    <n v="16016.28"/>
    <s v="Completed"/>
    <s v="Delhi"/>
    <x v="2"/>
    <s v="Retail"/>
    <n v="53"/>
    <x v="1"/>
    <s v="R010"/>
    <n v="880345.20000000007"/>
    <x v="1"/>
  </r>
  <r>
    <s v="ORD-00707"/>
    <x v="21"/>
    <s v="CUST-0278"/>
    <s v="PROD-051"/>
    <x v="4"/>
    <n v="6"/>
    <n v="3450"/>
    <n v="6.6"/>
    <n v="19333.8"/>
    <s v="Refunded"/>
    <s v="Hyderabad"/>
    <x v="1"/>
    <s v="Retail"/>
    <n v="41"/>
    <x v="0"/>
    <s v="R008"/>
    <n v="861553.33"/>
    <x v="0"/>
  </r>
  <r>
    <s v="ORD-00708"/>
    <x v="316"/>
    <s v="CUST-0285"/>
    <s v="PROD-028"/>
    <x v="0"/>
    <n v="8"/>
    <n v="3660"/>
    <n v="7.2"/>
    <n v="27171.84"/>
    <s v="Completed"/>
    <s v="Hyderabad"/>
    <x v="2"/>
    <s v="Retail"/>
    <n v="22"/>
    <x v="0"/>
    <s v="R007"/>
    <n v="855749.67999999982"/>
    <x v="0"/>
  </r>
  <r>
    <s v="ORD-00709"/>
    <x v="317"/>
    <s v="CUST-0060"/>
    <s v="PROD-009"/>
    <x v="14"/>
    <n v="4"/>
    <n v="1220"/>
    <n v="24.3"/>
    <n v="3694.16"/>
    <s v="Cancelled"/>
    <s v="Pune"/>
    <x v="4"/>
    <s v="Retail"/>
    <n v="39"/>
    <x v="2"/>
    <s v="R030"/>
    <n v="747624.36999999988"/>
    <x v="2"/>
  </r>
  <r>
    <s v="ORD-00710"/>
    <x v="294"/>
    <s v="CUST-0236"/>
    <s v="PROD-052"/>
    <x v="0"/>
    <n v="2"/>
    <n v="5410"/>
    <n v="0.9"/>
    <n v="10722.62"/>
    <s v="Pending"/>
    <s v="Hyderabad"/>
    <x v="1"/>
    <s v="SMB"/>
    <n v="28"/>
    <x v="0"/>
    <s v="R007"/>
    <n v="855749.67999999982"/>
    <x v="0"/>
  </r>
  <r>
    <s v="ORD-00711"/>
    <x v="94"/>
    <s v="CUST-0106"/>
    <s v="PROD-033"/>
    <x v="18"/>
    <n v="5"/>
    <n v="2030"/>
    <n v="25.2"/>
    <n v="7592.2"/>
    <s v="Completed"/>
    <s v="Pune"/>
    <x v="3"/>
    <s v="Retail"/>
    <n v="22"/>
    <x v="1"/>
    <s v="R009"/>
    <n v="914554.71999999986"/>
    <x v="1"/>
  </r>
  <r>
    <s v="ORD-00712"/>
    <x v="26"/>
    <s v="CUST-0085"/>
    <s v="PROD-009"/>
    <x v="27"/>
    <n v="5"/>
    <n v="1220"/>
    <n v="2.6"/>
    <n v="5941.4"/>
    <s v="Completed"/>
    <s v="Chennai"/>
    <x v="4"/>
    <s v="Retail"/>
    <n v="26"/>
    <x v="1"/>
    <s v="R012"/>
    <n v="901394.32000000007"/>
    <x v="1"/>
  </r>
  <r>
    <s v="ORD-00713"/>
    <x v="77"/>
    <s v="CUST-0075"/>
    <s v="PROD-008"/>
    <x v="3"/>
    <n v="4"/>
    <n v="2660"/>
    <n v="19.100000000000001"/>
    <n v="8607.76"/>
    <s v="Refunded"/>
    <s v="Mumbai"/>
    <x v="4"/>
    <s v="Corporate"/>
    <n v="55"/>
    <x v="0"/>
    <s v="R006"/>
    <n v="1138648.73"/>
    <x v="0"/>
  </r>
  <r>
    <s v="ORD-00714"/>
    <x v="116"/>
    <s v="CUST-0169"/>
    <s v="PROD-026"/>
    <x v="29"/>
    <n v="3"/>
    <n v="4070"/>
    <n v="25.2"/>
    <n v="9133.08"/>
    <s v="Completed"/>
    <s v="Bengaluru"/>
    <x v="2"/>
    <s v="SMB"/>
    <n v="42"/>
    <x v="1"/>
    <s v="R016"/>
    <n v="814563.7100000002"/>
    <x v="1"/>
  </r>
  <r>
    <s v="ORD-00715"/>
    <x v="76"/>
    <s v="CUST-0166"/>
    <s v="PROD-049"/>
    <x v="2"/>
    <n v="10"/>
    <n v="960"/>
    <n v="0.3"/>
    <n v="9571.2000000000007"/>
    <s v="Completed"/>
    <s v="Hyderabad"/>
    <x v="5"/>
    <s v="Retail"/>
    <n v="31"/>
    <x v="1"/>
    <s v="R014"/>
    <n v="995713.54000000015"/>
    <x v="1"/>
  </r>
  <r>
    <s v="ORD-00716"/>
    <x v="313"/>
    <s v="CUST-0065"/>
    <s v="PROD-031"/>
    <x v="20"/>
    <n v="2"/>
    <n v="3730"/>
    <n v="29.9"/>
    <n v="5229.46"/>
    <s v="Completed"/>
    <s v="Chennai"/>
    <x v="3"/>
    <s v="Corporate"/>
    <n v="49"/>
    <x v="2"/>
    <s v="R029"/>
    <n v="1016696.8000000002"/>
    <x v="2"/>
  </r>
  <r>
    <s v="ORD-00717"/>
    <x v="95"/>
    <s v="CUST-0102"/>
    <s v="PROD-057"/>
    <x v="10"/>
    <n v="9"/>
    <n v="960"/>
    <n v="1.9"/>
    <n v="8475.84"/>
    <s v="Completed"/>
    <s v="Chennai"/>
    <x v="1"/>
    <s v="SMB"/>
    <n v="62"/>
    <x v="0"/>
    <s v="R004"/>
    <n v="589026.2899999998"/>
    <x v="0"/>
  </r>
  <r>
    <s v="ORD-00718"/>
    <x v="253"/>
    <s v="CUST-0052"/>
    <s v="PROD-011"/>
    <x v="10"/>
    <n v="2"/>
    <n v="3450"/>
    <n v="22.9"/>
    <n v="5319.9"/>
    <s v="Pending"/>
    <s v="Pune"/>
    <x v="0"/>
    <s v="Retail"/>
    <n v="38"/>
    <x v="0"/>
    <s v="R004"/>
    <n v="589026.2899999998"/>
    <x v="0"/>
  </r>
  <r>
    <s v="ORD-00719"/>
    <x v="48"/>
    <s v="CUST-0130"/>
    <s v="PROD-052"/>
    <x v="9"/>
    <n v="3"/>
    <n v="5410"/>
    <n v="15.5"/>
    <n v="13714.35"/>
    <s v="Completed"/>
    <s v="Bengaluru"/>
    <x v="1"/>
    <s v="Corporate"/>
    <n v="41"/>
    <x v="1"/>
    <s v="R010"/>
    <n v="880345.20000000007"/>
    <x v="1"/>
  </r>
  <r>
    <s v="ORD-00720"/>
    <x v="120"/>
    <s v="CUST-0284"/>
    <s v="PROD-043"/>
    <x v="7"/>
    <n v="8"/>
    <n v="3350"/>
    <n v="18.399999999999999"/>
    <n v="21868.799999999999"/>
    <s v="Completed"/>
    <s v="Hyderabad"/>
    <x v="5"/>
    <s v="SMB"/>
    <n v="65"/>
    <x v="3"/>
    <s v="R019"/>
    <n v="971183.52000000014"/>
    <x v="3"/>
  </r>
  <r>
    <s v="ORD-00721"/>
    <x v="4"/>
    <s v="CUST-0053"/>
    <s v="PROD-015"/>
    <x v="4"/>
    <n v="5"/>
    <n v="2720"/>
    <n v="17.3"/>
    <n v="11247.2"/>
    <s v="Cancelled"/>
    <s v="Delhi"/>
    <x v="0"/>
    <s v="Retail"/>
    <n v="53"/>
    <x v="0"/>
    <s v="R008"/>
    <n v="861553.33"/>
    <x v="0"/>
  </r>
  <r>
    <s v="ORD-00722"/>
    <x v="210"/>
    <s v="CUST-0293"/>
    <s v="PROD-028"/>
    <x v="21"/>
    <n v="8"/>
    <n v="3660"/>
    <n v="28.8"/>
    <n v="20847.36"/>
    <s v="Completed"/>
    <s v="Bengaluru"/>
    <x v="2"/>
    <s v="Retail"/>
    <n v="27"/>
    <x v="3"/>
    <s v="R017"/>
    <n v="780384.40999999992"/>
    <x v="3"/>
  </r>
  <r>
    <s v="ORD-00723"/>
    <x v="21"/>
    <s v="CUST-0242"/>
    <s v="PROD-005"/>
    <x v="22"/>
    <n v="6"/>
    <n v="300"/>
    <n v="23.9"/>
    <n v="1369.8"/>
    <s v="Cancelled"/>
    <s v="Chennai"/>
    <x v="4"/>
    <s v="SMB"/>
    <n v="59"/>
    <x v="1"/>
    <s v="R013"/>
    <n v="811524.37999999989"/>
    <x v="1"/>
  </r>
  <r>
    <s v="ORD-00724"/>
    <x v="289"/>
    <s v="CUST-0226"/>
    <s v="PROD-042"/>
    <x v="17"/>
    <n v="3"/>
    <n v="2290"/>
    <n v="2.4"/>
    <n v="6705.12"/>
    <s v="Completed"/>
    <s v="Chennai"/>
    <x v="5"/>
    <s v="Corporate"/>
    <n v="52"/>
    <x v="2"/>
    <s v="R026"/>
    <n v="576305.08000000019"/>
    <x v="2"/>
  </r>
  <r>
    <s v="ORD-00725"/>
    <x v="210"/>
    <s v="CUST-0005"/>
    <s v="PROD-046"/>
    <x v="2"/>
    <n v="6"/>
    <n v="4880"/>
    <n v="11.1"/>
    <n v="26029.919999999998"/>
    <s v="Pending"/>
    <s v="Chennai"/>
    <x v="5"/>
    <s v="Corporate"/>
    <n v="52"/>
    <x v="1"/>
    <s v="R014"/>
    <n v="995713.54000000015"/>
    <x v="1"/>
  </r>
  <r>
    <s v="ORD-00726"/>
    <x v="254"/>
    <s v="CUST-0211"/>
    <s v="PROD-005"/>
    <x v="0"/>
    <n v="5"/>
    <n v="300"/>
    <n v="19.399999999999999"/>
    <n v="1209"/>
    <s v="Completed"/>
    <s v="Bengaluru"/>
    <x v="4"/>
    <s v="Retail"/>
    <n v="36"/>
    <x v="0"/>
    <s v="R007"/>
    <n v="855749.67999999982"/>
    <x v="0"/>
  </r>
  <r>
    <s v="ORD-00727"/>
    <x v="208"/>
    <s v="CUST-0229"/>
    <s v="PROD-008"/>
    <x v="14"/>
    <n v="3"/>
    <n v="2660"/>
    <n v="28.5"/>
    <n v="5705.7"/>
    <s v="Pending"/>
    <s v="Hyderabad"/>
    <x v="4"/>
    <s v="SMB"/>
    <n v="25"/>
    <x v="2"/>
    <s v="R030"/>
    <n v="747624.36999999988"/>
    <x v="2"/>
  </r>
  <r>
    <s v="ORD-00728"/>
    <x v="224"/>
    <s v="CUST-0037"/>
    <s v="PROD-035"/>
    <x v="6"/>
    <n v="7"/>
    <n v="1090"/>
    <n v="10.3"/>
    <n v="6844.11"/>
    <s v="Completed"/>
    <s v="Bengaluru"/>
    <x v="3"/>
    <s v="Retail"/>
    <n v="52"/>
    <x v="2"/>
    <s v="R024"/>
    <n v="819558.58"/>
    <x v="2"/>
  </r>
  <r>
    <s v="ORD-00729"/>
    <x v="154"/>
    <s v="CUST-0059"/>
    <s v="PROD-007"/>
    <x v="27"/>
    <n v="9"/>
    <n v="1430"/>
    <n v="12.1"/>
    <n v="11312.73"/>
    <s v="Cancelled"/>
    <s v="Pune"/>
    <x v="4"/>
    <s v="Corporate"/>
    <n v="29"/>
    <x v="1"/>
    <s v="R012"/>
    <n v="901394.32000000007"/>
    <x v="1"/>
  </r>
  <r>
    <s v="ORD-00730"/>
    <x v="112"/>
    <s v="CUST-0222"/>
    <s v="PROD-010"/>
    <x v="1"/>
    <n v="5"/>
    <n v="2640"/>
    <n v="26.8"/>
    <n v="9662.4"/>
    <s v="Completed"/>
    <s v="Chennai"/>
    <x v="4"/>
    <s v="Retail"/>
    <n v="37"/>
    <x v="0"/>
    <s v="R005"/>
    <n v="782445.33"/>
    <x v="0"/>
  </r>
  <r>
    <s v="ORD-00731"/>
    <x v="71"/>
    <s v="CUST-0157"/>
    <s v="PROD-015"/>
    <x v="19"/>
    <n v="8"/>
    <n v="2720"/>
    <n v="17.5"/>
    <n v="17952"/>
    <s v="Completed"/>
    <s v="Pune"/>
    <x v="0"/>
    <s v="Corporate"/>
    <n v="52"/>
    <x v="0"/>
    <s v="R001"/>
    <n v="789849.60000000009"/>
    <x v="0"/>
  </r>
  <r>
    <s v="ORD-00732"/>
    <x v="226"/>
    <s v="CUST-0027"/>
    <s v="PROD-013"/>
    <x v="29"/>
    <n v="9"/>
    <n v="3640"/>
    <n v="3.6"/>
    <n v="31580.639999999999"/>
    <s v="Completed"/>
    <s v="Hyderabad"/>
    <x v="0"/>
    <s v="Corporate"/>
    <n v="52"/>
    <x v="1"/>
    <s v="R016"/>
    <n v="814563.7100000002"/>
    <x v="1"/>
  </r>
  <r>
    <s v="ORD-00733"/>
    <x v="211"/>
    <s v="CUST-9846"/>
    <s v="PROD-050"/>
    <x v="13"/>
    <n v="7"/>
    <n v="6080"/>
    <n v="23.6"/>
    <n v="32515.84"/>
    <s v="Completed"/>
    <s v="Mumbai"/>
    <x v="5"/>
    <e v="#N/A"/>
    <e v="#N/A"/>
    <x v="3"/>
    <s v="R021"/>
    <n v="761507.17000000027"/>
    <x v="3"/>
  </r>
  <r>
    <s v="ORD-00734"/>
    <x v="241"/>
    <s v="CUST-0011"/>
    <s v="PROD-001"/>
    <x v="15"/>
    <n v="7"/>
    <n v="5330"/>
    <n v="19.7"/>
    <n v="29959.93"/>
    <s v="Cancelled"/>
    <s v="Chennai"/>
    <x v="4"/>
    <s v="Corporate"/>
    <n v="41"/>
    <x v="1"/>
    <s v="R015"/>
    <n v="1091740.1799999997"/>
    <x v="1"/>
  </r>
  <r>
    <s v="ORD-00735"/>
    <x v="106"/>
    <s v="CUST-0043"/>
    <s v="PROD-039"/>
    <x v="6"/>
    <n v="5"/>
    <n v="4610"/>
    <n v="3.6"/>
    <n v="22220.2"/>
    <s v="Completed"/>
    <s v="Hyderabad"/>
    <x v="3"/>
    <s v="Retail"/>
    <n v="61"/>
    <x v="2"/>
    <s v="R024"/>
    <n v="819558.58"/>
    <x v="2"/>
  </r>
  <r>
    <s v="ORD-00736"/>
    <x v="272"/>
    <s v="CUST-0154"/>
    <s v="PROD-001"/>
    <x v="14"/>
    <n v="9"/>
    <n v="5330"/>
    <n v="22.9"/>
    <n v="36984.870000000003"/>
    <s v="Completed"/>
    <s v="Pune"/>
    <x v="4"/>
    <s v="Retail"/>
    <n v="36"/>
    <x v="2"/>
    <s v="R030"/>
    <n v="747624.36999999988"/>
    <x v="2"/>
  </r>
  <r>
    <s v="ORD-00737"/>
    <x v="242"/>
    <s v="CUST-0163"/>
    <s v="PROD-050"/>
    <x v="26"/>
    <n v="5"/>
    <n v="6080"/>
    <n v="6"/>
    <n v="28576"/>
    <s v="Refunded"/>
    <s v="Pune"/>
    <x v="5"/>
    <s v="Retail"/>
    <n v="49"/>
    <x v="3"/>
    <s v="R018"/>
    <n v="1112289.6400000001"/>
    <x v="3"/>
  </r>
  <r>
    <s v="ORD-00738"/>
    <x v="193"/>
    <s v="CUST-0299"/>
    <s v="PROD-013"/>
    <x v="21"/>
    <n v="7"/>
    <n v="3640"/>
    <n v="5.5"/>
    <n v="24078.6"/>
    <s v="Completed"/>
    <s v="Mumbai"/>
    <x v="0"/>
    <s v="Corporate"/>
    <n v="51"/>
    <x v="3"/>
    <s v="R017"/>
    <n v="780384.40999999992"/>
    <x v="3"/>
  </r>
  <r>
    <s v="ORD-00739"/>
    <x v="260"/>
    <s v="CUST-0240"/>
    <s v="PROD-008"/>
    <x v="22"/>
    <n v="1"/>
    <n v="2660"/>
    <n v="6.1"/>
    <n v="2497.7399999999998"/>
    <s v="Cancelled"/>
    <s v="Chennai"/>
    <x v="4"/>
    <s v="Corporate"/>
    <n v="35"/>
    <x v="1"/>
    <s v="R013"/>
    <n v="811524.37999999989"/>
    <x v="1"/>
  </r>
  <r>
    <s v="ORD-00740"/>
    <x v="212"/>
    <s v="CUST-0291"/>
    <s v="PROD-043"/>
    <x v="15"/>
    <n v="8"/>
    <n v="3350"/>
    <n v="19.5"/>
    <n v="21574"/>
    <s v="Completed"/>
    <s v="Pune"/>
    <x v="5"/>
    <s v="SMB"/>
    <n v="29"/>
    <x v="1"/>
    <s v="R015"/>
    <n v="1091740.1799999997"/>
    <x v="1"/>
  </r>
  <r>
    <s v="ORD-00741"/>
    <x v="83"/>
    <s v="CUST-0243"/>
    <s v="PROD-039"/>
    <x v="7"/>
    <n v="4"/>
    <n v="4610"/>
    <n v="24"/>
    <n v="14014.4"/>
    <s v="Completed"/>
    <s v="Pune"/>
    <x v="3"/>
    <s v="SMB"/>
    <n v="44"/>
    <x v="3"/>
    <s v="R019"/>
    <n v="971183.52000000014"/>
    <x v="3"/>
  </r>
  <r>
    <s v="ORD-00742"/>
    <x v="174"/>
    <s v="CUST-0073"/>
    <s v="PROD-055"/>
    <x v="2"/>
    <n v="7"/>
    <n v="2860"/>
    <n v="23.2"/>
    <n v="15375.36"/>
    <s v="Completed"/>
    <s v="Pune"/>
    <x v="1"/>
    <s v="Corporate"/>
    <n v="40"/>
    <x v="1"/>
    <s v="R014"/>
    <n v="995713.54000000015"/>
    <x v="1"/>
  </r>
  <r>
    <s v="ORD-00743"/>
    <x v="128"/>
    <s v="CUST-0154"/>
    <s v="PROD-043"/>
    <x v="22"/>
    <n v="7"/>
    <n v="3350"/>
    <n v="10.6"/>
    <n v="20964.3"/>
    <s v="Pending"/>
    <s v="Pune"/>
    <x v="5"/>
    <s v="Retail"/>
    <n v="36"/>
    <x v="1"/>
    <s v="R013"/>
    <n v="811524.37999999989"/>
    <x v="1"/>
  </r>
  <r>
    <s v="ORD-00744"/>
    <x v="55"/>
    <s v="CUST-0084"/>
    <s v="PROD-029"/>
    <x v="8"/>
    <n v="5"/>
    <n v="2210"/>
    <n v="12.1"/>
    <n v="9712.9500000000007"/>
    <s v="Completed"/>
    <s v="Chennai"/>
    <x v="2"/>
    <s v="Retail"/>
    <n v="28"/>
    <x v="2"/>
    <s v="R028"/>
    <n v="880468.05"/>
    <x v="2"/>
  </r>
  <r>
    <s v="ORD-00745"/>
    <x v="90"/>
    <s v="CUST-0228"/>
    <s v="PROD-047"/>
    <x v="22"/>
    <n v="1"/>
    <n v="3450"/>
    <n v="19.100000000000001"/>
    <n v="2791.05"/>
    <s v="Pending"/>
    <s v="Pune"/>
    <x v="5"/>
    <s v="Corporate"/>
    <n v="37"/>
    <x v="1"/>
    <s v="R013"/>
    <n v="811524.37999999989"/>
    <x v="1"/>
  </r>
  <r>
    <s v="ORD-00746"/>
    <x v="78"/>
    <s v="CUST-0232"/>
    <s v="PROD-048"/>
    <x v="8"/>
    <n v="5"/>
    <n v="5100"/>
    <n v="2.8"/>
    <n v="24786"/>
    <s v="Completed"/>
    <s v="Hyderabad"/>
    <x v="5"/>
    <s v="Retail"/>
    <n v="38"/>
    <x v="2"/>
    <s v="R028"/>
    <n v="880468.05"/>
    <x v="2"/>
  </r>
  <r>
    <s v="ORD-00747"/>
    <x v="318"/>
    <s v="CUST-0129"/>
    <s v="PROD-048"/>
    <x v="11"/>
    <n v="9"/>
    <n v="5100"/>
    <n v="24.4"/>
    <n v="34700.400000000001"/>
    <s v="Completed"/>
    <s v="Hyderabad"/>
    <x v="5"/>
    <s v="Retail"/>
    <n v="29"/>
    <x v="0"/>
    <s v="R003"/>
    <n v="986692.91"/>
    <x v="0"/>
  </r>
  <r>
    <s v="ORD-00748"/>
    <x v="296"/>
    <s v="CUST-0189"/>
    <s v="PROD-037"/>
    <x v="3"/>
    <n v="9"/>
    <n v="660"/>
    <n v="19.8"/>
    <n v="4763.88"/>
    <s v="Completed"/>
    <s v="Chennai"/>
    <x v="3"/>
    <s v="Retail"/>
    <n v="41"/>
    <x v="0"/>
    <s v="R006"/>
    <n v="1138648.73"/>
    <x v="0"/>
  </r>
  <r>
    <s v="ORD-00749"/>
    <x v="0"/>
    <s v="CUST-0122"/>
    <s v="PROD-026"/>
    <x v="3"/>
    <n v="3"/>
    <n v="4070"/>
    <n v="27.1"/>
    <n v="8901.09"/>
    <s v="Completed"/>
    <s v="Mumbai"/>
    <x v="2"/>
    <s v="Retail"/>
    <n v="44"/>
    <x v="0"/>
    <s v="R006"/>
    <n v="1138648.73"/>
    <x v="0"/>
  </r>
  <r>
    <s v="ORD-00750"/>
    <x v="172"/>
    <s v="CUST-0170"/>
    <s v="PROD-017"/>
    <x v="0"/>
    <n v="2"/>
    <n v="2510"/>
    <n v="29.1"/>
    <n v="3559.18"/>
    <s v="Completed"/>
    <s v="Mumbai"/>
    <x v="0"/>
    <s v="SMB"/>
    <n v="22"/>
    <x v="0"/>
    <s v="R007"/>
    <n v="855749.67999999982"/>
    <x v="0"/>
  </r>
  <r>
    <s v="ORD-00751"/>
    <x v="121"/>
    <s v="CUST-0291"/>
    <s v="PROD-036"/>
    <x v="14"/>
    <n v="4"/>
    <n v="3250"/>
    <n v="21.1"/>
    <n v="10257"/>
    <s v="Completed"/>
    <s v="Pune"/>
    <x v="3"/>
    <s v="SMB"/>
    <n v="29"/>
    <x v="2"/>
    <s v="R030"/>
    <n v="747624.36999999988"/>
    <x v="2"/>
  </r>
  <r>
    <s v="ORD-00752"/>
    <x v="77"/>
    <s v="CUST-0090"/>
    <s v="PROD-032"/>
    <x v="1"/>
    <n v="3"/>
    <n v="370"/>
    <n v="7.7"/>
    <n v="1024.53"/>
    <s v="Completed"/>
    <s v="Bengaluru"/>
    <x v="3"/>
    <s v="Corporate"/>
    <n v="26"/>
    <x v="0"/>
    <s v="R005"/>
    <n v="782445.33"/>
    <x v="0"/>
  </r>
  <r>
    <s v="ORD-00753"/>
    <x v="319"/>
    <s v="CUST-0205"/>
    <s v="PROD-020"/>
    <x v="3"/>
    <n v="10"/>
    <n v="820"/>
    <n v="3.5"/>
    <n v="7913"/>
    <s v="Completed"/>
    <s v="Pune"/>
    <x v="0"/>
    <s v="Corporate"/>
    <n v="29"/>
    <x v="0"/>
    <s v="R006"/>
    <n v="1138648.73"/>
    <x v="0"/>
  </r>
  <r>
    <s v="ORD-00754"/>
    <x v="101"/>
    <s v="CUST-0192"/>
    <s v="PROD-026"/>
    <x v="20"/>
    <n v="4"/>
    <n v="4070"/>
    <n v="23.8"/>
    <n v="12405.36"/>
    <s v="Completed"/>
    <s v="Bengaluru"/>
    <x v="2"/>
    <s v="Retail"/>
    <n v="55"/>
    <x v="2"/>
    <s v="R029"/>
    <n v="1016696.8000000002"/>
    <x v="2"/>
  </r>
  <r>
    <s v="ORD-00755"/>
    <x v="320"/>
    <s v="CUST-0270"/>
    <s v="PROD-023"/>
    <x v="23"/>
    <n v="1"/>
    <n v="2380"/>
    <n v="19.600000000000001"/>
    <n v="1913.52"/>
    <s v="Cancelled"/>
    <s v="Bengaluru"/>
    <x v="2"/>
    <s v="Retail"/>
    <n v="29"/>
    <x v="1"/>
    <s v="R011"/>
    <n v="735207.75999999989"/>
    <x v="1"/>
  </r>
  <r>
    <s v="ORD-00756"/>
    <x v="223"/>
    <s v="CUST-0266"/>
    <s v="PROD-038"/>
    <x v="14"/>
    <n v="3"/>
    <n v="5490"/>
    <n v="2.5"/>
    <n v="16058.25"/>
    <s v="Completed"/>
    <s v="Pune"/>
    <x v="3"/>
    <s v="Retail"/>
    <n v="65"/>
    <x v="2"/>
    <s v="R030"/>
    <n v="747624.36999999988"/>
    <x v="2"/>
  </r>
  <r>
    <s v="ORD-00757"/>
    <x v="155"/>
    <s v="CUST-0208"/>
    <s v="PROD-013"/>
    <x v="28"/>
    <n v="3"/>
    <n v="3640"/>
    <n v="23.3"/>
    <n v="8375.64"/>
    <s v="Completed"/>
    <s v="Mumbai"/>
    <x v="0"/>
    <s v="Retail"/>
    <n v="49"/>
    <x v="2"/>
    <s v="R027"/>
    <n v="917092.61999999965"/>
    <x v="2"/>
  </r>
  <r>
    <s v="ORD-00758"/>
    <x v="321"/>
    <s v="CUST-0224"/>
    <s v="PROD-039"/>
    <x v="26"/>
    <n v="2"/>
    <n v="4610"/>
    <n v="5"/>
    <n v="8759"/>
    <s v="Pending"/>
    <s v="Chennai"/>
    <x v="3"/>
    <s v="Corporate"/>
    <n v="24"/>
    <x v="3"/>
    <s v="R018"/>
    <n v="1112289.6400000001"/>
    <x v="3"/>
  </r>
  <r>
    <s v="ORD-00759"/>
    <x v="264"/>
    <s v="CUST-0264"/>
    <s v="PROD-058"/>
    <x v="19"/>
    <n v="8"/>
    <n v="2400"/>
    <n v="10"/>
    <n v="17280"/>
    <s v="Pending"/>
    <s v="Pune"/>
    <x v="1"/>
    <s v="Retail"/>
    <n v="59"/>
    <x v="0"/>
    <s v="R001"/>
    <n v="789849.60000000009"/>
    <x v="0"/>
  </r>
  <r>
    <s v="ORD-00760"/>
    <x v="100"/>
    <s v="CUST-0113"/>
    <s v="PROD-043"/>
    <x v="25"/>
    <n v="7"/>
    <n v="3350"/>
    <n v="23.7"/>
    <n v="17892.349999999999"/>
    <s v="Completed"/>
    <s v="Delhi"/>
    <x v="5"/>
    <s v="Retail"/>
    <n v="30"/>
    <x v="0"/>
    <s v="R002"/>
    <n v="980063.65999999968"/>
    <x v="0"/>
  </r>
  <r>
    <s v="ORD-00761"/>
    <x v="4"/>
    <s v="CUST-0160"/>
    <s v="PROD-013"/>
    <x v="27"/>
    <n v="4"/>
    <n v="3640"/>
    <n v="9.3000000000000007"/>
    <n v="13205.92"/>
    <s v="Cancelled"/>
    <s v="Hyderabad"/>
    <x v="0"/>
    <s v="Retail"/>
    <n v="27"/>
    <x v="1"/>
    <s v="R012"/>
    <n v="901394.32000000007"/>
    <x v="1"/>
  </r>
  <r>
    <s v="ORD-00762"/>
    <x v="133"/>
    <s v="CUST-0109"/>
    <s v="PROD-013"/>
    <x v="8"/>
    <n v="9"/>
    <n v="3640"/>
    <n v="13.1"/>
    <n v="28468.44"/>
    <s v="Pending"/>
    <s v="Pune"/>
    <x v="0"/>
    <s v="Retail"/>
    <n v="42"/>
    <x v="2"/>
    <s v="R028"/>
    <n v="880468.05"/>
    <x v="2"/>
  </r>
  <r>
    <s v="ORD-00763"/>
    <x v="287"/>
    <s v="CUST-0107"/>
    <s v="PROD-033"/>
    <x v="2"/>
    <n v="2"/>
    <n v="2030"/>
    <n v="12.2"/>
    <n v="3564.68"/>
    <s v="Completed"/>
    <s v="Pune"/>
    <x v="3"/>
    <s v="Retail"/>
    <n v="50"/>
    <x v="1"/>
    <s v="R014"/>
    <n v="995713.54000000015"/>
    <x v="1"/>
  </r>
  <r>
    <s v="ORD-00764"/>
    <x v="314"/>
    <s v="CUST-0120"/>
    <s v="PROD-012"/>
    <x v="25"/>
    <n v="4"/>
    <n v="3160"/>
    <n v="7.5"/>
    <n v="11692"/>
    <s v="Completed"/>
    <s v="Mumbai"/>
    <x v="0"/>
    <s v="Retail"/>
    <n v="29"/>
    <x v="0"/>
    <s v="R002"/>
    <n v="980063.65999999968"/>
    <x v="0"/>
  </r>
  <r>
    <s v="ORD-00765"/>
    <x v="322"/>
    <s v="CUST-0225"/>
    <s v="PROD-026"/>
    <x v="20"/>
    <n v="10"/>
    <n v="4070"/>
    <n v="8.3000000000000007"/>
    <n v="37321.9"/>
    <s v="Completed"/>
    <s v="Chennai"/>
    <x v="2"/>
    <s v="SMB"/>
    <n v="26"/>
    <x v="2"/>
    <s v="R029"/>
    <n v="1016696.8000000002"/>
    <x v="2"/>
  </r>
  <r>
    <s v="ORD-00766"/>
    <x v="30"/>
    <s v="CUST-0134"/>
    <s v="PROD-025"/>
    <x v="6"/>
    <n v="8"/>
    <n v="4060"/>
    <n v="8.5"/>
    <n v="29719.200000000001"/>
    <s v="Completed"/>
    <s v="Delhi"/>
    <x v="2"/>
    <s v="Retail"/>
    <n v="40"/>
    <x v="2"/>
    <s v="R024"/>
    <n v="819558.58"/>
    <x v="2"/>
  </r>
  <r>
    <s v="ORD-00767"/>
    <x v="323"/>
    <s v="CUST-0279"/>
    <s v="PROD-057"/>
    <x v="26"/>
    <n v="8"/>
    <n v="960"/>
    <n v="8.6999999999999993"/>
    <n v="7011.84"/>
    <s v="Completed"/>
    <s v="Mumbai"/>
    <x v="1"/>
    <s v="Retail"/>
    <n v="56"/>
    <x v="3"/>
    <s v="R018"/>
    <n v="1112289.6400000001"/>
    <x v="3"/>
  </r>
  <r>
    <s v="ORD-00768"/>
    <x v="141"/>
    <s v="CUST-0247"/>
    <s v="PROD-022"/>
    <x v="28"/>
    <n v="2"/>
    <n v="2270"/>
    <n v="10.199999999999999"/>
    <n v="4076.92"/>
    <s v="Completed"/>
    <s v="Pune"/>
    <x v="2"/>
    <s v="SMB"/>
    <n v="35"/>
    <x v="2"/>
    <s v="R027"/>
    <n v="917092.61999999965"/>
    <x v="2"/>
  </r>
  <r>
    <s v="ORD-00769"/>
    <x v="197"/>
    <s v="CUST-0129"/>
    <s v="PROD-027"/>
    <x v="0"/>
    <n v="1"/>
    <n v="3780"/>
    <n v="15.3"/>
    <n v="3201.66"/>
    <s v="Cancelled"/>
    <s v="Hyderabad"/>
    <x v="2"/>
    <s v="Retail"/>
    <n v="29"/>
    <x v="0"/>
    <s v="R007"/>
    <n v="855749.67999999982"/>
    <x v="0"/>
  </r>
  <r>
    <s v="ORD-00770"/>
    <x v="135"/>
    <s v="CUST-0038"/>
    <s v="PROD-042"/>
    <x v="8"/>
    <n v="10"/>
    <n v="2290"/>
    <n v="2.4"/>
    <n v="22350.400000000001"/>
    <s v="Pending"/>
    <s v="Mumbai"/>
    <x v="5"/>
    <s v="Retail"/>
    <n v="57"/>
    <x v="2"/>
    <s v="R028"/>
    <n v="880468.05"/>
    <x v="2"/>
  </r>
  <r>
    <s v="ORD-00771"/>
    <x v="104"/>
    <s v="CUST-0109"/>
    <s v="PROD-043"/>
    <x v="21"/>
    <n v="5"/>
    <n v="3350"/>
    <n v="18.5"/>
    <n v="13651.25"/>
    <s v="Cancelled"/>
    <s v="Pune"/>
    <x v="5"/>
    <s v="Retail"/>
    <n v="42"/>
    <x v="3"/>
    <s v="R017"/>
    <n v="780384.40999999992"/>
    <x v="3"/>
  </r>
  <r>
    <s v="ORD-00772"/>
    <x v="324"/>
    <s v="CUST-0051"/>
    <s v="PROD-017"/>
    <x v="13"/>
    <n v="7"/>
    <n v="2510"/>
    <n v="4.2"/>
    <n v="16832.060000000001"/>
    <s v="Cancelled"/>
    <s v="Pune"/>
    <x v="0"/>
    <s v="SMB"/>
    <n v="54"/>
    <x v="3"/>
    <s v="R021"/>
    <n v="761507.17000000027"/>
    <x v="3"/>
  </r>
  <r>
    <s v="ORD-00773"/>
    <x v="325"/>
    <s v="CUST-0265"/>
    <s v="PROD-002"/>
    <x v="26"/>
    <n v="1"/>
    <n v="2600"/>
    <n v="2.2000000000000002"/>
    <n v="2542.8000000000002"/>
    <s v="Completed"/>
    <s v="Chennai"/>
    <x v="4"/>
    <s v="Retail"/>
    <n v="49"/>
    <x v="3"/>
    <s v="R018"/>
    <n v="1112289.6400000001"/>
    <x v="3"/>
  </r>
  <r>
    <s v="ORD-00774"/>
    <x v="299"/>
    <s v="CUST-0192"/>
    <s v="PROD-053"/>
    <x v="11"/>
    <n v="8"/>
    <n v="470"/>
    <n v="25.2"/>
    <n v="2812.48"/>
    <s v="Completed"/>
    <s v="Bengaluru"/>
    <x v="1"/>
    <s v="Retail"/>
    <n v="55"/>
    <x v="0"/>
    <s v="R003"/>
    <n v="986692.91"/>
    <x v="0"/>
  </r>
  <r>
    <s v="ORD-00775"/>
    <x v="307"/>
    <s v="CUST-0241"/>
    <s v="PROD-040"/>
    <x v="27"/>
    <n v="6"/>
    <n v="1080"/>
    <n v="25"/>
    <n v="4860"/>
    <s v="Completed"/>
    <s v="Pune"/>
    <x v="3"/>
    <s v="Corporate"/>
    <n v="47"/>
    <x v="1"/>
    <s v="R012"/>
    <n v="901394.32000000007"/>
    <x v="1"/>
  </r>
  <r>
    <s v="ORD-00776"/>
    <x v="218"/>
    <s v="CUST-0243"/>
    <s v="PROD-054"/>
    <x v="7"/>
    <n v="2"/>
    <n v="1010"/>
    <n v="16.100000000000001"/>
    <n v="1694.78"/>
    <s v="Completed"/>
    <s v="Pune"/>
    <x v="1"/>
    <s v="SMB"/>
    <n v="44"/>
    <x v="3"/>
    <s v="R019"/>
    <n v="971183.52000000014"/>
    <x v="3"/>
  </r>
  <r>
    <s v="ORD-00777"/>
    <x v="196"/>
    <s v="CUST-0016"/>
    <s v="PROD-004"/>
    <x v="25"/>
    <n v="6"/>
    <n v="3870"/>
    <n v="22.4"/>
    <n v="18018.72"/>
    <s v="Cancelled"/>
    <s v="Delhi"/>
    <x v="4"/>
    <s v="SMB"/>
    <n v="26"/>
    <x v="0"/>
    <s v="R002"/>
    <n v="980063.65999999968"/>
    <x v="0"/>
  </r>
  <r>
    <s v="ORD-00778"/>
    <x v="219"/>
    <s v="CUST-0249"/>
    <s v="PROD-033"/>
    <x v="28"/>
    <n v="3"/>
    <n v="2030"/>
    <n v="18.5"/>
    <n v="4963.3500000000004"/>
    <s v="Completed"/>
    <s v="Mumbai"/>
    <x v="3"/>
    <s v="Retail"/>
    <n v="44"/>
    <x v="2"/>
    <s v="R027"/>
    <n v="917092.61999999965"/>
    <x v="2"/>
  </r>
  <r>
    <s v="ORD-00779"/>
    <x v="326"/>
    <s v="CUST-0021"/>
    <s v="PROD-040"/>
    <x v="28"/>
    <n v="7"/>
    <n v="1080"/>
    <n v="6.8"/>
    <n v="7045.92"/>
    <s v="Pending"/>
    <s v="Pune"/>
    <x v="3"/>
    <s v="Retail"/>
    <n v="44"/>
    <x v="2"/>
    <s v="R027"/>
    <n v="917092.61999999965"/>
    <x v="2"/>
  </r>
  <r>
    <s v="ORD-00780"/>
    <x v="303"/>
    <s v="CUST-0255"/>
    <s v="PROD-035"/>
    <x v="18"/>
    <n v="1"/>
    <n v="1090"/>
    <n v="20.6"/>
    <n v="865.46"/>
    <s v="Completed"/>
    <s v="Chennai"/>
    <x v="3"/>
    <s v="Corporate"/>
    <n v="51"/>
    <x v="1"/>
    <s v="R009"/>
    <n v="914554.71999999986"/>
    <x v="1"/>
  </r>
  <r>
    <s v="ORD-00781"/>
    <x v="72"/>
    <s v="CUST-0084"/>
    <s v="PROD-032"/>
    <x v="23"/>
    <n v="8"/>
    <n v="370"/>
    <n v="1.7"/>
    <n v="2909.68"/>
    <s v="Completed"/>
    <s v="Chennai"/>
    <x v="3"/>
    <s v="Retail"/>
    <n v="28"/>
    <x v="1"/>
    <s v="R011"/>
    <n v="735207.75999999989"/>
    <x v="1"/>
  </r>
  <r>
    <s v="ORD-00782"/>
    <x v="327"/>
    <s v="CUST-0289"/>
    <s v="PROD-018"/>
    <x v="26"/>
    <n v="7"/>
    <n v="3560"/>
    <n v="28.7"/>
    <n v="17767.96"/>
    <s v="Completed"/>
    <s v="Mumbai"/>
    <x v="0"/>
    <s v="Retail"/>
    <n v="54"/>
    <x v="3"/>
    <s v="R018"/>
    <n v="1112289.6400000001"/>
    <x v="3"/>
  </r>
  <r>
    <s v="ORD-00783"/>
    <x v="328"/>
    <s v="CUST-0026"/>
    <s v="PROD-050"/>
    <x v="29"/>
    <n v="9"/>
    <n v="6080"/>
    <n v="16.3"/>
    <n v="45800.639999999999"/>
    <s v="Cancelled"/>
    <s v="Pune"/>
    <x v="5"/>
    <s v="Retail"/>
    <n v="62"/>
    <x v="1"/>
    <s v="R016"/>
    <n v="814563.7100000002"/>
    <x v="1"/>
  </r>
  <r>
    <s v="ORD-00784"/>
    <x v="265"/>
    <s v="CUST-0273"/>
    <s v="PROD-051"/>
    <x v="15"/>
    <n v="2"/>
    <n v="3450"/>
    <n v="17.600000000000001"/>
    <n v="5685.6"/>
    <s v="Pending"/>
    <s v="Hyderabad"/>
    <x v="1"/>
    <s v="Corporate"/>
    <n v="32"/>
    <x v="1"/>
    <s v="R015"/>
    <n v="1091740.1799999997"/>
    <x v="1"/>
  </r>
  <r>
    <s v="ORD-00785"/>
    <x v="24"/>
    <s v="CUST-0069"/>
    <s v="PROD-034"/>
    <x v="18"/>
    <n v="1"/>
    <n v="5080"/>
    <n v="5.9"/>
    <n v="4780.28"/>
    <s v="Completed"/>
    <s v="Chennai"/>
    <x v="3"/>
    <s v="Retail"/>
    <n v="51"/>
    <x v="1"/>
    <s v="R009"/>
    <n v="914554.71999999986"/>
    <x v="1"/>
  </r>
  <r>
    <s v="ORD-00786"/>
    <x v="234"/>
    <s v="CUST-0236"/>
    <s v="PROD-011"/>
    <x v="12"/>
    <n v="7"/>
    <n v="3450"/>
    <n v="17.399999999999999"/>
    <n v="19947.900000000001"/>
    <s v="Completed"/>
    <s v="Hyderabad"/>
    <x v="0"/>
    <s v="SMB"/>
    <n v="28"/>
    <x v="3"/>
    <s v="R023"/>
    <n v="983787.4800000001"/>
    <x v="3"/>
  </r>
  <r>
    <s v="ORD-00787"/>
    <x v="210"/>
    <s v="CUST-0060"/>
    <s v="PROD-024"/>
    <x v="18"/>
    <n v="8"/>
    <n v="2270"/>
    <n v="24.7"/>
    <n v="13674.48"/>
    <s v="Completed"/>
    <s v="Pune"/>
    <x v="2"/>
    <s v="Retail"/>
    <n v="39"/>
    <x v="1"/>
    <s v="R009"/>
    <n v="914554.71999999986"/>
    <x v="1"/>
  </r>
  <r>
    <s v="ORD-00788"/>
    <x v="37"/>
    <s v="CUST-0243"/>
    <s v="PROD-012"/>
    <x v="12"/>
    <n v="3"/>
    <n v="3160"/>
    <n v="1.5"/>
    <n v="9337.7999999999993"/>
    <s v="Pending"/>
    <s v="Pune"/>
    <x v="0"/>
    <s v="SMB"/>
    <n v="44"/>
    <x v="3"/>
    <s v="R023"/>
    <n v="983787.4800000001"/>
    <x v="3"/>
  </r>
  <r>
    <s v="ORD-00789"/>
    <x v="44"/>
    <s v="CUST-0188"/>
    <s v="PROD-043"/>
    <x v="20"/>
    <n v="6"/>
    <n v="3350"/>
    <n v="0.9"/>
    <n v="19919.099999999999"/>
    <s v="Pending"/>
    <s v="Bengaluru"/>
    <x v="5"/>
    <s v="Retail"/>
    <n v="54"/>
    <x v="2"/>
    <s v="R029"/>
    <n v="1016696.8000000002"/>
    <x v="2"/>
  </r>
  <r>
    <s v="ORD-00790"/>
    <x v="47"/>
    <s v="CUST-0174"/>
    <s v="PROD-044"/>
    <x v="20"/>
    <n v="7"/>
    <n v="1650"/>
    <n v="5.6"/>
    <n v="10903.2"/>
    <s v="Refunded"/>
    <s v="Pune"/>
    <x v="5"/>
    <s v="Retail"/>
    <n v="54"/>
    <x v="2"/>
    <s v="R029"/>
    <n v="1016696.8000000002"/>
    <x v="2"/>
  </r>
  <r>
    <s v="ORD-00791"/>
    <x v="73"/>
    <s v="CUST-0016"/>
    <s v="PROD-038"/>
    <x v="11"/>
    <n v="1"/>
    <n v="5490"/>
    <n v="5.8"/>
    <n v="5171.58"/>
    <s v="Completed"/>
    <s v="Delhi"/>
    <x v="3"/>
    <s v="SMB"/>
    <n v="26"/>
    <x v="0"/>
    <s v="R003"/>
    <n v="986692.91"/>
    <x v="0"/>
  </r>
  <r>
    <s v="ORD-00792"/>
    <x v="171"/>
    <s v="CUST-0184"/>
    <s v="PROD-040"/>
    <x v="6"/>
    <n v="3"/>
    <n v="1080"/>
    <n v="20.9"/>
    <n v="2562.84"/>
    <s v="Completed"/>
    <s v="Pune"/>
    <x v="3"/>
    <s v="Retail"/>
    <n v="63"/>
    <x v="2"/>
    <s v="R024"/>
    <n v="819558.58"/>
    <x v="2"/>
  </r>
  <r>
    <s v="ORD-00793"/>
    <x v="224"/>
    <s v="CUST-9568"/>
    <s v="PROD-027"/>
    <x v="26"/>
    <n v="10"/>
    <n v="3780"/>
    <n v="5.5"/>
    <n v="35721"/>
    <s v="Completed"/>
    <s v="Hyderabad"/>
    <x v="2"/>
    <e v="#N/A"/>
    <e v="#N/A"/>
    <x v="3"/>
    <s v="R018"/>
    <n v="1112289.6400000001"/>
    <x v="3"/>
  </r>
  <r>
    <s v="ORD-00794"/>
    <x v="307"/>
    <s v="CUST-0118"/>
    <s v="PROD-033"/>
    <x v="14"/>
    <n v="2"/>
    <n v="2030"/>
    <n v="2"/>
    <n v="3978.8"/>
    <s v="Pending"/>
    <s v="Hyderabad"/>
    <x v="3"/>
    <s v="Retail"/>
    <n v="26"/>
    <x v="2"/>
    <s v="R030"/>
    <n v="747624.36999999988"/>
    <x v="2"/>
  </r>
  <r>
    <s v="ORD-00795"/>
    <x v="329"/>
    <s v="CUST-0271"/>
    <s v="PROD-041"/>
    <x v="7"/>
    <n v="8"/>
    <n v="1540"/>
    <n v="9"/>
    <n v="11211.2"/>
    <s v="Cancelled"/>
    <s v="Bengaluru"/>
    <x v="5"/>
    <s v="Corporate"/>
    <n v="41"/>
    <x v="3"/>
    <s v="R019"/>
    <n v="971183.52000000014"/>
    <x v="3"/>
  </r>
  <r>
    <s v="ORD-00796"/>
    <x v="131"/>
    <s v="CUST-0147"/>
    <s v="PROD-036"/>
    <x v="15"/>
    <n v="9"/>
    <n v="3250"/>
    <n v="20.5"/>
    <n v="23253.75"/>
    <s v="Completed"/>
    <s v="Pune"/>
    <x v="3"/>
    <s v="Retail"/>
    <n v="56"/>
    <x v="1"/>
    <s v="R015"/>
    <n v="1091740.1799999997"/>
    <x v="1"/>
  </r>
  <r>
    <s v="ORD-00797"/>
    <x v="112"/>
    <s v="CUST-0253"/>
    <s v="PROD-047"/>
    <x v="1"/>
    <n v="3"/>
    <n v="3450"/>
    <n v="17.899999999999999"/>
    <n v="8497.35"/>
    <s v="Completed"/>
    <s v="Delhi"/>
    <x v="5"/>
    <s v="SMB"/>
    <n v="53"/>
    <x v="0"/>
    <s v="R005"/>
    <n v="782445.33"/>
    <x v="0"/>
  </r>
  <r>
    <s v="ORD-00798"/>
    <x v="172"/>
    <s v="CUST-0224"/>
    <s v="PROD-038"/>
    <x v="4"/>
    <n v="5"/>
    <n v="5490"/>
    <n v="7.9"/>
    <n v="25281.45"/>
    <s v="Completed"/>
    <s v="Chennai"/>
    <x v="3"/>
    <s v="Corporate"/>
    <n v="24"/>
    <x v="0"/>
    <s v="R008"/>
    <n v="861553.33"/>
    <x v="0"/>
  </r>
  <r>
    <s v="ORD-00799"/>
    <x v="141"/>
    <s v="CUST-0134"/>
    <s v="PROD-032"/>
    <x v="20"/>
    <n v="3"/>
    <n v="370"/>
    <n v="13.4"/>
    <n v="961.26"/>
    <s v="Completed"/>
    <s v="Delhi"/>
    <x v="3"/>
    <s v="Retail"/>
    <n v="40"/>
    <x v="2"/>
    <s v="R029"/>
    <n v="1016696.8000000002"/>
    <x v="2"/>
  </r>
  <r>
    <s v="ORD-00800"/>
    <x v="3"/>
    <s v="CUST-0287"/>
    <s v="PROD-001"/>
    <x v="18"/>
    <n v="7"/>
    <n v="5330"/>
    <n v="29.7"/>
    <n v="26228.93"/>
    <s v="Pending"/>
    <s v="Chennai"/>
    <x v="4"/>
    <s v="SMB"/>
    <n v="53"/>
    <x v="1"/>
    <s v="R009"/>
    <n v="914554.71999999986"/>
    <x v="1"/>
  </r>
  <r>
    <s v="ORD-00801"/>
    <x v="213"/>
    <s v="CUST-0144"/>
    <s v="PROD-051"/>
    <x v="29"/>
    <n v="8"/>
    <n v="3450"/>
    <n v="23.7"/>
    <n v="21058.799999999999"/>
    <s v="Completed"/>
    <s v="Chennai"/>
    <x v="1"/>
    <s v="Retail"/>
    <n v="49"/>
    <x v="1"/>
    <s v="R016"/>
    <n v="814563.7100000002"/>
    <x v="1"/>
  </r>
  <r>
    <s v="ORD-00802"/>
    <x v="309"/>
    <s v="CUST-0255"/>
    <s v="PROD-011"/>
    <x v="28"/>
    <n v="8"/>
    <n v="3450"/>
    <n v="5.4"/>
    <n v="26109.599999999999"/>
    <s v="Completed"/>
    <s v="Chennai"/>
    <x v="0"/>
    <s v="Corporate"/>
    <n v="51"/>
    <x v="2"/>
    <s v="R027"/>
    <n v="917092.61999999965"/>
    <x v="2"/>
  </r>
  <r>
    <s v="ORD-00803"/>
    <x v="325"/>
    <s v="CUST-0054"/>
    <s v="PROD-050"/>
    <x v="20"/>
    <n v="1"/>
    <n v="6080"/>
    <n v="22.3"/>
    <n v="4724.16"/>
    <s v="Completed"/>
    <s v="Mumbai"/>
    <x v="5"/>
    <s v="Corporate"/>
    <n v="62"/>
    <x v="2"/>
    <s v="R029"/>
    <n v="1016696.8000000002"/>
    <x v="2"/>
  </r>
  <r>
    <s v="ORD-00804"/>
    <x v="100"/>
    <s v="CUST-0283"/>
    <s v="PROD-017"/>
    <x v="23"/>
    <n v="9"/>
    <n v="2510"/>
    <n v="27.4"/>
    <n v="16400.34"/>
    <s v="Completed"/>
    <s v="Delhi"/>
    <x v="0"/>
    <s v="SMB"/>
    <n v="50"/>
    <x v="1"/>
    <s v="R011"/>
    <n v="735207.75999999989"/>
    <x v="1"/>
  </r>
  <r>
    <s v="ORD-00805"/>
    <x v="40"/>
    <s v="CUST-0182"/>
    <s v="PROD-054"/>
    <x v="27"/>
    <n v="10"/>
    <n v="1010"/>
    <n v="28.4"/>
    <n v="7231.6"/>
    <s v="Completed"/>
    <s v="Mumbai"/>
    <x v="1"/>
    <s v="Retail"/>
    <n v="54"/>
    <x v="1"/>
    <s v="R012"/>
    <n v="901394.32000000007"/>
    <x v="1"/>
  </r>
  <r>
    <s v="ORD-00806"/>
    <x v="24"/>
    <s v="CUST-0289"/>
    <s v="PROD-018"/>
    <x v="12"/>
    <n v="1"/>
    <n v="3560"/>
    <n v="26"/>
    <n v="2634.4"/>
    <s v="Completed"/>
    <s v="Mumbai"/>
    <x v="0"/>
    <s v="Retail"/>
    <n v="54"/>
    <x v="3"/>
    <s v="R023"/>
    <n v="983787.4800000001"/>
    <x v="3"/>
  </r>
  <r>
    <s v="ORD-00807"/>
    <x v="245"/>
    <s v="CUST-0104"/>
    <s v="PROD-045"/>
    <x v="3"/>
    <n v="8"/>
    <n v="3020"/>
    <n v="6.9"/>
    <n v="22492.959999999999"/>
    <s v="Completed"/>
    <s v="Hyderabad"/>
    <x v="5"/>
    <s v="Corporate"/>
    <n v="43"/>
    <x v="0"/>
    <s v="R006"/>
    <n v="1138648.73"/>
    <x v="0"/>
  </r>
  <r>
    <s v="ORD-00808"/>
    <x v="114"/>
    <s v="CUST-0085"/>
    <s v="PROD-026"/>
    <x v="21"/>
    <n v="1"/>
    <n v="4070"/>
    <n v="8.1999999999999993"/>
    <n v="3736.26"/>
    <s v="Completed"/>
    <s v="Chennai"/>
    <x v="2"/>
    <s v="Retail"/>
    <n v="26"/>
    <x v="3"/>
    <s v="R017"/>
    <n v="780384.40999999992"/>
    <x v="3"/>
  </r>
  <r>
    <s v="ORD-00809"/>
    <x v="324"/>
    <s v="CUST-0120"/>
    <s v="PROD-032"/>
    <x v="16"/>
    <n v="9"/>
    <n v="370"/>
    <n v="19.8"/>
    <n v="2670.66"/>
    <s v="Completed"/>
    <s v="Mumbai"/>
    <x v="3"/>
    <s v="Retail"/>
    <n v="29"/>
    <x v="3"/>
    <s v="R020"/>
    <n v="906107.71000000008"/>
    <x v="3"/>
  </r>
  <r>
    <s v="ORD-00810"/>
    <x v="227"/>
    <s v="CUST-0236"/>
    <s v="PROD-030"/>
    <x v="16"/>
    <n v="6"/>
    <n v="970"/>
    <n v="16.2"/>
    <n v="4877.16"/>
    <s v="Completed"/>
    <s v="Hyderabad"/>
    <x v="2"/>
    <s v="SMB"/>
    <n v="28"/>
    <x v="3"/>
    <s v="R020"/>
    <n v="906107.71000000008"/>
    <x v="3"/>
  </r>
  <r>
    <s v="ORD-00811"/>
    <x v="142"/>
    <s v="CUST-0094"/>
    <s v="PROD-015"/>
    <x v="7"/>
    <n v="10"/>
    <n v="2720"/>
    <n v="3"/>
    <n v="26384"/>
    <s v="Pending"/>
    <s v="Pune"/>
    <x v="0"/>
    <s v="SMB"/>
    <n v="60"/>
    <x v="3"/>
    <s v="R019"/>
    <n v="971183.52000000014"/>
    <x v="3"/>
  </r>
  <r>
    <s v="ORD-00812"/>
    <x v="174"/>
    <s v="CUST-0030"/>
    <s v="PROD-058"/>
    <x v="2"/>
    <n v="7"/>
    <n v="2400"/>
    <n v="29.4"/>
    <n v="11860.8"/>
    <s v="Completed"/>
    <s v="Bengaluru"/>
    <x v="1"/>
    <s v="Corporate"/>
    <n v="43"/>
    <x v="1"/>
    <s v="R014"/>
    <n v="995713.54000000015"/>
    <x v="1"/>
  </r>
  <r>
    <s v="ORD-00813"/>
    <x v="148"/>
    <s v="CUST-0172"/>
    <s v="PROD-018"/>
    <x v="27"/>
    <n v="8"/>
    <n v="3560"/>
    <n v="21.7"/>
    <n v="22299.84"/>
    <s v="Completed"/>
    <s v="Pune"/>
    <x v="0"/>
    <s v="Retail"/>
    <n v="65"/>
    <x v="1"/>
    <s v="R012"/>
    <n v="901394.32000000007"/>
    <x v="1"/>
  </r>
  <r>
    <s v="ORD-00814"/>
    <x v="217"/>
    <s v="CUST-0221"/>
    <s v="PROD-026"/>
    <x v="15"/>
    <n v="7"/>
    <n v="4070"/>
    <n v="10.5"/>
    <n v="25498.55"/>
    <s v="Completed"/>
    <s v="Delhi"/>
    <x v="2"/>
    <s v="SMB"/>
    <n v="29"/>
    <x v="1"/>
    <s v="R015"/>
    <n v="1091740.1799999997"/>
    <x v="1"/>
  </r>
  <r>
    <s v="ORD-01052"/>
    <x v="193"/>
    <s v="CUST-0151"/>
    <s v="PROD-052"/>
    <x v="4"/>
    <n v="3"/>
    <n v="5410"/>
    <n v="0.2"/>
    <n v="16197.54"/>
    <s v="Completed"/>
    <s v="Mumbai"/>
    <x v="1"/>
    <s v="Retail"/>
    <n v="53"/>
    <x v="0"/>
    <s v="R008"/>
    <n v="861553.33"/>
    <x v="0"/>
  </r>
  <r>
    <s v="ORD-00816"/>
    <x v="330"/>
    <s v="CUST-0068"/>
    <s v="PROD-021"/>
    <x v="8"/>
    <n v="4"/>
    <n v="2760"/>
    <n v="27.5"/>
    <n v="8004"/>
    <s v="Cancelled"/>
    <s v="Delhi"/>
    <x v="2"/>
    <s v="SMB"/>
    <n v="48"/>
    <x v="2"/>
    <s v="R028"/>
    <n v="880468.05"/>
    <x v="2"/>
  </r>
  <r>
    <s v="ORD-01136"/>
    <x v="267"/>
    <s v="CUST-0165"/>
    <s v="PROD-034"/>
    <x v="22"/>
    <n v="3"/>
    <n v="5080"/>
    <n v="27.2"/>
    <n v="11094.72"/>
    <s v="Completed"/>
    <s v="Pune"/>
    <x v="3"/>
    <s v="Retail"/>
    <n v="29"/>
    <x v="1"/>
    <s v="R013"/>
    <n v="811524.37999999989"/>
    <x v="1"/>
  </r>
  <r>
    <s v="ORD-00818"/>
    <x v="139"/>
    <s v="CUST-0060"/>
    <s v="PROD-035"/>
    <x v="21"/>
    <n v="5"/>
    <n v="1090"/>
    <n v="3.3"/>
    <n v="5270.15"/>
    <s v="Completed"/>
    <s v="Pune"/>
    <x v="3"/>
    <s v="Retail"/>
    <n v="39"/>
    <x v="3"/>
    <s v="R017"/>
    <n v="780384.40999999992"/>
    <x v="3"/>
  </r>
  <r>
    <s v="ORD-00819"/>
    <x v="60"/>
    <s v="CUST-0130"/>
    <s v="PROD-023"/>
    <x v="20"/>
    <n v="10"/>
    <n v="2380"/>
    <n v="7"/>
    <n v="22134"/>
    <s v="Completed"/>
    <s v="Bengaluru"/>
    <x v="2"/>
    <s v="Corporate"/>
    <n v="41"/>
    <x v="2"/>
    <s v="R029"/>
    <n v="1016696.8000000002"/>
    <x v="2"/>
  </r>
  <r>
    <s v="ORD-00820"/>
    <x v="156"/>
    <s v="CUST-0023"/>
    <s v="PROD-012"/>
    <x v="17"/>
    <n v="5"/>
    <n v="3160"/>
    <n v="25.6"/>
    <n v="11755.2"/>
    <s v="Completed"/>
    <s v="Chennai"/>
    <x v="0"/>
    <s v="SMB"/>
    <n v="43"/>
    <x v="2"/>
    <s v="R026"/>
    <n v="576305.08000000019"/>
    <x v="2"/>
  </r>
  <r>
    <s v="ORD-00821"/>
    <x v="331"/>
    <s v="CUST-0089"/>
    <s v="PROD-058"/>
    <x v="20"/>
    <n v="9"/>
    <n v="2400"/>
    <n v="8.4"/>
    <n v="19785.599999999999"/>
    <s v="Completed"/>
    <s v="Mumbai"/>
    <x v="1"/>
    <s v="SMB"/>
    <n v="43"/>
    <x v="2"/>
    <s v="R029"/>
    <n v="1016696.8000000002"/>
    <x v="2"/>
  </r>
  <r>
    <s v="ORD-00822"/>
    <x v="121"/>
    <s v="CUST-0300"/>
    <s v="PROD-002"/>
    <x v="16"/>
    <n v="4"/>
    <n v="2600"/>
    <n v="4.2"/>
    <n v="9963.2000000000007"/>
    <s v="Completed"/>
    <s v="Mumbai"/>
    <x v="4"/>
    <s v="Retail"/>
    <n v="38"/>
    <x v="3"/>
    <s v="R020"/>
    <n v="906107.71000000008"/>
    <x v="3"/>
  </r>
  <r>
    <s v="ORD-00823"/>
    <x v="132"/>
    <s v="CUST-9578"/>
    <s v="PROD-024"/>
    <x v="12"/>
    <n v="5"/>
    <n v="2270"/>
    <n v="0.1"/>
    <n v="11338.65"/>
    <s v="Completed"/>
    <s v="Mumbai"/>
    <x v="2"/>
    <e v="#N/A"/>
    <e v="#N/A"/>
    <x v="3"/>
    <s v="R023"/>
    <n v="983787.4800000001"/>
    <x v="3"/>
  </r>
  <r>
    <s v="ORD-00824"/>
    <x v="57"/>
    <s v="CUST-0130"/>
    <s v="PROD-038"/>
    <x v="16"/>
    <n v="7"/>
    <n v="5490"/>
    <n v="14.9"/>
    <n v="32703.93"/>
    <s v="Completed"/>
    <s v="Bengaluru"/>
    <x v="3"/>
    <s v="Corporate"/>
    <n v="41"/>
    <x v="3"/>
    <s v="R020"/>
    <n v="906107.71000000008"/>
    <x v="3"/>
  </r>
  <r>
    <s v="ORD-00825"/>
    <x v="209"/>
    <s v="CUST-0247"/>
    <s v="PROD-004"/>
    <x v="18"/>
    <n v="5"/>
    <n v="3870"/>
    <n v="13.3"/>
    <n v="16776.45"/>
    <s v="Cancelled"/>
    <s v="Pune"/>
    <x v="4"/>
    <s v="SMB"/>
    <n v="35"/>
    <x v="1"/>
    <s v="R009"/>
    <n v="914554.71999999986"/>
    <x v="1"/>
  </r>
  <r>
    <s v="ORD-00826"/>
    <x v="332"/>
    <s v="CUST-0256"/>
    <s v="PROD-049"/>
    <x v="6"/>
    <n v="2"/>
    <n v="960"/>
    <n v="17.5"/>
    <n v="1584"/>
    <s v="Completed"/>
    <s v="Hyderabad"/>
    <x v="5"/>
    <s v="Retail"/>
    <n v="28"/>
    <x v="2"/>
    <s v="R024"/>
    <n v="819558.58"/>
    <x v="2"/>
  </r>
  <r>
    <s v="ORD-00827"/>
    <x v="171"/>
    <s v="CUST-0213"/>
    <s v="PROD-046"/>
    <x v="19"/>
    <n v="4"/>
    <n v="4880"/>
    <n v="12.2"/>
    <n v="17138.560000000001"/>
    <s v="Cancelled"/>
    <s v="Mumbai"/>
    <x v="5"/>
    <s v="Retail"/>
    <n v="37"/>
    <x v="0"/>
    <s v="R001"/>
    <n v="789849.60000000009"/>
    <x v="0"/>
  </r>
  <r>
    <s v="ORD-00828"/>
    <x v="140"/>
    <s v="CUST-0183"/>
    <s v="PROD-058"/>
    <x v="4"/>
    <n v="5"/>
    <n v="2400"/>
    <n v="15"/>
    <n v="10200"/>
    <s v="Completed"/>
    <s v="Mumbai"/>
    <x v="1"/>
    <s v="SMB"/>
    <n v="27"/>
    <x v="0"/>
    <s v="R008"/>
    <n v="861553.33"/>
    <x v="0"/>
  </r>
  <r>
    <s v="ORD-00829"/>
    <x v="190"/>
    <s v="CUST-0051"/>
    <s v="PROD-016"/>
    <x v="15"/>
    <n v="9"/>
    <n v="620"/>
    <n v="20.399999999999999"/>
    <n v="4441.68"/>
    <s v="Pending"/>
    <s v="Pune"/>
    <x v="0"/>
    <s v="SMB"/>
    <n v="54"/>
    <x v="1"/>
    <s v="R015"/>
    <n v="1091740.1799999997"/>
    <x v="1"/>
  </r>
  <r>
    <s v="ORD-00830"/>
    <x v="191"/>
    <s v="CUST-0001"/>
    <s v="PROD-039"/>
    <x v="22"/>
    <n v="1"/>
    <n v="4610"/>
    <n v="1.8"/>
    <n v="4527.0200000000004"/>
    <s v="Pending"/>
    <s v="Pune"/>
    <x v="3"/>
    <s v="Retail"/>
    <n v="36"/>
    <x v="1"/>
    <s v="R013"/>
    <n v="811524.37999999989"/>
    <x v="1"/>
  </r>
  <r>
    <s v="ORD-00831"/>
    <x v="66"/>
    <s v="CUST-0105"/>
    <s v="PROD-039"/>
    <x v="2"/>
    <n v="7"/>
    <n v="4610"/>
    <n v="27"/>
    <n v="23557.1"/>
    <s v="Completed"/>
    <s v="Chennai"/>
    <x v="3"/>
    <s v="SMB"/>
    <n v="51"/>
    <x v="1"/>
    <s v="R014"/>
    <n v="995713.54000000015"/>
    <x v="1"/>
  </r>
  <r>
    <s v="ORD-00832"/>
    <x v="170"/>
    <s v="CUST-0199"/>
    <s v="PROD-030"/>
    <x v="20"/>
    <n v="6"/>
    <n v="970"/>
    <n v="4.7"/>
    <n v="5546.46"/>
    <s v="Cancelled"/>
    <s v="Hyderabad"/>
    <x v="2"/>
    <s v="SMB"/>
    <n v="31"/>
    <x v="2"/>
    <s v="R029"/>
    <n v="1016696.8000000002"/>
    <x v="2"/>
  </r>
  <r>
    <s v="ORD-00833"/>
    <x v="331"/>
    <s v="CUST-0240"/>
    <s v="PROD-007"/>
    <x v="17"/>
    <n v="8"/>
    <n v="1430"/>
    <n v="8.6999999999999993"/>
    <n v="10444.719999999999"/>
    <s v="Completed"/>
    <s v="Chennai"/>
    <x v="4"/>
    <s v="Corporate"/>
    <n v="35"/>
    <x v="2"/>
    <s v="R026"/>
    <n v="576305.08000000019"/>
    <x v="2"/>
  </r>
  <r>
    <s v="ORD-00834"/>
    <x v="333"/>
    <s v="CUST-0283"/>
    <s v="PROD-027"/>
    <x v="23"/>
    <n v="5"/>
    <n v="3780"/>
    <n v="2.9"/>
    <n v="18351.900000000001"/>
    <s v="Completed"/>
    <s v="Delhi"/>
    <x v="2"/>
    <s v="SMB"/>
    <n v="50"/>
    <x v="1"/>
    <s v="R011"/>
    <n v="735207.75999999989"/>
    <x v="1"/>
  </r>
  <r>
    <s v="ORD-00835"/>
    <x v="147"/>
    <s v="CUST-0284"/>
    <s v="PROD-041"/>
    <x v="12"/>
    <n v="2"/>
    <n v="1540"/>
    <n v="12.7"/>
    <n v="2688.84"/>
    <s v="Completed"/>
    <s v="Hyderabad"/>
    <x v="5"/>
    <s v="SMB"/>
    <n v="65"/>
    <x v="3"/>
    <s v="R023"/>
    <n v="983787.4800000001"/>
    <x v="3"/>
  </r>
  <r>
    <s v="ORD-00836"/>
    <x v="155"/>
    <s v="CUST-0060"/>
    <s v="PROD-040"/>
    <x v="16"/>
    <n v="9"/>
    <n v="1080"/>
    <n v="11.2"/>
    <n v="8631.36"/>
    <s v="Cancelled"/>
    <s v="Pune"/>
    <x v="3"/>
    <s v="Retail"/>
    <n v="39"/>
    <x v="3"/>
    <s v="R020"/>
    <n v="906107.71000000008"/>
    <x v="3"/>
  </r>
  <r>
    <s v="ORD-00837"/>
    <x v="213"/>
    <s v="CUST-0266"/>
    <s v="PROD-058"/>
    <x v="0"/>
    <n v="3"/>
    <n v="2400"/>
    <n v="28.6"/>
    <n v="5140.8"/>
    <s v="Completed"/>
    <s v="Pune"/>
    <x v="1"/>
    <s v="Retail"/>
    <n v="65"/>
    <x v="0"/>
    <s v="R007"/>
    <n v="855749.67999999982"/>
    <x v="0"/>
  </r>
  <r>
    <s v="ORD-00838"/>
    <x v="120"/>
    <s v="CUST-0056"/>
    <s v="PROD-040"/>
    <x v="26"/>
    <n v="5"/>
    <n v="1080"/>
    <n v="18.3"/>
    <n v="4411.8"/>
    <s v="Completed"/>
    <s v="Bengaluru"/>
    <x v="3"/>
    <s v="SMB"/>
    <n v="46"/>
    <x v="3"/>
    <s v="R018"/>
    <n v="1112289.6400000001"/>
    <x v="3"/>
  </r>
  <r>
    <s v="ORD-00839"/>
    <x v="294"/>
    <s v="CUST-0187"/>
    <s v="PROD-024"/>
    <x v="28"/>
    <n v="7"/>
    <n v="2270"/>
    <n v="1.7"/>
    <n v="15619.87"/>
    <s v="Cancelled"/>
    <s v="Chennai"/>
    <x v="2"/>
    <s v="SMB"/>
    <n v="51"/>
    <x v="2"/>
    <s v="R027"/>
    <n v="917092.61999999965"/>
    <x v="2"/>
  </r>
  <r>
    <s v="ORD-00840"/>
    <x v="334"/>
    <s v="CUST-0183"/>
    <s v="PROD-028"/>
    <x v="17"/>
    <n v="8"/>
    <n v="3660"/>
    <n v="19.100000000000001"/>
    <n v="23687.52"/>
    <s v="Cancelled"/>
    <s v="Mumbai"/>
    <x v="2"/>
    <s v="SMB"/>
    <n v="27"/>
    <x v="2"/>
    <s v="R026"/>
    <n v="576305.08000000019"/>
    <x v="2"/>
  </r>
  <r>
    <s v="ORD-00841"/>
    <x v="302"/>
    <s v="CUST-0068"/>
    <s v="PROD-036"/>
    <x v="11"/>
    <n v="5"/>
    <n v="3250"/>
    <n v="12.9"/>
    <n v="14153.75"/>
    <s v="Completed"/>
    <s v="Delhi"/>
    <x v="3"/>
    <s v="SMB"/>
    <n v="48"/>
    <x v="0"/>
    <s v="R003"/>
    <n v="986692.91"/>
    <x v="0"/>
  </r>
  <r>
    <s v="ORD-00842"/>
    <x v="60"/>
    <s v="CUST-0135"/>
    <s v="PROD-044"/>
    <x v="27"/>
    <n v="4"/>
    <n v="1650"/>
    <n v="4.0999999999999996"/>
    <n v="6329.4"/>
    <s v="Completed"/>
    <s v="Pune"/>
    <x v="5"/>
    <s v="SMB"/>
    <n v="24"/>
    <x v="1"/>
    <s v="R012"/>
    <n v="901394.32000000007"/>
    <x v="1"/>
  </r>
  <r>
    <s v="ORD-00843"/>
    <x v="207"/>
    <s v="CUST-0191"/>
    <s v="PROD-034"/>
    <x v="11"/>
    <n v="6"/>
    <n v="5080"/>
    <n v="3"/>
    <n v="29565.599999999999"/>
    <s v="Completed"/>
    <s v="Hyderabad"/>
    <x v="3"/>
    <s v="SMB"/>
    <n v="43"/>
    <x v="0"/>
    <s v="R003"/>
    <n v="986692.91"/>
    <x v="0"/>
  </r>
  <r>
    <s v="ORD-00844"/>
    <x v="105"/>
    <s v="CUST-0244"/>
    <s v="PROD-051"/>
    <x v="28"/>
    <n v="8"/>
    <n v="3450"/>
    <n v="20.9"/>
    <n v="21831.599999999999"/>
    <s v="Completed"/>
    <s v="Bengaluru"/>
    <x v="1"/>
    <s v="Retail"/>
    <n v="61"/>
    <x v="2"/>
    <s v="R027"/>
    <n v="917092.61999999965"/>
    <x v="2"/>
  </r>
  <r>
    <s v="ORD-00845"/>
    <x v="335"/>
    <s v="CUST-0189"/>
    <s v="PROD-043"/>
    <x v="26"/>
    <n v="6"/>
    <n v="3350"/>
    <n v="24.8"/>
    <n v="15115.2"/>
    <s v="Completed"/>
    <s v="Chennai"/>
    <x v="5"/>
    <s v="Retail"/>
    <n v="41"/>
    <x v="3"/>
    <s v="R018"/>
    <n v="1112289.6400000001"/>
    <x v="3"/>
  </r>
  <r>
    <s v="ORD-00846"/>
    <x v="310"/>
    <s v="CUST-0166"/>
    <s v="PROD-029"/>
    <x v="28"/>
    <n v="10"/>
    <n v="2210"/>
    <n v="4.2"/>
    <n v="21171.8"/>
    <s v="Completed"/>
    <s v="Hyderabad"/>
    <x v="2"/>
    <s v="Retail"/>
    <n v="31"/>
    <x v="2"/>
    <s v="R027"/>
    <n v="917092.61999999965"/>
    <x v="2"/>
  </r>
  <r>
    <s v="ORD-00847"/>
    <x v="328"/>
    <s v="CUST-0167"/>
    <s v="PROD-046"/>
    <x v="3"/>
    <n v="10"/>
    <n v="4880"/>
    <n v="0.7"/>
    <n v="48458.400000000001"/>
    <s v="Completed"/>
    <s v="Delhi"/>
    <x v="5"/>
    <s v="Retail"/>
    <n v="43"/>
    <x v="0"/>
    <s v="R006"/>
    <n v="1138648.73"/>
    <x v="0"/>
  </r>
  <r>
    <s v="ORD-00848"/>
    <x v="264"/>
    <s v="CUST-0265"/>
    <s v="PROD-055"/>
    <x v="10"/>
    <n v="7"/>
    <n v="2860"/>
    <n v="28.1"/>
    <n v="14394.38"/>
    <s v="Pending"/>
    <s v="Chennai"/>
    <x v="1"/>
    <s v="Retail"/>
    <n v="49"/>
    <x v="0"/>
    <s v="R004"/>
    <n v="589026.2899999998"/>
    <x v="0"/>
  </r>
  <r>
    <s v="ORD-00849"/>
    <x v="248"/>
    <s v="CUST-0172"/>
    <s v="PROD-030"/>
    <x v="1"/>
    <n v="3"/>
    <n v="970"/>
    <n v="28.3"/>
    <n v="2086.4699999999998"/>
    <s v="Completed"/>
    <s v="Pune"/>
    <x v="2"/>
    <s v="Retail"/>
    <n v="65"/>
    <x v="0"/>
    <s v="R005"/>
    <n v="782445.33"/>
    <x v="0"/>
  </r>
  <r>
    <s v="ORD-00850"/>
    <x v="315"/>
    <s v="CUST-0205"/>
    <s v="PROD-022"/>
    <x v="4"/>
    <n v="1"/>
    <n v="2270"/>
    <n v="15.1"/>
    <n v="1927.23"/>
    <s v="Completed"/>
    <s v="Pune"/>
    <x v="2"/>
    <s v="Corporate"/>
    <n v="29"/>
    <x v="0"/>
    <s v="R008"/>
    <n v="861553.33"/>
    <x v="0"/>
  </r>
  <r>
    <s v="ORD-00851"/>
    <x v="258"/>
    <s v="CUST-0102"/>
    <s v="PROD-018"/>
    <x v="15"/>
    <n v="5"/>
    <n v="3560"/>
    <n v="11.5"/>
    <n v="15753"/>
    <s v="Completed"/>
    <s v="Chennai"/>
    <x v="0"/>
    <s v="SMB"/>
    <n v="62"/>
    <x v="1"/>
    <s v="R015"/>
    <n v="1091740.1799999997"/>
    <x v="1"/>
  </r>
  <r>
    <s v="ORD-00852"/>
    <x v="140"/>
    <s v="CUST-0142"/>
    <s v="PROD-052"/>
    <x v="9"/>
    <n v="2"/>
    <n v="5410"/>
    <n v="14.8"/>
    <n v="9218.64"/>
    <s v="Pending"/>
    <s v="Chennai"/>
    <x v="1"/>
    <s v="Corporate"/>
    <n v="55"/>
    <x v="1"/>
    <s v="R010"/>
    <n v="880345.20000000007"/>
    <x v="1"/>
  </r>
  <r>
    <s v="ORD-00853"/>
    <x v="165"/>
    <s v="CUST-0195"/>
    <s v="PROD-019"/>
    <x v="3"/>
    <n v="2"/>
    <n v="2480"/>
    <n v="27.2"/>
    <n v="3610.88"/>
    <s v="Completed"/>
    <s v="Bengaluru"/>
    <x v="0"/>
    <s v="Retail"/>
    <n v="28"/>
    <x v="0"/>
    <s v="R006"/>
    <n v="1138648.73"/>
    <x v="0"/>
  </r>
  <r>
    <s v="ORD-00854"/>
    <x v="154"/>
    <s v="CUST-0125"/>
    <s v="PROD-020"/>
    <x v="2"/>
    <n v="6"/>
    <n v="820"/>
    <n v="6.6"/>
    <n v="4595.28"/>
    <s v="Completed"/>
    <s v="Delhi"/>
    <x v="0"/>
    <s v="Retail"/>
    <n v="45"/>
    <x v="1"/>
    <s v="R014"/>
    <n v="995713.54000000015"/>
    <x v="1"/>
  </r>
  <r>
    <s v="ORD-00855"/>
    <x v="224"/>
    <s v="CUST-0234"/>
    <s v="PROD-001"/>
    <x v="15"/>
    <n v="10"/>
    <n v="5330"/>
    <n v="16.100000000000001"/>
    <n v="44718.7"/>
    <s v="Completed"/>
    <s v="Bengaluru"/>
    <x v="4"/>
    <s v="Retail"/>
    <n v="34"/>
    <x v="1"/>
    <s v="R015"/>
    <n v="1091740.1799999997"/>
    <x v="1"/>
  </r>
  <r>
    <s v="ORD-00856"/>
    <x v="334"/>
    <s v="CUST-0061"/>
    <s v="PROD-047"/>
    <x v="10"/>
    <n v="2"/>
    <n v="3450"/>
    <n v="11.3"/>
    <n v="6120.3"/>
    <s v="Pending"/>
    <s v="Hyderabad"/>
    <x v="5"/>
    <s v="Retail"/>
    <n v="64"/>
    <x v="0"/>
    <s v="R004"/>
    <n v="589026.2899999998"/>
    <x v="0"/>
  </r>
  <r>
    <s v="ORD-00857"/>
    <x v="97"/>
    <s v="CUST-0189"/>
    <s v="PROD-049"/>
    <x v="12"/>
    <n v="7"/>
    <n v="960"/>
    <n v="17.100000000000001"/>
    <n v="5570.88"/>
    <s v="Completed"/>
    <s v="Chennai"/>
    <x v="5"/>
    <s v="Retail"/>
    <n v="41"/>
    <x v="3"/>
    <s v="R023"/>
    <n v="983787.4800000001"/>
    <x v="3"/>
  </r>
  <r>
    <s v="ORD-00858"/>
    <x v="235"/>
    <s v="CUST-0191"/>
    <s v="PROD-011"/>
    <x v="11"/>
    <n v="5"/>
    <n v="3450"/>
    <n v="22.9"/>
    <n v="13299.75"/>
    <s v="Completed"/>
    <s v="Hyderabad"/>
    <x v="0"/>
    <s v="SMB"/>
    <n v="43"/>
    <x v="0"/>
    <s v="R003"/>
    <n v="986692.91"/>
    <x v="0"/>
  </r>
  <r>
    <s v="ORD-00859"/>
    <x v="287"/>
    <s v="CUST-0217"/>
    <s v="PROD-009"/>
    <x v="4"/>
    <n v="5"/>
    <n v="1220"/>
    <n v="0.3"/>
    <n v="6081.7"/>
    <s v="Completed"/>
    <s v="Pune"/>
    <x v="4"/>
    <s v="SMB"/>
    <n v="59"/>
    <x v="0"/>
    <s v="R008"/>
    <n v="861553.33"/>
    <x v="0"/>
  </r>
  <r>
    <s v="ORD-00860"/>
    <x v="231"/>
    <s v="CUST-0060"/>
    <s v="PROD-001"/>
    <x v="0"/>
    <n v="5"/>
    <n v="5330"/>
    <n v="29"/>
    <n v="18921.5"/>
    <s v="Completed"/>
    <s v="Pune"/>
    <x v="4"/>
    <s v="Retail"/>
    <n v="39"/>
    <x v="0"/>
    <s v="R007"/>
    <n v="855749.67999999982"/>
    <x v="0"/>
  </r>
  <r>
    <s v="ORD-00861"/>
    <x v="29"/>
    <s v="CUST-0270"/>
    <s v="PROD-003"/>
    <x v="8"/>
    <n v="3"/>
    <n v="3570"/>
    <n v="20"/>
    <n v="8568"/>
    <s v="Cancelled"/>
    <s v="Bengaluru"/>
    <x v="4"/>
    <s v="Retail"/>
    <n v="29"/>
    <x v="2"/>
    <s v="R028"/>
    <n v="880468.05"/>
    <x v="2"/>
  </r>
  <r>
    <s v="ORD-00862"/>
    <x v="8"/>
    <s v="CUST-0279"/>
    <s v="PROD-029"/>
    <x v="17"/>
    <n v="9"/>
    <n v="2210"/>
    <n v="12.4"/>
    <n v="17423.64"/>
    <s v="Completed"/>
    <s v="Mumbai"/>
    <x v="2"/>
    <s v="Retail"/>
    <n v="56"/>
    <x v="2"/>
    <s v="R026"/>
    <n v="576305.08000000019"/>
    <x v="2"/>
  </r>
  <r>
    <s v="ORD-00863"/>
    <x v="272"/>
    <s v="CUST-0008"/>
    <s v="PROD-059"/>
    <x v="20"/>
    <n v="5"/>
    <n v="3780"/>
    <n v="3.9"/>
    <n v="18162.900000000001"/>
    <s v="Completed"/>
    <s v="Pune"/>
    <x v="1"/>
    <s v="SMB"/>
    <n v="39"/>
    <x v="2"/>
    <s v="R029"/>
    <n v="1016696.8000000002"/>
    <x v="2"/>
  </r>
  <r>
    <s v="ORD-00864"/>
    <x v="17"/>
    <s v="CUST-0259"/>
    <s v="PROD-010"/>
    <x v="4"/>
    <n v="10"/>
    <n v="2640"/>
    <n v="17.8"/>
    <n v="21700.799999999999"/>
    <s v="Refunded"/>
    <s v="Mumbai"/>
    <x v="4"/>
    <s v="Retail"/>
    <n v="34"/>
    <x v="0"/>
    <s v="R008"/>
    <n v="861553.33"/>
    <x v="0"/>
  </r>
  <r>
    <s v="ORD-00865"/>
    <x v="279"/>
    <s v="CUST-0169"/>
    <s v="PROD-005"/>
    <x v="6"/>
    <n v="5"/>
    <n v="300"/>
    <n v="12.9"/>
    <n v="1306.5"/>
    <s v="Completed"/>
    <s v="Bengaluru"/>
    <x v="4"/>
    <s v="SMB"/>
    <n v="42"/>
    <x v="2"/>
    <s v="R024"/>
    <n v="819558.58"/>
    <x v="2"/>
  </r>
  <r>
    <s v="ORD-00866"/>
    <x v="276"/>
    <s v="CUST-0191"/>
    <s v="PROD-058"/>
    <x v="22"/>
    <n v="2"/>
    <n v="2400"/>
    <n v="17.100000000000001"/>
    <n v="3979.2"/>
    <s v="Pending"/>
    <s v="Hyderabad"/>
    <x v="1"/>
    <s v="SMB"/>
    <n v="43"/>
    <x v="1"/>
    <s v="R013"/>
    <n v="811524.37999999989"/>
    <x v="1"/>
  </r>
  <r>
    <s v="ORD-00867"/>
    <x v="336"/>
    <s v="CUST-0129"/>
    <s v="PROD-040"/>
    <x v="17"/>
    <n v="5"/>
    <n v="1080"/>
    <n v="15.7"/>
    <n v="4552.2"/>
    <s v="Pending"/>
    <s v="Hyderabad"/>
    <x v="3"/>
    <s v="Retail"/>
    <n v="29"/>
    <x v="2"/>
    <s v="R026"/>
    <n v="576305.08000000019"/>
    <x v="2"/>
  </r>
  <r>
    <s v="ORD-00868"/>
    <x v="72"/>
    <s v="CUST-0066"/>
    <s v="PROD-036"/>
    <x v="11"/>
    <n v="1"/>
    <n v="3250"/>
    <n v="14.7"/>
    <n v="2772.25"/>
    <s v="Completed"/>
    <s v="Delhi"/>
    <x v="3"/>
    <s v="Retail"/>
    <n v="24"/>
    <x v="0"/>
    <s v="R003"/>
    <n v="986692.91"/>
    <x v="0"/>
  </r>
  <r>
    <s v="ORD-00869"/>
    <x v="169"/>
    <s v="CUST-0114"/>
    <s v="PROD-032"/>
    <x v="13"/>
    <n v="7"/>
    <n v="370"/>
    <n v="6"/>
    <n v="2434.6"/>
    <s v="Cancelled"/>
    <s v="Bengaluru"/>
    <x v="3"/>
    <s v="Corporate"/>
    <n v="42"/>
    <x v="3"/>
    <s v="R021"/>
    <n v="761507.17000000027"/>
    <x v="3"/>
  </r>
  <r>
    <s v="ORD-00870"/>
    <x v="186"/>
    <s v="CUST-9833"/>
    <s v="PROD-038"/>
    <x v="20"/>
    <n v="7"/>
    <n v="5490"/>
    <n v="10.199999999999999"/>
    <n v="34510.14"/>
    <s v="Completed"/>
    <s v="Pune"/>
    <x v="3"/>
    <e v="#N/A"/>
    <e v="#N/A"/>
    <x v="2"/>
    <s v="R029"/>
    <n v="1016696.8000000002"/>
    <x v="2"/>
  </r>
  <r>
    <s v="ORD-00871"/>
    <x v="337"/>
    <s v="CUST-0076"/>
    <s v="PROD-006"/>
    <x v="8"/>
    <n v="3"/>
    <n v="3970"/>
    <n v="2.4"/>
    <n v="11624.16"/>
    <s v="Completed"/>
    <s v="Mumbai"/>
    <x v="4"/>
    <s v="Retail"/>
    <n v="38"/>
    <x v="2"/>
    <s v="R028"/>
    <n v="880468.05"/>
    <x v="2"/>
  </r>
  <r>
    <s v="ORD-00872"/>
    <x v="336"/>
    <s v="CUST-0215"/>
    <s v="PROD-009"/>
    <x v="0"/>
    <n v="4"/>
    <n v="1220"/>
    <n v="25.3"/>
    <n v="3645.36"/>
    <s v="Completed"/>
    <s v="Hyderabad"/>
    <x v="4"/>
    <s v="Retail"/>
    <n v="52"/>
    <x v="0"/>
    <s v="R007"/>
    <n v="855749.67999999982"/>
    <x v="0"/>
  </r>
  <r>
    <s v="ORD-00873"/>
    <x v="132"/>
    <s v="CUST-0061"/>
    <s v="PROD-012"/>
    <x v="17"/>
    <n v="3"/>
    <n v="3160"/>
    <n v="19.8"/>
    <n v="7602.96"/>
    <s v="Completed"/>
    <s v="Hyderabad"/>
    <x v="0"/>
    <s v="Retail"/>
    <n v="64"/>
    <x v="2"/>
    <s v="R026"/>
    <n v="576305.08000000019"/>
    <x v="2"/>
  </r>
  <r>
    <s v="ORD-00874"/>
    <x v="195"/>
    <s v="CUST-0249"/>
    <s v="PROD-005"/>
    <x v="4"/>
    <n v="1"/>
    <n v="300"/>
    <n v="24.5"/>
    <n v="226.5"/>
    <s v="Completed"/>
    <s v="Mumbai"/>
    <x v="4"/>
    <s v="Retail"/>
    <n v="44"/>
    <x v="0"/>
    <s v="R008"/>
    <n v="861553.33"/>
    <x v="0"/>
  </r>
  <r>
    <s v="ORD-00875"/>
    <x v="16"/>
    <s v="CUST-0105"/>
    <s v="PROD-047"/>
    <x v="20"/>
    <n v="5"/>
    <n v="3450"/>
    <n v="13.4"/>
    <n v="14938.5"/>
    <s v="Pending"/>
    <s v="Chennai"/>
    <x v="5"/>
    <s v="SMB"/>
    <n v="51"/>
    <x v="2"/>
    <s v="R029"/>
    <n v="1016696.8000000002"/>
    <x v="2"/>
  </r>
  <r>
    <s v="ORD-00876"/>
    <x v="245"/>
    <s v="CUST-0161"/>
    <s v="PROD-014"/>
    <x v="28"/>
    <n v="7"/>
    <n v="3620"/>
    <n v="19.2"/>
    <n v="20474.72"/>
    <s v="Completed"/>
    <s v="Chennai"/>
    <x v="0"/>
    <s v="Retail"/>
    <n v="38"/>
    <x v="2"/>
    <s v="R027"/>
    <n v="917092.61999999965"/>
    <x v="2"/>
  </r>
  <r>
    <s v="ORD-00877"/>
    <x v="265"/>
    <s v="CUST-0275"/>
    <s v="PROD-024"/>
    <x v="9"/>
    <n v="10"/>
    <n v="2270"/>
    <n v="20.5"/>
    <n v="18046.5"/>
    <s v="Completed"/>
    <s v="Mumbai"/>
    <x v="2"/>
    <s v="Retail"/>
    <n v="36"/>
    <x v="1"/>
    <s v="R010"/>
    <n v="880345.20000000007"/>
    <x v="1"/>
  </r>
  <r>
    <s v="ORD-00878"/>
    <x v="194"/>
    <s v="CUST-0049"/>
    <s v="PROD-015"/>
    <x v="6"/>
    <n v="5"/>
    <n v="2720"/>
    <n v="29.3"/>
    <n v="9615.2000000000007"/>
    <s v="Completed"/>
    <s v="Mumbai"/>
    <x v="0"/>
    <s v="Corporate"/>
    <n v="42"/>
    <x v="2"/>
    <s v="R024"/>
    <n v="819558.58"/>
    <x v="2"/>
  </r>
  <r>
    <s v="ORD-00879"/>
    <x v="59"/>
    <s v="CUST-0235"/>
    <s v="PROD-027"/>
    <x v="24"/>
    <n v="9"/>
    <n v="3780"/>
    <n v="2.2999999999999998"/>
    <n v="33237.54"/>
    <s v="Completed"/>
    <s v="Chennai"/>
    <x v="2"/>
    <s v="Retail"/>
    <n v="31"/>
    <x v="3"/>
    <s v="R022"/>
    <n v="1069570.5400000003"/>
    <x v="3"/>
  </r>
  <r>
    <s v="ORD-00880"/>
    <x v="184"/>
    <s v="CUST-0220"/>
    <s v="PROD-025"/>
    <x v="2"/>
    <n v="9"/>
    <n v="4060"/>
    <n v="11.5"/>
    <n v="32337.9"/>
    <s v="Completed"/>
    <s v="Chennai"/>
    <x v="2"/>
    <s v="Retail"/>
    <n v="34"/>
    <x v="1"/>
    <s v="R014"/>
    <n v="995713.54000000015"/>
    <x v="1"/>
  </r>
  <r>
    <s v="ORD-00881"/>
    <x v="25"/>
    <s v="CUST-0298"/>
    <s v="PROD-021"/>
    <x v="27"/>
    <n v="10"/>
    <n v="2760"/>
    <n v="3.9"/>
    <n v="26523.599999999999"/>
    <s v="Refunded"/>
    <s v="Delhi"/>
    <x v="2"/>
    <s v="Retail"/>
    <n v="44"/>
    <x v="1"/>
    <s v="R012"/>
    <n v="901394.32000000007"/>
    <x v="1"/>
  </r>
  <r>
    <s v="ORD-00882"/>
    <x v="106"/>
    <s v="CUST-0222"/>
    <s v="PROD-040"/>
    <x v="13"/>
    <n v="10"/>
    <n v="1080"/>
    <n v="21.4"/>
    <n v="8488.7999999999993"/>
    <s v="Completed"/>
    <s v="Chennai"/>
    <x v="3"/>
    <s v="Retail"/>
    <n v="37"/>
    <x v="3"/>
    <s v="R021"/>
    <n v="761507.17000000027"/>
    <x v="3"/>
  </r>
  <r>
    <s v="ORD-00883"/>
    <x v="255"/>
    <s v="CUST-0049"/>
    <s v="PROD-034"/>
    <x v="12"/>
    <n v="6"/>
    <n v="5080"/>
    <n v="29.8"/>
    <n v="21396.959999999999"/>
    <s v="Pending"/>
    <s v="Mumbai"/>
    <x v="3"/>
    <s v="Corporate"/>
    <n v="42"/>
    <x v="3"/>
    <s v="R023"/>
    <n v="983787.4800000001"/>
    <x v="3"/>
  </r>
  <r>
    <s v="ORD-00884"/>
    <x v="174"/>
    <s v="CUST-0147"/>
    <s v="PROD-046"/>
    <x v="14"/>
    <n v="1"/>
    <n v="4880"/>
    <n v="28.2"/>
    <n v="3503.84"/>
    <s v="Completed"/>
    <s v="Pune"/>
    <x v="5"/>
    <s v="Retail"/>
    <n v="56"/>
    <x v="2"/>
    <s v="R030"/>
    <n v="747624.36999999988"/>
    <x v="2"/>
  </r>
  <r>
    <s v="ORD-00885"/>
    <x v="254"/>
    <s v="CUST-0177"/>
    <s v="PROD-022"/>
    <x v="28"/>
    <n v="1"/>
    <n v="2270"/>
    <n v="27.8"/>
    <n v="1638.94"/>
    <s v="Completed"/>
    <s v="Mumbai"/>
    <x v="2"/>
    <s v="SMB"/>
    <n v="36"/>
    <x v="2"/>
    <s v="R027"/>
    <n v="917092.61999999965"/>
    <x v="2"/>
  </r>
  <r>
    <s v="ORD-00886"/>
    <x v="198"/>
    <s v="CUST-0121"/>
    <s v="PROD-006"/>
    <x v="7"/>
    <n v="9"/>
    <n v="3970"/>
    <n v="7"/>
    <n v="33228.9"/>
    <s v="Completed"/>
    <s v="Delhi"/>
    <x v="4"/>
    <s v="SMB"/>
    <n v="55"/>
    <x v="3"/>
    <s v="R019"/>
    <n v="971183.52000000014"/>
    <x v="3"/>
  </r>
  <r>
    <s v="ORD-00887"/>
    <x v="199"/>
    <s v="CUST-0262"/>
    <s v="PROD-048"/>
    <x v="11"/>
    <n v="9"/>
    <n v="5100"/>
    <n v="9.6999999999999993"/>
    <n v="41447.699999999997"/>
    <s v="Completed"/>
    <s v="Mumbai"/>
    <x v="5"/>
    <s v="Retail"/>
    <n v="52"/>
    <x v="0"/>
    <s v="R003"/>
    <n v="986692.91"/>
    <x v="0"/>
  </r>
  <r>
    <s v="ORD-00888"/>
    <x v="71"/>
    <s v="CUST-0246"/>
    <s v="PROD-060"/>
    <x v="1"/>
    <n v="8"/>
    <n v="190"/>
    <n v="10.199999999999999"/>
    <n v="1364.96"/>
    <s v="Completed"/>
    <s v="Delhi"/>
    <x v="1"/>
    <s v="SMB"/>
    <n v="29"/>
    <x v="0"/>
    <s v="R005"/>
    <n v="782445.33"/>
    <x v="0"/>
  </r>
  <r>
    <s v="ORD-00889"/>
    <x v="51"/>
    <s v="CUST-0070"/>
    <s v="PROD-050"/>
    <x v="17"/>
    <n v="1"/>
    <n v="6080"/>
    <n v="5.6"/>
    <n v="5739.52"/>
    <s v="Completed"/>
    <s v="Mumbai"/>
    <x v="5"/>
    <s v="Retail"/>
    <n v="42"/>
    <x v="2"/>
    <s v="R026"/>
    <n v="576305.08000000019"/>
    <x v="2"/>
  </r>
  <r>
    <s v="ORD-00890"/>
    <x v="285"/>
    <s v="CUST-0218"/>
    <s v="PROD-057"/>
    <x v="16"/>
    <n v="6"/>
    <n v="960"/>
    <n v="1.9"/>
    <n v="5650.56"/>
    <s v="Completed"/>
    <s v="Mumbai"/>
    <x v="1"/>
    <s v="Retail"/>
    <n v="39"/>
    <x v="3"/>
    <s v="R020"/>
    <n v="906107.71000000008"/>
    <x v="3"/>
  </r>
  <r>
    <s v="ORD-00891"/>
    <x v="309"/>
    <s v="CUST-0068"/>
    <s v="PROD-041"/>
    <x v="10"/>
    <n v="7"/>
    <n v="1540"/>
    <n v="7.1"/>
    <n v="10014.620000000001"/>
    <s v="Completed"/>
    <s v="Delhi"/>
    <x v="5"/>
    <s v="SMB"/>
    <n v="48"/>
    <x v="0"/>
    <s v="R004"/>
    <n v="589026.2899999998"/>
    <x v="0"/>
  </r>
  <r>
    <s v="ORD-00892"/>
    <x v="60"/>
    <s v="CUST-0261"/>
    <s v="PROD-005"/>
    <x v="23"/>
    <n v="10"/>
    <n v="300"/>
    <n v="12.8"/>
    <n v="2616"/>
    <s v="Cancelled"/>
    <s v="Delhi"/>
    <x v="4"/>
    <s v="Retail"/>
    <n v="54"/>
    <x v="1"/>
    <s v="R011"/>
    <n v="735207.75999999989"/>
    <x v="1"/>
  </r>
  <r>
    <s v="ORD-00893"/>
    <x v="145"/>
    <s v="CUST-0077"/>
    <s v="PROD-046"/>
    <x v="23"/>
    <n v="4"/>
    <n v="4880"/>
    <n v="26.5"/>
    <n v="14347.2"/>
    <s v="Completed"/>
    <s v="Hyderabad"/>
    <x v="5"/>
    <s v="SMB"/>
    <n v="48"/>
    <x v="1"/>
    <s v="R011"/>
    <n v="735207.75999999989"/>
    <x v="1"/>
  </r>
  <r>
    <s v="ORD-00894"/>
    <x v="55"/>
    <s v="CUST-0188"/>
    <s v="PROD-032"/>
    <x v="11"/>
    <n v="2"/>
    <n v="370"/>
    <n v="26.5"/>
    <n v="543.9"/>
    <s v="Completed"/>
    <s v="Bengaluru"/>
    <x v="3"/>
    <s v="Retail"/>
    <n v="54"/>
    <x v="0"/>
    <s v="R003"/>
    <n v="986692.91"/>
    <x v="0"/>
  </r>
  <r>
    <s v="ORD-00895"/>
    <x v="106"/>
    <s v="CUST-0145"/>
    <s v="PROD-039"/>
    <x v="25"/>
    <n v="3"/>
    <n v="4610"/>
    <n v="29.7"/>
    <n v="9722.49"/>
    <s v="Completed"/>
    <s v="Bengaluru"/>
    <x v="3"/>
    <s v="SMB"/>
    <n v="44"/>
    <x v="0"/>
    <s v="R002"/>
    <n v="980063.65999999968"/>
    <x v="0"/>
  </r>
  <r>
    <s v="ORD-00896"/>
    <x v="149"/>
    <s v="CUST-0036"/>
    <s v="PROD-002"/>
    <x v="22"/>
    <n v="5"/>
    <n v="2600"/>
    <n v="21.4"/>
    <n v="10218"/>
    <s v="Completed"/>
    <s v="Mumbai"/>
    <x v="4"/>
    <s v="Retail"/>
    <n v="35"/>
    <x v="1"/>
    <s v="R013"/>
    <n v="811524.37999999989"/>
    <x v="1"/>
  </r>
  <r>
    <s v="ORD-00600"/>
    <x v="295"/>
    <s v="CUST-0269"/>
    <s v="PROD-009"/>
    <x v="5"/>
    <n v="10"/>
    <n v="1220"/>
    <n v="24.3"/>
    <n v="9235.4"/>
    <s v="Completed"/>
    <s v="Pune"/>
    <x v="4"/>
    <s v="Retail"/>
    <n v="48"/>
    <x v="2"/>
    <s v="R025"/>
    <n v="901298.89"/>
    <x v="2"/>
  </r>
  <r>
    <s v="ORD-00898"/>
    <x v="34"/>
    <s v="CUST-9607"/>
    <s v="PROD-007"/>
    <x v="15"/>
    <n v="10"/>
    <n v="1430"/>
    <n v="5.0999999999999996"/>
    <n v="13570.7"/>
    <s v="Cancelled"/>
    <s v="Chennai"/>
    <x v="4"/>
    <e v="#N/A"/>
    <e v="#N/A"/>
    <x v="1"/>
    <s v="R015"/>
    <n v="1091740.1799999997"/>
    <x v="1"/>
  </r>
  <r>
    <s v="ORD-00899"/>
    <x v="35"/>
    <s v="CUST-0189"/>
    <s v="PROD-046"/>
    <x v="14"/>
    <n v="10"/>
    <n v="4880"/>
    <n v="25.5"/>
    <n v="36356"/>
    <s v="Cancelled"/>
    <s v="Chennai"/>
    <x v="5"/>
    <s v="Retail"/>
    <n v="41"/>
    <x v="2"/>
    <s v="R030"/>
    <n v="747624.36999999988"/>
    <x v="2"/>
  </r>
  <r>
    <s v="ORD-00900"/>
    <x v="79"/>
    <s v="CUST-0199"/>
    <s v="PROD-050"/>
    <x v="8"/>
    <n v="6"/>
    <n v="6080"/>
    <n v="21.6"/>
    <n v="28600.32"/>
    <s v="Completed"/>
    <s v="Hyderabad"/>
    <x v="5"/>
    <s v="SMB"/>
    <n v="31"/>
    <x v="2"/>
    <s v="R028"/>
    <n v="880468.05"/>
    <x v="2"/>
  </r>
  <r>
    <s v="ORD-00901"/>
    <x v="158"/>
    <s v="CUST-0277"/>
    <s v="PROD-045"/>
    <x v="22"/>
    <n v="3"/>
    <n v="3020"/>
    <n v="20.7"/>
    <n v="7184.58"/>
    <s v="Completed"/>
    <s v="Chennai"/>
    <x v="5"/>
    <s v="Corporate"/>
    <n v="34"/>
    <x v="1"/>
    <s v="R013"/>
    <n v="811524.37999999989"/>
    <x v="1"/>
  </r>
  <r>
    <s v="ORD-00902"/>
    <x v="338"/>
    <s v="CUST-0108"/>
    <s v="PROD-015"/>
    <x v="22"/>
    <n v="9"/>
    <n v="2720"/>
    <n v="21.4"/>
    <n v="19241.28"/>
    <s v="Completed"/>
    <s v="Bengaluru"/>
    <x v="0"/>
    <s v="Corporate"/>
    <n v="59"/>
    <x v="1"/>
    <s v="R013"/>
    <n v="811524.37999999989"/>
    <x v="1"/>
  </r>
  <r>
    <s v="ORD-00903"/>
    <x v="53"/>
    <s v="CUST-0203"/>
    <s v="PROD-003"/>
    <x v="5"/>
    <n v="10"/>
    <n v="3570"/>
    <n v="4.4000000000000004"/>
    <n v="34129.199999999997"/>
    <s v="Completed"/>
    <s v="Chennai"/>
    <x v="4"/>
    <s v="SMB"/>
    <n v="55"/>
    <x v="2"/>
    <s v="R025"/>
    <n v="901298.89"/>
    <x v="2"/>
  </r>
  <r>
    <s v="ORD-00904"/>
    <x v="119"/>
    <s v="CUST-0272"/>
    <s v="PROD-040"/>
    <x v="2"/>
    <n v="8"/>
    <n v="1080"/>
    <n v="23.8"/>
    <n v="6583.68"/>
    <s v="Completed"/>
    <s v="Mumbai"/>
    <x v="3"/>
    <s v="SMB"/>
    <n v="47"/>
    <x v="1"/>
    <s v="R014"/>
    <n v="995713.54000000015"/>
    <x v="1"/>
  </r>
  <r>
    <s v="ORD-00905"/>
    <x v="27"/>
    <s v="CUST-0039"/>
    <s v="PROD-035"/>
    <x v="23"/>
    <n v="8"/>
    <n v="1090"/>
    <n v="17.5"/>
    <n v="7194"/>
    <s v="Completed"/>
    <s v="Bengaluru"/>
    <x v="3"/>
    <s v="Retail"/>
    <n v="37"/>
    <x v="1"/>
    <s v="R011"/>
    <n v="735207.75999999989"/>
    <x v="1"/>
  </r>
  <r>
    <s v="ORD-00906"/>
    <x v="70"/>
    <s v="CUST-0105"/>
    <s v="PROD-018"/>
    <x v="28"/>
    <n v="7"/>
    <n v="3560"/>
    <n v="11.1"/>
    <n v="22153.88"/>
    <s v="Completed"/>
    <s v="Chennai"/>
    <x v="0"/>
    <s v="SMB"/>
    <n v="51"/>
    <x v="2"/>
    <s v="R027"/>
    <n v="917092.61999999965"/>
    <x v="2"/>
  </r>
  <r>
    <s v="ORD-00907"/>
    <x v="59"/>
    <s v="CUST-0095"/>
    <s v="PROD-060"/>
    <x v="24"/>
    <n v="6"/>
    <n v="190"/>
    <n v="17.100000000000001"/>
    <n v="945.06"/>
    <s v="Cancelled"/>
    <s v="Mumbai"/>
    <x v="1"/>
    <s v="SMB"/>
    <n v="54"/>
    <x v="3"/>
    <s v="R022"/>
    <n v="1069570.5400000003"/>
    <x v="3"/>
  </r>
  <r>
    <s v="ORD-00908"/>
    <x v="320"/>
    <s v="CUST-0138"/>
    <s v="PROD-025"/>
    <x v="5"/>
    <n v="7"/>
    <n v="4060"/>
    <n v="0.6"/>
    <n v="28249.48"/>
    <s v="Completed"/>
    <s v="Chennai"/>
    <x v="2"/>
    <s v="Retail"/>
    <n v="24"/>
    <x v="2"/>
    <s v="R025"/>
    <n v="901298.89"/>
    <x v="2"/>
  </r>
  <r>
    <s v="ORD-00909"/>
    <x v="63"/>
    <s v="CUST-0155"/>
    <s v="PROD-039"/>
    <x v="13"/>
    <n v="4"/>
    <n v="4610"/>
    <n v="1.9"/>
    <n v="18089.64"/>
    <s v="Pending"/>
    <s v="Pune"/>
    <x v="3"/>
    <s v="Corporate"/>
    <n v="40"/>
    <x v="3"/>
    <s v="R021"/>
    <n v="761507.17000000027"/>
    <x v="3"/>
  </r>
  <r>
    <s v="ORD-00910"/>
    <x v="93"/>
    <s v="CUST-0198"/>
    <s v="PROD-026"/>
    <x v="16"/>
    <n v="4"/>
    <n v="4070"/>
    <n v="26.8"/>
    <n v="11916.96"/>
    <s v="Completed"/>
    <s v="Chennai"/>
    <x v="2"/>
    <s v="Corporate"/>
    <n v="22"/>
    <x v="3"/>
    <s v="R020"/>
    <n v="906107.71000000008"/>
    <x v="3"/>
  </r>
  <r>
    <s v="ORD-00911"/>
    <x v="142"/>
    <s v="CUST-0267"/>
    <s v="PROD-014"/>
    <x v="10"/>
    <n v="4"/>
    <n v="3620"/>
    <n v="11.7"/>
    <n v="12785.84"/>
    <s v="Completed"/>
    <s v="Hyderabad"/>
    <x v="0"/>
    <s v="Retail"/>
    <n v="27"/>
    <x v="0"/>
    <s v="R004"/>
    <n v="589026.2899999998"/>
    <x v="0"/>
  </r>
  <r>
    <s v="ORD-00912"/>
    <x v="195"/>
    <s v="CUST-0248"/>
    <s v="PROD-006"/>
    <x v="14"/>
    <n v="3"/>
    <n v="3970"/>
    <n v="24.7"/>
    <n v="8968.23"/>
    <s v="Completed"/>
    <s v="Chennai"/>
    <x v="4"/>
    <s v="SMB"/>
    <n v="57"/>
    <x v="2"/>
    <s v="R030"/>
    <n v="747624.36999999988"/>
    <x v="2"/>
  </r>
  <r>
    <s v="ORD-00913"/>
    <x v="36"/>
    <s v="CUST-0114"/>
    <s v="PROD-030"/>
    <x v="8"/>
    <n v="4"/>
    <n v="970"/>
    <n v="0.4"/>
    <n v="3864.48"/>
    <s v="Completed"/>
    <s v="Bengaluru"/>
    <x v="2"/>
    <s v="Corporate"/>
    <n v="42"/>
    <x v="2"/>
    <s v="R028"/>
    <n v="880468.05"/>
    <x v="2"/>
  </r>
  <r>
    <s v="ORD-00914"/>
    <x v="229"/>
    <s v="CUST-0129"/>
    <s v="PROD-057"/>
    <x v="12"/>
    <n v="2"/>
    <n v="960"/>
    <n v="1.4"/>
    <n v="1893.12"/>
    <s v="Completed"/>
    <s v="Hyderabad"/>
    <x v="1"/>
    <s v="Retail"/>
    <n v="29"/>
    <x v="3"/>
    <s v="R023"/>
    <n v="983787.4800000001"/>
    <x v="3"/>
  </r>
  <r>
    <s v="ORD-00915"/>
    <x v="67"/>
    <s v="CUST-0182"/>
    <s v="PROD-005"/>
    <x v="29"/>
    <n v="7"/>
    <n v="300"/>
    <n v="20.399999999999999"/>
    <n v="1671.6"/>
    <s v="Completed"/>
    <s v="Mumbai"/>
    <x v="4"/>
    <s v="Retail"/>
    <n v="54"/>
    <x v="1"/>
    <s v="R016"/>
    <n v="814563.7100000002"/>
    <x v="1"/>
  </r>
  <r>
    <s v="ORD-00916"/>
    <x v="245"/>
    <s v="CUST-0020"/>
    <s v="PROD-002"/>
    <x v="2"/>
    <n v="8"/>
    <n v="2600"/>
    <n v="2.2000000000000002"/>
    <n v="20342.400000000001"/>
    <s v="Cancelled"/>
    <s v="Hyderabad"/>
    <x v="4"/>
    <s v="Retail"/>
    <n v="46"/>
    <x v="1"/>
    <s v="R014"/>
    <n v="995713.54000000015"/>
    <x v="1"/>
  </r>
  <r>
    <s v="ORD-00917"/>
    <x v="297"/>
    <s v="CUST-0163"/>
    <s v="PROD-032"/>
    <x v="4"/>
    <n v="2"/>
    <n v="370"/>
    <n v="17.7"/>
    <n v="609.02"/>
    <s v="Completed"/>
    <s v="Pune"/>
    <x v="3"/>
    <s v="Retail"/>
    <n v="49"/>
    <x v="0"/>
    <s v="R008"/>
    <n v="861553.33"/>
    <x v="0"/>
  </r>
  <r>
    <s v="ORD-00918"/>
    <x v="6"/>
    <s v="CUST-0142"/>
    <s v="PROD-047"/>
    <x v="17"/>
    <n v="4"/>
    <n v="3450"/>
    <n v="9.8000000000000007"/>
    <n v="12447.6"/>
    <s v="Cancelled"/>
    <s v="Chennai"/>
    <x v="5"/>
    <s v="Corporate"/>
    <n v="55"/>
    <x v="2"/>
    <s v="R026"/>
    <n v="576305.08000000019"/>
    <x v="2"/>
  </r>
  <r>
    <s v="ORD-00919"/>
    <x v="97"/>
    <s v="CUST-0221"/>
    <s v="PROD-019"/>
    <x v="16"/>
    <n v="1"/>
    <n v="2480"/>
    <n v="5.8"/>
    <n v="2336.16"/>
    <s v="Completed"/>
    <s v="Delhi"/>
    <x v="0"/>
    <s v="SMB"/>
    <n v="29"/>
    <x v="3"/>
    <s v="R020"/>
    <n v="906107.71000000008"/>
    <x v="3"/>
  </r>
  <r>
    <s v="ORD-00920"/>
    <x v="90"/>
    <s v="CUST-0079"/>
    <s v="PROD-028"/>
    <x v="7"/>
    <n v="5"/>
    <n v="3660"/>
    <n v="4.7"/>
    <n v="17439.900000000001"/>
    <s v="Pending"/>
    <s v="Mumbai"/>
    <x v="2"/>
    <s v="Corporate"/>
    <n v="60"/>
    <x v="3"/>
    <s v="R019"/>
    <n v="971183.52000000014"/>
    <x v="3"/>
  </r>
  <r>
    <s v="ORD-00921"/>
    <x v="162"/>
    <s v="CUST-0133"/>
    <s v="PROD-044"/>
    <x v="12"/>
    <n v="7"/>
    <n v="1650"/>
    <n v="8.6"/>
    <n v="10556.7"/>
    <s v="Completed"/>
    <s v="Chennai"/>
    <x v="5"/>
    <s v="Retail"/>
    <n v="26"/>
    <x v="3"/>
    <s v="R023"/>
    <n v="983787.4800000001"/>
    <x v="3"/>
  </r>
  <r>
    <s v="ORD-00922"/>
    <x v="339"/>
    <s v="CUST-0086"/>
    <s v="PROD-060"/>
    <x v="5"/>
    <n v="6"/>
    <n v="190"/>
    <n v="14.6"/>
    <n v="973.56"/>
    <s v="Completed"/>
    <s v="Hyderabad"/>
    <x v="1"/>
    <s v="Corporate"/>
    <n v="56"/>
    <x v="2"/>
    <s v="R025"/>
    <n v="901298.89"/>
    <x v="2"/>
  </r>
  <r>
    <s v="ORD-00923"/>
    <x v="14"/>
    <s v="CUST-0155"/>
    <s v="PROD-022"/>
    <x v="19"/>
    <n v="5"/>
    <n v="2270"/>
    <n v="5.9"/>
    <n v="10680.35"/>
    <s v="Completed"/>
    <s v="Pune"/>
    <x v="2"/>
    <s v="Corporate"/>
    <n v="40"/>
    <x v="0"/>
    <s v="R001"/>
    <n v="789849.60000000009"/>
    <x v="0"/>
  </r>
  <r>
    <s v="ORD-00924"/>
    <x v="327"/>
    <s v="CUST-0244"/>
    <s v="PROD-024"/>
    <x v="23"/>
    <n v="1"/>
    <n v="2270"/>
    <n v="14.9"/>
    <n v="1931.77"/>
    <s v="Completed"/>
    <s v="Bengaluru"/>
    <x v="2"/>
    <s v="Retail"/>
    <n v="61"/>
    <x v="1"/>
    <s v="R011"/>
    <n v="735207.75999999989"/>
    <x v="1"/>
  </r>
  <r>
    <s v="ORD-00925"/>
    <x v="133"/>
    <s v="CUST-0262"/>
    <s v="PROD-011"/>
    <x v="26"/>
    <n v="4"/>
    <n v="3450"/>
    <n v="11.7"/>
    <n v="12185.4"/>
    <s v="Cancelled"/>
    <s v="Mumbai"/>
    <x v="0"/>
    <s v="Retail"/>
    <n v="52"/>
    <x v="3"/>
    <s v="R018"/>
    <n v="1112289.6400000001"/>
    <x v="3"/>
  </r>
  <r>
    <s v="ORD-00926"/>
    <x v="46"/>
    <s v="CUST-0251"/>
    <s v="PROD-045"/>
    <x v="8"/>
    <n v="7"/>
    <n v="3020"/>
    <n v="18.8"/>
    <n v="17165.68"/>
    <s v="Completed"/>
    <s v="Mumbai"/>
    <x v="5"/>
    <s v="Retail"/>
    <n v="44"/>
    <x v="2"/>
    <s v="R028"/>
    <n v="880468.05"/>
    <x v="2"/>
  </r>
  <r>
    <s v="ORD-00927"/>
    <x v="284"/>
    <s v="CUST-0007"/>
    <s v="PROD-033"/>
    <x v="29"/>
    <n v="4"/>
    <n v="2030"/>
    <n v="25.7"/>
    <n v="6033.16"/>
    <s v="Completed"/>
    <s v="Bengaluru"/>
    <x v="3"/>
    <s v="Retail"/>
    <n v="47"/>
    <x v="1"/>
    <s v="R016"/>
    <n v="814563.7100000002"/>
    <x v="1"/>
  </r>
  <r>
    <s v="ORD-00928"/>
    <x v="331"/>
    <s v="CUST-0161"/>
    <s v="PROD-011"/>
    <x v="2"/>
    <n v="4"/>
    <n v="3450"/>
    <n v="3.9"/>
    <n v="13261.8"/>
    <s v="Completed"/>
    <s v="Chennai"/>
    <x v="0"/>
    <s v="Retail"/>
    <n v="38"/>
    <x v="1"/>
    <s v="R014"/>
    <n v="995713.54000000015"/>
    <x v="1"/>
  </r>
  <r>
    <s v="ORD-00929"/>
    <x v="324"/>
    <s v="CUST-0251"/>
    <s v="PROD-049"/>
    <x v="8"/>
    <n v="5"/>
    <n v="960"/>
    <n v="8"/>
    <n v="4416"/>
    <s v="Completed"/>
    <s v="Mumbai"/>
    <x v="5"/>
    <s v="Retail"/>
    <n v="44"/>
    <x v="2"/>
    <s v="R028"/>
    <n v="880468.05"/>
    <x v="2"/>
  </r>
  <r>
    <s v="ORD-00930"/>
    <x v="269"/>
    <s v="CUST-0098"/>
    <s v="PROD-006"/>
    <x v="19"/>
    <n v="7"/>
    <n v="3970"/>
    <n v="11.7"/>
    <n v="24538.57"/>
    <s v="Completed"/>
    <s v="Delhi"/>
    <x v="4"/>
    <s v="Retail"/>
    <n v="52"/>
    <x v="0"/>
    <s v="R001"/>
    <n v="789849.60000000009"/>
    <x v="0"/>
  </r>
  <r>
    <s v="ORD-00931"/>
    <x v="211"/>
    <s v="CUST-0200"/>
    <s v="PROD-052"/>
    <x v="17"/>
    <n v="3"/>
    <n v="5410"/>
    <n v="10"/>
    <n v="14607"/>
    <s v="Completed"/>
    <s v="Hyderabad"/>
    <x v="1"/>
    <s v="Corporate"/>
    <n v="46"/>
    <x v="2"/>
    <s v="R026"/>
    <n v="576305.08000000019"/>
    <x v="2"/>
  </r>
  <r>
    <s v="ORD-00932"/>
    <x v="49"/>
    <s v="CUST-0228"/>
    <s v="PROD-003"/>
    <x v="0"/>
    <n v="8"/>
    <n v="3570"/>
    <n v="8.5"/>
    <n v="26132.400000000001"/>
    <s v="Completed"/>
    <s v="Pune"/>
    <x v="4"/>
    <s v="Corporate"/>
    <n v="37"/>
    <x v="0"/>
    <s v="R007"/>
    <n v="855749.67999999982"/>
    <x v="0"/>
  </r>
  <r>
    <s v="ORD-00933"/>
    <x v="25"/>
    <s v="CUST-0095"/>
    <s v="PROD-002"/>
    <x v="2"/>
    <n v="7"/>
    <n v="2600"/>
    <n v="27.1"/>
    <n v="13267.8"/>
    <s v="Completed"/>
    <s v="Mumbai"/>
    <x v="4"/>
    <s v="SMB"/>
    <n v="54"/>
    <x v="1"/>
    <s v="R014"/>
    <n v="995713.54000000015"/>
    <x v="1"/>
  </r>
  <r>
    <s v="ORD-00934"/>
    <x v="33"/>
    <s v="CUST-0175"/>
    <s v="PROD-053"/>
    <x v="17"/>
    <n v="6"/>
    <n v="470"/>
    <n v="2.4"/>
    <n v="2752.32"/>
    <s v="Pending"/>
    <s v="Delhi"/>
    <x v="1"/>
    <s v="Corporate"/>
    <n v="55"/>
    <x v="2"/>
    <s v="R026"/>
    <n v="576305.08000000019"/>
    <x v="2"/>
  </r>
  <r>
    <s v="ORD-00935"/>
    <x v="2"/>
    <s v="CUST-0270"/>
    <s v="PROD-053"/>
    <x v="5"/>
    <n v="3"/>
    <n v="470"/>
    <n v="6.3"/>
    <n v="1321.17"/>
    <s v="Completed"/>
    <s v="Bengaluru"/>
    <x v="1"/>
    <s v="Retail"/>
    <n v="29"/>
    <x v="2"/>
    <s v="R025"/>
    <n v="901298.89"/>
    <x v="2"/>
  </r>
  <r>
    <s v="ORD-00936"/>
    <x v="326"/>
    <s v="CUST-0105"/>
    <s v="PROD-059"/>
    <x v="10"/>
    <n v="3"/>
    <n v="3780"/>
    <n v="19.399999999999999"/>
    <n v="9140.0400000000009"/>
    <s v="Pending"/>
    <s v="Chennai"/>
    <x v="1"/>
    <s v="SMB"/>
    <n v="51"/>
    <x v="0"/>
    <s v="R004"/>
    <n v="589026.2899999998"/>
    <x v="0"/>
  </r>
  <r>
    <s v="ORD-00937"/>
    <x v="40"/>
    <s v="CUST-0147"/>
    <s v="PROD-056"/>
    <x v="7"/>
    <n v="5"/>
    <n v="6940"/>
    <n v="12.6"/>
    <n v="30327.8"/>
    <s v="Completed"/>
    <s v="Pune"/>
    <x v="1"/>
    <s v="Retail"/>
    <n v="56"/>
    <x v="3"/>
    <s v="R019"/>
    <n v="971183.52000000014"/>
    <x v="3"/>
  </r>
  <r>
    <s v="ORD-00938"/>
    <x v="194"/>
    <s v="CUST-0106"/>
    <s v="PROD-004"/>
    <x v="14"/>
    <n v="2"/>
    <n v="3870"/>
    <n v="10.5"/>
    <n v="6927.3"/>
    <s v="Completed"/>
    <s v="Pune"/>
    <x v="4"/>
    <s v="Retail"/>
    <n v="22"/>
    <x v="2"/>
    <s v="R030"/>
    <n v="747624.36999999988"/>
    <x v="2"/>
  </r>
  <r>
    <s v="ORD-00939"/>
    <x v="340"/>
    <s v="CUST-0130"/>
    <s v="PROD-052"/>
    <x v="2"/>
    <n v="8"/>
    <n v="5410"/>
    <n v="28.4"/>
    <n v="30988.48"/>
    <s v="Pending"/>
    <s v="Bengaluru"/>
    <x v="1"/>
    <s v="Corporate"/>
    <n v="41"/>
    <x v="1"/>
    <s v="R014"/>
    <n v="995713.54000000015"/>
    <x v="1"/>
  </r>
  <r>
    <s v="ORD-00940"/>
    <x v="221"/>
    <s v="CUST-0241"/>
    <s v="PROD-006"/>
    <x v="14"/>
    <n v="7"/>
    <n v="3970"/>
    <n v="12.3"/>
    <n v="24371.83"/>
    <s v="Completed"/>
    <s v="Pune"/>
    <x v="4"/>
    <s v="Corporate"/>
    <n v="47"/>
    <x v="2"/>
    <s v="R030"/>
    <n v="747624.36999999988"/>
    <x v="2"/>
  </r>
  <r>
    <s v="ORD-00941"/>
    <x v="294"/>
    <s v="CUST-0151"/>
    <s v="PROD-056"/>
    <x v="19"/>
    <n v="5"/>
    <n v="6940"/>
    <n v="1.5"/>
    <n v="34179.5"/>
    <s v="Completed"/>
    <s v="Mumbai"/>
    <x v="1"/>
    <s v="Retail"/>
    <n v="53"/>
    <x v="0"/>
    <s v="R001"/>
    <n v="789849.60000000009"/>
    <x v="0"/>
  </r>
  <r>
    <s v="ORD-00942"/>
    <x v="110"/>
    <s v="CUST-0022"/>
    <s v="PROD-012"/>
    <x v="3"/>
    <n v="7"/>
    <n v="3160"/>
    <n v="2.4"/>
    <n v="21589.119999999999"/>
    <s v="Refunded"/>
    <s v="Bengaluru"/>
    <x v="0"/>
    <s v="Corporate"/>
    <n v="55"/>
    <x v="0"/>
    <s v="R006"/>
    <n v="1138648.73"/>
    <x v="0"/>
  </r>
  <r>
    <s v="ORD-00943"/>
    <x v="255"/>
    <s v="CUST-0030"/>
    <s v="PROD-020"/>
    <x v="6"/>
    <n v="2"/>
    <n v="820"/>
    <n v="8.1"/>
    <n v="1507.16"/>
    <s v="Completed"/>
    <s v="Bengaluru"/>
    <x v="0"/>
    <s v="Corporate"/>
    <n v="43"/>
    <x v="2"/>
    <s v="R024"/>
    <n v="819558.58"/>
    <x v="2"/>
  </r>
  <r>
    <s v="ORD-00944"/>
    <x v="237"/>
    <s v="CUST-0176"/>
    <s v="PROD-041"/>
    <x v="14"/>
    <n v="2"/>
    <n v="1540"/>
    <n v="17.7"/>
    <n v="2534.84"/>
    <s v="Completed"/>
    <s v="Bengaluru"/>
    <x v="5"/>
    <s v="SMB"/>
    <n v="34"/>
    <x v="2"/>
    <s v="R030"/>
    <n v="747624.36999999988"/>
    <x v="2"/>
  </r>
  <r>
    <s v="ORD-00945"/>
    <x v="310"/>
    <s v="CUST-0270"/>
    <s v="PROD-004"/>
    <x v="19"/>
    <n v="10"/>
    <n v="3870"/>
    <n v="12.2"/>
    <n v="33978.6"/>
    <s v="Refunded"/>
    <s v="Bengaluru"/>
    <x v="4"/>
    <s v="Retail"/>
    <n v="29"/>
    <x v="0"/>
    <s v="R001"/>
    <n v="789849.60000000009"/>
    <x v="0"/>
  </r>
  <r>
    <s v="ORD-00946"/>
    <x v="56"/>
    <s v="CUST-0216"/>
    <s v="PROD-008"/>
    <x v="25"/>
    <n v="7"/>
    <n v="2660"/>
    <n v="4.7"/>
    <n v="17744.86"/>
    <s v="Completed"/>
    <s v="Mumbai"/>
    <x v="4"/>
    <s v="Retail"/>
    <n v="50"/>
    <x v="0"/>
    <s v="R002"/>
    <n v="980063.65999999968"/>
    <x v="0"/>
  </r>
  <r>
    <s v="ORD-00947"/>
    <x v="313"/>
    <s v="CUST-0187"/>
    <s v="PROD-003"/>
    <x v="18"/>
    <n v="4"/>
    <n v="3570"/>
    <n v="19.3"/>
    <n v="11523.96"/>
    <s v="Completed"/>
    <s v="Chennai"/>
    <x v="4"/>
    <s v="SMB"/>
    <n v="51"/>
    <x v="1"/>
    <s v="R009"/>
    <n v="914554.71999999986"/>
    <x v="1"/>
  </r>
  <r>
    <s v="ORD-00948"/>
    <x v="274"/>
    <s v="CUST-0143"/>
    <s v="PROD-033"/>
    <x v="25"/>
    <n v="2"/>
    <n v="2030"/>
    <n v="2.6"/>
    <n v="3954.44"/>
    <s v="Completed"/>
    <s v="Chennai"/>
    <x v="3"/>
    <s v="SMB"/>
    <n v="52"/>
    <x v="0"/>
    <s v="R002"/>
    <n v="980063.65999999968"/>
    <x v="0"/>
  </r>
  <r>
    <s v="ORD-00949"/>
    <x v="273"/>
    <s v="CUST-0104"/>
    <s v="PROD-012"/>
    <x v="22"/>
    <n v="6"/>
    <n v="3160"/>
    <n v="25.8"/>
    <n v="14068.32"/>
    <s v="Completed"/>
    <s v="Hyderabad"/>
    <x v="0"/>
    <s v="Corporate"/>
    <n v="43"/>
    <x v="1"/>
    <s v="R013"/>
    <n v="811524.37999999989"/>
    <x v="1"/>
  </r>
  <r>
    <s v="ORD-00950"/>
    <x v="157"/>
    <s v="CUST-0121"/>
    <s v="PROD-034"/>
    <x v="2"/>
    <n v="4"/>
    <n v="5080"/>
    <n v="2"/>
    <n v="19913.599999999999"/>
    <s v="Completed"/>
    <s v=" Delhi "/>
    <x v="3"/>
    <s v="SMB"/>
    <n v="55"/>
    <x v="1"/>
    <s v="R014"/>
    <n v="995713.54000000015"/>
    <x v="1"/>
  </r>
  <r>
    <s v="ORD-00951"/>
    <x v="322"/>
    <s v="CUST-0228"/>
    <s v="PROD-047"/>
    <x v="9"/>
    <n v="6"/>
    <n v="3450"/>
    <n v="1.8"/>
    <n v="20327.400000000001"/>
    <s v="Cancelled"/>
    <s v="Pune"/>
    <x v="5"/>
    <s v="Corporate"/>
    <n v="37"/>
    <x v="1"/>
    <s v="R010"/>
    <n v="880345.20000000007"/>
    <x v="1"/>
  </r>
  <r>
    <s v="ORD-00952"/>
    <x v="189"/>
    <s v="CUST-0218"/>
    <s v="PROD-051"/>
    <x v="29"/>
    <n v="3"/>
    <n v="3450"/>
    <n v="4.7"/>
    <n v="9863.5499999999993"/>
    <s v="Pending"/>
    <s v="Mumbai"/>
    <x v="1"/>
    <s v="Retail"/>
    <n v="39"/>
    <x v="1"/>
    <s v="R016"/>
    <n v="814563.7100000002"/>
    <x v="1"/>
  </r>
  <r>
    <s v="ORD-00953"/>
    <x v="27"/>
    <s v="CUST-0118"/>
    <s v="PROD-001"/>
    <x v="28"/>
    <n v="7"/>
    <n v="5330"/>
    <n v="16.399999999999999"/>
    <n v="31191.16"/>
    <s v="Completed"/>
    <s v="Hyderabad"/>
    <x v="4"/>
    <s v="Retail"/>
    <n v="26"/>
    <x v="2"/>
    <s v="R027"/>
    <n v="917092.61999999965"/>
    <x v="2"/>
  </r>
  <r>
    <s v="ORD-00954"/>
    <x v="190"/>
    <s v="CUST-0262"/>
    <s v="PROD-029"/>
    <x v="11"/>
    <n v="6"/>
    <n v="2210"/>
    <n v="13.1"/>
    <n v="11522.94"/>
    <s v="Completed"/>
    <s v="Mumbai"/>
    <x v="2"/>
    <s v="Retail"/>
    <n v="52"/>
    <x v="0"/>
    <s v="R003"/>
    <n v="986692.91"/>
    <x v="0"/>
  </r>
  <r>
    <s v="ORD-00955"/>
    <x v="133"/>
    <s v="CUST-0137"/>
    <s v="PROD-040"/>
    <x v="17"/>
    <n v="8"/>
    <n v="1080"/>
    <n v="8.6999999999999993"/>
    <n v="7888.32"/>
    <s v="Completed"/>
    <s v="Mumbai"/>
    <x v="3"/>
    <s v="Retail"/>
    <n v="41"/>
    <x v="2"/>
    <s v="R026"/>
    <n v="576305.08000000019"/>
    <x v="2"/>
  </r>
  <r>
    <s v="ORD-00956"/>
    <x v="185"/>
    <s v="CUST-0145"/>
    <s v="PROD-014"/>
    <x v="15"/>
    <n v="5"/>
    <n v="3620"/>
    <n v="16.100000000000001"/>
    <n v="15185.9"/>
    <s v="Completed"/>
    <s v="Bengaluru"/>
    <x v="0"/>
    <s v="SMB"/>
    <n v="44"/>
    <x v="1"/>
    <s v="R015"/>
    <n v="1091740.1799999997"/>
    <x v="1"/>
  </r>
  <r>
    <s v="ORD-00957"/>
    <x v="64"/>
    <s v="CUST-0275"/>
    <s v="PROD-018"/>
    <x v="23"/>
    <n v="7"/>
    <n v="3560"/>
    <n v="8.5"/>
    <n v="22801.8"/>
    <s v="Completed"/>
    <s v="Mumbai"/>
    <x v="0"/>
    <s v="Retail"/>
    <n v="36"/>
    <x v="1"/>
    <s v="R011"/>
    <n v="735207.75999999989"/>
    <x v="1"/>
  </r>
  <r>
    <s v="ORD-00958"/>
    <x v="263"/>
    <s v="CUST-0189"/>
    <s v="PROD-033"/>
    <x v="5"/>
    <n v="8"/>
    <n v="2030"/>
    <n v="18.100000000000001"/>
    <n v="13300.56"/>
    <s v="Completed"/>
    <s v="Chennai"/>
    <x v="3"/>
    <s v="Retail"/>
    <n v="41"/>
    <x v="2"/>
    <s v="R025"/>
    <n v="901298.89"/>
    <x v="2"/>
  </r>
  <r>
    <s v="ORD-00959"/>
    <x v="154"/>
    <s v="CUST-0105"/>
    <s v="PROD-044"/>
    <x v="23"/>
    <n v="10"/>
    <n v="1650"/>
    <n v="7.1"/>
    <n v="15328.5"/>
    <s v="Completed"/>
    <s v="Chennai"/>
    <x v="5"/>
    <s v="SMB"/>
    <n v="51"/>
    <x v="1"/>
    <s v="R011"/>
    <n v="735207.75999999989"/>
    <x v="1"/>
  </r>
  <r>
    <s v="ORD-00960"/>
    <x v="25"/>
    <s v="CUST-0284"/>
    <s v="PROD-021"/>
    <x v="21"/>
    <n v="4"/>
    <n v="2760"/>
    <n v="17.600000000000001"/>
    <n v="9096.9599999999991"/>
    <s v="Cancelled"/>
    <s v="Hyderabad"/>
    <x v="2"/>
    <s v="SMB"/>
    <n v="65"/>
    <x v="3"/>
    <s v="R017"/>
    <n v="780384.40999999992"/>
    <x v="3"/>
  </r>
  <r>
    <s v="ORD-00961"/>
    <x v="151"/>
    <s v="CUST-0296"/>
    <s v="PROD-006"/>
    <x v="18"/>
    <n v="4"/>
    <n v="3970"/>
    <n v="4.3"/>
    <n v="15197.16"/>
    <s v="Completed"/>
    <s v="Delhi"/>
    <x v="4"/>
    <s v="Corporate"/>
    <n v="47"/>
    <x v="1"/>
    <s v="R009"/>
    <n v="914554.71999999986"/>
    <x v="1"/>
  </r>
  <r>
    <s v="ORD-00962"/>
    <x v="89"/>
    <s v="CUST-0087"/>
    <s v="PROD-050"/>
    <x v="9"/>
    <n v="2"/>
    <n v="6080"/>
    <n v="23.8"/>
    <n v="9265.92"/>
    <s v="Completed"/>
    <s v="Pune"/>
    <x v="5"/>
    <s v="SMB"/>
    <n v="49"/>
    <x v="1"/>
    <s v="R010"/>
    <n v="880345.20000000007"/>
    <x v="1"/>
  </r>
  <r>
    <s v="ORD-00963"/>
    <x v="341"/>
    <s v="CUST-0012"/>
    <s v="PROD-024"/>
    <x v="10"/>
    <n v="4"/>
    <n v="2270"/>
    <n v="28.9"/>
    <n v="6455.88"/>
    <s v="Completed"/>
    <s v="Pune"/>
    <x v="2"/>
    <s v="Retail"/>
    <n v="43"/>
    <x v="0"/>
    <s v="R004"/>
    <n v="589026.2899999998"/>
    <x v="0"/>
  </r>
  <r>
    <s v="ORD-00964"/>
    <x v="236"/>
    <s v="CUST-0241"/>
    <s v="PROD-006"/>
    <x v="10"/>
    <n v="10"/>
    <n v="3970"/>
    <n v="26.2"/>
    <n v="29298.6"/>
    <s v="Completed"/>
    <s v="Pune"/>
    <x v="4"/>
    <s v="Corporate"/>
    <n v="47"/>
    <x v="0"/>
    <s v="R004"/>
    <n v="589026.2899999998"/>
    <x v="0"/>
  </r>
  <r>
    <s v="ORD-00965"/>
    <x v="239"/>
    <s v="CUST-0133"/>
    <s v="PROD-048"/>
    <x v="22"/>
    <n v="4"/>
    <n v="5100"/>
    <n v="2.1"/>
    <n v="19971.599999999999"/>
    <s v="Completed"/>
    <s v="Chennai"/>
    <x v="5"/>
    <s v="Retail"/>
    <n v="26"/>
    <x v="1"/>
    <s v="R013"/>
    <n v="811524.37999999989"/>
    <x v="1"/>
  </r>
  <r>
    <s v="ORD-00966"/>
    <x v="49"/>
    <s v="CUST-0230"/>
    <s v="PROD-045"/>
    <x v="6"/>
    <n v="5"/>
    <n v="3020"/>
    <n v="17.3"/>
    <n v="12487.7"/>
    <s v="Completed"/>
    <s v="Pune"/>
    <x v="5"/>
    <s v="Corporate"/>
    <n v="33"/>
    <x v="2"/>
    <s v="R024"/>
    <n v="819558.58"/>
    <x v="2"/>
  </r>
  <r>
    <s v="ORD-00967"/>
    <x v="126"/>
    <s v="CUST-0126"/>
    <s v="PROD-057"/>
    <x v="29"/>
    <n v="8"/>
    <n v="960"/>
    <n v="1.3"/>
    <n v="7580.16"/>
    <s v="Cancelled"/>
    <s v="Mumbai"/>
    <x v="1"/>
    <s v="Retail"/>
    <n v="37"/>
    <x v="1"/>
    <s v="R016"/>
    <n v="814563.7100000002"/>
    <x v="1"/>
  </r>
  <r>
    <s v="ORD-00968"/>
    <x v="109"/>
    <s v="CUST-0233"/>
    <s v="PROD-019"/>
    <x v="4"/>
    <n v="9"/>
    <n v="2480"/>
    <n v="15.6"/>
    <n v="18838.080000000002"/>
    <s v="Completed"/>
    <s v="Mumbai"/>
    <x v="0"/>
    <s v="SMB"/>
    <n v="65"/>
    <x v="0"/>
    <s v="R008"/>
    <n v="861553.33"/>
    <x v="0"/>
  </r>
  <r>
    <s v="ORD-00969"/>
    <x v="286"/>
    <s v="CUST-9555"/>
    <s v="PROD-030"/>
    <x v="27"/>
    <n v="1"/>
    <n v="970"/>
    <n v="24.9"/>
    <n v="728.47"/>
    <s v="Completed"/>
    <s v="Bengaluru"/>
    <x v="2"/>
    <e v="#N/A"/>
    <e v="#N/A"/>
    <x v="1"/>
    <s v="R012"/>
    <n v="901394.32000000007"/>
    <x v="1"/>
  </r>
  <r>
    <s v="ORD-00970"/>
    <x v="38"/>
    <s v="CUST-0150"/>
    <s v="PROD-023"/>
    <x v="24"/>
    <n v="4"/>
    <n v="2380"/>
    <n v="9.5"/>
    <n v="8615.6"/>
    <s v="Cancelled"/>
    <s v="Pune"/>
    <x v="2"/>
    <s v="SMB"/>
    <n v="53"/>
    <x v="3"/>
    <s v="R022"/>
    <n v="1069570.5400000003"/>
    <x v="3"/>
  </r>
  <r>
    <s v="ORD-00971"/>
    <x v="318"/>
    <s v="CUST-0204"/>
    <s v="PROD-052"/>
    <x v="1"/>
    <n v="4"/>
    <n v="5410"/>
    <n v="18.7"/>
    <n v="17593.32"/>
    <s v="Completed"/>
    <s v="Hyderabad"/>
    <x v="1"/>
    <s v="Retail"/>
    <n v="60"/>
    <x v="0"/>
    <s v="R005"/>
    <n v="782445.33"/>
    <x v="0"/>
  </r>
  <r>
    <s v="ORD-00972"/>
    <x v="52"/>
    <s v="CUST-0040"/>
    <s v="PROD-034"/>
    <x v="24"/>
    <n v="7"/>
    <n v="5080"/>
    <n v="6.5"/>
    <n v="33248.6"/>
    <s v="Completed"/>
    <s v="Chennai"/>
    <x v="3"/>
    <s v="Retail"/>
    <n v="28"/>
    <x v="3"/>
    <s v="R022"/>
    <n v="1069570.5400000003"/>
    <x v="3"/>
  </r>
  <r>
    <s v="ORD-00973"/>
    <x v="220"/>
    <s v="CUST-0060"/>
    <s v="PROD-007"/>
    <x v="5"/>
    <n v="5"/>
    <n v="1430"/>
    <n v="19.8"/>
    <n v="5734.3"/>
    <s v="Completed"/>
    <s v="Pune"/>
    <x v="4"/>
    <s v="Retail"/>
    <n v="39"/>
    <x v="2"/>
    <s v="R025"/>
    <n v="901298.89"/>
    <x v="2"/>
  </r>
  <r>
    <s v="ORD-00974"/>
    <x v="4"/>
    <s v="CUST-0017"/>
    <s v="PROD-037"/>
    <x v="23"/>
    <n v="7"/>
    <n v="660"/>
    <n v="17.3"/>
    <n v="3820.74"/>
    <s v="Completed"/>
    <s v="Delhi"/>
    <x v="3"/>
    <s v="SMB"/>
    <n v="38"/>
    <x v="1"/>
    <s v="R011"/>
    <n v="735207.75999999989"/>
    <x v="1"/>
  </r>
  <r>
    <s v="ORD-00975"/>
    <x v="265"/>
    <s v="CUST-0093"/>
    <s v="PROD-041"/>
    <x v="10"/>
    <n v="10"/>
    <n v="1540"/>
    <n v="17.5"/>
    <n v="12705"/>
    <s v="Completed"/>
    <s v="Pune"/>
    <x v="5"/>
    <s v="Retail"/>
    <n v="36"/>
    <x v="0"/>
    <s v="R004"/>
    <n v="589026.2899999998"/>
    <x v="0"/>
  </r>
  <r>
    <s v="ORD-01662"/>
    <x v="243"/>
    <s v="CUST-0068"/>
    <s v="PROD-029"/>
    <x v="11"/>
    <n v="10"/>
    <n v="2210"/>
    <n v="24.1"/>
    <n v="16773.900000000001"/>
    <s v="Pending"/>
    <s v="Delhi"/>
    <x v="2"/>
    <s v="SMB"/>
    <n v="48"/>
    <x v="0"/>
    <s v="R003"/>
    <n v="986692.91"/>
    <x v="0"/>
  </r>
  <r>
    <s v="ORD-00977"/>
    <x v="281"/>
    <s v="CUST-0251"/>
    <s v="PROD-057"/>
    <x v="24"/>
    <n v="4"/>
    <n v="960"/>
    <n v="13.4"/>
    <n v="3325.44"/>
    <s v="Completed"/>
    <s v="Mumbai"/>
    <x v="1"/>
    <s v="Retail"/>
    <n v="44"/>
    <x v="3"/>
    <s v="R022"/>
    <n v="1069570.5400000003"/>
    <x v="3"/>
  </r>
  <r>
    <s v="ORD-00978"/>
    <x v="108"/>
    <s v="CUST-0076"/>
    <s v="PROD-047"/>
    <x v="24"/>
    <n v="8"/>
    <n v="3450"/>
    <n v="3.7"/>
    <n v="26578.799999999999"/>
    <s v="Completed"/>
    <s v="Mumbai"/>
    <x v="5"/>
    <s v="Retail"/>
    <n v="38"/>
    <x v="3"/>
    <s v="R022"/>
    <n v="1069570.5400000003"/>
    <x v="3"/>
  </r>
  <r>
    <s v="ORD-00979"/>
    <x v="214"/>
    <s v="CUST-9927"/>
    <s v="PROD-033"/>
    <x v="1"/>
    <n v="6"/>
    <n v="2030"/>
    <n v="9.5"/>
    <n v="11022.9"/>
    <s v="Completed"/>
    <s v="Mumbai"/>
    <x v="3"/>
    <e v="#N/A"/>
    <e v="#N/A"/>
    <x v="0"/>
    <s v="R005"/>
    <n v="782445.33"/>
    <x v="0"/>
  </r>
  <r>
    <s v="ORD-00980"/>
    <x v="342"/>
    <s v="CUST-0135"/>
    <s v="PROD-011"/>
    <x v="18"/>
    <n v="7"/>
    <n v="3450"/>
    <n v="28.2"/>
    <n v="17339.7"/>
    <s v="Completed"/>
    <s v="Pune"/>
    <x v="0"/>
    <s v="SMB"/>
    <n v="24"/>
    <x v="1"/>
    <s v="R009"/>
    <n v="914554.71999999986"/>
    <x v="1"/>
  </r>
  <r>
    <s v="ORD-00981"/>
    <x v="101"/>
    <s v="CUST-0163"/>
    <s v="PROD-027"/>
    <x v="23"/>
    <n v="7"/>
    <n v="3780"/>
    <n v="15.1"/>
    <n v="22464.54"/>
    <s v="Completed"/>
    <s v="Pune"/>
    <x v="2"/>
    <s v="Retail"/>
    <n v="49"/>
    <x v="1"/>
    <s v="R011"/>
    <n v="735207.75999999989"/>
    <x v="1"/>
  </r>
  <r>
    <s v="ORD-00947"/>
    <x v="53"/>
    <s v="CUST-0107"/>
    <s v="PROD-021"/>
    <x v="25"/>
    <n v="4"/>
    <n v="2760"/>
    <n v="14.8"/>
    <n v="9406.08"/>
    <s v="Completed"/>
    <s v="Pune"/>
    <x v="2"/>
    <s v="Retail"/>
    <n v="50"/>
    <x v="0"/>
    <s v="R002"/>
    <n v="980063.65999999968"/>
    <x v="0"/>
  </r>
  <r>
    <s v="ORD-00983"/>
    <x v="322"/>
    <s v="CUST-0209"/>
    <s v="PROD-041"/>
    <x v="20"/>
    <n v="4"/>
    <n v="1540"/>
    <n v="13.9"/>
    <n v="5303.76"/>
    <s v="Completed"/>
    <s v="Pune"/>
    <x v="5"/>
    <s v="Retail"/>
    <n v="31"/>
    <x v="2"/>
    <s v="R029"/>
    <n v="1016696.8000000002"/>
    <x v="2"/>
  </r>
  <r>
    <s v="ORD-00984"/>
    <x v="334"/>
    <s v="CUST-0074"/>
    <s v="PROD-031"/>
    <x v="0"/>
    <n v="2"/>
    <n v="3730"/>
    <n v="15.7"/>
    <n v="6288.78"/>
    <s v="Cancelled"/>
    <s v="Bengaluru"/>
    <x v="3"/>
    <s v="Retail"/>
    <n v="27"/>
    <x v="0"/>
    <s v="R007"/>
    <n v="855749.67999999982"/>
    <x v="0"/>
  </r>
  <r>
    <s v="ORD-00985"/>
    <x v="251"/>
    <s v="CUST-0037"/>
    <s v="PROD-031"/>
    <x v="28"/>
    <n v="4"/>
    <n v="3730"/>
    <n v="2.1"/>
    <n v="14606.68"/>
    <s v="Completed"/>
    <s v="Bengaluru"/>
    <x v="3"/>
    <s v="Retail"/>
    <n v="52"/>
    <x v="2"/>
    <s v="R027"/>
    <n v="917092.61999999965"/>
    <x v="2"/>
  </r>
  <r>
    <s v="ORD-00986"/>
    <x v="136"/>
    <s v="CUST-0026"/>
    <s v="PROD-012"/>
    <x v="22"/>
    <n v="1"/>
    <n v="3160"/>
    <n v="29.8"/>
    <n v="2218.3200000000002"/>
    <s v="Completed"/>
    <s v="Pune"/>
    <x v="0"/>
    <s v="Retail"/>
    <n v="62"/>
    <x v="1"/>
    <s v="R013"/>
    <n v="811524.37999999989"/>
    <x v="1"/>
  </r>
  <r>
    <s v="ORD-00987"/>
    <x v="227"/>
    <s v="CUST-0151"/>
    <s v="PROD-042"/>
    <x v="24"/>
    <n v="9"/>
    <n v="2290"/>
    <n v="8.3000000000000007"/>
    <n v="18899.37"/>
    <s v="Pending"/>
    <s v="Mumbai"/>
    <x v="5"/>
    <s v="Retail"/>
    <n v="53"/>
    <x v="3"/>
    <s v="R022"/>
    <n v="1069570.5400000003"/>
    <x v="3"/>
  </r>
  <r>
    <s v="ORD-00988"/>
    <x v="215"/>
    <s v="CUST-0210"/>
    <s v="PROD-004"/>
    <x v="22"/>
    <n v="2"/>
    <n v="3870"/>
    <n v="5.2"/>
    <n v="7337.52"/>
    <s v="Completed"/>
    <s v="Pune"/>
    <x v="4"/>
    <s v="Corporate"/>
    <n v="48"/>
    <x v="1"/>
    <s v="R013"/>
    <n v="811524.37999999989"/>
    <x v="1"/>
  </r>
  <r>
    <s v="ORD-00989"/>
    <x v="57"/>
    <s v="CUST-0192"/>
    <s v="PROD-003"/>
    <x v="0"/>
    <n v="5"/>
    <n v="3570"/>
    <n v="19.899999999999999"/>
    <n v="14297.85"/>
    <s v="Completed"/>
    <s v="Bengaluru"/>
    <x v="4"/>
    <s v="Retail"/>
    <n v="55"/>
    <x v="0"/>
    <s v="R007"/>
    <n v="855749.67999999982"/>
    <x v="0"/>
  </r>
  <r>
    <s v="ORD-00990"/>
    <x v="305"/>
    <s v="CUST-0161"/>
    <s v="PROD-054"/>
    <x v="19"/>
    <n v="5"/>
    <n v="1010"/>
    <n v="2.2000000000000002"/>
    <n v="4938.8999999999996"/>
    <s v="Completed"/>
    <s v="Chennai"/>
    <x v="1"/>
    <s v="Retail"/>
    <n v="38"/>
    <x v="0"/>
    <s v="R001"/>
    <n v="789849.60000000009"/>
    <x v="0"/>
  </r>
  <r>
    <s v="ORD-00991"/>
    <x v="119"/>
    <s v="CUST-0255"/>
    <s v="PROD-042"/>
    <x v="10"/>
    <n v="10"/>
    <n v="2290"/>
    <n v="16.8"/>
    <n v="19052.8"/>
    <s v="Cancelled"/>
    <s v="Chennai"/>
    <x v="5"/>
    <s v="Corporate"/>
    <n v="51"/>
    <x v="0"/>
    <s v="R004"/>
    <n v="589026.2899999998"/>
    <x v="0"/>
  </r>
  <r>
    <s v="ORD-00992"/>
    <x v="293"/>
    <s v="CUST-0027"/>
    <s v="PROD-039"/>
    <x v="7"/>
    <n v="3"/>
    <n v="4610"/>
    <n v="13.2"/>
    <n v="12004.44"/>
    <s v="Pending"/>
    <s v="Hyderabad"/>
    <x v="3"/>
    <s v="Corporate"/>
    <n v="52"/>
    <x v="3"/>
    <s v="R019"/>
    <n v="971183.52000000014"/>
    <x v="3"/>
  </r>
  <r>
    <s v="ORD-00993"/>
    <x v="320"/>
    <s v="CUST-0228"/>
    <s v="PROD-017"/>
    <x v="11"/>
    <n v="1"/>
    <n v="2510"/>
    <n v="16.899999999999999"/>
    <n v="2085.81"/>
    <s v="Completed"/>
    <s v="Pune"/>
    <x v="0"/>
    <s v="Corporate"/>
    <n v="37"/>
    <x v="0"/>
    <s v="R003"/>
    <n v="986692.91"/>
    <x v="0"/>
  </r>
  <r>
    <s v="ORD-00994"/>
    <x v="27"/>
    <s v="CUST-0183"/>
    <s v="PROD-045"/>
    <x v="18"/>
    <n v="1"/>
    <n v="3020"/>
    <n v="26.7"/>
    <n v="2213.66"/>
    <s v="Completed"/>
    <s v="Mumbai"/>
    <x v="5"/>
    <s v="SMB"/>
    <n v="27"/>
    <x v="1"/>
    <s v="R009"/>
    <n v="914554.71999999986"/>
    <x v="1"/>
  </r>
  <r>
    <s v="ORD-00995"/>
    <x v="343"/>
    <s v="CUST-0026"/>
    <s v="PROD-060"/>
    <x v="27"/>
    <n v="6"/>
    <n v="190"/>
    <n v="7.1"/>
    <n v="1059.06"/>
    <s v="Completed"/>
    <s v="Pune"/>
    <x v="1"/>
    <s v="Retail"/>
    <n v="62"/>
    <x v="1"/>
    <s v="R012"/>
    <n v="901394.32000000007"/>
    <x v="1"/>
  </r>
  <r>
    <s v="ORD-00996"/>
    <x v="201"/>
    <s v="CUST-0211"/>
    <s v="PROD-033"/>
    <x v="25"/>
    <n v="6"/>
    <n v="2030"/>
    <n v="13.5"/>
    <n v="10535.7"/>
    <s v="Cancelled"/>
    <s v="Bengaluru"/>
    <x v="3"/>
    <s v="Retail"/>
    <n v="36"/>
    <x v="0"/>
    <s v="R002"/>
    <n v="980063.65999999968"/>
    <x v="0"/>
  </r>
  <r>
    <s v="ORD-00997"/>
    <x v="74"/>
    <s v="CUST-0190"/>
    <s v="PROD-036"/>
    <x v="27"/>
    <n v="10"/>
    <n v="3250"/>
    <n v="8.6999999999999993"/>
    <n v="29672.5"/>
    <s v="Completed"/>
    <s v="Hyderabad"/>
    <x v="3"/>
    <s v="Retail"/>
    <n v="52"/>
    <x v="1"/>
    <s v="R012"/>
    <n v="901394.32000000007"/>
    <x v="1"/>
  </r>
  <r>
    <s v="ORD-00998"/>
    <x v="193"/>
    <s v="CUST-0172"/>
    <s v="PROD-033"/>
    <x v="20"/>
    <n v="9"/>
    <n v="2030"/>
    <n v="29.3"/>
    <n v="12916.89"/>
    <s v="Completed"/>
    <s v="Pune"/>
    <x v="3"/>
    <s v="Retail"/>
    <n v="65"/>
    <x v="2"/>
    <s v="R029"/>
    <n v="1016696.8000000002"/>
    <x v="2"/>
  </r>
  <r>
    <s v="ORD-00999"/>
    <x v="82"/>
    <s v="CUST-0272"/>
    <s v="PROD-023"/>
    <x v="5"/>
    <n v="1"/>
    <n v="2380"/>
    <n v="12.9"/>
    <n v="2072.98"/>
    <s v="Completed"/>
    <s v="Mumbai"/>
    <x v="2"/>
    <s v="SMB"/>
    <n v="47"/>
    <x v="2"/>
    <s v="R025"/>
    <n v="901298.89"/>
    <x v="2"/>
  </r>
  <r>
    <s v="ORD-01000"/>
    <x v="126"/>
    <s v="CUST-0232"/>
    <s v="PROD-011"/>
    <x v="6"/>
    <n v="10"/>
    <n v="3450"/>
    <n v="18.5"/>
    <n v="28117.5"/>
    <s v="Completed"/>
    <s v="Hyderabad"/>
    <x v="0"/>
    <s v="Retail"/>
    <n v="38"/>
    <x v="2"/>
    <s v="R024"/>
    <n v="819558.58"/>
    <x v="2"/>
  </r>
  <r>
    <s v="ORD-01001"/>
    <x v="66"/>
    <s v="CUST-0282"/>
    <s v="PROD-012"/>
    <x v="25"/>
    <n v="10"/>
    <n v="3160"/>
    <n v="26.3"/>
    <n v="23289.200000000001"/>
    <s v="Completed"/>
    <s v="Hyderabad"/>
    <x v="0"/>
    <s v="Corporate"/>
    <n v="29"/>
    <x v="0"/>
    <s v="R002"/>
    <n v="980063.65999999968"/>
    <x v="0"/>
  </r>
  <r>
    <s v="ORD-01002"/>
    <x v="101"/>
    <s v="CUST-0164"/>
    <s v="PROD-038"/>
    <x v="17"/>
    <n v="10"/>
    <n v="5490"/>
    <n v="22.7"/>
    <n v="42437.7"/>
    <s v="Completed"/>
    <s v="Chennai"/>
    <x v="3"/>
    <s v="Retail"/>
    <n v="60"/>
    <x v="2"/>
    <s v="R026"/>
    <n v="576305.08000000019"/>
    <x v="2"/>
  </r>
  <r>
    <s v="ORD-01003"/>
    <x v="232"/>
    <s v="CUST-0212"/>
    <s v="PROD-055"/>
    <x v="3"/>
    <n v="8"/>
    <n v="2860"/>
    <n v="14.3"/>
    <n v="19608.16"/>
    <s v="Completed"/>
    <s v="Chennai"/>
    <x v="1"/>
    <s v="SMB"/>
    <n v="46"/>
    <x v="0"/>
    <s v="R006"/>
    <n v="1138648.73"/>
    <x v="0"/>
  </r>
  <r>
    <s v="ORD-01004"/>
    <x v="104"/>
    <s v="CUST-0234"/>
    <s v="PROD-049"/>
    <x v="23"/>
    <n v="1"/>
    <n v="960"/>
    <n v="11.9"/>
    <n v="845.76"/>
    <s v="Completed"/>
    <s v="Bengaluru"/>
    <x v="5"/>
    <s v="Retail"/>
    <n v="34"/>
    <x v="1"/>
    <s v="R011"/>
    <n v="735207.75999999989"/>
    <x v="1"/>
  </r>
  <r>
    <s v="ORD-01005"/>
    <x v="195"/>
    <s v="CUST-0292"/>
    <s v="PROD-040"/>
    <x v="0"/>
    <n v="3"/>
    <n v="1080"/>
    <n v="26"/>
    <n v="2397.6"/>
    <s v="Completed"/>
    <s v="Bengaluru"/>
    <x v="3"/>
    <s v="Retail"/>
    <n v="32"/>
    <x v="0"/>
    <s v="R007"/>
    <n v="855749.67999999982"/>
    <x v="0"/>
  </r>
  <r>
    <s v="ORD-01006"/>
    <x v="65"/>
    <s v="CUST-0018"/>
    <s v="PROD-055"/>
    <x v="19"/>
    <n v="10"/>
    <n v="2860"/>
    <n v="13.1"/>
    <n v="24853.4"/>
    <s v="Refunded"/>
    <s v="Pune"/>
    <x v="1"/>
    <s v="SMB"/>
    <n v="54"/>
    <x v="0"/>
    <s v="R001"/>
    <n v="789849.60000000009"/>
    <x v="0"/>
  </r>
  <r>
    <s v="ORD-01007"/>
    <x v="316"/>
    <s v="CUST-0220"/>
    <s v="PROD-013"/>
    <x v="19"/>
    <n v="3"/>
    <n v="3640"/>
    <n v="18.2"/>
    <n v="8932.56"/>
    <s v="Completed"/>
    <s v="Chennai"/>
    <x v="0"/>
    <s v="Retail"/>
    <n v="34"/>
    <x v="0"/>
    <s v="R001"/>
    <n v="789849.60000000009"/>
    <x v="0"/>
  </r>
  <r>
    <s v="ORD-01008"/>
    <x v="171"/>
    <s v="CUST-0064"/>
    <s v="PROD-015"/>
    <x v="26"/>
    <n v="3"/>
    <n v="2720"/>
    <n v="3.6"/>
    <n v="7866.24"/>
    <s v="Completed"/>
    <s v="Hyderabad"/>
    <x v="0"/>
    <s v="SMB"/>
    <n v="40"/>
    <x v="3"/>
    <s v="R018"/>
    <n v="1112289.6400000001"/>
    <x v="3"/>
  </r>
  <r>
    <s v="ORD-01009"/>
    <x v="316"/>
    <s v="CUST-0077"/>
    <s v="PROD-024"/>
    <x v="4"/>
    <n v="4"/>
    <n v="2270"/>
    <n v="18.399999999999999"/>
    <n v="7409.28"/>
    <s v="Completed"/>
    <s v="Hyderabad"/>
    <x v="2"/>
    <s v="SMB"/>
    <n v="48"/>
    <x v="0"/>
    <s v="R008"/>
    <n v="861553.33"/>
    <x v="0"/>
  </r>
  <r>
    <s v="ORD-01010"/>
    <x v="64"/>
    <s v="CUST-0229"/>
    <s v="PROD-009"/>
    <x v="20"/>
    <n v="5"/>
    <n v="1220"/>
    <n v="13.9"/>
    <n v="5252.1"/>
    <s v="Completed"/>
    <s v="Hyderabad"/>
    <x v="4"/>
    <s v="SMB"/>
    <n v="25"/>
    <x v="2"/>
    <s v="R029"/>
    <n v="1016696.8000000002"/>
    <x v="2"/>
  </r>
  <r>
    <s v="ORD-01011"/>
    <x v="21"/>
    <s v="CUST-0129"/>
    <s v="PROD-010"/>
    <x v="15"/>
    <n v="8"/>
    <n v="2640"/>
    <n v="17.3"/>
    <n v="17466.240000000002"/>
    <s v="Completed"/>
    <s v="Hyderabad"/>
    <x v="4"/>
    <s v="Retail"/>
    <n v="29"/>
    <x v="1"/>
    <s v="R015"/>
    <n v="1091740.1799999997"/>
    <x v="1"/>
  </r>
  <r>
    <s v="ORD-01012"/>
    <x v="66"/>
    <s v="CUST-0145"/>
    <s v="PROD-030"/>
    <x v="15"/>
    <n v="1"/>
    <n v="970"/>
    <n v="28"/>
    <n v="698.4"/>
    <s v="Cancelled"/>
    <s v="Bengaluru"/>
    <x v="2"/>
    <s v="SMB"/>
    <n v="44"/>
    <x v="1"/>
    <s v="R015"/>
    <n v="1091740.1799999997"/>
    <x v="1"/>
  </r>
  <r>
    <s v="ORD-01013"/>
    <x v="243"/>
    <s v="CUST-0258"/>
    <s v="PROD-031"/>
    <x v="5"/>
    <n v="8"/>
    <n v="3730"/>
    <n v="2.1"/>
    <n v="29213.360000000001"/>
    <s v="Refunded"/>
    <s v="Pune"/>
    <x v="3"/>
    <s v="Retail"/>
    <n v="44"/>
    <x v="2"/>
    <s v="R025"/>
    <n v="901298.89"/>
    <x v="2"/>
  </r>
  <r>
    <s v="ORD-01014"/>
    <x v="311"/>
    <s v="CUST-0209"/>
    <s v="PROD-030"/>
    <x v="6"/>
    <n v="7"/>
    <n v="970"/>
    <n v="25.5"/>
    <n v="5058.55"/>
    <s v="Completed"/>
    <s v="Pune"/>
    <x v="2"/>
    <s v="Retail"/>
    <n v="31"/>
    <x v="2"/>
    <s v="R024"/>
    <n v="819558.58"/>
    <x v="2"/>
  </r>
  <r>
    <s v="ORD-01015"/>
    <x v="125"/>
    <s v="CUST-0131"/>
    <s v="PROD-003"/>
    <x v="24"/>
    <n v="6"/>
    <n v="3570"/>
    <n v="9.9"/>
    <n v="19299.419999999998"/>
    <s v="Completed"/>
    <s v="Delhi"/>
    <x v="4"/>
    <s v="SMB"/>
    <n v="28"/>
    <x v="3"/>
    <s v="R022"/>
    <n v="1069570.5400000003"/>
    <x v="3"/>
  </r>
  <r>
    <s v="ORD-01016"/>
    <x v="111"/>
    <s v="CUST-0276"/>
    <s v="PROD-030"/>
    <x v="29"/>
    <n v="6"/>
    <n v="970"/>
    <n v="19.600000000000001"/>
    <n v="4679.28"/>
    <s v="Completed"/>
    <s v="Chennai"/>
    <x v="2"/>
    <s v="Retail"/>
    <n v="26"/>
    <x v="1"/>
    <s v="R016"/>
    <n v="814563.7100000002"/>
    <x v="1"/>
  </r>
  <r>
    <s v="ORD-01017"/>
    <x v="211"/>
    <s v="CUST-0283"/>
    <s v="PROD-059"/>
    <x v="23"/>
    <n v="8"/>
    <n v="3780"/>
    <n v="26.5"/>
    <n v="22226.400000000001"/>
    <s v="Completed"/>
    <s v="Delhi"/>
    <x v="1"/>
    <s v="SMB"/>
    <n v="50"/>
    <x v="1"/>
    <s v="R011"/>
    <n v="735207.75999999989"/>
    <x v="1"/>
  </r>
  <r>
    <s v="ORD-01018"/>
    <x v="72"/>
    <s v="CUST-0195"/>
    <s v="PROD-058"/>
    <x v="23"/>
    <n v="6"/>
    <n v="2400"/>
    <n v="1.4"/>
    <n v="14198.4"/>
    <s v="Completed"/>
    <s v="Bengaluru"/>
    <x v="1"/>
    <s v="Retail"/>
    <n v="28"/>
    <x v="1"/>
    <s v="R011"/>
    <n v="735207.75999999989"/>
    <x v="1"/>
  </r>
  <r>
    <s v="ORD-01019"/>
    <x v="97"/>
    <s v="CUST-0181"/>
    <s v="PROD-036"/>
    <x v="13"/>
    <n v="10"/>
    <n v="3250"/>
    <n v="19.3"/>
    <n v="26227.5"/>
    <s v="Completed"/>
    <s v="Delhi"/>
    <x v="3"/>
    <s v="SMB"/>
    <n v="38"/>
    <x v="3"/>
    <s v="R021"/>
    <n v="761507.17000000027"/>
    <x v="3"/>
  </r>
  <r>
    <s v="ORD-01020"/>
    <x v="260"/>
    <s v="CUST-0149"/>
    <s v="PROD-021"/>
    <x v="2"/>
    <n v="7"/>
    <n v="2760"/>
    <n v="23.6"/>
    <n v="14760.48"/>
    <s v="Pending"/>
    <s v="Hyderabad"/>
    <x v="2"/>
    <s v="Retail"/>
    <n v="44"/>
    <x v="1"/>
    <s v="R014"/>
    <n v="995713.54000000015"/>
    <x v="1"/>
  </r>
  <r>
    <s v="ORD-01021"/>
    <x v="113"/>
    <s v="CUST-0152"/>
    <s v="PROD-003"/>
    <x v="19"/>
    <n v="3"/>
    <n v="3570"/>
    <n v="26.3"/>
    <n v="7893.27"/>
    <s v="Completed"/>
    <s v="Bengaluru"/>
    <x v="4"/>
    <s v="SMB"/>
    <n v="64"/>
    <x v="0"/>
    <s v="R001"/>
    <n v="789849.60000000009"/>
    <x v="0"/>
  </r>
  <r>
    <s v="ORD-01022"/>
    <x v="40"/>
    <s v="CUST-0085"/>
    <s v="PROD-027"/>
    <x v="15"/>
    <n v="4"/>
    <n v="3780"/>
    <n v="10.1"/>
    <n v="13592.88"/>
    <s v="Completed"/>
    <s v="Chennai"/>
    <x v="2"/>
    <s v="Retail"/>
    <n v="26"/>
    <x v="1"/>
    <s v="R015"/>
    <n v="1091740.1799999997"/>
    <x v="1"/>
  </r>
  <r>
    <s v="ORD-01023"/>
    <x v="77"/>
    <s v="CUST-0231"/>
    <s v="PROD-007"/>
    <x v="7"/>
    <n v="10"/>
    <n v="1430"/>
    <n v="3.7"/>
    <n v="13770.9"/>
    <s v="Completed"/>
    <s v="Chennai"/>
    <x v="4"/>
    <s v="Retail"/>
    <n v="61"/>
    <x v="3"/>
    <s v="R019"/>
    <n v="971183.52000000014"/>
    <x v="3"/>
  </r>
  <r>
    <s v="ORD-01024"/>
    <x v="91"/>
    <s v="CUST-0044"/>
    <s v="PROD-022"/>
    <x v="23"/>
    <n v="6"/>
    <n v="2270"/>
    <n v="7.9"/>
    <n v="12544.02"/>
    <s v="Refunded"/>
    <s v="Hyderabad"/>
    <x v="2"/>
    <s v="SMB"/>
    <n v="29"/>
    <x v="1"/>
    <s v="R011"/>
    <n v="735207.75999999989"/>
    <x v="1"/>
  </r>
  <r>
    <s v="ORD-01025"/>
    <x v="5"/>
    <s v="CUST-0027"/>
    <s v="PROD-054"/>
    <x v="22"/>
    <n v="1"/>
    <n v="1010"/>
    <n v="6.9"/>
    <n v="940.31"/>
    <s v="Pending"/>
    <s v="Hyderabad"/>
    <x v="1"/>
    <s v="Corporate"/>
    <n v="52"/>
    <x v="1"/>
    <s v="R013"/>
    <n v="811524.37999999989"/>
    <x v="1"/>
  </r>
  <r>
    <s v="ORD-01026"/>
    <x v="91"/>
    <s v="CUST-0101"/>
    <s v="PROD-055"/>
    <x v="2"/>
    <n v="2"/>
    <n v="2860"/>
    <n v="20.100000000000001"/>
    <n v="4570.28"/>
    <s v="Completed"/>
    <s v="Hyderabad"/>
    <x v="1"/>
    <s v="SMB"/>
    <n v="40"/>
    <x v="1"/>
    <s v="R014"/>
    <n v="995713.54000000015"/>
    <x v="1"/>
  </r>
  <r>
    <s v="ORD-01027"/>
    <x v="76"/>
    <s v="CUST-0123"/>
    <s v="PROD-002"/>
    <x v="7"/>
    <n v="9"/>
    <n v="2600"/>
    <n v="15.9"/>
    <n v="19679.400000000001"/>
    <s v="Cancelled"/>
    <s v="Chennai"/>
    <x v="4"/>
    <s v="Corporate"/>
    <n v="44"/>
    <x v="3"/>
    <s v="R019"/>
    <n v="971183.52000000014"/>
    <x v="3"/>
  </r>
  <r>
    <s v="ORD-01028"/>
    <x v="132"/>
    <s v="CUST-0124"/>
    <s v="PROD-053"/>
    <x v="6"/>
    <n v="10"/>
    <n v="470"/>
    <n v="23.1"/>
    <n v="3614.3"/>
    <s v="Pending"/>
    <s v="Pune"/>
    <x v="1"/>
    <s v="Retail"/>
    <n v="57"/>
    <x v="2"/>
    <s v="R024"/>
    <n v="819558.58"/>
    <x v="2"/>
  </r>
  <r>
    <s v="ORD-01029"/>
    <x v="185"/>
    <s v="CUST-0159"/>
    <s v="PROD-037"/>
    <x v="22"/>
    <n v="10"/>
    <n v="660"/>
    <n v="9.4"/>
    <n v="5979.6"/>
    <s v="Completed"/>
    <s v="Hyderabad"/>
    <x v="3"/>
    <s v="Retail"/>
    <n v="32"/>
    <x v="1"/>
    <s v="R013"/>
    <n v="811524.37999999989"/>
    <x v="1"/>
  </r>
  <r>
    <s v="ORD-01030"/>
    <x v="246"/>
    <s v="CUST-0087"/>
    <s v="PROD-009"/>
    <x v="12"/>
    <n v="5"/>
    <n v="1220"/>
    <n v="23.3"/>
    <n v="4678.7"/>
    <s v="Completed"/>
    <s v="Pune"/>
    <x v="4"/>
    <s v="SMB"/>
    <n v="49"/>
    <x v="3"/>
    <s v="R023"/>
    <n v="983787.4800000001"/>
    <x v="3"/>
  </r>
  <r>
    <s v="ORD-01031"/>
    <x v="137"/>
    <s v="CUST-0295"/>
    <s v="PROD-036"/>
    <x v="23"/>
    <n v="9"/>
    <n v="3250"/>
    <n v="19.600000000000001"/>
    <n v="23517"/>
    <s v="Pending"/>
    <s v="Delhi"/>
    <x v="3"/>
    <s v="SMB"/>
    <n v="48"/>
    <x v="1"/>
    <s v="R011"/>
    <n v="735207.75999999989"/>
    <x v="1"/>
  </r>
  <r>
    <s v="ORD-01032"/>
    <x v="176"/>
    <s v="CUST-0211"/>
    <s v="PROD-016"/>
    <x v="26"/>
    <n v="7"/>
    <n v="620"/>
    <n v="29"/>
    <n v="3081.4"/>
    <s v="Completed"/>
    <s v="Bengaluru"/>
    <x v="0"/>
    <s v="Retail"/>
    <n v="36"/>
    <x v="3"/>
    <s v="R018"/>
    <n v="1112289.6400000001"/>
    <x v="3"/>
  </r>
  <r>
    <s v="ORD-01033"/>
    <x v="99"/>
    <s v="CUST-0265"/>
    <s v="PROD-026"/>
    <x v="3"/>
    <n v="9"/>
    <n v="4070"/>
    <n v="16.2"/>
    <n v="30695.94"/>
    <s v="Completed"/>
    <s v="Chennai"/>
    <x v="2"/>
    <s v="Retail"/>
    <n v="49"/>
    <x v="0"/>
    <s v="R006"/>
    <n v="1138648.73"/>
    <x v="0"/>
  </r>
  <r>
    <s v="ORD-01034"/>
    <x v="116"/>
    <s v="CUST-0252"/>
    <s v="PROD-012"/>
    <x v="0"/>
    <n v="8"/>
    <n v="3160"/>
    <n v="23.8"/>
    <n v="19263.36"/>
    <s v="Completed"/>
    <s v="Bengaluru"/>
    <x v="0"/>
    <s v="Retail"/>
    <n v="27"/>
    <x v="0"/>
    <s v="R007"/>
    <n v="855749.67999999982"/>
    <x v="0"/>
  </r>
  <r>
    <s v="ORD-01035"/>
    <x v="124"/>
    <s v="CUST-0180"/>
    <s v="PROD-029"/>
    <x v="24"/>
    <n v="3"/>
    <n v="2210"/>
    <n v="29.7"/>
    <n v="4660.8900000000003"/>
    <s v="Completed"/>
    <s v="Chennai"/>
    <x v="2"/>
    <s v="Retail"/>
    <n v="36"/>
    <x v="3"/>
    <s v="R022"/>
    <n v="1069570.5400000003"/>
    <x v="3"/>
  </r>
  <r>
    <s v="ORD-01036"/>
    <x v="268"/>
    <s v="CUST-0231"/>
    <s v="PROD-053"/>
    <x v="5"/>
    <n v="9"/>
    <n v="470"/>
    <n v="27.1"/>
    <n v="3083.67"/>
    <s v="Completed"/>
    <s v="Chennai"/>
    <x v="1"/>
    <s v="Retail"/>
    <n v="61"/>
    <x v="2"/>
    <s v="R025"/>
    <n v="901298.89"/>
    <x v="2"/>
  </r>
  <r>
    <s v="ORD-01037"/>
    <x v="81"/>
    <s v="CUST-0161"/>
    <s v="PROD-032"/>
    <x v="16"/>
    <n v="6"/>
    <n v="370"/>
    <n v="5.4"/>
    <n v="2100.12"/>
    <s v="Completed"/>
    <s v="Chennai"/>
    <x v="3"/>
    <s v="Retail"/>
    <n v="38"/>
    <x v="3"/>
    <s v="R020"/>
    <n v="906107.71000000008"/>
    <x v="3"/>
  </r>
  <r>
    <s v="ORD-01038"/>
    <x v="263"/>
    <s v="CUST-0249"/>
    <s v="PROD-059"/>
    <x v="26"/>
    <n v="10"/>
    <n v="3780"/>
    <n v="21.5"/>
    <n v="29673"/>
    <s v="Pending"/>
    <s v="Mumbai"/>
    <x v="1"/>
    <s v="Retail"/>
    <n v="44"/>
    <x v="3"/>
    <s v="R018"/>
    <n v="1112289.6400000001"/>
    <x v="3"/>
  </r>
  <r>
    <s v="ORD-01039"/>
    <x v="344"/>
    <s v="CUST-0048"/>
    <s v="PROD-056"/>
    <x v="18"/>
    <n v="4"/>
    <n v="6940"/>
    <n v="3.9"/>
    <n v="26677.360000000001"/>
    <s v="Cancelled"/>
    <s v="Delhi"/>
    <x v="1"/>
    <s v="Retail"/>
    <n v="59"/>
    <x v="1"/>
    <s v="R009"/>
    <n v="914554.71999999986"/>
    <x v="1"/>
  </r>
  <r>
    <s v="ORD-01040"/>
    <x v="233"/>
    <s v="CUST-0068"/>
    <s v="PROD-031"/>
    <x v="24"/>
    <n v="3"/>
    <n v="3730"/>
    <n v="20.7"/>
    <n v="8873.67"/>
    <s v="Completed"/>
    <s v="Delhi"/>
    <x v="3"/>
    <s v="SMB"/>
    <n v="48"/>
    <x v="3"/>
    <s v="R022"/>
    <n v="1069570.5400000003"/>
    <x v="3"/>
  </r>
  <r>
    <s v="ORD-01041"/>
    <x v="212"/>
    <s v="CUST-0213"/>
    <s v="PROD-034"/>
    <x v="5"/>
    <n v="8"/>
    <n v="5080"/>
    <n v="6.2"/>
    <n v="38120.32"/>
    <s v="Completed"/>
    <s v="Mumbai"/>
    <x v="3"/>
    <s v="Retail"/>
    <n v="37"/>
    <x v="2"/>
    <s v="R025"/>
    <n v="901298.89"/>
    <x v="2"/>
  </r>
  <r>
    <s v="ORD-01042"/>
    <x v="6"/>
    <s v="CUST-0159"/>
    <s v="PROD-052"/>
    <x v="19"/>
    <n v="5"/>
    <n v="5410"/>
    <n v="5.2"/>
    <n v="25643.4"/>
    <s v="Completed"/>
    <s v="Hyderabad"/>
    <x v="1"/>
    <s v="Retail"/>
    <n v="32"/>
    <x v="0"/>
    <s v="R001"/>
    <n v="789849.60000000009"/>
    <x v="0"/>
  </r>
  <r>
    <s v="ORD-01043"/>
    <x v="280"/>
    <s v="CUST-0298"/>
    <s v="PROD-015"/>
    <x v="17"/>
    <n v="6"/>
    <n v="2720"/>
    <n v="29.8"/>
    <n v="11456.64"/>
    <s v="Pending"/>
    <s v="Delhi"/>
    <x v="0"/>
    <s v="Retail"/>
    <n v="44"/>
    <x v="2"/>
    <s v="R026"/>
    <n v="576305.08000000019"/>
    <x v="2"/>
  </r>
  <r>
    <s v="ORD-01044"/>
    <x v="290"/>
    <s v="CUST-0145"/>
    <s v="PROD-009"/>
    <x v="9"/>
    <n v="1"/>
    <n v="1220"/>
    <n v="22.6"/>
    <n v="944.28"/>
    <s v="Completed"/>
    <s v="Bengaluru"/>
    <x v="4"/>
    <s v="SMB"/>
    <n v="44"/>
    <x v="1"/>
    <s v="R010"/>
    <n v="880345.20000000007"/>
    <x v="1"/>
  </r>
  <r>
    <s v="ORD-01045"/>
    <x v="93"/>
    <s v="CUST-0015"/>
    <s v="PROD-046"/>
    <x v="4"/>
    <n v="10"/>
    <n v="4880"/>
    <n v="7.3"/>
    <n v="45237.599999999999"/>
    <s v="Completed"/>
    <s v="Chennai"/>
    <x v="5"/>
    <s v="Retail"/>
    <n v="31"/>
    <x v="0"/>
    <s v="R008"/>
    <n v="861553.33"/>
    <x v="0"/>
  </r>
  <r>
    <s v="ORD-01046"/>
    <x v="216"/>
    <s v="CUST-0054"/>
    <s v="PROD-022"/>
    <x v="13"/>
    <n v="10"/>
    <n v="2270"/>
    <n v="1.6"/>
    <n v="22336.799999999999"/>
    <s v="Completed"/>
    <s v="Mumbai"/>
    <x v="2"/>
    <s v="Corporate"/>
    <n v="62"/>
    <x v="3"/>
    <s v="R021"/>
    <n v="761507.17000000027"/>
    <x v="3"/>
  </r>
  <r>
    <s v="ORD-01047"/>
    <x v="55"/>
    <s v="CUST-0150"/>
    <s v="PROD-030"/>
    <x v="11"/>
    <n v="8"/>
    <n v="970"/>
    <n v="13.1"/>
    <n v="6743.44"/>
    <s v="Completed"/>
    <s v="Pune"/>
    <x v="2"/>
    <s v="SMB"/>
    <n v="53"/>
    <x v="0"/>
    <s v="R003"/>
    <n v="986692.91"/>
    <x v="0"/>
  </r>
  <r>
    <s v="ORD-01048"/>
    <x v="34"/>
    <s v="CUST-0096"/>
    <s v="PROD-023"/>
    <x v="27"/>
    <n v="7"/>
    <n v="2380"/>
    <n v="10.6"/>
    <n v="14894.04"/>
    <s v="Cancelled"/>
    <s v="Delhi"/>
    <x v="2"/>
    <s v="Corporate"/>
    <n v="27"/>
    <x v="1"/>
    <s v="R012"/>
    <n v="901394.32000000007"/>
    <x v="1"/>
  </r>
  <r>
    <s v="ORD-01049"/>
    <x v="56"/>
    <s v="CUST-0288"/>
    <s v="PROD-014"/>
    <x v="29"/>
    <n v="6"/>
    <n v="3620"/>
    <n v="21.3"/>
    <n v="17093.64"/>
    <s v="Cancelled"/>
    <s v="Hyderabad"/>
    <x v="0"/>
    <s v="Corporate"/>
    <n v="25"/>
    <x v="1"/>
    <s v="R016"/>
    <n v="814563.7100000002"/>
    <x v="1"/>
  </r>
  <r>
    <s v="ORD-01050"/>
    <x v="122"/>
    <s v="CUST-0048"/>
    <s v="PROD-026"/>
    <x v="28"/>
    <n v="3"/>
    <n v="4070"/>
    <n v="8.1999999999999993"/>
    <n v="11208.78"/>
    <s v="Cancelled"/>
    <s v="Delhi"/>
    <x v="2"/>
    <s v="Retail"/>
    <n v="59"/>
    <x v="2"/>
    <s v="R027"/>
    <n v="917092.61999999965"/>
    <x v="2"/>
  </r>
  <r>
    <s v="ORD-01051"/>
    <x v="344"/>
    <s v="CUST-0104"/>
    <s v="PROD-048"/>
    <x v="17"/>
    <n v="8"/>
    <n v="5100"/>
    <n v="26.9"/>
    <n v="29824.799999999999"/>
    <s v="Completed"/>
    <s v="Hyderabad"/>
    <x v="5"/>
    <s v="Corporate"/>
    <n v="43"/>
    <x v="2"/>
    <s v="R026"/>
    <n v="576305.08000000019"/>
    <x v="2"/>
  </r>
  <r>
    <s v="ORD-01052"/>
    <x v="197"/>
    <s v="CUST-0054"/>
    <s v="PROD-045"/>
    <x v="21"/>
    <n v="3"/>
    <n v="3020"/>
    <n v="18.5"/>
    <n v="7383.9"/>
    <s v="Cancelled"/>
    <s v="Mumbai"/>
    <x v="5"/>
    <s v="Corporate"/>
    <n v="62"/>
    <x v="3"/>
    <s v="R017"/>
    <n v="780384.40999999992"/>
    <x v="3"/>
  </r>
  <r>
    <s v="ORD-01053"/>
    <x v="148"/>
    <s v="CUST-0158"/>
    <s v="PROD-049"/>
    <x v="25"/>
    <n v="8"/>
    <n v="960"/>
    <n v="7.1"/>
    <n v="7134.72"/>
    <s v="Completed"/>
    <s v="Pune"/>
    <x v="5"/>
    <s v="Corporate"/>
    <n v="42"/>
    <x v="0"/>
    <s v="R002"/>
    <n v="980063.65999999968"/>
    <x v="0"/>
  </r>
  <r>
    <s v="ORD-01054"/>
    <x v="266"/>
    <s v="CUST-0231"/>
    <s v="PROD-034"/>
    <x v="15"/>
    <n v="8"/>
    <n v="5080"/>
    <n v="6.2"/>
    <n v="38120.32"/>
    <s v="Completed"/>
    <s v="Chennai"/>
    <x v="3"/>
    <s v="Retail"/>
    <n v="61"/>
    <x v="1"/>
    <s v="R015"/>
    <n v="1091740.1799999997"/>
    <x v="1"/>
  </r>
  <r>
    <s v="ORD-01055"/>
    <x v="295"/>
    <s v="CUST-0277"/>
    <s v="PROD-050"/>
    <x v="9"/>
    <n v="6"/>
    <n v="6080"/>
    <n v="25.8"/>
    <n v="27068.16"/>
    <s v="Completed"/>
    <s v="Chennai"/>
    <x v="5"/>
    <s v="Corporate"/>
    <n v="34"/>
    <x v="1"/>
    <s v="R010"/>
    <n v="880345.20000000007"/>
    <x v="1"/>
  </r>
  <r>
    <s v="ORD-01056"/>
    <x v="227"/>
    <s v="CUST-0232"/>
    <s v="PROD-041"/>
    <x v="9"/>
    <n v="5"/>
    <n v="1540"/>
    <n v="24.6"/>
    <n v="5805.8"/>
    <s v="Completed"/>
    <s v="Hyderabad"/>
    <x v="5"/>
    <s v="Retail"/>
    <n v="38"/>
    <x v="1"/>
    <s v="R010"/>
    <n v="880345.20000000007"/>
    <x v="1"/>
  </r>
  <r>
    <s v="ORD-01057"/>
    <x v="280"/>
    <s v="CUST-0074"/>
    <s v="PROD-054"/>
    <x v="6"/>
    <n v="4"/>
    <n v="1010"/>
    <n v="2.9"/>
    <n v="3922.84"/>
    <s v="Pending"/>
    <s v="Bengaluru"/>
    <x v="1"/>
    <s v="Retail"/>
    <n v="27"/>
    <x v="2"/>
    <s v="R024"/>
    <n v="819558.58"/>
    <x v="2"/>
  </r>
  <r>
    <s v="ORD-01058"/>
    <x v="261"/>
    <s v="CUST-0068"/>
    <s v="PROD-049"/>
    <x v="17"/>
    <n v="5"/>
    <n v="960"/>
    <n v="11.4"/>
    <n v="4252.8"/>
    <s v="Completed"/>
    <s v="Delhi"/>
    <x v="5"/>
    <s v="SMB"/>
    <n v="48"/>
    <x v="2"/>
    <s v="R026"/>
    <n v="576305.08000000019"/>
    <x v="2"/>
  </r>
  <r>
    <s v="ORD-01059"/>
    <x v="111"/>
    <s v="CUST-0152"/>
    <s v="PROD-041"/>
    <x v="9"/>
    <n v="1"/>
    <n v="1540"/>
    <n v="5.6"/>
    <n v="1453.76"/>
    <s v="Completed"/>
    <s v="Bengaluru"/>
    <x v="5"/>
    <s v="SMB"/>
    <n v="64"/>
    <x v="1"/>
    <s v="R010"/>
    <n v="880345.20000000007"/>
    <x v="1"/>
  </r>
  <r>
    <s v="ORD-01060"/>
    <x v="245"/>
    <s v="CUST-0046"/>
    <s v="PROD-043"/>
    <x v="7"/>
    <n v="9"/>
    <n v="3350"/>
    <n v="2.1"/>
    <n v="29516.85"/>
    <s v="Completed"/>
    <s v="Delhi"/>
    <x v="5"/>
    <s v="SMB"/>
    <n v="45"/>
    <x v="3"/>
    <s v="R019"/>
    <n v="971183.52000000014"/>
    <x v="3"/>
  </r>
  <r>
    <s v="ORD-01061"/>
    <x v="260"/>
    <s v="CUST-0201"/>
    <s v="PROD-051"/>
    <x v="13"/>
    <n v="7"/>
    <n v="3450"/>
    <n v="4.7"/>
    <n v="23014.95"/>
    <s v="Completed"/>
    <s v="Hyderabad"/>
    <x v="1"/>
    <s v="Retail"/>
    <n v="31"/>
    <x v="3"/>
    <s v="R021"/>
    <n v="761507.17000000027"/>
    <x v="3"/>
  </r>
  <r>
    <s v="ORD-01062"/>
    <x v="345"/>
    <s v="CUST-0191"/>
    <s v="PROD-057"/>
    <x v="7"/>
    <n v="10"/>
    <n v="960"/>
    <n v="17.899999999999999"/>
    <n v="7881.6"/>
    <s v="Completed"/>
    <s v="Hyderabad"/>
    <x v="1"/>
    <s v="SMB"/>
    <n v="43"/>
    <x v="3"/>
    <s v="R019"/>
    <n v="971183.52000000014"/>
    <x v="3"/>
  </r>
  <r>
    <s v="ORD-01063"/>
    <x v="7"/>
    <s v="CUST-0192"/>
    <s v="PROD-013"/>
    <x v="2"/>
    <n v="1"/>
    <n v="3640"/>
    <n v="8.8000000000000007"/>
    <n v="3319.68"/>
    <s v="Completed"/>
    <s v="Bengaluru"/>
    <x v="0"/>
    <s v="Retail"/>
    <n v="55"/>
    <x v="1"/>
    <s v="R014"/>
    <n v="995713.54000000015"/>
    <x v="1"/>
  </r>
  <r>
    <s v="ORD-01064"/>
    <x v="239"/>
    <s v="CUST-0074"/>
    <s v="PROD-029"/>
    <x v="21"/>
    <n v="1"/>
    <n v="2210"/>
    <n v="10.7"/>
    <n v="1973.53"/>
    <s v="Completed"/>
    <s v="Bengaluru"/>
    <x v="2"/>
    <s v="Retail"/>
    <n v="27"/>
    <x v="3"/>
    <s v="R017"/>
    <n v="780384.40999999992"/>
    <x v="3"/>
  </r>
  <r>
    <s v="ORD-01065"/>
    <x v="125"/>
    <s v="CUST-0071"/>
    <s v="PROD-031"/>
    <x v="1"/>
    <n v="2"/>
    <n v="3730"/>
    <n v="13.9"/>
    <n v="6423.06"/>
    <s v="Completed"/>
    <s v="Delhi"/>
    <x v="3"/>
    <s v="Corporate"/>
    <n v="46"/>
    <x v="0"/>
    <s v="R005"/>
    <n v="782445.33"/>
    <x v="0"/>
  </r>
  <r>
    <s v="ORD-01066"/>
    <x v="176"/>
    <s v="CUST-0210"/>
    <s v="PROD-052"/>
    <x v="9"/>
    <n v="7"/>
    <n v="5410"/>
    <n v="23.6"/>
    <n v="28932.68"/>
    <s v="Completed"/>
    <s v="Pune"/>
    <x v="1"/>
    <s v="Corporate"/>
    <n v="48"/>
    <x v="1"/>
    <s v="R010"/>
    <n v="880345.20000000007"/>
    <x v="1"/>
  </r>
  <r>
    <s v="ORD-01067"/>
    <x v="221"/>
    <s v="CUST-0054"/>
    <s v="PROD-027"/>
    <x v="26"/>
    <n v="7"/>
    <n v="3780"/>
    <n v="8.5"/>
    <n v="24210.9"/>
    <s v="Cancelled"/>
    <s v="Mumbai"/>
    <x v="2"/>
    <s v="Corporate"/>
    <n v="62"/>
    <x v="3"/>
    <s v="R018"/>
    <n v="1112289.6400000001"/>
    <x v="3"/>
  </r>
  <r>
    <s v="ORD-01068"/>
    <x v="122"/>
    <s v="CUST-0194"/>
    <s v="PROD-039"/>
    <x v="29"/>
    <n v="9"/>
    <n v="4610"/>
    <n v="26.6"/>
    <n v="30453.66"/>
    <s v="Completed"/>
    <s v="Delhi"/>
    <x v="3"/>
    <s v="SMB"/>
    <n v="55"/>
    <x v="1"/>
    <s v="R016"/>
    <n v="814563.7100000002"/>
    <x v="1"/>
  </r>
  <r>
    <s v="ORD-01069"/>
    <x v="41"/>
    <s v="CUST-0231"/>
    <s v="PROD-010"/>
    <x v="5"/>
    <n v="5"/>
    <n v="2640"/>
    <n v="1.5"/>
    <n v="13002"/>
    <s v="Completed"/>
    <s v="Chennai"/>
    <x v="4"/>
    <s v="Retail"/>
    <n v="61"/>
    <x v="2"/>
    <s v="R025"/>
    <n v="901298.89"/>
    <x v="2"/>
  </r>
  <r>
    <s v="ORD-01070"/>
    <x v="50"/>
    <s v="CUST-0053"/>
    <s v="PROD-014"/>
    <x v="9"/>
    <n v="3"/>
    <n v="3620"/>
    <n v="3.1"/>
    <n v="10523.34"/>
    <s v="Completed"/>
    <s v="Delhi"/>
    <x v="0"/>
    <s v="Retail"/>
    <n v="53"/>
    <x v="1"/>
    <s v="R010"/>
    <n v="880345.20000000007"/>
    <x v="1"/>
  </r>
  <r>
    <s v="ORD-01071"/>
    <x v="21"/>
    <s v="CUST-0290"/>
    <s v="PROD-053"/>
    <x v="26"/>
    <n v="5"/>
    <n v="470"/>
    <n v="10.6"/>
    <n v="2100.9"/>
    <s v="Cancelled"/>
    <s v="Delhi"/>
    <x v="1"/>
    <s v="Retail"/>
    <n v="63"/>
    <x v="3"/>
    <s v="R018"/>
    <n v="1112289.6400000001"/>
    <x v="3"/>
  </r>
  <r>
    <s v="ORD-01072"/>
    <x v="113"/>
    <s v="CUST-0261"/>
    <s v="PROD-001"/>
    <x v="18"/>
    <n v="7"/>
    <n v="5330"/>
    <n v="25"/>
    <n v="27982.5"/>
    <s v="Cancelled"/>
    <s v="Delhi"/>
    <x v="4"/>
    <s v="Retail"/>
    <n v="54"/>
    <x v="1"/>
    <s v="R009"/>
    <n v="914554.71999999986"/>
    <x v="1"/>
  </r>
  <r>
    <s v="ORD-01073"/>
    <x v="346"/>
    <s v="CUST-0045"/>
    <s v="PROD-050"/>
    <x v="2"/>
    <n v="1"/>
    <n v="6080"/>
    <n v="27.8"/>
    <n v="4389.76"/>
    <s v="Completed"/>
    <s v="Chennai"/>
    <x v="5"/>
    <s v="SMB"/>
    <n v="39"/>
    <x v="1"/>
    <s v="R014"/>
    <n v="995713.54000000015"/>
    <x v="1"/>
  </r>
  <r>
    <s v="ORD-01074"/>
    <x v="324"/>
    <s v="CUST-0064"/>
    <s v="PROD-043"/>
    <x v="6"/>
    <n v="6"/>
    <n v="3350"/>
    <n v="12"/>
    <n v="17688"/>
    <s v="Completed"/>
    <s v="Hyderabad"/>
    <x v="5"/>
    <s v="SMB"/>
    <n v="40"/>
    <x v="2"/>
    <s v="R024"/>
    <n v="819558.58"/>
    <x v="2"/>
  </r>
  <r>
    <s v="ORD-01075"/>
    <x v="95"/>
    <s v="CUST-9754"/>
    <s v="PROD-056"/>
    <x v="28"/>
    <n v="6"/>
    <n v="6940"/>
    <n v="20"/>
    <n v="33312"/>
    <s v="Completed"/>
    <s v="Chennai"/>
    <x v="1"/>
    <e v="#N/A"/>
    <e v="#N/A"/>
    <x v="2"/>
    <s v="R027"/>
    <n v="917092.61999999965"/>
    <x v="2"/>
  </r>
  <r>
    <s v="ORD-01076"/>
    <x v="184"/>
    <s v="CUST-0200"/>
    <s v="PROD-032"/>
    <x v="0"/>
    <n v="1"/>
    <n v="370"/>
    <n v="10"/>
    <n v="333"/>
    <s v="Completed"/>
    <s v="Hyderabad"/>
    <x v="3"/>
    <s v="Corporate"/>
    <n v="46"/>
    <x v="0"/>
    <s v="R007"/>
    <n v="855749.67999999982"/>
    <x v="0"/>
  </r>
  <r>
    <s v="ORD-01077"/>
    <x v="39"/>
    <s v="CUST-0058"/>
    <s v="PROD-038"/>
    <x v="16"/>
    <n v="2"/>
    <n v="5490"/>
    <n v="27.9"/>
    <n v="7916.58"/>
    <s v="Completed"/>
    <s v="Bengaluru"/>
    <x v="3"/>
    <s v="SMB"/>
    <n v="49"/>
    <x v="3"/>
    <s v="R020"/>
    <n v="906107.71000000008"/>
    <x v="3"/>
  </r>
  <r>
    <s v="ORD-01078"/>
    <x v="319"/>
    <s v="CUST-0156"/>
    <s v="PROD-028"/>
    <x v="18"/>
    <n v="5"/>
    <n v="3660"/>
    <n v="4.5999999999999996"/>
    <n v="17458.2"/>
    <s v="Completed"/>
    <s v="Mumbai"/>
    <x v="2"/>
    <s v="Retail"/>
    <n v="33"/>
    <x v="1"/>
    <s v="R009"/>
    <n v="914554.71999999986"/>
    <x v="1"/>
  </r>
  <r>
    <s v="ORD-01079"/>
    <x v="232"/>
    <s v="CUST-0107"/>
    <s v="PROD-005"/>
    <x v="20"/>
    <n v="6"/>
    <n v="300"/>
    <n v="9"/>
    <n v="1638"/>
    <s v="Completed"/>
    <s v="Pune"/>
    <x v="4"/>
    <s v="Retail"/>
    <n v="50"/>
    <x v="2"/>
    <s v="R029"/>
    <n v="1016696.8000000002"/>
    <x v="2"/>
  </r>
  <r>
    <s v="ORD-01080"/>
    <x v="271"/>
    <s v="CUST-0184"/>
    <s v="PROD-005"/>
    <x v="27"/>
    <n v="3"/>
    <n v="300"/>
    <n v="19.2"/>
    <n v="727.2"/>
    <s v="Completed"/>
    <s v="Pune"/>
    <x v="4"/>
    <s v="Retail"/>
    <n v="63"/>
    <x v="1"/>
    <s v="R012"/>
    <n v="901394.32000000007"/>
    <x v="1"/>
  </r>
  <r>
    <s v="ORD-01081"/>
    <x v="205"/>
    <s v="CUST-0202"/>
    <s v="PROD-049"/>
    <x v="2"/>
    <n v="6"/>
    <n v="960"/>
    <n v="29.3"/>
    <n v="4072.32"/>
    <s v="Cancelled"/>
    <s v="Chennai"/>
    <x v="5"/>
    <s v="Retail"/>
    <n v="39"/>
    <x v="1"/>
    <s v="R014"/>
    <n v="995713.54000000015"/>
    <x v="1"/>
  </r>
  <r>
    <s v="ORD-01082"/>
    <x v="266"/>
    <s v="CUST-0137"/>
    <s v="PROD-022"/>
    <x v="5"/>
    <n v="1"/>
    <n v="2270"/>
    <n v="12.4"/>
    <n v="1988.52"/>
    <s v="Completed"/>
    <s v="Mumbai"/>
    <x v="2"/>
    <s v="Retail"/>
    <n v="41"/>
    <x v="2"/>
    <s v="R025"/>
    <n v="901298.89"/>
    <x v="2"/>
  </r>
  <r>
    <s v="ORD-01083"/>
    <x v="110"/>
    <s v="CUST-0108"/>
    <s v="PROD-033"/>
    <x v="28"/>
    <n v="10"/>
    <n v="2030"/>
    <n v="4"/>
    <n v="19488"/>
    <s v="Completed"/>
    <s v="Bengaluru"/>
    <x v="3"/>
    <s v="Corporate"/>
    <n v="59"/>
    <x v="2"/>
    <s v="R027"/>
    <n v="917092.61999999965"/>
    <x v="2"/>
  </r>
  <r>
    <s v="ORD-01084"/>
    <x v="303"/>
    <s v="CUST-0126"/>
    <s v="PROD-040"/>
    <x v="13"/>
    <n v="9"/>
    <n v="1080"/>
    <n v="19.2"/>
    <n v="7853.76"/>
    <s v="Pending"/>
    <s v="Mumbai"/>
    <x v="3"/>
    <s v="Retail"/>
    <n v="37"/>
    <x v="3"/>
    <s v="R021"/>
    <n v="761507.17000000027"/>
    <x v="3"/>
  </r>
  <r>
    <s v="ORD-01085"/>
    <x v="113"/>
    <s v="CUST-0107"/>
    <s v="PROD-055"/>
    <x v="5"/>
    <n v="5"/>
    <n v="2860"/>
    <n v="25"/>
    <n v="10725"/>
    <s v="Pending"/>
    <s v="Pune"/>
    <x v="1"/>
    <s v="Retail"/>
    <n v="50"/>
    <x v="2"/>
    <s v="R025"/>
    <n v="901298.89"/>
    <x v="2"/>
  </r>
  <r>
    <s v="ORD-01086"/>
    <x v="276"/>
    <s v="CUST-0071"/>
    <s v="PROD-024"/>
    <x v="27"/>
    <n v="6"/>
    <n v="2270"/>
    <n v="9.3000000000000007"/>
    <n v="12353.34"/>
    <s v="Completed"/>
    <s v="Delhi"/>
    <x v="2"/>
    <s v="Corporate"/>
    <n v="46"/>
    <x v="1"/>
    <s v="R012"/>
    <n v="901394.32000000007"/>
    <x v="1"/>
  </r>
  <r>
    <s v="ORD-01087"/>
    <x v="60"/>
    <s v="CUST-0238"/>
    <s v="PROD-015"/>
    <x v="6"/>
    <n v="1"/>
    <n v="2720"/>
    <n v="15.2"/>
    <n v="2306.56"/>
    <s v="Completed"/>
    <s v="Delhi"/>
    <x v="0"/>
    <s v="Retail"/>
    <n v="49"/>
    <x v="2"/>
    <s v="R024"/>
    <n v="819558.58"/>
    <x v="2"/>
  </r>
  <r>
    <s v="ORD-01088"/>
    <x v="198"/>
    <s v="CUST-0022"/>
    <s v="PROD-004"/>
    <x v="1"/>
    <n v="10"/>
    <n v="3870"/>
    <n v="4.9000000000000004"/>
    <n v="36803.699999999997"/>
    <s v="Cancelled"/>
    <s v="Bengaluru"/>
    <x v="4"/>
    <s v="Corporate"/>
    <n v="55"/>
    <x v="0"/>
    <s v="R005"/>
    <n v="782445.33"/>
    <x v="0"/>
  </r>
  <r>
    <s v="ORD-01089"/>
    <x v="10"/>
    <s v="CUST-0100"/>
    <s v="PROD-011"/>
    <x v="7"/>
    <n v="8"/>
    <n v="3450"/>
    <n v="20.6"/>
    <n v="21914.400000000001"/>
    <s v="Completed"/>
    <s v="Hyderabad"/>
    <x v="0"/>
    <s v="Corporate"/>
    <n v="60"/>
    <x v="3"/>
    <s v="R019"/>
    <n v="971183.52000000014"/>
    <x v="3"/>
  </r>
  <r>
    <s v="ORD-01090"/>
    <x v="5"/>
    <s v="CUST-0263"/>
    <s v="PROD-053"/>
    <x v="25"/>
    <n v="1"/>
    <n v="470"/>
    <n v="5.4"/>
    <n v="444.62"/>
    <s v="Refunded"/>
    <s v="Mumbai"/>
    <x v="1"/>
    <s v="Retail"/>
    <n v="40"/>
    <x v="0"/>
    <s v="R002"/>
    <n v="980063.65999999968"/>
    <x v="0"/>
  </r>
  <r>
    <s v="ORD-01091"/>
    <x v="171"/>
    <s v="CUST-0032"/>
    <s v="PROD-006"/>
    <x v="18"/>
    <n v="5"/>
    <n v="3970"/>
    <n v="5.8"/>
    <n v="18698.7"/>
    <s v="Completed"/>
    <s v="Hyderabad"/>
    <x v="4"/>
    <s v="Retail"/>
    <n v="28"/>
    <x v="1"/>
    <s v="R009"/>
    <n v="914554.71999999986"/>
    <x v="1"/>
  </r>
  <r>
    <s v="ORD-01092"/>
    <x v="277"/>
    <s v="CUST-0227"/>
    <s v="PROD-048"/>
    <x v="27"/>
    <n v="2"/>
    <n v="5100"/>
    <n v="19.899999999999999"/>
    <n v="8170.2"/>
    <s v="Completed"/>
    <s v="Bengaluru"/>
    <x v="5"/>
    <s v="SMB"/>
    <n v="44"/>
    <x v="1"/>
    <s v="R012"/>
    <n v="901394.32000000007"/>
    <x v="1"/>
  </r>
  <r>
    <s v="ORD-01093"/>
    <x v="165"/>
    <s v="CUST-0124"/>
    <s v="PROD-047"/>
    <x v="19"/>
    <n v="6"/>
    <n v="3450"/>
    <n v="13"/>
    <n v="18009"/>
    <s v="Completed"/>
    <s v="Pune"/>
    <x v="5"/>
    <s v="Retail"/>
    <n v="57"/>
    <x v="0"/>
    <s v="R001"/>
    <n v="789849.60000000009"/>
    <x v="0"/>
  </r>
  <r>
    <s v="ORD-01094"/>
    <x v="168"/>
    <s v="CUST-0276"/>
    <s v="PROD-031"/>
    <x v="27"/>
    <n v="9"/>
    <n v="3730"/>
    <n v="15.5"/>
    <n v="28366.65"/>
    <s v="Completed"/>
    <s v="Chennai"/>
    <x v="3"/>
    <s v="Retail"/>
    <n v="26"/>
    <x v="1"/>
    <s v="R012"/>
    <n v="901394.32000000007"/>
    <x v="1"/>
  </r>
  <r>
    <s v="ORD-01095"/>
    <x v="242"/>
    <s v="CUST-0100"/>
    <s v="PROD-049"/>
    <x v="16"/>
    <n v="5"/>
    <n v="960"/>
    <n v="9.3000000000000007"/>
    <n v="4353.6000000000004"/>
    <s v="Completed"/>
    <s v="Hyderabad"/>
    <x v="5"/>
    <s v="Corporate"/>
    <n v="60"/>
    <x v="3"/>
    <s v="R020"/>
    <n v="906107.71000000008"/>
    <x v="3"/>
  </r>
  <r>
    <s v="ORD-01096"/>
    <x v="187"/>
    <s v="CUST-0221"/>
    <s v="PROD-034"/>
    <x v="4"/>
    <n v="3"/>
    <n v="5080"/>
    <n v="17.399999999999999"/>
    <n v="12588.24"/>
    <s v="Cancelled"/>
    <s v="Delhi"/>
    <x v="3"/>
    <s v="SMB"/>
    <n v="29"/>
    <x v="0"/>
    <s v="R008"/>
    <n v="861553.33"/>
    <x v="0"/>
  </r>
  <r>
    <s v="ORD-01097"/>
    <x v="212"/>
    <s v="CUST-0266"/>
    <s v="PROD-004"/>
    <x v="11"/>
    <n v="4"/>
    <n v="3870"/>
    <n v="20.5"/>
    <n v="12306.6"/>
    <s v="Pending"/>
    <s v="Pune"/>
    <x v="4"/>
    <s v="Retail"/>
    <n v="65"/>
    <x v="0"/>
    <s v="R003"/>
    <n v="986692.91"/>
    <x v="0"/>
  </r>
  <r>
    <s v="ORD-01098"/>
    <x v="72"/>
    <s v="CUST-0210"/>
    <s v="PROD-059"/>
    <x v="6"/>
    <n v="1"/>
    <n v="3780"/>
    <n v="21.5"/>
    <n v="2967.3"/>
    <s v="Completed"/>
    <s v="Pune"/>
    <x v="1"/>
    <s v="Corporate"/>
    <n v="48"/>
    <x v="2"/>
    <s v="R024"/>
    <n v="819558.58"/>
    <x v="2"/>
  </r>
  <r>
    <s v="ORD-01099"/>
    <x v="81"/>
    <s v="CUST-0293"/>
    <s v="PROD-004"/>
    <x v="21"/>
    <n v="3"/>
    <n v="3870"/>
    <n v="21.9"/>
    <n v="9067.41"/>
    <s v="Pending"/>
    <s v="Bengaluru"/>
    <x v="4"/>
    <s v="Retail"/>
    <n v="27"/>
    <x v="3"/>
    <s v="R017"/>
    <n v="780384.40999999992"/>
    <x v="3"/>
  </r>
  <r>
    <s v="ORD-01100"/>
    <x v="113"/>
    <s v="CUST-0291"/>
    <s v="PROD-033"/>
    <x v="18"/>
    <n v="4"/>
    <n v="2030"/>
    <n v="23.4"/>
    <n v="6219.92"/>
    <s v="Completed"/>
    <s v="Pune"/>
    <x v="3"/>
    <s v="SMB"/>
    <n v="29"/>
    <x v="1"/>
    <s v="R009"/>
    <n v="914554.71999999986"/>
    <x v="1"/>
  </r>
  <r>
    <s v="ORD-01101"/>
    <x v="192"/>
    <s v="CUST-0295"/>
    <s v="PROD-029"/>
    <x v="11"/>
    <n v="6"/>
    <n v="2210"/>
    <n v="9.1"/>
    <n v="12053.34"/>
    <s v="Completed"/>
    <s v="Delhi"/>
    <x v="2"/>
    <s v="SMB"/>
    <n v="48"/>
    <x v="0"/>
    <s v="R003"/>
    <n v="986692.91"/>
    <x v="0"/>
  </r>
  <r>
    <s v="ORD-01102"/>
    <x v="180"/>
    <s v="CUST-0123"/>
    <s v="PROD-041"/>
    <x v="21"/>
    <n v="5"/>
    <n v="1540"/>
    <n v="18.100000000000001"/>
    <n v="6306.3"/>
    <s v="Completed"/>
    <s v="Chennai"/>
    <x v="5"/>
    <s v="Corporate"/>
    <n v="44"/>
    <x v="3"/>
    <s v="R017"/>
    <n v="780384.40999999992"/>
    <x v="3"/>
  </r>
  <r>
    <s v="ORD-01103"/>
    <x v="274"/>
    <s v="CUST-0167"/>
    <s v="PROD-054"/>
    <x v="23"/>
    <n v="1"/>
    <n v="1010"/>
    <n v="7.3"/>
    <n v="936.27"/>
    <s v="Completed"/>
    <s v="Delhi"/>
    <x v="1"/>
    <s v="Retail"/>
    <n v="43"/>
    <x v="1"/>
    <s v="R011"/>
    <n v="735207.75999999989"/>
    <x v="1"/>
  </r>
  <r>
    <s v="ORD-01104"/>
    <x v="107"/>
    <s v="CUST-0247"/>
    <s v="PROD-001"/>
    <x v="15"/>
    <n v="10"/>
    <n v="5330"/>
    <n v="27.3"/>
    <n v="38749.1"/>
    <s v="Completed"/>
    <s v="Pune"/>
    <x v="4"/>
    <s v="SMB"/>
    <n v="35"/>
    <x v="1"/>
    <s v="R015"/>
    <n v="1091740.1799999997"/>
    <x v="1"/>
  </r>
  <r>
    <s v="ORD-01105"/>
    <x v="289"/>
    <s v="CUST-0224"/>
    <s v="PROD-003"/>
    <x v="24"/>
    <n v="7"/>
    <n v="3570"/>
    <n v="24.3"/>
    <n v="18917.43"/>
    <s v="Completed"/>
    <s v="Chennai"/>
    <x v="4"/>
    <s v="Corporate"/>
    <n v="24"/>
    <x v="3"/>
    <s v="R022"/>
    <n v="1069570.5400000003"/>
    <x v="3"/>
  </r>
  <r>
    <s v="ORD-01106"/>
    <x v="28"/>
    <s v="CUST-0102"/>
    <s v="PROD-043"/>
    <x v="21"/>
    <n v="1"/>
    <n v="3350"/>
    <n v="14.9"/>
    <n v="2850.85"/>
    <s v="Completed"/>
    <s v="Chennai"/>
    <x v="5"/>
    <s v="SMB"/>
    <n v="62"/>
    <x v="3"/>
    <s v="R017"/>
    <n v="780384.40999999992"/>
    <x v="3"/>
  </r>
  <r>
    <s v="ORD-01107"/>
    <x v="110"/>
    <s v="CUST-0151"/>
    <s v="PROD-017"/>
    <x v="12"/>
    <n v="2"/>
    <n v="2510"/>
    <n v="10.6"/>
    <n v="4487.88"/>
    <s v="Completed"/>
    <s v="Mumbai"/>
    <x v="0"/>
    <s v="Retail"/>
    <n v="53"/>
    <x v="3"/>
    <s v="R023"/>
    <n v="983787.4800000001"/>
    <x v="3"/>
  </r>
  <r>
    <s v="ORD-01108"/>
    <x v="264"/>
    <s v="CUST-0182"/>
    <s v="PROD-030"/>
    <x v="5"/>
    <n v="5"/>
    <n v="970"/>
    <n v="6.8"/>
    <n v="4520.2"/>
    <s v="Pending"/>
    <s v="Mumbai"/>
    <x v="2"/>
    <s v="Retail"/>
    <n v="54"/>
    <x v="2"/>
    <s v="R025"/>
    <n v="901298.89"/>
    <x v="2"/>
  </r>
  <r>
    <s v="ORD-01109"/>
    <x v="281"/>
    <s v="CUST-0152"/>
    <s v="PROD-027"/>
    <x v="25"/>
    <n v="5"/>
    <n v="3780"/>
    <n v="16.600000000000001"/>
    <n v="15762.6"/>
    <s v="Completed"/>
    <s v="Bengaluru"/>
    <x v="2"/>
    <s v="SMB"/>
    <n v="64"/>
    <x v="0"/>
    <s v="R002"/>
    <n v="980063.65999999968"/>
    <x v="0"/>
  </r>
  <r>
    <s v="ORD-01110"/>
    <x v="229"/>
    <s v="CUST-0247"/>
    <s v="PROD-017"/>
    <x v="0"/>
    <n v="3"/>
    <n v="2510"/>
    <n v="24.9"/>
    <n v="5655.03"/>
    <s v="Cancelled"/>
    <s v="Pune"/>
    <x v="0"/>
    <s v="SMB"/>
    <n v="35"/>
    <x v="0"/>
    <s v="R007"/>
    <n v="855749.67999999982"/>
    <x v="0"/>
  </r>
  <r>
    <s v="ORD-01111"/>
    <x v="289"/>
    <s v="CUST-0220"/>
    <s v="PROD-033"/>
    <x v="4"/>
    <n v="3"/>
    <n v="2030"/>
    <n v="3.8"/>
    <n v="5858.58"/>
    <s v="Completed"/>
    <s v="Chennai"/>
    <x v="3"/>
    <s v="Retail"/>
    <n v="34"/>
    <x v="0"/>
    <s v="R008"/>
    <n v="861553.33"/>
    <x v="0"/>
  </r>
  <r>
    <s v="ORD-01112"/>
    <x v="35"/>
    <s v="CUST-0206"/>
    <s v="PROD-060"/>
    <x v="2"/>
    <n v="9"/>
    <n v="190"/>
    <n v="5.4"/>
    <n v="1617.66"/>
    <s v="Completed"/>
    <s v="Mumbai"/>
    <x v="1"/>
    <s v="Retail"/>
    <n v="40"/>
    <x v="1"/>
    <s v="R014"/>
    <n v="995713.54000000015"/>
    <x v="1"/>
  </r>
  <r>
    <s v="ORD-01113"/>
    <x v="200"/>
    <s v="CUST-0219"/>
    <s v="PROD-029"/>
    <x v="16"/>
    <n v="6"/>
    <n v="2210"/>
    <n v="29.4"/>
    <n v="9361.56"/>
    <s v="Completed"/>
    <s v="Chennai"/>
    <x v="2"/>
    <s v="Corporate"/>
    <n v="38"/>
    <x v="3"/>
    <s v="R020"/>
    <n v="906107.71000000008"/>
    <x v="3"/>
  </r>
  <r>
    <s v="ORD-01114"/>
    <x v="14"/>
    <s v="CUST-0298"/>
    <s v="PROD-013"/>
    <x v="1"/>
    <n v="4"/>
    <n v="3640"/>
    <n v="0.6"/>
    <n v="14472.64"/>
    <s v="Completed"/>
    <s v="Delhi"/>
    <x v="0"/>
    <s v="Retail"/>
    <n v="44"/>
    <x v="0"/>
    <s v="R005"/>
    <n v="782445.33"/>
    <x v="0"/>
  </r>
  <r>
    <s v="ORD-01115"/>
    <x v="17"/>
    <s v="CUST-0254"/>
    <s v="PROD-009"/>
    <x v="18"/>
    <n v="9"/>
    <n v="1220"/>
    <n v="24.1"/>
    <n v="8333.82"/>
    <s v="Completed"/>
    <s v="Bengaluru"/>
    <x v="4"/>
    <s v="Retail"/>
    <n v="35"/>
    <x v="1"/>
    <s v="R009"/>
    <n v="914554.71999999986"/>
    <x v="1"/>
  </r>
  <r>
    <s v="ORD-01116"/>
    <x v="73"/>
    <s v="CUST-0085"/>
    <s v="PROD-056"/>
    <x v="18"/>
    <n v="2"/>
    <n v="6940"/>
    <n v="27"/>
    <n v="10132.4"/>
    <s v="Completed"/>
    <s v="Chennai"/>
    <x v="1"/>
    <s v="Retail"/>
    <n v="26"/>
    <x v="1"/>
    <s v="R009"/>
    <n v="914554.71999999986"/>
    <x v="1"/>
  </r>
  <r>
    <s v="ORD-01117"/>
    <x v="117"/>
    <s v="CUST-0181"/>
    <s v="PROD-055"/>
    <x v="9"/>
    <n v="6"/>
    <n v="2860"/>
    <n v="6.6"/>
    <n v="16027.44"/>
    <s v="Completed"/>
    <s v="Delhi"/>
    <x v="1"/>
    <s v="SMB"/>
    <n v="38"/>
    <x v="1"/>
    <s v="R010"/>
    <n v="880345.20000000007"/>
    <x v="1"/>
  </r>
  <r>
    <s v="ORD-01118"/>
    <x v="182"/>
    <s v="CUST-0143"/>
    <s v="PROD-015"/>
    <x v="26"/>
    <n v="5"/>
    <n v="2720"/>
    <n v="21.4"/>
    <n v="10689.6"/>
    <s v="Completed"/>
    <s v="Chennai"/>
    <x v="0"/>
    <s v="SMB"/>
    <n v="52"/>
    <x v="3"/>
    <s v="R018"/>
    <n v="1112289.6400000001"/>
    <x v="3"/>
  </r>
  <r>
    <s v="ORD-01119"/>
    <x v="338"/>
    <s v="CUST-0263"/>
    <s v="PROD-020"/>
    <x v="3"/>
    <n v="5"/>
    <n v="820"/>
    <n v="28.6"/>
    <n v="2927.4"/>
    <s v="Completed"/>
    <s v="Mumbai"/>
    <x v="0"/>
    <s v="Retail"/>
    <n v="40"/>
    <x v="0"/>
    <s v="R006"/>
    <n v="1138648.73"/>
    <x v="0"/>
  </r>
  <r>
    <s v="ORD-01120"/>
    <x v="135"/>
    <s v="CUST-0105"/>
    <s v="PROD-042"/>
    <x v="24"/>
    <n v="6"/>
    <n v="2290"/>
    <n v="18.8"/>
    <n v="11156.88"/>
    <s v="Completed"/>
    <s v="Chennai"/>
    <x v="5"/>
    <s v="SMB"/>
    <n v="51"/>
    <x v="3"/>
    <s v="R022"/>
    <n v="1069570.5400000003"/>
    <x v="3"/>
  </r>
  <r>
    <s v="ORD-01121"/>
    <x v="18"/>
    <s v="CUST-0256"/>
    <s v="PROD-047"/>
    <x v="13"/>
    <n v="6"/>
    <n v="3450"/>
    <n v="28.4"/>
    <n v="14821.2"/>
    <s v="Completed"/>
    <s v="Hyderabad"/>
    <x v="5"/>
    <s v="Retail"/>
    <n v="28"/>
    <x v="3"/>
    <s v="R021"/>
    <n v="761507.17000000027"/>
    <x v="3"/>
  </r>
  <r>
    <s v="ORD-01122"/>
    <x v="1"/>
    <s v="CUST-0260"/>
    <s v="PROD-033"/>
    <x v="25"/>
    <n v="10"/>
    <n v="2030"/>
    <n v="8"/>
    <n v="18676"/>
    <s v="Completed"/>
    <s v="Bengaluru"/>
    <x v="3"/>
    <s v="Retail"/>
    <n v="42"/>
    <x v="0"/>
    <s v="R002"/>
    <n v="980063.65999999968"/>
    <x v="0"/>
  </r>
  <r>
    <s v="ORD-01123"/>
    <x v="239"/>
    <s v="CUST-0233"/>
    <s v="PROD-058"/>
    <x v="24"/>
    <n v="1"/>
    <n v="2400"/>
    <n v="9.6999999999999993"/>
    <n v="2167.1999999999998"/>
    <s v="Completed"/>
    <s v="Mumbai"/>
    <x v="1"/>
    <s v="SMB"/>
    <n v="65"/>
    <x v="3"/>
    <s v="R022"/>
    <n v="1069570.5400000003"/>
    <x v="3"/>
  </r>
  <r>
    <s v="ORD-01124"/>
    <x v="264"/>
    <s v="CUST-0183"/>
    <s v="PROD-033"/>
    <x v="2"/>
    <n v="4"/>
    <n v="2030"/>
    <n v="24.8"/>
    <n v="6106.24"/>
    <s v="Pending"/>
    <s v="Mumbai"/>
    <x v="3"/>
    <s v="SMB"/>
    <n v="27"/>
    <x v="1"/>
    <s v="R014"/>
    <n v="995713.54000000015"/>
    <x v="1"/>
  </r>
  <r>
    <s v="ORD-01125"/>
    <x v="191"/>
    <s v="CUST-0142"/>
    <s v="PROD-025"/>
    <x v="25"/>
    <n v="5"/>
    <n v="4060"/>
    <n v="9.1"/>
    <n v="18452.7"/>
    <s v="Pending"/>
    <s v="Chennai"/>
    <x v="2"/>
    <s v="Corporate"/>
    <n v="55"/>
    <x v="0"/>
    <s v="R002"/>
    <n v="980063.65999999968"/>
    <x v="0"/>
  </r>
  <r>
    <s v="ORD-01126"/>
    <x v="334"/>
    <s v="CUST-0150"/>
    <s v="PROD-033"/>
    <x v="22"/>
    <n v="9"/>
    <n v="2030"/>
    <n v="15.9"/>
    <n v="15365.07"/>
    <s v="Pending"/>
    <s v="Pune"/>
    <x v="3"/>
    <s v="SMB"/>
    <n v="53"/>
    <x v="1"/>
    <s v="R013"/>
    <n v="811524.37999999989"/>
    <x v="1"/>
  </r>
  <r>
    <s v="ORD-01127"/>
    <x v="201"/>
    <s v="CUST-0001"/>
    <s v="PROD-043"/>
    <x v="2"/>
    <n v="1"/>
    <n v="3350"/>
    <n v="23.2"/>
    <n v="2572.8000000000002"/>
    <s v="Refunded"/>
    <s v="Pune"/>
    <x v="5"/>
    <s v="Retail"/>
    <n v="36"/>
    <x v="1"/>
    <s v="R014"/>
    <n v="995713.54000000015"/>
    <x v="1"/>
  </r>
  <r>
    <s v="ORD-01128"/>
    <x v="287"/>
    <s v="CUST-0104"/>
    <s v="PROD-037"/>
    <x v="3"/>
    <n v="4"/>
    <n v="660"/>
    <n v="27.1"/>
    <n v="1924.56"/>
    <s v="Completed"/>
    <s v="Hyderabad"/>
    <x v="3"/>
    <s v="Corporate"/>
    <n v="43"/>
    <x v="0"/>
    <s v="R006"/>
    <n v="1138648.73"/>
    <x v="0"/>
  </r>
  <r>
    <s v="ORD-01129"/>
    <x v="236"/>
    <s v="CUST-0261"/>
    <s v="PROD-045"/>
    <x v="2"/>
    <n v="3"/>
    <n v="3020"/>
    <n v="7.2"/>
    <n v="8407.68"/>
    <s v="Completed"/>
    <s v="Delhi"/>
    <x v="5"/>
    <s v="Retail"/>
    <n v="54"/>
    <x v="1"/>
    <s v="R014"/>
    <n v="995713.54000000015"/>
    <x v="1"/>
  </r>
  <r>
    <s v="ORD-01130"/>
    <x v="132"/>
    <s v="CUST-0010"/>
    <s v="PROD-008"/>
    <x v="3"/>
    <n v="3"/>
    <n v="2660"/>
    <n v="0.2"/>
    <n v="7964.04"/>
    <s v="Completed"/>
    <s v="Mumbai"/>
    <x v="4"/>
    <s v="SMB"/>
    <n v="61"/>
    <x v="0"/>
    <s v="R006"/>
    <n v="1138648.73"/>
    <x v="0"/>
  </r>
  <r>
    <s v="ORD-01131"/>
    <x v="181"/>
    <s v="CUST-0237"/>
    <s v="PROD-054"/>
    <x v="3"/>
    <n v="4"/>
    <n v="1010"/>
    <n v="3.1"/>
    <n v="3914.76"/>
    <s v="Completed"/>
    <s v="Mumbai"/>
    <x v="1"/>
    <s v="Retail"/>
    <n v="49"/>
    <x v="0"/>
    <s v="R006"/>
    <n v="1138648.73"/>
    <x v="0"/>
  </r>
  <r>
    <s v="ORD-01132"/>
    <x v="82"/>
    <s v="CUST-0128"/>
    <s v="PROD-038"/>
    <x v="21"/>
    <n v="5"/>
    <n v="5490"/>
    <n v="3.6"/>
    <n v="26461.8"/>
    <s v="Completed"/>
    <s v="Hyderabad"/>
    <x v="3"/>
    <s v="Retail"/>
    <n v="35"/>
    <x v="3"/>
    <s v="R017"/>
    <n v="780384.40999999992"/>
    <x v="3"/>
  </r>
  <r>
    <s v="ORD-01133"/>
    <x v="94"/>
    <s v="CUST-0182"/>
    <s v="PROD-058"/>
    <x v="7"/>
    <n v="1"/>
    <n v="2400"/>
    <n v="24.3"/>
    <n v="1816.8"/>
    <s v="Completed"/>
    <s v="Mumbai"/>
    <x v="1"/>
    <s v="Retail"/>
    <n v="54"/>
    <x v="3"/>
    <s v="R019"/>
    <n v="971183.52000000014"/>
    <x v="3"/>
  </r>
  <r>
    <s v="ORD-01134"/>
    <x v="147"/>
    <s v="CUST-0131"/>
    <s v="PROD-037"/>
    <x v="18"/>
    <n v="8"/>
    <n v="660"/>
    <n v="19.8"/>
    <n v="4234.5600000000004"/>
    <s v="Completed"/>
    <s v="Delhi"/>
    <x v="3"/>
    <s v="SMB"/>
    <n v="28"/>
    <x v="1"/>
    <s v="R009"/>
    <n v="914554.71999999986"/>
    <x v="1"/>
  </r>
  <r>
    <s v="ORD-01135"/>
    <x v="172"/>
    <s v="CUST-0023"/>
    <s v="PROD-001"/>
    <x v="29"/>
    <n v="9"/>
    <n v="5330"/>
    <n v="16.5"/>
    <n v="40054.949999999997"/>
    <s v="Completed"/>
    <s v="Chennai"/>
    <x v="4"/>
    <s v="SMB"/>
    <n v="43"/>
    <x v="1"/>
    <s v="R016"/>
    <n v="814563.7100000002"/>
    <x v="1"/>
  </r>
  <r>
    <s v="ORD-01136"/>
    <x v="340"/>
    <s v="CUST-0171"/>
    <s v="PROD-002"/>
    <x v="0"/>
    <n v="5"/>
    <n v="2600"/>
    <n v="0.3"/>
    <n v="12961"/>
    <s v="Completed"/>
    <s v="Chennai"/>
    <x v="4"/>
    <s v="Corporate"/>
    <n v="30"/>
    <x v="0"/>
    <s v="R007"/>
    <n v="855749.67999999982"/>
    <x v="0"/>
  </r>
  <r>
    <s v="ORD-01137"/>
    <x v="32"/>
    <s v="CUST-0116"/>
    <s v="PROD-034"/>
    <x v="26"/>
    <n v="4"/>
    <n v="5080"/>
    <n v="13.8"/>
    <n v="17515.84"/>
    <s v="Pending"/>
    <s v="Bengaluru"/>
    <x v="3"/>
    <s v="Retail"/>
    <n v="53"/>
    <x v="3"/>
    <s v="R018"/>
    <n v="1112289.6400000001"/>
    <x v="3"/>
  </r>
  <r>
    <s v="ORD-01138"/>
    <x v="100"/>
    <s v="CUST-0021"/>
    <s v="PROD-023"/>
    <x v="25"/>
    <n v="7"/>
    <n v="2380"/>
    <n v="15.5"/>
    <n v="14077.7"/>
    <s v="Completed"/>
    <s v="Pune"/>
    <x v="2"/>
    <s v="Retail"/>
    <n v="44"/>
    <x v="0"/>
    <s v="R002"/>
    <n v="980063.65999999968"/>
    <x v="0"/>
  </r>
  <r>
    <s v="ORD-01139"/>
    <x v="83"/>
    <s v="CUST-0234"/>
    <s v="PROD-046"/>
    <x v="3"/>
    <n v="3"/>
    <n v="4880"/>
    <n v="6.1"/>
    <n v="13746.96"/>
    <s v="Completed"/>
    <s v="Bengaluru"/>
    <x v="5"/>
    <s v="Retail"/>
    <n v="34"/>
    <x v="0"/>
    <s v="R006"/>
    <n v="1138648.73"/>
    <x v="0"/>
  </r>
  <r>
    <s v="ORD-01140"/>
    <x v="36"/>
    <s v="CUST-0225"/>
    <s v="PROD-043"/>
    <x v="18"/>
    <n v="2"/>
    <n v="3350"/>
    <n v="17.2"/>
    <n v="5547.6"/>
    <s v="Completed"/>
    <s v="Chennai"/>
    <x v="5"/>
    <s v="SMB"/>
    <n v="26"/>
    <x v="1"/>
    <s v="R009"/>
    <n v="914554.71999999986"/>
    <x v="1"/>
  </r>
  <r>
    <s v="ORD-01141"/>
    <x v="238"/>
    <s v="CUST-0268"/>
    <s v="PROD-030"/>
    <x v="6"/>
    <n v="5"/>
    <n v="970"/>
    <n v="23.6"/>
    <n v="3705.4"/>
    <s v="Completed"/>
    <s v="Chennai"/>
    <x v="2"/>
    <s v="Retail"/>
    <n v="35"/>
    <x v="2"/>
    <s v="R024"/>
    <n v="819558.58"/>
    <x v="2"/>
  </r>
  <r>
    <s v="ORD-01142"/>
    <x v="215"/>
    <s v="CUST-0248"/>
    <s v="PROD-005"/>
    <x v="24"/>
    <n v="5"/>
    <n v="300"/>
    <n v="3.8"/>
    <n v="1443"/>
    <s v="Completed"/>
    <s v="Chennai"/>
    <x v="4"/>
    <s v="SMB"/>
    <n v="57"/>
    <x v="3"/>
    <s v="R022"/>
    <n v="1069570.5400000003"/>
    <x v="3"/>
  </r>
  <r>
    <s v="ORD-01143"/>
    <x v="243"/>
    <s v="CUST-0026"/>
    <s v="PROD-006"/>
    <x v="1"/>
    <n v="9"/>
    <n v="3970"/>
    <n v="0.8"/>
    <n v="35444.160000000003"/>
    <s v="Completed"/>
    <s v="Pune"/>
    <x v="4"/>
    <s v="Retail"/>
    <n v="62"/>
    <x v="0"/>
    <s v="R005"/>
    <n v="782445.33"/>
    <x v="0"/>
  </r>
  <r>
    <s v="ORD-01144"/>
    <x v="242"/>
    <s v="CUST-0257"/>
    <s v="PROD-015"/>
    <x v="22"/>
    <n v="4"/>
    <n v="2720"/>
    <n v="12.7"/>
    <n v="9498.24"/>
    <s v="Completed"/>
    <s v="Mumbai"/>
    <x v="0"/>
    <s v="Corporate"/>
    <n v="46"/>
    <x v="1"/>
    <s v="R013"/>
    <n v="811524.37999999989"/>
    <x v="1"/>
  </r>
  <r>
    <s v="ORD-01145"/>
    <x v="249"/>
    <s v="CUST-0258"/>
    <s v="PROD-016"/>
    <x v="13"/>
    <n v="3"/>
    <n v="620"/>
    <n v="5.5"/>
    <n v="1757.7"/>
    <s v="Completed"/>
    <s v="Pune"/>
    <x v="0"/>
    <s v="Retail"/>
    <n v="44"/>
    <x v="3"/>
    <s v="R021"/>
    <n v="761507.17000000027"/>
    <x v="3"/>
  </r>
  <r>
    <s v="ORD-01146"/>
    <x v="319"/>
    <s v="CUST-0142"/>
    <s v="PROD-041"/>
    <x v="6"/>
    <n v="2"/>
    <n v="1540"/>
    <n v="2.2000000000000002"/>
    <n v="3012.24"/>
    <s v="Pending"/>
    <s v="Chennai"/>
    <x v="5"/>
    <s v="Corporate"/>
    <n v="55"/>
    <x v="2"/>
    <s v="R024"/>
    <n v="819558.58"/>
    <x v="2"/>
  </r>
  <r>
    <s v="ORD-01147"/>
    <x v="166"/>
    <s v="CUST-0020"/>
    <s v="PROD-042"/>
    <x v="17"/>
    <n v="1"/>
    <n v="2290"/>
    <n v="24.4"/>
    <n v="1731.24"/>
    <s v="Cancelled"/>
    <s v="Hyderabad"/>
    <x v="5"/>
    <s v="Retail"/>
    <n v="46"/>
    <x v="2"/>
    <s v="R026"/>
    <n v="576305.08000000019"/>
    <x v="2"/>
  </r>
  <r>
    <s v="ORD-01148"/>
    <x v="343"/>
    <s v="CUST-0016"/>
    <s v="PROD-015"/>
    <x v="26"/>
    <n v="8"/>
    <n v="2720"/>
    <n v="1.7"/>
    <n v="21390.080000000002"/>
    <s v="Completed"/>
    <s v="Delhi"/>
    <x v="0"/>
    <s v="SMB"/>
    <n v="26"/>
    <x v="3"/>
    <s v="R018"/>
    <n v="1112289.6400000001"/>
    <x v="3"/>
  </r>
  <r>
    <s v="ORD-01149"/>
    <x v="69"/>
    <s v="CUST-0288"/>
    <s v="PROD-025"/>
    <x v="12"/>
    <n v="4"/>
    <n v="4060"/>
    <n v="19.600000000000001"/>
    <n v="13056.96"/>
    <s v="Cancelled"/>
    <s v="Hyderabad"/>
    <x v="2"/>
    <s v="Corporate"/>
    <n v="25"/>
    <x v="3"/>
    <s v="R023"/>
    <n v="983787.4800000001"/>
    <x v="3"/>
  </r>
  <r>
    <s v="ORD-01150"/>
    <x v="43"/>
    <s v="CUST-0133"/>
    <s v="PROD-003"/>
    <x v="29"/>
    <n v="8"/>
    <n v="3570"/>
    <n v="10.8"/>
    <n v="25475.52"/>
    <s v="Completed"/>
    <s v="Chennai"/>
    <x v="4"/>
    <s v="Retail"/>
    <n v="26"/>
    <x v="1"/>
    <s v="R016"/>
    <n v="814563.7100000002"/>
    <x v="1"/>
  </r>
  <r>
    <s v="ORD-01151"/>
    <x v="258"/>
    <s v="CUST-0192"/>
    <s v="PROD-051"/>
    <x v="10"/>
    <n v="10"/>
    <n v="3450"/>
    <n v="13.5"/>
    <n v="29842.5"/>
    <s v="Pending"/>
    <s v="Bengaluru"/>
    <x v="1"/>
    <s v="Retail"/>
    <n v="55"/>
    <x v="0"/>
    <s v="R004"/>
    <n v="589026.2899999998"/>
    <x v="0"/>
  </r>
  <r>
    <s v="ORD-01152"/>
    <x v="277"/>
    <s v="CUST-0298"/>
    <s v="PROD-010"/>
    <x v="0"/>
    <n v="10"/>
    <n v="2640"/>
    <n v="29.8"/>
    <n v="18532.8"/>
    <s v="Completed"/>
    <s v="Delhi"/>
    <x v="4"/>
    <s v="Retail"/>
    <n v="44"/>
    <x v="0"/>
    <s v="R007"/>
    <n v="855749.67999999982"/>
    <x v="0"/>
  </r>
  <r>
    <s v="ORD-01153"/>
    <x v="204"/>
    <s v="CUST-0088"/>
    <s v="PROD-032"/>
    <x v="18"/>
    <n v="3"/>
    <n v="370"/>
    <n v="25.5"/>
    <n v="826.95"/>
    <s v="Completed"/>
    <s v="Chennai"/>
    <x v="3"/>
    <s v="Retail"/>
    <n v="24"/>
    <x v="1"/>
    <s v="R009"/>
    <n v="914554.71999999986"/>
    <x v="1"/>
  </r>
  <r>
    <s v="ORD-01154"/>
    <x v="180"/>
    <s v="CUST-0274"/>
    <s v="PROD-009"/>
    <x v="14"/>
    <n v="3"/>
    <n v="1220"/>
    <n v="7.7"/>
    <n v="3378.18"/>
    <s v="Pending"/>
    <s v="Bengaluru"/>
    <x v="4"/>
    <s v="Corporate"/>
    <n v="36"/>
    <x v="2"/>
    <s v="R030"/>
    <n v="747624.36999999988"/>
    <x v="2"/>
  </r>
  <r>
    <s v="ORD-01155"/>
    <x v="59"/>
    <s v="CUST-0165"/>
    <s v="PROD-010"/>
    <x v="24"/>
    <n v="1"/>
    <n v="2640"/>
    <n v="23.6"/>
    <n v="2016.96"/>
    <s v="Completed"/>
    <s v="Pune"/>
    <x v="4"/>
    <s v="Retail"/>
    <n v="29"/>
    <x v="3"/>
    <s v="R022"/>
    <n v="1069570.5400000003"/>
    <x v="3"/>
  </r>
  <r>
    <s v="ORD-01156"/>
    <x v="232"/>
    <s v="CUST-0275"/>
    <s v="PROD-048"/>
    <x v="23"/>
    <n v="9"/>
    <n v="5100"/>
    <n v="9.5"/>
    <n v="41539.5"/>
    <s v="Completed"/>
    <s v="Mumbai"/>
    <x v="5"/>
    <s v="Retail"/>
    <n v="36"/>
    <x v="1"/>
    <s v="R011"/>
    <n v="735207.75999999989"/>
    <x v="1"/>
  </r>
  <r>
    <s v="ORD-01157"/>
    <x v="347"/>
    <s v="CUST-0225"/>
    <s v="PROD-050"/>
    <x v="4"/>
    <n v="7"/>
    <n v="6080"/>
    <n v="17.5"/>
    <n v="35112"/>
    <s v="Completed"/>
    <s v="Chennai"/>
    <x v="5"/>
    <s v="SMB"/>
    <n v="26"/>
    <x v="0"/>
    <s v="R008"/>
    <n v="861553.33"/>
    <x v="0"/>
  </r>
  <r>
    <s v="ORD-01158"/>
    <x v="341"/>
    <s v="CUST-0059"/>
    <s v="PROD-005"/>
    <x v="17"/>
    <n v="1"/>
    <n v="300"/>
    <n v="26.9"/>
    <n v="219.3"/>
    <s v="Completed"/>
    <s v="Pune"/>
    <x v="4"/>
    <s v="Corporate"/>
    <n v="29"/>
    <x v="2"/>
    <s v="R026"/>
    <n v="576305.08000000019"/>
    <x v="2"/>
  </r>
  <r>
    <s v="ORD-01159"/>
    <x v="181"/>
    <s v="CUST-0149"/>
    <s v="PROD-045"/>
    <x v="16"/>
    <n v="6"/>
    <n v="3020"/>
    <n v="28.5"/>
    <n v="12955.8"/>
    <s v="Completed"/>
    <s v="Hyderabad"/>
    <x v="5"/>
    <s v="Retail"/>
    <n v="44"/>
    <x v="3"/>
    <s v="R020"/>
    <n v="906107.71000000008"/>
    <x v="3"/>
  </r>
  <r>
    <s v="ORD-01160"/>
    <x v="137"/>
    <s v="CUST-0283"/>
    <s v="PROD-005"/>
    <x v="26"/>
    <n v="8"/>
    <n v="300"/>
    <n v="1.2"/>
    <n v="2371.1999999999998"/>
    <s v="Completed"/>
    <s v="Delhi"/>
    <x v="4"/>
    <s v="SMB"/>
    <n v="50"/>
    <x v="3"/>
    <s v="R018"/>
    <n v="1112289.6400000001"/>
    <x v="3"/>
  </r>
  <r>
    <s v="ORD-01161"/>
    <x v="271"/>
    <s v="CUST-0039"/>
    <s v="PROD-043"/>
    <x v="23"/>
    <n v="9"/>
    <n v="3350"/>
    <n v="0.6"/>
    <n v="29969.1"/>
    <s v="Refunded"/>
    <s v="Bengaluru"/>
    <x v="5"/>
    <s v="Retail"/>
    <n v="37"/>
    <x v="1"/>
    <s v="R011"/>
    <n v="735207.75999999989"/>
    <x v="1"/>
  </r>
  <r>
    <s v="ORD-01162"/>
    <x v="319"/>
    <s v="CUST-0046"/>
    <s v="PROD-026"/>
    <x v="6"/>
    <n v="4"/>
    <n v="4070"/>
    <n v="10.1"/>
    <n v="14635.72"/>
    <s v="Completed"/>
    <s v="Delhi"/>
    <x v="2"/>
    <s v="SMB"/>
    <n v="45"/>
    <x v="2"/>
    <s v="R024"/>
    <n v="819558.58"/>
    <x v="2"/>
  </r>
  <r>
    <s v="ORD-01163"/>
    <x v="105"/>
    <s v="CUST-0105"/>
    <s v="PROD-059"/>
    <x v="6"/>
    <n v="9"/>
    <n v="3780"/>
    <n v="27.8"/>
    <n v="24562.44"/>
    <s v="Cancelled"/>
    <s v="Chennai"/>
    <x v="1"/>
    <s v="SMB"/>
    <n v="51"/>
    <x v="2"/>
    <s v="R024"/>
    <n v="819558.58"/>
    <x v="2"/>
  </r>
  <r>
    <s v="ORD-01164"/>
    <x v="192"/>
    <s v="CUST-0006"/>
    <s v="PROD-040"/>
    <x v="14"/>
    <n v="6"/>
    <n v="1080"/>
    <n v="17.5"/>
    <n v="5346"/>
    <s v="Completed"/>
    <s v="Pune"/>
    <x v="3"/>
    <s v="SMB"/>
    <n v="44"/>
    <x v="2"/>
    <s v="R030"/>
    <n v="747624.36999999988"/>
    <x v="2"/>
  </r>
  <r>
    <s v="ORD-01165"/>
    <x v="348"/>
    <s v="CUST-0192"/>
    <s v="PROD-002"/>
    <x v="12"/>
    <n v="3"/>
    <n v="2600"/>
    <n v="1.9"/>
    <n v="7651.8"/>
    <s v="Completed"/>
    <s v="Bengaluru"/>
    <x v="4"/>
    <s v="Retail"/>
    <n v="55"/>
    <x v="3"/>
    <s v="R023"/>
    <n v="983787.4800000001"/>
    <x v="3"/>
  </r>
  <r>
    <s v="ORD-01166"/>
    <x v="67"/>
    <s v="CUST-0290"/>
    <s v="PROD-015"/>
    <x v="4"/>
    <n v="5"/>
    <n v="2720"/>
    <n v="1.8"/>
    <n v="13355.2"/>
    <s v="Cancelled"/>
    <s v="Delhi"/>
    <x v="0"/>
    <s v="Retail"/>
    <n v="63"/>
    <x v="0"/>
    <s v="R008"/>
    <n v="861553.33"/>
    <x v="0"/>
  </r>
  <r>
    <s v="ORD-01167"/>
    <x v="270"/>
    <s v="CUST-0287"/>
    <s v="PROD-028"/>
    <x v="27"/>
    <n v="8"/>
    <n v="3660"/>
    <n v="29.5"/>
    <n v="20642.400000000001"/>
    <s v="Completed"/>
    <s v="Chennai"/>
    <x v="2"/>
    <s v="SMB"/>
    <n v="53"/>
    <x v="1"/>
    <s v="R012"/>
    <n v="901394.32000000007"/>
    <x v="1"/>
  </r>
  <r>
    <s v="ORD-01168"/>
    <x v="237"/>
    <s v="CUST-0025"/>
    <s v="PROD-044"/>
    <x v="1"/>
    <n v="9"/>
    <n v="1650"/>
    <n v="19.8"/>
    <n v="11909.7"/>
    <s v="Refunded"/>
    <s v="Bengaluru"/>
    <x v="5"/>
    <s v="Retail"/>
    <n v="23"/>
    <x v="0"/>
    <s v="R005"/>
    <n v="782445.33"/>
    <x v="0"/>
  </r>
  <r>
    <s v="ORD-01169"/>
    <x v="349"/>
    <s v="CUST-0139"/>
    <s v="PROD-055"/>
    <x v="7"/>
    <n v="3"/>
    <n v="2860"/>
    <n v="22.7"/>
    <n v="6632.34"/>
    <s v="Completed"/>
    <s v="Hyderabad"/>
    <x v="1"/>
    <s v="SMB"/>
    <n v="65"/>
    <x v="3"/>
    <s v="R019"/>
    <n v="971183.52000000014"/>
    <x v="3"/>
  </r>
  <r>
    <s v="ORD-01170"/>
    <x v="335"/>
    <s v="CUST-0278"/>
    <s v="PROD-051"/>
    <x v="5"/>
    <n v="4"/>
    <n v="3450"/>
    <n v="9.1999999999999993"/>
    <n v="12530.4"/>
    <s v="Completed"/>
    <s v="Hyderabad"/>
    <x v="1"/>
    <s v="Retail"/>
    <n v="41"/>
    <x v="2"/>
    <s v="R025"/>
    <n v="901298.89"/>
    <x v="2"/>
  </r>
  <r>
    <s v="ORD-01171"/>
    <x v="171"/>
    <s v="CUST-0258"/>
    <s v="PROD-033"/>
    <x v="11"/>
    <n v="4"/>
    <n v="2030"/>
    <n v="17.100000000000001"/>
    <n v="6731.48"/>
    <s v="Completed"/>
    <s v="Pune"/>
    <x v="3"/>
    <s v="Retail"/>
    <n v="44"/>
    <x v="0"/>
    <s v="R003"/>
    <n v="986692.91"/>
    <x v="0"/>
  </r>
  <r>
    <s v="ORD-01172"/>
    <x v="24"/>
    <s v="CUST-0106"/>
    <s v="PROD-022"/>
    <x v="29"/>
    <n v="4"/>
    <n v="2270"/>
    <n v="27.3"/>
    <n v="6601.16"/>
    <s v="Completed"/>
    <s v="Pune"/>
    <x v="2"/>
    <s v="Retail"/>
    <n v="22"/>
    <x v="1"/>
    <s v="R016"/>
    <n v="814563.7100000002"/>
    <x v="1"/>
  </r>
  <r>
    <s v="ORD-01173"/>
    <x v="41"/>
    <s v="CUST-0009"/>
    <s v="PROD-034"/>
    <x v="22"/>
    <n v="9"/>
    <n v="5080"/>
    <n v="10.9"/>
    <n v="40736.519999999997"/>
    <s v="Completed"/>
    <s v="Mumbai"/>
    <x v="3"/>
    <s v="Retail"/>
    <n v="61"/>
    <x v="1"/>
    <s v="R013"/>
    <n v="811524.37999999989"/>
    <x v="1"/>
  </r>
  <r>
    <s v="ORD-01174"/>
    <x v="341"/>
    <s v="CUST-0209"/>
    <s v="PROD-026"/>
    <x v="20"/>
    <n v="8"/>
    <n v="4070"/>
    <n v="17.7"/>
    <n v="26796.880000000001"/>
    <s v="Completed"/>
    <s v="Pune"/>
    <x v="2"/>
    <s v="Retail"/>
    <n v="31"/>
    <x v="2"/>
    <s v="R029"/>
    <n v="1016696.8000000002"/>
    <x v="2"/>
  </r>
  <r>
    <s v="ORD-01175"/>
    <x v="332"/>
    <s v="CUST-0111"/>
    <s v="PROD-041"/>
    <x v="1"/>
    <n v="1"/>
    <n v="1540"/>
    <n v="0.9"/>
    <n v="1526.14"/>
    <s v="Completed"/>
    <s v="Chennai"/>
    <x v="5"/>
    <s v="SMB"/>
    <n v="64"/>
    <x v="0"/>
    <s v="R005"/>
    <n v="782445.33"/>
    <x v="0"/>
  </r>
  <r>
    <s v="ORD-01176"/>
    <x v="104"/>
    <s v="CUST-0014"/>
    <s v="PROD-048"/>
    <x v="6"/>
    <n v="10"/>
    <n v="5100"/>
    <n v="3"/>
    <n v="49470"/>
    <s v="Completed"/>
    <s v="Bengaluru"/>
    <x v="5"/>
    <s v="Retail"/>
    <n v="48"/>
    <x v="2"/>
    <s v="R024"/>
    <n v="819558.58"/>
    <x v="2"/>
  </r>
  <r>
    <s v="ORD-01177"/>
    <x v="165"/>
    <s v="CUST-0073"/>
    <s v="PROD-014"/>
    <x v="3"/>
    <n v="6"/>
    <n v="3620"/>
    <n v="20.2"/>
    <n v="17332.560000000001"/>
    <s v="Completed"/>
    <s v="Pune"/>
    <x v="0"/>
    <s v="Corporate"/>
    <n v="40"/>
    <x v="0"/>
    <s v="R006"/>
    <n v="1138648.73"/>
    <x v="0"/>
  </r>
  <r>
    <s v="ORD-01178"/>
    <x v="258"/>
    <s v="CUST-0147"/>
    <s v="PROD-046"/>
    <x v="11"/>
    <n v="7"/>
    <n v="4880"/>
    <n v="5"/>
    <n v="32452"/>
    <s v="Completed"/>
    <s v="Pune"/>
    <x v="5"/>
    <s v="Retail"/>
    <n v="56"/>
    <x v="0"/>
    <s v="R003"/>
    <n v="986692.91"/>
    <x v="0"/>
  </r>
  <r>
    <s v="ORD-01179"/>
    <x v="22"/>
    <s v="CUST-0006"/>
    <s v="PROD-010"/>
    <x v="6"/>
    <n v="1"/>
    <n v="2640"/>
    <n v="4.0999999999999996"/>
    <n v="2531.7600000000002"/>
    <s v="Completed"/>
    <s v="Pune"/>
    <x v="4"/>
    <s v="SMB"/>
    <n v="44"/>
    <x v="2"/>
    <s v="R024"/>
    <n v="819558.58"/>
    <x v="2"/>
  </r>
  <r>
    <s v="ORD-01180"/>
    <x v="118"/>
    <s v="CUST-0031"/>
    <s v="PROD-026"/>
    <x v="16"/>
    <n v="9"/>
    <n v="4070"/>
    <n v="4.4000000000000004"/>
    <n v="35018.28"/>
    <s v="Completed"/>
    <s v="Hyderabad"/>
    <x v="2"/>
    <s v="Retail"/>
    <n v="53"/>
    <x v="3"/>
    <s v="R020"/>
    <n v="906107.71000000008"/>
    <x v="3"/>
  </r>
  <r>
    <s v="ORD-01181"/>
    <x v="7"/>
    <s v="CUST-0084"/>
    <s v="PROD-003"/>
    <x v="5"/>
    <n v="9"/>
    <n v="3570"/>
    <n v="24.8"/>
    <n v="24161.759999999998"/>
    <s v="Completed"/>
    <s v="Chennai"/>
    <x v="4"/>
    <s v="Retail"/>
    <n v="28"/>
    <x v="2"/>
    <s v="R025"/>
    <n v="901298.89"/>
    <x v="2"/>
  </r>
  <r>
    <s v="ORD-01182"/>
    <x v="19"/>
    <s v="CUST-0203"/>
    <s v="PROD-043"/>
    <x v="1"/>
    <n v="10"/>
    <n v="3350"/>
    <n v="25.1"/>
    <n v="25091.5"/>
    <s v="Cancelled"/>
    <s v="Chennai"/>
    <x v="5"/>
    <s v="SMB"/>
    <n v="55"/>
    <x v="0"/>
    <s v="R005"/>
    <n v="782445.33"/>
    <x v="0"/>
  </r>
  <r>
    <s v="ORD-01183"/>
    <x v="246"/>
    <s v="CUST-0138"/>
    <s v="PROD-059"/>
    <x v="5"/>
    <n v="3"/>
    <n v="3780"/>
    <n v="3.8"/>
    <n v="10909.08"/>
    <s v="Completed"/>
    <s v="Chennai"/>
    <x v="1"/>
    <s v="Retail"/>
    <n v="24"/>
    <x v="2"/>
    <s v="R025"/>
    <n v="901298.89"/>
    <x v="2"/>
  </r>
  <r>
    <s v="ORD-01184"/>
    <x v="330"/>
    <s v="CUST-0157"/>
    <s v="PROD-003"/>
    <x v="4"/>
    <n v="4"/>
    <n v="3570"/>
    <n v="0.9"/>
    <n v="14151.48"/>
    <s v="Pending"/>
    <s v="Pune"/>
    <x v="4"/>
    <s v="Corporate"/>
    <n v="52"/>
    <x v="0"/>
    <s v="R008"/>
    <n v="861553.33"/>
    <x v="0"/>
  </r>
  <r>
    <s v="ORD-01185"/>
    <x v="295"/>
    <s v="CUST-0298"/>
    <s v="PROD-055"/>
    <x v="6"/>
    <n v="5"/>
    <n v="2860"/>
    <n v="20.100000000000001"/>
    <n v="11425.7"/>
    <s v="Completed"/>
    <s v="Delhi"/>
    <x v="1"/>
    <s v="Retail"/>
    <n v="44"/>
    <x v="2"/>
    <s v="R024"/>
    <n v="819558.58"/>
    <x v="2"/>
  </r>
  <r>
    <s v="ORD-01186"/>
    <x v="79"/>
    <s v="CUST-0132"/>
    <s v="PROD-016"/>
    <x v="11"/>
    <n v="1"/>
    <n v="620"/>
    <n v="1.1000000000000001"/>
    <n v="613.17999999999995"/>
    <s v="Cancelled"/>
    <s v="Delhi"/>
    <x v="0"/>
    <s v="Retail"/>
    <n v="41"/>
    <x v="0"/>
    <s v="R003"/>
    <n v="986692.91"/>
    <x v="0"/>
  </r>
  <r>
    <s v="ORD-01187"/>
    <x v="39"/>
    <s v="CUST-0006"/>
    <s v="PROD-003"/>
    <x v="27"/>
    <n v="1"/>
    <n v="3570"/>
    <n v="11.1"/>
    <n v="3173.73"/>
    <s v="Cancelled"/>
    <s v="Pune"/>
    <x v="4"/>
    <s v="SMB"/>
    <n v="44"/>
    <x v="1"/>
    <s v="R012"/>
    <n v="901394.32000000007"/>
    <x v="1"/>
  </r>
  <r>
    <s v="ORD-01188"/>
    <x v="317"/>
    <s v="CUST-0011"/>
    <s v="PROD-001"/>
    <x v="27"/>
    <n v="1"/>
    <n v="5330"/>
    <n v="3.5"/>
    <n v="5143.45"/>
    <s v="Completed"/>
    <s v="Chennai"/>
    <x v="4"/>
    <s v="Corporate"/>
    <n v="41"/>
    <x v="1"/>
    <s v="R012"/>
    <n v="901394.32000000007"/>
    <x v="1"/>
  </r>
  <r>
    <s v="ORD-01189"/>
    <x v="333"/>
    <s v="CUST-0170"/>
    <s v="PROD-052"/>
    <x v="26"/>
    <n v="7"/>
    <n v="5410"/>
    <n v="26.2"/>
    <n v="27948.06"/>
    <s v="Completed"/>
    <s v="Mumbai"/>
    <x v="1"/>
    <s v="SMB"/>
    <n v="22"/>
    <x v="3"/>
    <s v="R018"/>
    <n v="1112289.6400000001"/>
    <x v="3"/>
  </r>
  <r>
    <s v="ORD-01190"/>
    <x v="163"/>
    <s v="CUST-0109"/>
    <s v="PROD-034"/>
    <x v="29"/>
    <n v="10"/>
    <n v="5080"/>
    <n v="3.7"/>
    <n v="48920.4"/>
    <s v="Pending"/>
    <s v="Pune"/>
    <x v="3"/>
    <s v="Retail"/>
    <n v="42"/>
    <x v="1"/>
    <s v="R016"/>
    <n v="814563.7100000002"/>
    <x v="1"/>
  </r>
  <r>
    <s v="ORD-01191"/>
    <x v="43"/>
    <s v="CUST-0066"/>
    <s v="PROD-003"/>
    <x v="1"/>
    <n v="9"/>
    <n v="3570"/>
    <n v="5.6"/>
    <n v="30330.720000000001"/>
    <s v="Completed"/>
    <s v="Delhi"/>
    <x v="4"/>
    <s v="Retail"/>
    <n v="24"/>
    <x v="0"/>
    <s v="R005"/>
    <n v="782445.33"/>
    <x v="0"/>
  </r>
  <r>
    <s v="ORD-01192"/>
    <x v="165"/>
    <s v="CUST-0055"/>
    <s v="PROD-030"/>
    <x v="24"/>
    <n v="9"/>
    <n v="970"/>
    <n v="19.5"/>
    <n v="7027.65"/>
    <s v="Completed"/>
    <s v="Bengaluru"/>
    <x v="2"/>
    <s v="Retail"/>
    <n v="34"/>
    <x v="3"/>
    <s v="R022"/>
    <n v="1069570.5400000003"/>
    <x v="3"/>
  </r>
  <r>
    <s v="ORD-01193"/>
    <x v="298"/>
    <s v="CUST-0298"/>
    <s v="PROD-005"/>
    <x v="18"/>
    <n v="10"/>
    <n v="300"/>
    <n v="23"/>
    <n v="2310"/>
    <s v="Cancelled"/>
    <s v="Delhi"/>
    <x v="4"/>
    <s v="Retail"/>
    <n v="44"/>
    <x v="1"/>
    <s v="R009"/>
    <n v="914554.71999999986"/>
    <x v="1"/>
  </r>
  <r>
    <s v="ORD-01194"/>
    <x v="319"/>
    <s v="CUST-0024"/>
    <s v="PROD-050"/>
    <x v="11"/>
    <n v="10"/>
    <n v="6080"/>
    <n v="3.9"/>
    <n v="58428.800000000003"/>
    <s v="Completed"/>
    <s v="Chennai"/>
    <x v="5"/>
    <s v="SMB"/>
    <n v="64"/>
    <x v="0"/>
    <s v="R003"/>
    <n v="986692.91"/>
    <x v="0"/>
  </r>
  <r>
    <s v="ORD-01195"/>
    <x v="149"/>
    <s v="CUST-0008"/>
    <s v="PROD-048"/>
    <x v="23"/>
    <n v="2"/>
    <n v="5100"/>
    <n v="11"/>
    <n v="9078"/>
    <s v="Completed"/>
    <s v="Pune"/>
    <x v="5"/>
    <s v="SMB"/>
    <n v="39"/>
    <x v="1"/>
    <s v="R011"/>
    <n v="735207.75999999989"/>
    <x v="1"/>
  </r>
  <r>
    <s v="ORD-01196"/>
    <x v="18"/>
    <s v="CUST-0070"/>
    <s v="PROD-011"/>
    <x v="7"/>
    <n v="9"/>
    <n v="3450"/>
    <n v="23.7"/>
    <n v="23691.15"/>
    <s v="Completed"/>
    <s v="Mumbai"/>
    <x v="0"/>
    <s v="Retail"/>
    <n v="42"/>
    <x v="3"/>
    <s v="R019"/>
    <n v="971183.52000000014"/>
    <x v="3"/>
  </r>
  <r>
    <s v="ORD-01197"/>
    <x v="164"/>
    <s v="CUST-0270"/>
    <s v="PROD-019"/>
    <x v="23"/>
    <n v="5"/>
    <n v="2480"/>
    <n v="20.399999999999999"/>
    <n v="9870.4"/>
    <s v="Completed"/>
    <s v="Bengaluru"/>
    <x v="0"/>
    <s v="Retail"/>
    <n v="29"/>
    <x v="1"/>
    <s v="R011"/>
    <n v="735207.75999999989"/>
    <x v="1"/>
  </r>
  <r>
    <s v="ORD-01198"/>
    <x v="323"/>
    <s v="CUST-0175"/>
    <s v="PROD-060"/>
    <x v="9"/>
    <n v="4"/>
    <n v="190"/>
    <n v="2.6"/>
    <n v="740.24"/>
    <s v="Completed"/>
    <s v="Delhi"/>
    <x v="1"/>
    <s v="Corporate"/>
    <n v="55"/>
    <x v="1"/>
    <s v="R010"/>
    <n v="880345.20000000007"/>
    <x v="1"/>
  </r>
  <r>
    <s v="ORD-01199"/>
    <x v="212"/>
    <s v="CUST-0227"/>
    <s v="PROD-022"/>
    <x v="16"/>
    <n v="4"/>
    <n v="2270"/>
    <n v="8.1"/>
    <n v="8344.52"/>
    <s v="Pending"/>
    <s v="Bengaluru"/>
    <x v="2"/>
    <s v="SMB"/>
    <n v="44"/>
    <x v="3"/>
    <s v="R020"/>
    <n v="906107.71000000008"/>
    <x v="3"/>
  </r>
  <r>
    <s v="ORD-01200"/>
    <x v="169"/>
    <s v="CUST-0041"/>
    <s v="PROD-017"/>
    <x v="8"/>
    <n v="7"/>
    <n v="2510"/>
    <n v="25.5"/>
    <n v="13089.65"/>
    <s v="Completed"/>
    <s v="Bengaluru"/>
    <x v="0"/>
    <s v="SMB"/>
    <n v="26"/>
    <x v="2"/>
    <s v="R028"/>
    <n v="880468.05"/>
    <x v="2"/>
  </r>
  <r>
    <s v="ORD-01201"/>
    <x v="318"/>
    <s v="CUST-0147"/>
    <s v="PROD-059"/>
    <x v="10"/>
    <n v="3"/>
    <n v="3780"/>
    <n v="16.8"/>
    <n v="9434.8799999999992"/>
    <s v="Completed"/>
    <s v="Pune"/>
    <x v="1"/>
    <s v="Retail"/>
    <n v="56"/>
    <x v="0"/>
    <s v="R004"/>
    <n v="589026.2899999998"/>
    <x v="0"/>
  </r>
  <r>
    <s v="ORD-01202"/>
    <x v="79"/>
    <s v="CUST-0185"/>
    <s v="PROD-003"/>
    <x v="9"/>
    <n v="7"/>
    <n v="3570"/>
    <n v="23.7"/>
    <n v="19067.37"/>
    <s v="Completed"/>
    <s v="Hyderabad"/>
    <x v="4"/>
    <s v="SMB"/>
    <n v="43"/>
    <x v="1"/>
    <s v="R010"/>
    <n v="880345.20000000007"/>
    <x v="1"/>
  </r>
  <r>
    <s v="ORD-01203"/>
    <x v="115"/>
    <s v="CUST-0210"/>
    <s v="PROD-037"/>
    <x v="23"/>
    <n v="4"/>
    <n v="660"/>
    <n v="3.6"/>
    <n v="2544.96"/>
    <s v="Completed"/>
    <s v="Pune"/>
    <x v="3"/>
    <s v="Corporate"/>
    <n v="48"/>
    <x v="1"/>
    <s v="R011"/>
    <n v="735207.75999999989"/>
    <x v="1"/>
  </r>
  <r>
    <s v="ORD-01204"/>
    <x v="350"/>
    <s v="CUST-0289"/>
    <s v="PROD-030"/>
    <x v="9"/>
    <n v="7"/>
    <n v="970"/>
    <n v="23.7"/>
    <n v="5180.7700000000004"/>
    <s v="Completed"/>
    <s v="Mumbai"/>
    <x v="2"/>
    <s v="Retail"/>
    <n v="54"/>
    <x v="1"/>
    <s v="R010"/>
    <n v="880345.20000000007"/>
    <x v="1"/>
  </r>
  <r>
    <s v="ORD-01205"/>
    <x v="200"/>
    <s v="CUST-0017"/>
    <s v="PROD-024"/>
    <x v="3"/>
    <n v="8"/>
    <n v="2270"/>
    <n v="6.8"/>
    <n v="16925.12"/>
    <s v="Completed"/>
    <s v="Delhi"/>
    <x v="2"/>
    <s v="SMB"/>
    <n v="38"/>
    <x v="0"/>
    <s v="R006"/>
    <n v="1138648.73"/>
    <x v="0"/>
  </r>
  <r>
    <s v="ORD-01206"/>
    <x v="65"/>
    <s v="CUST-0115"/>
    <s v="PROD-058"/>
    <x v="27"/>
    <n v="1"/>
    <n v="2400"/>
    <n v="26.5"/>
    <n v="1764"/>
    <s v="Completed"/>
    <s v="Mumbai"/>
    <x v="1"/>
    <s v="SMB"/>
    <n v="65"/>
    <x v="1"/>
    <s v="R012"/>
    <n v="901394.32000000007"/>
    <x v="1"/>
  </r>
  <r>
    <s v="ORD-01207"/>
    <x v="283"/>
    <s v="CUST-0183"/>
    <s v="PROD-034"/>
    <x v="9"/>
    <n v="5"/>
    <n v="5080"/>
    <n v="29.6"/>
    <n v="17881.599999999999"/>
    <s v="Completed"/>
    <s v="Mumbai"/>
    <x v="3"/>
    <s v="SMB"/>
    <n v="27"/>
    <x v="1"/>
    <s v="R010"/>
    <n v="880345.20000000007"/>
    <x v="1"/>
  </r>
  <r>
    <s v="ORD-01208"/>
    <x v="116"/>
    <s v="CUST-0193"/>
    <s v="PROD-043"/>
    <x v="2"/>
    <n v="9"/>
    <n v="3350"/>
    <n v="6.2"/>
    <n v="28280.7"/>
    <s v="Completed"/>
    <s v="Bengaluru"/>
    <x v="5"/>
    <s v="Retail"/>
    <n v="42"/>
    <x v="1"/>
    <s v="R014"/>
    <n v="995713.54000000015"/>
    <x v="1"/>
  </r>
  <r>
    <s v="ORD-01209"/>
    <x v="9"/>
    <s v="CUST-0019"/>
    <s v="PROD-041"/>
    <x v="19"/>
    <n v="4"/>
    <n v="1540"/>
    <n v="22.2"/>
    <n v="4792.4799999999996"/>
    <s v="Completed"/>
    <s v="Chennai"/>
    <x v="5"/>
    <s v="Retail"/>
    <n v="22"/>
    <x v="0"/>
    <s v="R001"/>
    <n v="789849.60000000009"/>
    <x v="0"/>
  </r>
  <r>
    <s v="ORD-01210"/>
    <x v="313"/>
    <s v="CUST-0097"/>
    <s v="PROD-034"/>
    <x v="25"/>
    <n v="10"/>
    <n v="5080"/>
    <n v="11.8"/>
    <n v="44805.599999999999"/>
    <s v="Completed"/>
    <s v="Mumbai"/>
    <x v="3"/>
    <s v="Retail"/>
    <n v="65"/>
    <x v="0"/>
    <s v="R002"/>
    <n v="980063.65999999968"/>
    <x v="0"/>
  </r>
  <r>
    <s v="ORD-01211"/>
    <x v="197"/>
    <s v="CUST-0237"/>
    <s v="PROD-018"/>
    <x v="27"/>
    <n v="9"/>
    <n v="3560"/>
    <n v="15.9"/>
    <n v="26945.64"/>
    <s v="Completed"/>
    <s v="Mumbai"/>
    <x v="0"/>
    <s v="Retail"/>
    <n v="49"/>
    <x v="1"/>
    <s v="R012"/>
    <n v="901394.32000000007"/>
    <x v="1"/>
  </r>
  <r>
    <s v="ORD-01212"/>
    <x v="98"/>
    <s v="CUST-0252"/>
    <s v="PROD-040"/>
    <x v="18"/>
    <n v="2"/>
    <n v="1080"/>
    <n v="21.1"/>
    <n v="1704.24"/>
    <s v="Completed"/>
    <s v="Bengaluru"/>
    <x v="3"/>
    <s v="Retail"/>
    <n v="27"/>
    <x v="1"/>
    <s v="R009"/>
    <n v="914554.71999999986"/>
    <x v="1"/>
  </r>
  <r>
    <s v="ORD-01213"/>
    <x v="202"/>
    <s v="CUST-0216"/>
    <s v="PROD-023"/>
    <x v="26"/>
    <n v="5"/>
    <n v="2380"/>
    <n v="20.5"/>
    <n v="9460.5"/>
    <s v="Completed"/>
    <s v="Mumbai"/>
    <x v="2"/>
    <s v="Retail"/>
    <n v="50"/>
    <x v="3"/>
    <s v="R018"/>
    <n v="1112289.6400000001"/>
    <x v="3"/>
  </r>
  <r>
    <s v="ORD-01214"/>
    <x v="71"/>
    <s v="CUST-0248"/>
    <s v="PROD-019"/>
    <x v="5"/>
    <n v="9"/>
    <n v="2480"/>
    <n v="1.2"/>
    <n v="22052.16"/>
    <s v="Completed"/>
    <s v="Chennai"/>
    <x v="0"/>
    <s v="SMB"/>
    <n v="57"/>
    <x v="2"/>
    <s v="R025"/>
    <n v="901298.89"/>
    <x v="2"/>
  </r>
  <r>
    <s v="ORD-01215"/>
    <x v="333"/>
    <s v="CUST-0044"/>
    <s v="PROD-042"/>
    <x v="27"/>
    <n v="9"/>
    <n v="2290"/>
    <n v="0.9"/>
    <n v="20424.509999999998"/>
    <s v="Completed"/>
    <s v="Hyderabad"/>
    <x v="5"/>
    <s v="SMB"/>
    <n v="29"/>
    <x v="1"/>
    <s v="R012"/>
    <n v="901394.32000000007"/>
    <x v="1"/>
  </r>
  <r>
    <s v="ORD-01216"/>
    <x v="143"/>
    <s v="CUST-0251"/>
    <s v="PROD-011"/>
    <x v="23"/>
    <n v="3"/>
    <n v="3450"/>
    <n v="29.5"/>
    <n v="7296.75"/>
    <s v="Completed"/>
    <s v="Mumbai"/>
    <x v="0"/>
    <s v="Retail"/>
    <n v="44"/>
    <x v="1"/>
    <s v="R011"/>
    <n v="735207.75999999989"/>
    <x v="1"/>
  </r>
  <r>
    <s v="ORD-01217"/>
    <x v="28"/>
    <s v="CUST-0280"/>
    <s v="PROD-047"/>
    <x v="6"/>
    <n v="9"/>
    <n v="3450"/>
    <n v="19.399999999999999"/>
    <n v="25026.3"/>
    <s v="Completed"/>
    <s v="Delhi"/>
    <x v="5"/>
    <s v="SMB"/>
    <n v="27"/>
    <x v="2"/>
    <s v="R024"/>
    <n v="819558.58"/>
    <x v="2"/>
  </r>
  <r>
    <s v="ORD-01218"/>
    <x v="340"/>
    <s v="CUST-0108"/>
    <s v="PROD-002"/>
    <x v="14"/>
    <n v="2"/>
    <n v="2600"/>
    <n v="20.2"/>
    <n v="4149.6000000000004"/>
    <s v="Cancelled"/>
    <s v="Bengaluru"/>
    <x v="4"/>
    <s v="Corporate"/>
    <n v="59"/>
    <x v="2"/>
    <s v="R030"/>
    <n v="747624.36999999988"/>
    <x v="2"/>
  </r>
  <r>
    <s v="ORD-01219"/>
    <x v="281"/>
    <s v="CUST-0058"/>
    <s v="PROD-021"/>
    <x v="5"/>
    <n v="1"/>
    <n v="2760"/>
    <n v="9.5"/>
    <n v="2497.8000000000002"/>
    <s v="Completed"/>
    <s v="Bengaluru"/>
    <x v="2"/>
    <s v="SMB"/>
    <n v="49"/>
    <x v="2"/>
    <s v="R025"/>
    <n v="901298.89"/>
    <x v="2"/>
  </r>
  <r>
    <s v="ORD-01220"/>
    <x v="106"/>
    <s v="CUST-0090"/>
    <s v="PROD-039"/>
    <x v="11"/>
    <n v="4"/>
    <n v="4610"/>
    <n v="14.8"/>
    <n v="15710.88"/>
    <s v="Completed"/>
    <s v="Bengaluru"/>
    <x v="3"/>
    <s v="Corporate"/>
    <n v="26"/>
    <x v="0"/>
    <s v="R003"/>
    <n v="986692.91"/>
    <x v="0"/>
  </r>
  <r>
    <s v="ORD-01221"/>
    <x v="147"/>
    <s v="CUST-0204"/>
    <s v="PROD-019"/>
    <x v="6"/>
    <n v="3"/>
    <n v="2480"/>
    <n v="3.7"/>
    <n v="7164.72"/>
    <s v="Completed"/>
    <s v="Hyderabad"/>
    <x v="0"/>
    <s v="Retail"/>
    <n v="60"/>
    <x v="2"/>
    <s v="R024"/>
    <n v="819558.58"/>
    <x v="2"/>
  </r>
  <r>
    <s v="ORD-01222"/>
    <x v="294"/>
    <s v="CUST-0044"/>
    <s v="PROD-056"/>
    <x v="23"/>
    <n v="5"/>
    <n v="6940"/>
    <n v="0.3"/>
    <n v="34595.9"/>
    <s v="Completed"/>
    <s v="Hyderabad"/>
    <x v="1"/>
    <s v="SMB"/>
    <n v="29"/>
    <x v="1"/>
    <s v="R011"/>
    <n v="735207.75999999989"/>
    <x v="1"/>
  </r>
  <r>
    <s v="ORD-01223"/>
    <x v="9"/>
    <s v="CUST-0068"/>
    <s v="PROD-022"/>
    <x v="12"/>
    <n v="8"/>
    <n v="2270"/>
    <n v="15.6"/>
    <n v="15327.04"/>
    <s v="Pending"/>
    <s v="Delhi"/>
    <x v="2"/>
    <s v="SMB"/>
    <n v="48"/>
    <x v="3"/>
    <s v="R023"/>
    <n v="983787.4800000001"/>
    <x v="3"/>
  </r>
  <r>
    <s v="ORD-01224"/>
    <x v="313"/>
    <s v="CUST-0127"/>
    <s v="PROD-048"/>
    <x v="14"/>
    <n v="5"/>
    <n v="5100"/>
    <n v="9.5"/>
    <n v="23077.5"/>
    <s v="Completed"/>
    <s v="Bengaluru"/>
    <x v="5"/>
    <s v="SMB"/>
    <n v="36"/>
    <x v="2"/>
    <s v="R030"/>
    <n v="747624.36999999988"/>
    <x v="2"/>
  </r>
  <r>
    <s v="ORD-01225"/>
    <x v="345"/>
    <s v="CUST-0191"/>
    <s v="PROD-036"/>
    <x v="23"/>
    <n v="5"/>
    <n v="3250"/>
    <n v="8.1"/>
    <n v="14933.75"/>
    <s v="Completed"/>
    <s v="Hyderabad"/>
    <x v="3"/>
    <s v="SMB"/>
    <n v="43"/>
    <x v="1"/>
    <s v="R011"/>
    <n v="735207.75999999989"/>
    <x v="1"/>
  </r>
  <r>
    <s v="ORD-01226"/>
    <x v="303"/>
    <s v="CUST-0028"/>
    <s v="PROD-006"/>
    <x v="11"/>
    <n v="6"/>
    <n v="3970"/>
    <n v="18.8"/>
    <n v="19341.84"/>
    <s v="Pending"/>
    <s v="Bengaluru"/>
    <x v="4"/>
    <s v="Retail"/>
    <n v="59"/>
    <x v="0"/>
    <s v="R003"/>
    <n v="986692.91"/>
    <x v="0"/>
  </r>
  <r>
    <s v="ORD-01227"/>
    <x v="14"/>
    <s v="CUST-0027"/>
    <s v="PROD-001"/>
    <x v="5"/>
    <n v="4"/>
    <n v="5330"/>
    <n v="19.7"/>
    <n v="17119.96"/>
    <s v="Completed"/>
    <s v="Hyderabad"/>
    <x v="4"/>
    <s v="Corporate"/>
    <n v="52"/>
    <x v="2"/>
    <s v="R025"/>
    <n v="901298.89"/>
    <x v="2"/>
  </r>
  <r>
    <s v="ORD-01228"/>
    <x v="84"/>
    <s v="CUST-0193"/>
    <s v="PROD-008"/>
    <x v="10"/>
    <n v="7"/>
    <n v="2660"/>
    <n v="8.5"/>
    <n v="17037.3"/>
    <s v="Completed"/>
    <s v="Bengaluru"/>
    <x v="4"/>
    <s v="Retail"/>
    <n v="42"/>
    <x v="0"/>
    <s v="R004"/>
    <n v="589026.2899999998"/>
    <x v="0"/>
  </r>
  <r>
    <s v="ORD-01229"/>
    <x v="124"/>
    <s v="CUST-0202"/>
    <s v="PROD-012"/>
    <x v="20"/>
    <n v="5"/>
    <n v="3160"/>
    <n v="13.4"/>
    <n v="13682.8"/>
    <s v="Pending"/>
    <s v="Chennai"/>
    <x v="0"/>
    <s v="Retail"/>
    <n v="39"/>
    <x v="2"/>
    <s v="R029"/>
    <n v="1016696.8000000002"/>
    <x v="2"/>
  </r>
  <r>
    <s v="ORD-01230"/>
    <x v="287"/>
    <s v="CUST-0230"/>
    <s v="PROD-054"/>
    <x v="7"/>
    <n v="10"/>
    <n v="1010"/>
    <n v="14"/>
    <n v="8686"/>
    <s v="Completed"/>
    <s v="Pune"/>
    <x v="1"/>
    <s v="Corporate"/>
    <n v="33"/>
    <x v="3"/>
    <s v="R019"/>
    <n v="971183.52000000014"/>
    <x v="3"/>
  </r>
  <r>
    <s v="ORD-01231"/>
    <x v="351"/>
    <s v="CUST-0280"/>
    <s v="PROD-041"/>
    <x v="11"/>
    <n v="3"/>
    <n v="1540"/>
    <n v="13.7"/>
    <n v="3987.06"/>
    <s v="Pending"/>
    <s v="Delhi"/>
    <x v="5"/>
    <s v="SMB"/>
    <n v="27"/>
    <x v="0"/>
    <s v="R003"/>
    <n v="986692.91"/>
    <x v="0"/>
  </r>
  <r>
    <s v="ORD-01232"/>
    <x v="343"/>
    <s v="CUST-0196"/>
    <s v="PROD-048"/>
    <x v="18"/>
    <n v="10"/>
    <n v="5100"/>
    <n v="13.8"/>
    <n v="43962"/>
    <s v="Completed"/>
    <s v="Chennai"/>
    <x v="5"/>
    <s v="Retail"/>
    <n v="26"/>
    <x v="1"/>
    <s v="R009"/>
    <n v="914554.71999999986"/>
    <x v="1"/>
  </r>
  <r>
    <s v="ORD-01233"/>
    <x v="136"/>
    <s v="CUST-0019"/>
    <s v="PROD-007"/>
    <x v="14"/>
    <n v="3"/>
    <n v="1430"/>
    <n v="1.5"/>
    <n v="4225.6499999999996"/>
    <s v="Completed"/>
    <s v="Chennai"/>
    <x v="4"/>
    <s v="Retail"/>
    <n v="22"/>
    <x v="2"/>
    <s v="R030"/>
    <n v="747624.36999999988"/>
    <x v="2"/>
  </r>
  <r>
    <s v="ORD-01234"/>
    <x v="247"/>
    <s v="CUST-0201"/>
    <s v="PROD-038"/>
    <x v="22"/>
    <n v="8"/>
    <n v="5490"/>
    <n v="23.2"/>
    <n v="33730.559999999998"/>
    <s v="Completed"/>
    <s v="Hyderabad"/>
    <x v="3"/>
    <s v="Retail"/>
    <n v="31"/>
    <x v="1"/>
    <s v="R013"/>
    <n v="811524.37999999989"/>
    <x v="1"/>
  </r>
  <r>
    <s v="ORD-01235"/>
    <x v="185"/>
    <s v="CUST-0146"/>
    <s v="PROD-044"/>
    <x v="4"/>
    <n v="6"/>
    <n v="1650"/>
    <n v="16.8"/>
    <n v="8236.7999999999993"/>
    <s v="Completed"/>
    <s v="Hyderabad"/>
    <x v="5"/>
    <s v="Retail"/>
    <n v="22"/>
    <x v="0"/>
    <s v="R008"/>
    <n v="861553.33"/>
    <x v="0"/>
  </r>
  <r>
    <s v="ORD-01236"/>
    <x v="151"/>
    <s v="CUST-0199"/>
    <s v="PROD-045"/>
    <x v="26"/>
    <n v="3"/>
    <n v="3020"/>
    <n v="14.5"/>
    <n v="7746.3"/>
    <s v="Completed"/>
    <s v="Hyderabad"/>
    <x v="5"/>
    <s v="SMB"/>
    <n v="31"/>
    <x v="3"/>
    <s v="R018"/>
    <n v="1112289.6400000001"/>
    <x v="3"/>
  </r>
  <r>
    <s v="ORD-01237"/>
    <x v="334"/>
    <s v="CUST-0099"/>
    <s v="PROD-041"/>
    <x v="11"/>
    <n v="5"/>
    <n v="1540"/>
    <n v="27.2"/>
    <n v="5605.6"/>
    <s v="Completed"/>
    <s v="Bengaluru"/>
    <x v="5"/>
    <s v="SMB"/>
    <n v="54"/>
    <x v="0"/>
    <s v="R003"/>
    <n v="986692.91"/>
    <x v="0"/>
  </r>
  <r>
    <s v="ORD-00372"/>
    <x v="246"/>
    <s v="CUST-0094"/>
    <s v="PROD-056"/>
    <x v="12"/>
    <n v="4"/>
    <n v="6940"/>
    <n v="3.2"/>
    <n v="26871.68"/>
    <s v="Completed"/>
    <s v="Pune"/>
    <x v="1"/>
    <s v="SMB"/>
    <n v="60"/>
    <x v="3"/>
    <s v="R023"/>
    <n v="983787.4800000001"/>
    <x v="3"/>
  </r>
  <r>
    <s v="ORD-01239"/>
    <x v="25"/>
    <s v="CUST-0275"/>
    <s v="PROD-048"/>
    <x v="21"/>
    <n v="2"/>
    <n v="5100"/>
    <n v="18.100000000000001"/>
    <n v="8353.7999999999993"/>
    <s v="Completed"/>
    <s v="Mumbai"/>
    <x v="5"/>
    <s v="Retail"/>
    <n v="36"/>
    <x v="3"/>
    <s v="R017"/>
    <n v="780384.40999999992"/>
    <x v="3"/>
  </r>
  <r>
    <s v="ORD-01240"/>
    <x v="189"/>
    <s v="CUST-0230"/>
    <s v="PROD-001"/>
    <x v="29"/>
    <n v="6"/>
    <n v="5330"/>
    <n v="0.3"/>
    <n v="31884.06"/>
    <s v="Pending"/>
    <s v="Pune"/>
    <x v="4"/>
    <s v="Corporate"/>
    <n v="33"/>
    <x v="1"/>
    <s v="R016"/>
    <n v="814563.7100000002"/>
    <x v="1"/>
  </r>
  <r>
    <s v="ORD-01241"/>
    <x v="121"/>
    <s v="CUST-0227"/>
    <s v="PROD-057"/>
    <x v="20"/>
    <n v="5"/>
    <n v="960"/>
    <n v="16.600000000000001"/>
    <n v="4003.2"/>
    <s v="Completed"/>
    <s v="Bengaluru"/>
    <x v="1"/>
    <s v="SMB"/>
    <n v="44"/>
    <x v="2"/>
    <s v="R029"/>
    <n v="1016696.8000000002"/>
    <x v="2"/>
  </r>
  <r>
    <s v="ORD-01365"/>
    <x v="214"/>
    <s v="CUST-0200"/>
    <s v="PROD-014"/>
    <x v="24"/>
    <n v="7"/>
    <n v="3620"/>
    <n v="5.4"/>
    <n v="23971.64"/>
    <s v="Completed"/>
    <s v="Hyderabad"/>
    <x v="0"/>
    <s v="Corporate"/>
    <n v="46"/>
    <x v="3"/>
    <s v="R022"/>
    <n v="1069570.5400000003"/>
    <x v="3"/>
  </r>
  <r>
    <s v="ORD-01243"/>
    <x v="213"/>
    <s v="CUST-0268"/>
    <s v="PROD-002"/>
    <x v="3"/>
    <n v="6"/>
    <n v="2600"/>
    <n v="25.9"/>
    <n v="11559.6"/>
    <s v="Completed"/>
    <s v="Chennai"/>
    <x v="4"/>
    <s v="Retail"/>
    <n v="35"/>
    <x v="0"/>
    <s v="R006"/>
    <n v="1138648.73"/>
    <x v="0"/>
  </r>
  <r>
    <s v="ORD-01244"/>
    <x v="129"/>
    <s v="CUST-0163"/>
    <s v="PROD-008"/>
    <x v="22"/>
    <n v="7"/>
    <n v="2660"/>
    <n v="20.2"/>
    <n v="14858.76"/>
    <s v="Completed"/>
    <s v="Pune"/>
    <x v="4"/>
    <s v="Retail"/>
    <n v="49"/>
    <x v="1"/>
    <s v="R013"/>
    <n v="811524.37999999989"/>
    <x v="1"/>
  </r>
  <r>
    <s v="ORD-01245"/>
    <x v="22"/>
    <s v="CUST-0233"/>
    <s v="PROD-019"/>
    <x v="24"/>
    <n v="9"/>
    <n v="2480"/>
    <n v="14.7"/>
    <n v="19038.96"/>
    <s v="Completed"/>
    <s v="Mumbai"/>
    <x v="0"/>
    <s v="SMB"/>
    <n v="65"/>
    <x v="3"/>
    <s v="R022"/>
    <n v="1069570.5400000003"/>
    <x v="3"/>
  </r>
  <r>
    <s v="ORD-01246"/>
    <x v="296"/>
    <s v="CUST-0181"/>
    <s v="PROD-008"/>
    <x v="15"/>
    <n v="4"/>
    <n v="2660"/>
    <n v="8.9"/>
    <n v="9693.0400000000009"/>
    <s v="Completed"/>
    <s v="Delhi"/>
    <x v="4"/>
    <s v="SMB"/>
    <n v="38"/>
    <x v="1"/>
    <s v="R015"/>
    <n v="1091740.1799999997"/>
    <x v="1"/>
  </r>
  <r>
    <s v="ORD-01247"/>
    <x v="326"/>
    <s v="CUST-0254"/>
    <s v="PROD-001"/>
    <x v="9"/>
    <n v="1"/>
    <n v="5330"/>
    <n v="26.8"/>
    <n v="3901.56"/>
    <s v="Completed"/>
    <s v="Bengaluru"/>
    <x v="4"/>
    <s v="Retail"/>
    <n v="35"/>
    <x v="1"/>
    <s v="R010"/>
    <n v="880345.20000000007"/>
    <x v="1"/>
  </r>
  <r>
    <s v="ORD-01248"/>
    <x v="227"/>
    <s v="CUST-0116"/>
    <s v="PROD-051"/>
    <x v="28"/>
    <n v="6"/>
    <n v="3450"/>
    <n v="19.2"/>
    <n v="16725.599999999999"/>
    <s v="Pending"/>
    <s v="Bengaluru"/>
    <x v="1"/>
    <s v="Retail"/>
    <n v="53"/>
    <x v="2"/>
    <s v="R027"/>
    <n v="917092.61999999965"/>
    <x v="2"/>
  </r>
  <r>
    <s v="ORD-01249"/>
    <x v="323"/>
    <s v="CUST-0259"/>
    <s v="PROD-060"/>
    <x v="5"/>
    <n v="10"/>
    <n v="190"/>
    <n v="18.100000000000001"/>
    <n v="1556.1"/>
    <s v="Completed"/>
    <s v="Mumbai"/>
    <x v="1"/>
    <s v="Retail"/>
    <n v="34"/>
    <x v="2"/>
    <s v="R025"/>
    <n v="901298.89"/>
    <x v="2"/>
  </r>
  <r>
    <s v="ORD-01250"/>
    <x v="241"/>
    <s v="CUST-0198"/>
    <s v="PROD-006"/>
    <x v="18"/>
    <n v="9"/>
    <n v="3970"/>
    <n v="18.2"/>
    <n v="29227.14"/>
    <s v="Pending"/>
    <s v="Chennai"/>
    <x v="4"/>
    <s v="Corporate"/>
    <n v="22"/>
    <x v="1"/>
    <s v="R009"/>
    <n v="914554.71999999986"/>
    <x v="1"/>
  </r>
  <r>
    <s v="ORD-01251"/>
    <x v="280"/>
    <s v="CUST-0204"/>
    <s v="PROD-039"/>
    <x v="25"/>
    <n v="4"/>
    <n v="4610"/>
    <n v="15.1"/>
    <n v="15655.56"/>
    <s v="Cancelled"/>
    <s v="Hyderabad"/>
    <x v="3"/>
    <s v="Retail"/>
    <n v="60"/>
    <x v="0"/>
    <s v="R002"/>
    <n v="980063.65999999968"/>
    <x v="0"/>
  </r>
  <r>
    <s v="ORD-01252"/>
    <x v="233"/>
    <s v="CUST-0216"/>
    <s v="PROD-016"/>
    <x v="5"/>
    <n v="2"/>
    <n v="620"/>
    <n v="3.3"/>
    <n v="1199.08"/>
    <s v="Completed"/>
    <s v="Mumbai"/>
    <x v="0"/>
    <s v="Retail"/>
    <n v="50"/>
    <x v="2"/>
    <s v="R025"/>
    <n v="901298.89"/>
    <x v="2"/>
  </r>
  <r>
    <s v="ORD-01253"/>
    <x v="214"/>
    <s v="CUST-0030"/>
    <s v="PROD-041"/>
    <x v="5"/>
    <n v="7"/>
    <n v="1540"/>
    <n v="27.5"/>
    <n v="7815.5"/>
    <s v="Completed"/>
    <s v="Bengaluru"/>
    <x v="5"/>
    <s v="Corporate"/>
    <n v="43"/>
    <x v="2"/>
    <s v="R025"/>
    <n v="901298.89"/>
    <x v="2"/>
  </r>
  <r>
    <s v="ORD-01254"/>
    <x v="178"/>
    <s v="CUST-0019"/>
    <s v="PROD-053"/>
    <x v="21"/>
    <n v="10"/>
    <n v="470"/>
    <n v="3.9"/>
    <n v="4516.7"/>
    <s v="Completed"/>
    <s v="Chennai"/>
    <x v="1"/>
    <s v="Retail"/>
    <n v="22"/>
    <x v="3"/>
    <s v="R017"/>
    <n v="780384.40999999992"/>
    <x v="3"/>
  </r>
  <r>
    <s v="ORD-01255"/>
    <x v="348"/>
    <s v="CUST-0034"/>
    <s v="PROD-046"/>
    <x v="25"/>
    <n v="5"/>
    <n v="4880"/>
    <n v="27.4"/>
    <n v="17714.400000000001"/>
    <s v="Completed"/>
    <s v="Delhi"/>
    <x v="5"/>
    <s v="Retail"/>
    <n v="47"/>
    <x v="0"/>
    <s v="R002"/>
    <n v="980063.65999999968"/>
    <x v="0"/>
  </r>
  <r>
    <s v="ORD-01256"/>
    <x v="289"/>
    <s v="CUST-0063"/>
    <s v="PROD-052"/>
    <x v="20"/>
    <n v="1"/>
    <n v="5410"/>
    <n v="8.3000000000000007"/>
    <n v="4960.97"/>
    <s v="Completed"/>
    <s v="Mumbai"/>
    <x v="1"/>
    <s v="SMB"/>
    <n v="53"/>
    <x v="2"/>
    <s v="R029"/>
    <n v="1016696.8000000002"/>
    <x v="2"/>
  </r>
  <r>
    <s v="ORD-01257"/>
    <x v="337"/>
    <s v="CUST-0203"/>
    <s v="PROD-004"/>
    <x v="24"/>
    <n v="8"/>
    <n v="3870"/>
    <n v="9.3000000000000007"/>
    <n v="28080.720000000001"/>
    <s v="Pending"/>
    <s v="Chennai"/>
    <x v="4"/>
    <s v="SMB"/>
    <n v="55"/>
    <x v="3"/>
    <s v="R022"/>
    <n v="1069570.5400000003"/>
    <x v="3"/>
  </r>
  <r>
    <s v="ORD-01258"/>
    <x v="136"/>
    <s v="CUST-0016"/>
    <s v="PROD-010"/>
    <x v="21"/>
    <n v="10"/>
    <n v="2640"/>
    <n v="19.899999999999999"/>
    <n v="21146.400000000001"/>
    <s v="Completed"/>
    <s v="Delhi"/>
    <x v="4"/>
    <s v="SMB"/>
    <n v="26"/>
    <x v="3"/>
    <s v="R017"/>
    <n v="780384.40999999992"/>
    <x v="3"/>
  </r>
  <r>
    <s v="ORD-01259"/>
    <x v="118"/>
    <s v="CUST-0198"/>
    <s v="PROD-034"/>
    <x v="0"/>
    <n v="1"/>
    <n v="5080"/>
    <n v="8.6"/>
    <n v="4643.12"/>
    <s v="Completed"/>
    <s v="Chennai"/>
    <x v="3"/>
    <s v="Corporate"/>
    <n v="22"/>
    <x v="0"/>
    <s v="R007"/>
    <n v="855749.67999999982"/>
    <x v="0"/>
  </r>
  <r>
    <s v="ORD-01260"/>
    <x v="342"/>
    <s v="CUST-0212"/>
    <s v="PROD-036"/>
    <x v="26"/>
    <n v="9"/>
    <n v="3250"/>
    <n v="18.2"/>
    <n v="23926.5"/>
    <s v="Pending"/>
    <s v="Chennai"/>
    <x v="3"/>
    <s v="SMB"/>
    <n v="46"/>
    <x v="3"/>
    <s v="R018"/>
    <n v="1112289.6400000001"/>
    <x v="3"/>
  </r>
  <r>
    <s v="ORD-01261"/>
    <x v="84"/>
    <s v="CUST-0265"/>
    <s v="PROD-006"/>
    <x v="25"/>
    <n v="8"/>
    <n v="3970"/>
    <n v="22.4"/>
    <n v="24645.759999999998"/>
    <s v="Completed"/>
    <s v="Chennai"/>
    <x v="4"/>
    <s v="Retail"/>
    <n v="49"/>
    <x v="0"/>
    <s v="R002"/>
    <n v="980063.65999999968"/>
    <x v="0"/>
  </r>
  <r>
    <s v="ORD-01262"/>
    <x v="192"/>
    <s v="CUST-0165"/>
    <s v="PROD-037"/>
    <x v="21"/>
    <n v="3"/>
    <n v="660"/>
    <n v="3.1"/>
    <n v="1918.62"/>
    <s v="Completed"/>
    <s v="Pune"/>
    <x v="3"/>
    <s v="Retail"/>
    <n v="29"/>
    <x v="3"/>
    <s v="R017"/>
    <n v="780384.40999999992"/>
    <x v="3"/>
  </r>
  <r>
    <s v="ORD-01263"/>
    <x v="298"/>
    <s v="CUST-0109"/>
    <s v="PROD-002"/>
    <x v="24"/>
    <n v="7"/>
    <n v="2600"/>
    <n v="15.4"/>
    <n v="15397.2"/>
    <s v="Completed"/>
    <s v="Pune"/>
    <x v="4"/>
    <s v="Retail"/>
    <n v="42"/>
    <x v="3"/>
    <s v="R022"/>
    <n v="1069570.5400000003"/>
    <x v="3"/>
  </r>
  <r>
    <s v="ORD-01264"/>
    <x v="45"/>
    <s v="CUST-0155"/>
    <s v="PROD-037"/>
    <x v="15"/>
    <n v="9"/>
    <n v="660"/>
    <n v="23.7"/>
    <n v="4532.22"/>
    <s v="Completed"/>
    <s v="Pune"/>
    <x v="3"/>
    <s v="Corporate"/>
    <n v="40"/>
    <x v="1"/>
    <s v="R015"/>
    <n v="1091740.1799999997"/>
    <x v="1"/>
  </r>
  <r>
    <s v="ORD-01265"/>
    <x v="183"/>
    <s v="CUST-0194"/>
    <s v="PROD-023"/>
    <x v="13"/>
    <n v="3"/>
    <n v="2380"/>
    <n v="19.5"/>
    <n v="5747.7"/>
    <s v="Cancelled"/>
    <s v="Delhi"/>
    <x v="2"/>
    <s v="SMB"/>
    <n v="55"/>
    <x v="3"/>
    <s v="R021"/>
    <n v="761507.17000000027"/>
    <x v="3"/>
  </r>
  <r>
    <s v="ORD-01266"/>
    <x v="207"/>
    <s v="CUST-0084"/>
    <s v="PROD-044"/>
    <x v="9"/>
    <n v="9"/>
    <n v="1650"/>
    <n v="2.5"/>
    <n v="14478.75"/>
    <s v="Completed"/>
    <s v="Chennai"/>
    <x v="5"/>
    <s v="Retail"/>
    <n v="28"/>
    <x v="1"/>
    <s v="R010"/>
    <n v="880345.20000000007"/>
    <x v="1"/>
  </r>
  <r>
    <s v="ORD-01267"/>
    <x v="181"/>
    <s v="CUST-9684"/>
    <s v="PROD-010"/>
    <x v="3"/>
    <n v="8"/>
    <n v="2640"/>
    <n v="24.4"/>
    <n v="15966.72"/>
    <s v="Completed"/>
    <s v="Mumbai"/>
    <x v="4"/>
    <e v="#N/A"/>
    <e v="#N/A"/>
    <x v="0"/>
    <s v="R006"/>
    <n v="1138648.73"/>
    <x v="0"/>
  </r>
  <r>
    <s v="ORD-01268"/>
    <x v="43"/>
    <s v="CUST-0218"/>
    <s v="PROD-023"/>
    <x v="22"/>
    <n v="8"/>
    <n v="2380"/>
    <n v="24.2"/>
    <n v="14432.32"/>
    <s v="Completed"/>
    <s v="Mumbai"/>
    <x v="2"/>
    <s v="Retail"/>
    <n v="39"/>
    <x v="1"/>
    <s v="R013"/>
    <n v="811524.37999999989"/>
    <x v="1"/>
  </r>
  <r>
    <s v="ORD-01269"/>
    <x v="41"/>
    <s v="CUST-0194"/>
    <s v="PROD-029"/>
    <x v="0"/>
    <n v="10"/>
    <n v="2210"/>
    <n v="3.6"/>
    <n v="21304.400000000001"/>
    <s v="Completed"/>
    <s v="Delhi"/>
    <x v="2"/>
    <s v="SMB"/>
    <n v="55"/>
    <x v="0"/>
    <s v="R007"/>
    <n v="855749.67999999982"/>
    <x v="0"/>
  </r>
  <r>
    <s v="ORD-01270"/>
    <x v="139"/>
    <s v="CUST-0037"/>
    <s v="PROD-050"/>
    <x v="26"/>
    <n v="9"/>
    <n v="6080"/>
    <n v="17.2"/>
    <n v="45308.160000000003"/>
    <s v="Pending"/>
    <s v="Bengaluru"/>
    <x v="5"/>
    <s v="Retail"/>
    <n v="52"/>
    <x v="3"/>
    <s v="R018"/>
    <n v="1112289.6400000001"/>
    <x v="3"/>
  </r>
  <r>
    <s v="ORD-01271"/>
    <x v="10"/>
    <s v="CUST-0245"/>
    <s v="PROD-054"/>
    <x v="24"/>
    <n v="8"/>
    <n v="1010"/>
    <n v="12.3"/>
    <n v="7086.16"/>
    <s v="Completed"/>
    <s v="Hyderabad"/>
    <x v="1"/>
    <s v="Retail"/>
    <n v="65"/>
    <x v="3"/>
    <s v="R022"/>
    <n v="1069570.5400000003"/>
    <x v="3"/>
  </r>
  <r>
    <s v="ORD-01272"/>
    <x v="329"/>
    <s v="CUST-0266"/>
    <s v="PROD-028"/>
    <x v="23"/>
    <n v="8"/>
    <n v="3660"/>
    <n v="8.4"/>
    <n v="26820.48"/>
    <s v="Completed"/>
    <s v="Pune"/>
    <x v="2"/>
    <s v="Retail"/>
    <n v="65"/>
    <x v="1"/>
    <s v="R011"/>
    <n v="735207.75999999989"/>
    <x v="1"/>
  </r>
  <r>
    <s v="ORD-01273"/>
    <x v="68"/>
    <s v="CUST-0058"/>
    <s v="PROD-039"/>
    <x v="20"/>
    <n v="8"/>
    <n v="4610"/>
    <n v="15.4"/>
    <n v="31200.48"/>
    <s v="Cancelled"/>
    <s v="Bengaluru"/>
    <x v="3"/>
    <s v="SMB"/>
    <n v="49"/>
    <x v="2"/>
    <s v="R029"/>
    <n v="1016696.8000000002"/>
    <x v="2"/>
  </r>
  <r>
    <s v="ORD-01274"/>
    <x v="283"/>
    <s v="CUST-0058"/>
    <s v="PROD-048"/>
    <x v="3"/>
    <n v="9"/>
    <n v="5100"/>
    <n v="25.2"/>
    <n v="34333.199999999997"/>
    <s v="Cancelled"/>
    <s v="Bengaluru"/>
    <x v="5"/>
    <s v="SMB"/>
    <n v="49"/>
    <x v="0"/>
    <s v="R006"/>
    <n v="1138648.73"/>
    <x v="0"/>
  </r>
  <r>
    <s v="ORD-01275"/>
    <x v="312"/>
    <s v="CUST-0028"/>
    <s v="PROD-045"/>
    <x v="7"/>
    <n v="5"/>
    <n v="3020"/>
    <n v="23"/>
    <n v="11627"/>
    <s v="Completed"/>
    <s v="Bengaluru"/>
    <x v="5"/>
    <s v="Retail"/>
    <n v="59"/>
    <x v="3"/>
    <s v="R019"/>
    <n v="971183.52000000014"/>
    <x v="3"/>
  </r>
  <r>
    <s v="ORD-01276"/>
    <x v="3"/>
    <s v="CUST-0262"/>
    <s v="PROD-059"/>
    <x v="15"/>
    <n v="8"/>
    <n v="3780"/>
    <n v="17.100000000000001"/>
    <n v="25068.959999999999"/>
    <s v="Completed"/>
    <s v="Mumbai"/>
    <x v="1"/>
    <s v="Retail"/>
    <n v="52"/>
    <x v="1"/>
    <s v="R015"/>
    <n v="1091740.1799999997"/>
    <x v="1"/>
  </r>
  <r>
    <s v="ORD-01277"/>
    <x v="352"/>
    <s v="CUST-0241"/>
    <s v="PROD-029"/>
    <x v="19"/>
    <n v="10"/>
    <n v="2210"/>
    <n v="8.5"/>
    <n v="20221.5"/>
    <s v="Completed"/>
    <s v="Pune"/>
    <x v="2"/>
    <s v="Corporate"/>
    <n v="47"/>
    <x v="0"/>
    <s v="R001"/>
    <n v="789849.60000000009"/>
    <x v="0"/>
  </r>
  <r>
    <s v="ORD-01278"/>
    <x v="117"/>
    <s v="CUST-0109"/>
    <s v="PROD-029"/>
    <x v="15"/>
    <n v="4"/>
    <n v="2210"/>
    <n v="3.1"/>
    <n v="8565.9599999999991"/>
    <s v="Completed"/>
    <s v="Pune"/>
    <x v="2"/>
    <s v="Retail"/>
    <n v="42"/>
    <x v="1"/>
    <s v="R015"/>
    <n v="1091740.1799999997"/>
    <x v="1"/>
  </r>
  <r>
    <s v="ORD-01279"/>
    <x v="326"/>
    <s v="CUST-0228"/>
    <s v="PROD-044"/>
    <x v="15"/>
    <n v="1"/>
    <n v="1650"/>
    <n v="10"/>
    <n v="1485"/>
    <s v="Completed"/>
    <s v="Pune"/>
    <x v="5"/>
    <s v="Corporate"/>
    <n v="37"/>
    <x v="1"/>
    <s v="R015"/>
    <n v="1091740.1799999997"/>
    <x v="1"/>
  </r>
  <r>
    <s v="ORD-01280"/>
    <x v="100"/>
    <s v="CUST-0239"/>
    <s v="PROD-060"/>
    <x v="1"/>
    <n v="6"/>
    <n v="190"/>
    <n v="3.5"/>
    <n v="1100.0999999999999"/>
    <s v="Cancelled"/>
    <s v="Mumbai"/>
    <x v="1"/>
    <s v="Retail"/>
    <n v="61"/>
    <x v="0"/>
    <s v="R005"/>
    <n v="782445.33"/>
    <x v="0"/>
  </r>
  <r>
    <s v="ORD-01281"/>
    <x v="55"/>
    <s v="CUST-0092"/>
    <s v="PROD-055"/>
    <x v="28"/>
    <n v="8"/>
    <n v="2860"/>
    <n v="14.7"/>
    <n v="19516.64"/>
    <s v="Completed"/>
    <s v="Bengaluru"/>
    <x v="1"/>
    <s v="SMB"/>
    <n v="28"/>
    <x v="2"/>
    <s v="R027"/>
    <n v="917092.61999999965"/>
    <x v="2"/>
  </r>
  <r>
    <s v="ORD-01282"/>
    <x v="120"/>
    <s v="CUST-0283"/>
    <s v="PROD-005"/>
    <x v="14"/>
    <n v="9"/>
    <n v="300"/>
    <n v="19.5"/>
    <n v="2173.5"/>
    <s v="Completed"/>
    <s v="Delhi"/>
    <x v="4"/>
    <s v="SMB"/>
    <n v="50"/>
    <x v="2"/>
    <s v="R030"/>
    <n v="747624.36999999988"/>
    <x v="2"/>
  </r>
  <r>
    <s v="ORD-01283"/>
    <x v="170"/>
    <s v="CUST-0206"/>
    <s v="PROD-049"/>
    <x v="0"/>
    <n v="10"/>
    <n v="960"/>
    <n v="9.6999999999999993"/>
    <n v="8668.7999999999993"/>
    <s v="Completed"/>
    <s v="Mumbai"/>
    <x v="5"/>
    <s v="Retail"/>
    <n v="40"/>
    <x v="0"/>
    <s v="R007"/>
    <n v="855749.67999999982"/>
    <x v="0"/>
  </r>
  <r>
    <s v="ORD-01284"/>
    <x v="292"/>
    <s v="CUST-0174"/>
    <s v="PROD-020"/>
    <x v="22"/>
    <n v="5"/>
    <n v="820"/>
    <n v="0.5"/>
    <n v="4079.5"/>
    <s v="Completed"/>
    <s v="Pune"/>
    <x v="0"/>
    <s v="Retail"/>
    <n v="54"/>
    <x v="1"/>
    <s v="R013"/>
    <n v="811524.37999999989"/>
    <x v="1"/>
  </r>
  <r>
    <s v="ORD-01285"/>
    <x v="266"/>
    <s v="CUST-0040"/>
    <s v="PROD-032"/>
    <x v="10"/>
    <n v="2"/>
    <n v="370"/>
    <n v="10.5"/>
    <n v="662.3"/>
    <s v="Pending"/>
    <s v="Chennai"/>
    <x v="3"/>
    <s v="Retail"/>
    <n v="28"/>
    <x v="0"/>
    <s v="R004"/>
    <n v="589026.2899999998"/>
    <x v="0"/>
  </r>
  <r>
    <s v="ORD-01286"/>
    <x v="99"/>
    <s v="CUST-0153"/>
    <s v="PROD-038"/>
    <x v="12"/>
    <n v="9"/>
    <n v="5490"/>
    <n v="14.2"/>
    <n v="42393.78"/>
    <s v="Cancelled"/>
    <s v="Mumbai"/>
    <x v="3"/>
    <s v="Retail"/>
    <n v="35"/>
    <x v="3"/>
    <s v="R023"/>
    <n v="983787.4800000001"/>
    <x v="3"/>
  </r>
  <r>
    <s v="ORD-01287"/>
    <x v="62"/>
    <s v="CUST-0236"/>
    <s v="PROD-032"/>
    <x v="26"/>
    <n v="3"/>
    <n v="370"/>
    <n v="18.399999999999999"/>
    <n v="905.76"/>
    <s v="Completed"/>
    <s v="Hyderabad"/>
    <x v="3"/>
    <s v="SMB"/>
    <n v="28"/>
    <x v="3"/>
    <s v="R018"/>
    <n v="1112289.6400000001"/>
    <x v="3"/>
  </r>
  <r>
    <s v="ORD-01288"/>
    <x v="241"/>
    <s v="CUST-0295"/>
    <s v="PROD-060"/>
    <x v="26"/>
    <n v="6"/>
    <n v="190"/>
    <n v="12.9"/>
    <n v="992.94"/>
    <s v="Completed"/>
    <s v="Delhi"/>
    <x v="1"/>
    <s v="SMB"/>
    <n v="48"/>
    <x v="3"/>
    <s v="R018"/>
    <n v="1112289.6400000001"/>
    <x v="3"/>
  </r>
  <r>
    <s v="ORD-01289"/>
    <x v="245"/>
    <s v="CUST-0145"/>
    <s v="PROD-029"/>
    <x v="12"/>
    <n v="8"/>
    <n v="2210"/>
    <n v="9.8000000000000007"/>
    <n v="15947.36"/>
    <s v="Completed"/>
    <s v="Bengaluru"/>
    <x v="2"/>
    <s v="SMB"/>
    <n v="44"/>
    <x v="3"/>
    <s v="R023"/>
    <n v="983787.4800000001"/>
    <x v="3"/>
  </r>
  <r>
    <s v="ORD-01290"/>
    <x v="99"/>
    <s v="CUST-0192"/>
    <s v="PROD-044"/>
    <x v="18"/>
    <n v="7"/>
    <n v="1650"/>
    <n v="8.4"/>
    <n v="10579.8"/>
    <s v="Completed"/>
    <s v="Bengaluru"/>
    <x v="5"/>
    <s v="Retail"/>
    <n v="55"/>
    <x v="1"/>
    <s v="R009"/>
    <n v="914554.71999999986"/>
    <x v="1"/>
  </r>
  <r>
    <s v="ORD-01291"/>
    <x v="353"/>
    <s v="CUST-0148"/>
    <s v="PROD-037"/>
    <x v="22"/>
    <n v="8"/>
    <n v="660"/>
    <n v="7.5"/>
    <n v="4884"/>
    <s v="Completed"/>
    <s v="Chennai"/>
    <x v="3"/>
    <s v="Retail"/>
    <n v="32"/>
    <x v="1"/>
    <s v="R013"/>
    <n v="811524.37999999989"/>
    <x v="1"/>
  </r>
  <r>
    <s v="ORD-01292"/>
    <x v="128"/>
    <s v="CUST-0227"/>
    <s v="PROD-039"/>
    <x v="10"/>
    <n v="3"/>
    <n v="4610"/>
    <n v="29.6"/>
    <n v="9736.32"/>
    <s v="Completed"/>
    <s v="Bengaluru"/>
    <x v="3"/>
    <s v="SMB"/>
    <n v="44"/>
    <x v="0"/>
    <s v="R004"/>
    <n v="589026.2899999998"/>
    <x v="0"/>
  </r>
  <r>
    <s v="ORD-01293"/>
    <x v="354"/>
    <s v="CUST-0170"/>
    <s v="PROD-029"/>
    <x v="5"/>
    <n v="6"/>
    <n v="2210"/>
    <n v="9.5"/>
    <n v="12000.3"/>
    <s v="Completed"/>
    <s v="Mumbai"/>
    <x v="2"/>
    <s v="SMB"/>
    <n v="22"/>
    <x v="2"/>
    <s v="R025"/>
    <n v="901298.89"/>
    <x v="2"/>
  </r>
  <r>
    <s v="ORD-01294"/>
    <x v="80"/>
    <s v="CUST-0102"/>
    <s v="PROD-042"/>
    <x v="21"/>
    <n v="4"/>
    <n v="2290"/>
    <n v="3.3"/>
    <n v="8857.7199999999993"/>
    <s v="Completed"/>
    <s v="Chennai"/>
    <x v="5"/>
    <s v="SMB"/>
    <n v="62"/>
    <x v="3"/>
    <s v="R017"/>
    <n v="780384.40999999992"/>
    <x v="3"/>
  </r>
  <r>
    <s v="ORD-01295"/>
    <x v="264"/>
    <s v="CUST-0071"/>
    <s v="PROD-040"/>
    <x v="17"/>
    <n v="5"/>
    <n v="1080"/>
    <n v="26.1"/>
    <n v="3990.6"/>
    <s v="Completed"/>
    <s v="Delhi"/>
    <x v="3"/>
    <s v="Corporate"/>
    <n v="46"/>
    <x v="2"/>
    <s v="R026"/>
    <n v="576305.08000000019"/>
    <x v="2"/>
  </r>
  <r>
    <s v="ORD-01296"/>
    <x v="42"/>
    <s v="CUST-0080"/>
    <s v="PROD-057"/>
    <x v="9"/>
    <n v="7"/>
    <n v="960"/>
    <n v="17.7"/>
    <n v="5530.56"/>
    <s v="Completed"/>
    <s v="Pune"/>
    <x v="1"/>
    <s v="SMB"/>
    <n v="30"/>
    <x v="1"/>
    <s v="R010"/>
    <n v="880345.20000000007"/>
    <x v="1"/>
  </r>
  <r>
    <s v="ORD-01297"/>
    <x v="338"/>
    <s v="CUST-0272"/>
    <s v="PROD-058"/>
    <x v="4"/>
    <n v="1"/>
    <n v="2400"/>
    <n v="29.9"/>
    <n v="1682.4"/>
    <s v="Completed"/>
    <s v="Mumbai"/>
    <x v="1"/>
    <s v="SMB"/>
    <n v="47"/>
    <x v="0"/>
    <s v="R008"/>
    <n v="861553.33"/>
    <x v="0"/>
  </r>
  <r>
    <s v="ORD-01298"/>
    <x v="184"/>
    <s v="CUST-0076"/>
    <s v="PROD-042"/>
    <x v="9"/>
    <n v="9"/>
    <n v="2290"/>
    <n v="28.8"/>
    <n v="14674.32"/>
    <s v="Completed"/>
    <s v="Mumbai"/>
    <x v="5"/>
    <s v="Retail"/>
    <n v="38"/>
    <x v="1"/>
    <s v="R010"/>
    <n v="880345.20000000007"/>
    <x v="1"/>
  </r>
  <r>
    <s v="ORD-01299"/>
    <x v="137"/>
    <s v="CUST-0222"/>
    <s v="PROD-040"/>
    <x v="26"/>
    <n v="9"/>
    <n v="1080"/>
    <n v="10.3"/>
    <n v="8718.84"/>
    <s v="Completed"/>
    <s v="Chennai"/>
    <x v="3"/>
    <s v="Retail"/>
    <n v="37"/>
    <x v="3"/>
    <s v="R018"/>
    <n v="1112289.6400000001"/>
    <x v="3"/>
  </r>
  <r>
    <s v="ORD-01300"/>
    <x v="121"/>
    <s v="CUST-0091"/>
    <s v="PROD-035"/>
    <x v="10"/>
    <n v="1"/>
    <n v="1090"/>
    <n v="5.8"/>
    <n v="1026.78"/>
    <s v="Cancelled"/>
    <s v="Delhi"/>
    <x v="3"/>
    <s v="Retail"/>
    <n v="55"/>
    <x v="0"/>
    <s v="R004"/>
    <n v="589026.2899999998"/>
    <x v="0"/>
  </r>
  <r>
    <s v="ORD-01301"/>
    <x v="9"/>
    <s v="CUST-0126"/>
    <s v="PROD-029"/>
    <x v="26"/>
    <n v="3"/>
    <n v="2210"/>
    <n v="18.2"/>
    <n v="5423.34"/>
    <s v="Pending"/>
    <s v="Mumbai"/>
    <x v="2"/>
    <s v="Retail"/>
    <n v="37"/>
    <x v="3"/>
    <s v="R018"/>
    <n v="1112289.6400000001"/>
    <x v="3"/>
  </r>
  <r>
    <s v="ORD-01302"/>
    <x v="276"/>
    <s v="CUST-0241"/>
    <s v="PROD-014"/>
    <x v="15"/>
    <n v="8"/>
    <n v="3620"/>
    <n v="1.4"/>
    <n v="28554.560000000001"/>
    <s v="Completed"/>
    <s v="Pune"/>
    <x v="0"/>
    <s v="Corporate"/>
    <n v="47"/>
    <x v="1"/>
    <s v="R015"/>
    <n v="1091740.1799999997"/>
    <x v="1"/>
  </r>
  <r>
    <s v="ORD-01303"/>
    <x v="107"/>
    <s v="CUST-0118"/>
    <s v="PROD-033"/>
    <x v="23"/>
    <n v="7"/>
    <n v="2030"/>
    <n v="27.7"/>
    <n v="10273.83"/>
    <s v="Completed"/>
    <s v="Hyderabad"/>
    <x v="3"/>
    <s v="Retail"/>
    <n v="26"/>
    <x v="1"/>
    <s v="R011"/>
    <n v="735207.75999999989"/>
    <x v="1"/>
  </r>
  <r>
    <s v="ORD-01304"/>
    <x v="309"/>
    <s v="CUST-0090"/>
    <s v="PROD-004"/>
    <x v="12"/>
    <n v="1"/>
    <n v="3870"/>
    <n v="29.6"/>
    <n v="2724.48"/>
    <s v="Completed"/>
    <s v="Bengaluru"/>
    <x v="4"/>
    <s v="Corporate"/>
    <n v="26"/>
    <x v="3"/>
    <s v="R023"/>
    <n v="983787.4800000001"/>
    <x v="3"/>
  </r>
  <r>
    <s v="ORD-01305"/>
    <x v="258"/>
    <s v="CUST-0037"/>
    <s v="PROD-003"/>
    <x v="2"/>
    <n v="5"/>
    <n v="3570"/>
    <n v="11.8"/>
    <n v="15743.7"/>
    <s v="Refunded"/>
    <s v="Bengaluru"/>
    <x v="4"/>
    <s v="Retail"/>
    <n v="52"/>
    <x v="1"/>
    <s v="R014"/>
    <n v="995713.54000000015"/>
    <x v="1"/>
  </r>
  <r>
    <s v="ORD-01306"/>
    <x v="181"/>
    <s v="CUST-0083"/>
    <s v="PROD-001"/>
    <x v="7"/>
    <n v="7"/>
    <n v="5330"/>
    <n v="8.1999999999999993"/>
    <n v="34250.58"/>
    <s v="Completed"/>
    <s v="Bengaluru"/>
    <x v="4"/>
    <s v="Corporate"/>
    <n v="31"/>
    <x v="3"/>
    <s v="R019"/>
    <n v="971183.52000000014"/>
    <x v="3"/>
  </r>
  <r>
    <s v="ORD-01307"/>
    <x v="148"/>
    <s v="CUST-0154"/>
    <s v="PROD-009"/>
    <x v="18"/>
    <n v="5"/>
    <n v="1220"/>
    <n v="17.8"/>
    <n v="5014.2"/>
    <s v="Refunded"/>
    <s v="Pune"/>
    <x v="4"/>
    <s v="Retail"/>
    <n v="36"/>
    <x v="1"/>
    <s v="R009"/>
    <n v="914554.71999999986"/>
    <x v="1"/>
  </r>
  <r>
    <s v="ORD-01308"/>
    <x v="78"/>
    <s v="CUST-0265"/>
    <s v="PROD-011"/>
    <x v="7"/>
    <n v="7"/>
    <n v="3450"/>
    <n v="29.3"/>
    <n v="17074.05"/>
    <s v="Completed"/>
    <s v="Chennai"/>
    <x v="0"/>
    <s v="Retail"/>
    <n v="49"/>
    <x v="3"/>
    <s v="R019"/>
    <n v="971183.52000000014"/>
    <x v="3"/>
  </r>
  <r>
    <s v="ORD-01309"/>
    <x v="152"/>
    <s v="CUST-0115"/>
    <s v="PROD-018"/>
    <x v="22"/>
    <n v="6"/>
    <n v="3560"/>
    <n v="9.4"/>
    <n v="19352.16"/>
    <s v="Pending"/>
    <s v="Mumbai"/>
    <x v="0"/>
    <s v="SMB"/>
    <n v="65"/>
    <x v="1"/>
    <s v="R013"/>
    <n v="811524.37999999989"/>
    <x v="1"/>
  </r>
  <r>
    <s v="ORD-01310"/>
    <x v="217"/>
    <s v="CUST-0274"/>
    <s v="PROD-032"/>
    <x v="1"/>
    <n v="4"/>
    <n v="370"/>
    <n v="4.9000000000000004"/>
    <n v="1407.48"/>
    <s v="Completed"/>
    <s v="Bengaluru"/>
    <x v="3"/>
    <s v="Corporate"/>
    <n v="36"/>
    <x v="0"/>
    <s v="R005"/>
    <n v="782445.33"/>
    <x v="0"/>
  </r>
  <r>
    <s v="ORD-01311"/>
    <x v="262"/>
    <s v="CUST-0269"/>
    <s v="PROD-009"/>
    <x v="11"/>
    <n v="1"/>
    <n v="1220"/>
    <n v="15.2"/>
    <n v="1034.56"/>
    <s v="Completed"/>
    <s v="Pune"/>
    <x v="4"/>
    <s v="Retail"/>
    <n v="48"/>
    <x v="0"/>
    <s v="R003"/>
    <n v="986692.91"/>
    <x v="0"/>
  </r>
  <r>
    <s v="ORD-01312"/>
    <x v="12"/>
    <s v="CUST-0045"/>
    <s v="PROD-013"/>
    <x v="3"/>
    <n v="3"/>
    <n v="3640"/>
    <n v="12.3"/>
    <n v="9576.84"/>
    <s v="Pending"/>
    <s v="Chennai"/>
    <x v="0"/>
    <s v="SMB"/>
    <n v="39"/>
    <x v="0"/>
    <s v="R006"/>
    <n v="1138648.73"/>
    <x v="0"/>
  </r>
  <r>
    <s v="ORD-01313"/>
    <x v="115"/>
    <s v="CUST-0054"/>
    <s v="PROD-045"/>
    <x v="9"/>
    <n v="8"/>
    <n v="3020"/>
    <n v="28.2"/>
    <n v="17346.88"/>
    <s v="Pending"/>
    <s v="Mumbai"/>
    <x v="5"/>
    <s v="Corporate"/>
    <n v="62"/>
    <x v="1"/>
    <s v="R010"/>
    <n v="880345.20000000007"/>
    <x v="1"/>
  </r>
  <r>
    <s v="ORD-01314"/>
    <x v="277"/>
    <s v="CUST-0160"/>
    <s v="PROD-048"/>
    <x v="4"/>
    <n v="3"/>
    <n v="5100"/>
    <n v="7.8"/>
    <n v="14106.6"/>
    <s v="Completed"/>
    <s v="Hyderabad"/>
    <x v="5"/>
    <s v="Retail"/>
    <n v="27"/>
    <x v="0"/>
    <s v="R008"/>
    <n v="861553.33"/>
    <x v="0"/>
  </r>
  <r>
    <s v="ORD-01315"/>
    <x v="192"/>
    <s v="CUST-0163"/>
    <s v="PROD-005"/>
    <x v="19"/>
    <n v="9"/>
    <n v="300"/>
    <n v="19"/>
    <n v="2187"/>
    <s v="Completed"/>
    <s v="Pune"/>
    <x v="4"/>
    <s v="Retail"/>
    <n v="49"/>
    <x v="0"/>
    <s v="R001"/>
    <n v="789849.60000000009"/>
    <x v="0"/>
  </r>
  <r>
    <s v="ORD-01316"/>
    <x v="287"/>
    <s v="CUST-0006"/>
    <s v="PROD-042"/>
    <x v="0"/>
    <n v="10"/>
    <n v="2290"/>
    <n v="27.7"/>
    <n v="16556.7"/>
    <s v="Completed"/>
    <s v="Pune"/>
    <x v="5"/>
    <s v="SMB"/>
    <n v="44"/>
    <x v="0"/>
    <s v="R007"/>
    <n v="855749.67999999982"/>
    <x v="0"/>
  </r>
  <r>
    <s v="ORD-01317"/>
    <x v="253"/>
    <s v="CUST-0142"/>
    <s v="PROD-013"/>
    <x v="6"/>
    <n v="9"/>
    <n v="3640"/>
    <n v="20.100000000000001"/>
    <n v="26175.24"/>
    <s v="Completed"/>
    <s v="Chennai"/>
    <x v="0"/>
    <s v="Corporate"/>
    <n v="55"/>
    <x v="2"/>
    <s v="R024"/>
    <n v="819558.58"/>
    <x v="2"/>
  </r>
  <r>
    <s v="ORD-01318"/>
    <x v="45"/>
    <s v="CUST-0262"/>
    <s v="PROD-020"/>
    <x v="24"/>
    <n v="4"/>
    <n v="820"/>
    <n v="7.6"/>
    <n v="3030.72"/>
    <s v="Completed"/>
    <s v="Mumbai"/>
    <x v="0"/>
    <s v="Retail"/>
    <n v="52"/>
    <x v="3"/>
    <s v="R022"/>
    <n v="1069570.5400000003"/>
    <x v="3"/>
  </r>
  <r>
    <s v="ORD-01319"/>
    <x v="68"/>
    <s v="CUST-0049"/>
    <s v="PROD-030"/>
    <x v="2"/>
    <n v="1"/>
    <n v="970"/>
    <n v="1.7"/>
    <n v="953.51"/>
    <s v="Completed"/>
    <s v="Mumbai"/>
    <x v="2"/>
    <s v="Corporate"/>
    <n v="42"/>
    <x v="1"/>
    <s v="R014"/>
    <n v="995713.54000000015"/>
    <x v="1"/>
  </r>
  <r>
    <s v="ORD-01320"/>
    <x v="125"/>
    <s v="CUST-0204"/>
    <s v="PROD-018"/>
    <x v="7"/>
    <n v="5"/>
    <n v="3560"/>
    <n v="10.5"/>
    <n v="15931"/>
    <s v="Completed"/>
    <s v="Hyderabad"/>
    <x v="0"/>
    <s v="Retail"/>
    <n v="60"/>
    <x v="3"/>
    <s v="R019"/>
    <n v="971183.52000000014"/>
    <x v="3"/>
  </r>
  <r>
    <s v="ORD-01321"/>
    <x v="231"/>
    <s v="CUST-0164"/>
    <s v="PROD-035"/>
    <x v="18"/>
    <n v="6"/>
    <n v="1090"/>
    <n v="2.4"/>
    <n v="6383.04"/>
    <s v="Pending"/>
    <s v="Chennai"/>
    <x v="3"/>
    <s v="Retail"/>
    <n v="60"/>
    <x v="1"/>
    <s v="R009"/>
    <n v="914554.71999999986"/>
    <x v="1"/>
  </r>
  <r>
    <s v="ORD-01322"/>
    <x v="141"/>
    <s v="CUST-0003"/>
    <s v="PROD-008"/>
    <x v="21"/>
    <n v="6"/>
    <n v="2660"/>
    <n v="6.4"/>
    <n v="14938.56"/>
    <s v="Completed"/>
    <s v="Mumbai"/>
    <x v="4"/>
    <s v="Retail"/>
    <n v="33"/>
    <x v="3"/>
    <s v="R017"/>
    <n v="780384.40999999992"/>
    <x v="3"/>
  </r>
  <r>
    <s v="ORD-01323"/>
    <x v="39"/>
    <s v="CUST-0032"/>
    <s v="PROD-006"/>
    <x v="19"/>
    <n v="5"/>
    <n v="3970"/>
    <n v="18.8"/>
    <n v="16118.2"/>
    <s v="Pending"/>
    <s v="Hyderabad"/>
    <x v="4"/>
    <s v="Retail"/>
    <n v="28"/>
    <x v="0"/>
    <s v="R001"/>
    <n v="789849.60000000009"/>
    <x v="0"/>
  </r>
  <r>
    <s v="ORD-01324"/>
    <x v="264"/>
    <s v="CUST-0208"/>
    <s v="PROD-056"/>
    <x v="13"/>
    <n v="7"/>
    <n v="6940"/>
    <n v="23.8"/>
    <n v="37017.96"/>
    <s v="Refunded"/>
    <s v="Mumbai"/>
    <x v="1"/>
    <s v="Retail"/>
    <n v="49"/>
    <x v="3"/>
    <s v="R021"/>
    <n v="761507.17000000027"/>
    <x v="3"/>
  </r>
  <r>
    <s v="ORD-01325"/>
    <x v="227"/>
    <s v="CUST-0183"/>
    <s v="PROD-058"/>
    <x v="10"/>
    <n v="3"/>
    <n v="2400"/>
    <n v="9.8000000000000007"/>
    <n v="6494.4"/>
    <s v="Completed"/>
    <s v="Mumbai"/>
    <x v="1"/>
    <s v="SMB"/>
    <n v="27"/>
    <x v="0"/>
    <s v="R004"/>
    <n v="589026.2899999998"/>
    <x v="0"/>
  </r>
  <r>
    <s v="ORD-01326"/>
    <x v="183"/>
    <s v="CUST-0021"/>
    <s v="PROD-051"/>
    <x v="12"/>
    <n v="8"/>
    <n v="3450"/>
    <n v="26.6"/>
    <n v="20258.400000000001"/>
    <s v="Cancelled"/>
    <s v="Pune"/>
    <x v="1"/>
    <s v="Retail"/>
    <n v="44"/>
    <x v="3"/>
    <s v="R023"/>
    <n v="983787.4800000001"/>
    <x v="3"/>
  </r>
  <r>
    <s v="ORD-01327"/>
    <x v="44"/>
    <s v="CUST-0080"/>
    <s v="PROD-009"/>
    <x v="10"/>
    <n v="4"/>
    <n v="1220"/>
    <n v="5.5"/>
    <n v="4611.6000000000004"/>
    <s v="Completed"/>
    <s v="Pune"/>
    <x v="4"/>
    <s v="SMB"/>
    <n v="30"/>
    <x v="0"/>
    <s v="R004"/>
    <n v="589026.2899999998"/>
    <x v="0"/>
  </r>
  <r>
    <s v="ORD-01328"/>
    <x v="355"/>
    <s v="CUST-0286"/>
    <s v="PROD-016"/>
    <x v="0"/>
    <n v="1"/>
    <n v="620"/>
    <n v="22.3"/>
    <n v="481.74"/>
    <s v="Pending"/>
    <s v="Delhi"/>
    <x v="0"/>
    <s v="Retail"/>
    <n v="62"/>
    <x v="0"/>
    <s v="R007"/>
    <n v="855749.67999999982"/>
    <x v="0"/>
  </r>
  <r>
    <s v="ORD-01329"/>
    <x v="333"/>
    <s v="CUST-0152"/>
    <s v="PROD-005"/>
    <x v="12"/>
    <n v="1"/>
    <n v="300"/>
    <n v="12.5"/>
    <n v="262.5"/>
    <s v="Completed"/>
    <s v="Bengaluru"/>
    <x v="4"/>
    <s v="SMB"/>
    <n v="64"/>
    <x v="3"/>
    <s v="R023"/>
    <n v="983787.4800000001"/>
    <x v="3"/>
  </r>
  <r>
    <s v="ORD-01330"/>
    <x v="349"/>
    <s v="CUST-0254"/>
    <s v="PROD-054"/>
    <x v="16"/>
    <n v="3"/>
    <n v="1010"/>
    <n v="14.1"/>
    <n v="2602.77"/>
    <s v="Completed"/>
    <s v="Bengaluru"/>
    <x v="1"/>
    <s v="Retail"/>
    <n v="35"/>
    <x v="3"/>
    <s v="R020"/>
    <n v="906107.71000000008"/>
    <x v="3"/>
  </r>
  <r>
    <s v="ORD-01331"/>
    <x v="77"/>
    <s v="CUST-0290"/>
    <s v="PROD-034"/>
    <x v="28"/>
    <n v="2"/>
    <n v="5080"/>
    <n v="16.8"/>
    <n v="8453.1200000000008"/>
    <s v="Completed"/>
    <s v="Delhi"/>
    <x v="3"/>
    <s v="Retail"/>
    <n v="63"/>
    <x v="2"/>
    <s v="R027"/>
    <n v="917092.61999999965"/>
    <x v="2"/>
  </r>
  <r>
    <s v="ORD-01332"/>
    <x v="104"/>
    <s v="CUST-0101"/>
    <s v="PROD-012"/>
    <x v="28"/>
    <n v="2"/>
    <n v="3160"/>
    <n v="21.4"/>
    <n v="4967.5200000000004"/>
    <s v="Completed"/>
    <s v="Hyderabad"/>
    <x v="0"/>
    <s v="SMB"/>
    <n v="40"/>
    <x v="2"/>
    <s v="R027"/>
    <n v="917092.61999999965"/>
    <x v="2"/>
  </r>
  <r>
    <s v="ORD-01333"/>
    <x v="275"/>
    <s v="CUST-0058"/>
    <s v="PROD-047"/>
    <x v="29"/>
    <n v="7"/>
    <n v="3450"/>
    <n v="21.3"/>
    <n v="19006.05"/>
    <s v="Completed"/>
    <s v="Bengaluru"/>
    <x v="5"/>
    <s v="SMB"/>
    <n v="49"/>
    <x v="1"/>
    <s v="R016"/>
    <n v="814563.7100000002"/>
    <x v="1"/>
  </r>
  <r>
    <s v="ORD-01334"/>
    <x v="94"/>
    <s v="CUST-0296"/>
    <s v="PROD-001"/>
    <x v="3"/>
    <n v="2"/>
    <n v="5330"/>
    <n v="4.3"/>
    <n v="10201.620000000001"/>
    <s v="Completed"/>
    <s v="Delhi"/>
    <x v="4"/>
    <s v="Corporate"/>
    <n v="47"/>
    <x v="0"/>
    <s v="R006"/>
    <n v="1138648.73"/>
    <x v="0"/>
  </r>
  <r>
    <s v="ORD-01335"/>
    <x v="17"/>
    <s v="CUST-0249"/>
    <s v="PROD-056"/>
    <x v="2"/>
    <n v="5"/>
    <n v="6940"/>
    <n v="2.9"/>
    <n v="33693.699999999997"/>
    <s v="Completed"/>
    <s v="Mumbai"/>
    <x v="1"/>
    <s v="Retail"/>
    <n v="44"/>
    <x v="1"/>
    <s v="R014"/>
    <n v="995713.54000000015"/>
    <x v="1"/>
  </r>
  <r>
    <s v="ORD-01336"/>
    <x v="166"/>
    <s v="CUST-0055"/>
    <s v="PROD-037"/>
    <x v="8"/>
    <n v="5"/>
    <n v="660"/>
    <n v="15.8"/>
    <n v="2778.6"/>
    <s v="Completed"/>
    <s v="Bengaluru"/>
    <x v="3"/>
    <s v="Retail"/>
    <n v="34"/>
    <x v="2"/>
    <s v="R028"/>
    <n v="880468.05"/>
    <x v="2"/>
  </r>
  <r>
    <s v="ORD-01337"/>
    <x v="281"/>
    <s v="CUST-0005"/>
    <s v="PROD-048"/>
    <x v="22"/>
    <n v="9"/>
    <n v="5100"/>
    <n v="0.4"/>
    <n v="45716.4"/>
    <s v="Completed"/>
    <s v="Chennai"/>
    <x v="5"/>
    <s v="Corporate"/>
    <n v="52"/>
    <x v="1"/>
    <s v="R013"/>
    <n v="811524.37999999989"/>
    <x v="1"/>
  </r>
  <r>
    <s v="ORD-01338"/>
    <x v="162"/>
    <s v="CUST-9595"/>
    <s v="PROD-044"/>
    <x v="2"/>
    <n v="5"/>
    <n v="1650"/>
    <n v="0.8"/>
    <n v="8184"/>
    <s v="Pending"/>
    <s v="Chennai"/>
    <x v="5"/>
    <e v="#N/A"/>
    <e v="#N/A"/>
    <x v="1"/>
    <s v="R014"/>
    <n v="995713.54000000015"/>
    <x v="1"/>
  </r>
  <r>
    <s v="ORD-01339"/>
    <x v="286"/>
    <s v="CUST-0138"/>
    <s v="PROD-013"/>
    <x v="26"/>
    <n v="7"/>
    <n v="3640"/>
    <n v="25.5"/>
    <n v="18982.599999999999"/>
    <s v="Completed"/>
    <s v="Chennai"/>
    <x v="0"/>
    <s v="Retail"/>
    <n v="24"/>
    <x v="3"/>
    <s v="R018"/>
    <n v="1112289.6400000001"/>
    <x v="3"/>
  </r>
  <r>
    <s v="ORD-01340"/>
    <x v="175"/>
    <s v="CUST-0112"/>
    <s v="PROD-046"/>
    <x v="20"/>
    <n v="6"/>
    <n v="4880"/>
    <n v="12.6"/>
    <n v="25590.720000000001"/>
    <s v="Cancelled"/>
    <s v="Hyderabad"/>
    <x v="5"/>
    <s v="Retail"/>
    <n v="64"/>
    <x v="2"/>
    <s v="R029"/>
    <n v="1016696.8000000002"/>
    <x v="2"/>
  </r>
  <r>
    <s v="ORD-01341"/>
    <x v="124"/>
    <s v="CUST-0254"/>
    <s v="PROD-001"/>
    <x v="8"/>
    <n v="4"/>
    <n v="5330"/>
    <n v="16.2"/>
    <n v="17866.16"/>
    <s v="Completed"/>
    <s v="Bengaluru"/>
    <x v="4"/>
    <s v="Retail"/>
    <n v="35"/>
    <x v="2"/>
    <s v="R028"/>
    <n v="880468.05"/>
    <x v="2"/>
  </r>
  <r>
    <s v="ORD-01342"/>
    <x v="169"/>
    <s v="CUST-0087"/>
    <s v="PROD-038"/>
    <x v="12"/>
    <n v="3"/>
    <n v="5490"/>
    <n v="26.7"/>
    <n v="12072.51"/>
    <s v="Completed"/>
    <s v="Pune"/>
    <x v="3"/>
    <s v="SMB"/>
    <n v="49"/>
    <x v="3"/>
    <s v="R023"/>
    <n v="983787.4800000001"/>
    <x v="3"/>
  </r>
  <r>
    <s v="ORD-01343"/>
    <x v="148"/>
    <s v="CUST-0142"/>
    <s v="PROD-060"/>
    <x v="25"/>
    <n v="7"/>
    <n v="190"/>
    <n v="11.6"/>
    <n v="1175.72"/>
    <s v="Completed"/>
    <s v="Chennai"/>
    <x v="1"/>
    <s v="Corporate"/>
    <n v="55"/>
    <x v="0"/>
    <s v="R002"/>
    <n v="980063.65999999968"/>
    <x v="0"/>
  </r>
  <r>
    <s v="ORD-01344"/>
    <x v="352"/>
    <s v="CUST-0293"/>
    <s v="PROD-012"/>
    <x v="29"/>
    <n v="5"/>
    <n v="3160"/>
    <n v="24.1"/>
    <n v="11992.2"/>
    <s v="Completed"/>
    <s v="Bengaluru"/>
    <x v="0"/>
    <s v="Retail"/>
    <n v="27"/>
    <x v="1"/>
    <s v="R016"/>
    <n v="814563.7100000002"/>
    <x v="1"/>
  </r>
  <r>
    <s v="ORD-01345"/>
    <x v="183"/>
    <s v="CUST-0025"/>
    <s v="PROD-035"/>
    <x v="12"/>
    <n v="1"/>
    <n v="1090"/>
    <n v="9.6"/>
    <n v="985.36"/>
    <s v="Refunded"/>
    <s v="Bengaluru"/>
    <x v="3"/>
    <s v="Retail"/>
    <n v="23"/>
    <x v="3"/>
    <s v="R023"/>
    <n v="983787.4800000001"/>
    <x v="3"/>
  </r>
  <r>
    <s v="ORD-01346"/>
    <x v="130"/>
    <s v="CUST-0096"/>
    <s v="PROD-032"/>
    <x v="10"/>
    <n v="9"/>
    <n v="370"/>
    <n v="4"/>
    <n v="3196.8"/>
    <s v="Completed"/>
    <s v="Delhi"/>
    <x v="3"/>
    <s v="Corporate"/>
    <n v="27"/>
    <x v="0"/>
    <s v="R004"/>
    <n v="589026.2899999998"/>
    <x v="0"/>
  </r>
  <r>
    <s v="ORD-01347"/>
    <x v="212"/>
    <s v="CUST-0069"/>
    <s v="PROD-008"/>
    <x v="25"/>
    <n v="5"/>
    <n v="2660"/>
    <n v="24.6"/>
    <n v="10028.200000000001"/>
    <s v="Cancelled"/>
    <s v="Chennai"/>
    <x v="4"/>
    <s v="Retail"/>
    <n v="51"/>
    <x v="0"/>
    <s v="R002"/>
    <n v="980063.65999999968"/>
    <x v="0"/>
  </r>
  <r>
    <s v="ORD-01348"/>
    <x v="322"/>
    <s v="CUST-0220"/>
    <s v="PROD-018"/>
    <x v="26"/>
    <n v="4"/>
    <n v="3560"/>
    <n v="25.7"/>
    <n v="10580.32"/>
    <s v="Completed"/>
    <s v="Chennai"/>
    <x v="0"/>
    <s v="Retail"/>
    <n v="34"/>
    <x v="3"/>
    <s v="R018"/>
    <n v="1112289.6400000001"/>
    <x v="3"/>
  </r>
  <r>
    <s v="ORD-01349"/>
    <x v="306"/>
    <s v="CUST-0005"/>
    <s v="PROD-049"/>
    <x v="1"/>
    <n v="8"/>
    <n v="960"/>
    <n v="0.1"/>
    <n v="7672.32"/>
    <s v="Completed"/>
    <s v="Chennai"/>
    <x v="5"/>
    <s v="Corporate"/>
    <n v="52"/>
    <x v="0"/>
    <s v="R005"/>
    <n v="782445.33"/>
    <x v="0"/>
  </r>
  <r>
    <s v="ORD-01350"/>
    <x v="128"/>
    <s v="CUST-0222"/>
    <s v="PROD-032"/>
    <x v="6"/>
    <n v="10"/>
    <n v="370"/>
    <n v="16.399999999999999"/>
    <n v="3093.2"/>
    <s v="Cancelled"/>
    <s v="Chennai"/>
    <x v="3"/>
    <s v="Retail"/>
    <n v="37"/>
    <x v="2"/>
    <s v="R024"/>
    <n v="819558.58"/>
    <x v="2"/>
  </r>
  <r>
    <s v="ORD-01351"/>
    <x v="342"/>
    <s v="CUST-0039"/>
    <s v="PROD-015"/>
    <x v="20"/>
    <n v="4"/>
    <n v="2720"/>
    <n v="3.1"/>
    <n v="10542.72"/>
    <s v="Completed"/>
    <s v="Bengaluru"/>
    <x v="0"/>
    <s v="Retail"/>
    <n v="37"/>
    <x v="2"/>
    <s v="R029"/>
    <n v="1016696.8000000002"/>
    <x v="2"/>
  </r>
  <r>
    <s v="ORD-01352"/>
    <x v="236"/>
    <s v="CUST-0224"/>
    <s v="PROD-034"/>
    <x v="1"/>
    <n v="10"/>
    <n v="5080"/>
    <n v="6.8"/>
    <n v="47345.599999999999"/>
    <s v="Completed"/>
    <s v="Chennai"/>
    <x v="3"/>
    <s v="Corporate"/>
    <n v="24"/>
    <x v="0"/>
    <s v="R005"/>
    <n v="782445.33"/>
    <x v="0"/>
  </r>
  <r>
    <s v="ORD-01353"/>
    <x v="229"/>
    <s v="CUST-0288"/>
    <s v="PROD-042"/>
    <x v="4"/>
    <n v="6"/>
    <n v="2290"/>
    <n v="22.6"/>
    <n v="10634.76"/>
    <s v="Completed"/>
    <s v="Hyderabad"/>
    <x v="5"/>
    <s v="Corporate"/>
    <n v="25"/>
    <x v="0"/>
    <s v="R008"/>
    <n v="861553.33"/>
    <x v="0"/>
  </r>
  <r>
    <s v="ORD-01354"/>
    <x v="349"/>
    <s v="CUST-0002"/>
    <s v="PROD-021"/>
    <x v="3"/>
    <n v="4"/>
    <n v="2760"/>
    <n v="27.2"/>
    <n v="8037.12"/>
    <s v="Refunded"/>
    <s v="Pune"/>
    <x v="2"/>
    <s v="Corporate"/>
    <n v="42"/>
    <x v="0"/>
    <s v="R006"/>
    <n v="1138648.73"/>
    <x v="0"/>
  </r>
  <r>
    <s v="ORD-01355"/>
    <x v="12"/>
    <s v="CUST-0172"/>
    <s v="PROD-024"/>
    <x v="28"/>
    <n v="9"/>
    <n v="2270"/>
    <n v="5.2"/>
    <n v="19367.64"/>
    <s v="Completed"/>
    <s v="Pune"/>
    <x v="2"/>
    <s v="Retail"/>
    <n v="65"/>
    <x v="2"/>
    <s v="R027"/>
    <n v="917092.61999999965"/>
    <x v="2"/>
  </r>
  <r>
    <s v="ORD-01356"/>
    <x v="66"/>
    <s v="CUST-0287"/>
    <s v="PROD-017"/>
    <x v="4"/>
    <n v="3"/>
    <n v="2510"/>
    <n v="16.399999999999999"/>
    <n v="6295.08"/>
    <s v="Completed"/>
    <s v="Chennai"/>
    <x v="0"/>
    <s v="SMB"/>
    <n v="53"/>
    <x v="0"/>
    <s v="R008"/>
    <n v="861553.33"/>
    <x v="0"/>
  </r>
  <r>
    <s v="ORD-01357"/>
    <x v="186"/>
    <s v="CUST-0020"/>
    <s v="PROD-023"/>
    <x v="27"/>
    <n v="1"/>
    <n v="2380"/>
    <n v="23.5"/>
    <n v="1820.7"/>
    <s v="Completed"/>
    <s v="Hyderabad"/>
    <x v="2"/>
    <s v="Retail"/>
    <n v="46"/>
    <x v="1"/>
    <s v="R012"/>
    <n v="901394.32000000007"/>
    <x v="1"/>
  </r>
  <r>
    <s v="ORD-01358"/>
    <x v="130"/>
    <s v="CUST-0039"/>
    <s v="PROD-059"/>
    <x v="7"/>
    <n v="2"/>
    <n v="3780"/>
    <n v="29.1"/>
    <n v="5360.04"/>
    <s v="Completed"/>
    <s v="Bengaluru"/>
    <x v="1"/>
    <s v="Retail"/>
    <n v="37"/>
    <x v="3"/>
    <s v="R019"/>
    <n v="971183.52000000014"/>
    <x v="3"/>
  </r>
  <r>
    <s v="ORD-01359"/>
    <x v="14"/>
    <s v="CUST-0128"/>
    <s v="PROD-011"/>
    <x v="17"/>
    <n v="1"/>
    <n v="3450"/>
    <n v="17.8"/>
    <n v="2835.9"/>
    <s v="Completed"/>
    <s v="Hyderabad"/>
    <x v="0"/>
    <s v="Retail"/>
    <n v="35"/>
    <x v="2"/>
    <s v="R026"/>
    <n v="576305.08000000019"/>
    <x v="2"/>
  </r>
  <r>
    <s v="ORD-01360"/>
    <x v="310"/>
    <s v="CUST-0149"/>
    <s v="PROD-046"/>
    <x v="3"/>
    <n v="6"/>
    <n v="4880"/>
    <n v="15.6"/>
    <n v="24712.32"/>
    <s v="Pending"/>
    <s v="Hyderabad"/>
    <x v="5"/>
    <s v="Retail"/>
    <n v="44"/>
    <x v="0"/>
    <s v="R006"/>
    <n v="1138648.73"/>
    <x v="0"/>
  </r>
  <r>
    <s v="ORD-01361"/>
    <x v="273"/>
    <s v="CUST-0101"/>
    <s v="PROD-049"/>
    <x v="29"/>
    <n v="6"/>
    <n v="960"/>
    <n v="7.5"/>
    <n v="5328"/>
    <s v="Pending"/>
    <s v="Hyderabad"/>
    <x v="5"/>
    <s v="SMB"/>
    <n v="40"/>
    <x v="1"/>
    <s v="R016"/>
    <n v="814563.7100000002"/>
    <x v="1"/>
  </r>
  <r>
    <s v="ORD-01362"/>
    <x v="147"/>
    <s v="CUST-0106"/>
    <s v="PROD-018"/>
    <x v="12"/>
    <n v="1"/>
    <n v="3560"/>
    <n v="12.9"/>
    <n v="3100.76"/>
    <s v="Completed"/>
    <s v="Pune"/>
    <x v="0"/>
    <s v="Retail"/>
    <n v="22"/>
    <x v="3"/>
    <s v="R023"/>
    <n v="983787.4800000001"/>
    <x v="3"/>
  </r>
  <r>
    <s v="ORD-01363"/>
    <x v="12"/>
    <s v="CUST-0085"/>
    <s v="PROD-025"/>
    <x v="1"/>
    <n v="5"/>
    <n v="4060"/>
    <n v="18.100000000000001"/>
    <n v="16625.7"/>
    <s v="Pending"/>
    <s v="Chennai"/>
    <x v="2"/>
    <s v="Retail"/>
    <n v="26"/>
    <x v="0"/>
    <s v="R005"/>
    <n v="782445.33"/>
    <x v="0"/>
  </r>
  <r>
    <s v="ORD-01364"/>
    <x v="182"/>
    <s v="CUST-0071"/>
    <s v="PROD-015"/>
    <x v="16"/>
    <n v="10"/>
    <n v="2720"/>
    <n v="23.2"/>
    <n v="20889.599999999999"/>
    <s v="Completed"/>
    <s v="Delhi"/>
    <x v="0"/>
    <s v="Corporate"/>
    <n v="46"/>
    <x v="3"/>
    <s v="R020"/>
    <n v="906107.71000000008"/>
    <x v="3"/>
  </r>
  <r>
    <s v="ORD-01365"/>
    <x v="74"/>
    <s v="CUST-0185"/>
    <s v="PROD-029"/>
    <x v="24"/>
    <n v="1"/>
    <n v="2210"/>
    <n v="5.8"/>
    <n v="2081.8200000000002"/>
    <s v="Pending"/>
    <s v="Hyderabad"/>
    <x v="2"/>
    <s v="SMB"/>
    <n v="43"/>
    <x v="3"/>
    <s v="R022"/>
    <n v="1069570.5400000003"/>
    <x v="3"/>
  </r>
  <r>
    <s v="ORD-01366"/>
    <x v="74"/>
    <s v="CUST-0182"/>
    <s v="PROD-047"/>
    <x v="22"/>
    <n v="5"/>
    <n v="3450"/>
    <n v="27.9"/>
    <n v="12437.25"/>
    <s v="Pending"/>
    <s v="Mumbai"/>
    <x v="5"/>
    <s v="Retail"/>
    <n v="54"/>
    <x v="1"/>
    <s v="R013"/>
    <n v="811524.37999999989"/>
    <x v="1"/>
  </r>
  <r>
    <s v="ORD-01367"/>
    <x v="269"/>
    <s v="CUST-0177"/>
    <s v="PROD-023"/>
    <x v="12"/>
    <n v="9"/>
    <n v="2380"/>
    <n v="15.2"/>
    <n v="18164.16"/>
    <s v="Refunded"/>
    <s v="Mumbai"/>
    <x v="2"/>
    <s v="SMB"/>
    <n v="36"/>
    <x v="3"/>
    <s v="R023"/>
    <n v="983787.4800000001"/>
    <x v="3"/>
  </r>
  <r>
    <s v="ORD-01368"/>
    <x v="317"/>
    <s v="CUST-0253"/>
    <s v="PROD-023"/>
    <x v="25"/>
    <n v="2"/>
    <n v="2380"/>
    <n v="24.3"/>
    <n v="3603.32"/>
    <s v="Completed"/>
    <s v="Delhi"/>
    <x v="2"/>
    <s v="SMB"/>
    <n v="53"/>
    <x v="0"/>
    <s v="R002"/>
    <n v="980063.65999999968"/>
    <x v="0"/>
  </r>
  <r>
    <s v="ORD-01369"/>
    <x v="9"/>
    <s v="CUST-0071"/>
    <s v="PROD-018"/>
    <x v="27"/>
    <n v="9"/>
    <n v="3560"/>
    <n v="6.6"/>
    <n v="29925.360000000001"/>
    <s v="Refunded"/>
    <s v="Delhi"/>
    <x v="0"/>
    <s v="Corporate"/>
    <n v="46"/>
    <x v="1"/>
    <s v="R012"/>
    <n v="901394.32000000007"/>
    <x v="1"/>
  </r>
  <r>
    <s v="ORD-01370"/>
    <x v="259"/>
    <s v="CUST-0240"/>
    <s v="PROD-009"/>
    <x v="26"/>
    <n v="7"/>
    <n v="1220"/>
    <n v="29.4"/>
    <n v="6029.24"/>
    <s v="Completed"/>
    <s v="Chennai"/>
    <x v="4"/>
    <s v="Corporate"/>
    <n v="35"/>
    <x v="3"/>
    <s v="R018"/>
    <n v="1112289.6400000001"/>
    <x v="3"/>
  </r>
  <r>
    <s v="ORD-01371"/>
    <x v="9"/>
    <s v="CUST-0050"/>
    <s v="PROD-056"/>
    <x v="21"/>
    <n v="7"/>
    <n v="6940"/>
    <n v="9.6"/>
    <n v="43916.32"/>
    <s v="Completed"/>
    <s v="Mumbai"/>
    <x v="1"/>
    <s v="Retail"/>
    <n v="37"/>
    <x v="3"/>
    <s v="R017"/>
    <n v="780384.40999999992"/>
    <x v="3"/>
  </r>
  <r>
    <s v="ORD-01372"/>
    <x v="183"/>
    <s v="CUST-0089"/>
    <s v="PROD-035"/>
    <x v="24"/>
    <n v="2"/>
    <n v="1090"/>
    <n v="17"/>
    <n v="1809.4"/>
    <s v="Completed"/>
    <s v="Mumbai"/>
    <x v="3"/>
    <s v="SMB"/>
    <n v="43"/>
    <x v="3"/>
    <s v="R022"/>
    <n v="1069570.5400000003"/>
    <x v="3"/>
  </r>
  <r>
    <s v="ORD-01373"/>
    <x v="97"/>
    <s v="CUST-0209"/>
    <s v="PROD-023"/>
    <x v="8"/>
    <n v="4"/>
    <n v="2380"/>
    <n v="18.899999999999999"/>
    <n v="7720.72"/>
    <s v="Pending"/>
    <s v="Pune"/>
    <x v="2"/>
    <s v="Retail"/>
    <n v="31"/>
    <x v="2"/>
    <s v="R028"/>
    <n v="880468.05"/>
    <x v="2"/>
  </r>
  <r>
    <s v="ORD-01374"/>
    <x v="344"/>
    <s v="CUST-0089"/>
    <s v="PROD-024"/>
    <x v="10"/>
    <n v="6"/>
    <n v="2270"/>
    <n v="20.9"/>
    <n v="10773.42"/>
    <s v="Pending"/>
    <s v="Mumbai"/>
    <x v="2"/>
    <s v="SMB"/>
    <n v="43"/>
    <x v="0"/>
    <s v="R004"/>
    <n v="589026.2899999998"/>
    <x v="0"/>
  </r>
  <r>
    <s v="ORD-01375"/>
    <x v="248"/>
    <s v="CUST-0093"/>
    <s v="PROD-033"/>
    <x v="7"/>
    <n v="10"/>
    <n v="2030"/>
    <n v="25"/>
    <n v="15225"/>
    <s v="Completed"/>
    <s v="Pune"/>
    <x v="3"/>
    <s v="Retail"/>
    <n v="36"/>
    <x v="3"/>
    <s v="R019"/>
    <n v="971183.52000000014"/>
    <x v="3"/>
  </r>
  <r>
    <s v="ORD-01376"/>
    <x v="118"/>
    <s v="CUST-0018"/>
    <s v="PROD-035"/>
    <x v="28"/>
    <n v="3"/>
    <n v="1090"/>
    <n v="12.1"/>
    <n v="2874.33"/>
    <s v="Completed"/>
    <s v="Pune"/>
    <x v="3"/>
    <s v="SMB"/>
    <n v="54"/>
    <x v="2"/>
    <s v="R027"/>
    <n v="917092.61999999965"/>
    <x v="2"/>
  </r>
  <r>
    <s v="ORD-01377"/>
    <x v="291"/>
    <s v="CUST-0089"/>
    <s v="PROD-017"/>
    <x v="21"/>
    <n v="3"/>
    <n v="2510"/>
    <n v="28.7"/>
    <n v="5368.89"/>
    <s v="Completed"/>
    <s v="Mumbai"/>
    <x v="0"/>
    <s v="SMB"/>
    <n v="43"/>
    <x v="3"/>
    <s v="R017"/>
    <n v="780384.40999999992"/>
    <x v="3"/>
  </r>
  <r>
    <s v="ORD-01378"/>
    <x v="249"/>
    <s v="CUST-0116"/>
    <s v="PROD-024"/>
    <x v="17"/>
    <n v="9"/>
    <n v="2270"/>
    <n v="25.4"/>
    <n v="15240.78"/>
    <s v="Pending"/>
    <s v="Bengaluru"/>
    <x v="2"/>
    <s v="Retail"/>
    <n v="53"/>
    <x v="2"/>
    <s v="R026"/>
    <n v="576305.08000000019"/>
    <x v="2"/>
  </r>
  <r>
    <s v="ORD-01379"/>
    <x v="169"/>
    <s v="CUST-0071"/>
    <s v="PROD-006"/>
    <x v="20"/>
    <n v="9"/>
    <n v="3970"/>
    <n v="10.1"/>
    <n v="32121.27"/>
    <s v="Cancelled"/>
    <s v="Delhi"/>
    <x v="4"/>
    <s v="Corporate"/>
    <n v="46"/>
    <x v="2"/>
    <s v="R029"/>
    <n v="1016696.8000000002"/>
    <x v="2"/>
  </r>
  <r>
    <s v="ORD-01380"/>
    <x v="23"/>
    <s v="CUST-0115"/>
    <s v="PROD-029"/>
    <x v="2"/>
    <n v="6"/>
    <n v="2210"/>
    <n v="7.4"/>
    <n v="12278.76"/>
    <s v="Completed"/>
    <s v="Mumbai"/>
    <x v="2"/>
    <s v="SMB"/>
    <n v="65"/>
    <x v="1"/>
    <s v="R014"/>
    <n v="995713.54000000015"/>
    <x v="1"/>
  </r>
  <r>
    <s v="ORD-01381"/>
    <x v="107"/>
    <s v="CUST-0258"/>
    <s v="PROD-041"/>
    <x v="21"/>
    <n v="7"/>
    <n v="1540"/>
    <n v="20.6"/>
    <n v="8559.32"/>
    <s v="Completed"/>
    <s v="Pune"/>
    <x v="5"/>
    <s v="Retail"/>
    <n v="44"/>
    <x v="3"/>
    <s v="R017"/>
    <n v="780384.40999999992"/>
    <x v="3"/>
  </r>
  <r>
    <s v="ORD-01382"/>
    <x v="323"/>
    <s v="CUST-0290"/>
    <s v="PROD-039"/>
    <x v="28"/>
    <n v="9"/>
    <n v="4610"/>
    <n v="2.1"/>
    <n v="40618.71"/>
    <s v="Completed"/>
    <s v="Delhi"/>
    <x v="3"/>
    <s v="Retail"/>
    <n v="63"/>
    <x v="2"/>
    <s v="R027"/>
    <n v="917092.61999999965"/>
    <x v="2"/>
  </r>
  <r>
    <s v="ORD-01383"/>
    <x v="159"/>
    <s v="CUST-0279"/>
    <s v="PROD-006"/>
    <x v="25"/>
    <n v="10"/>
    <n v="3970"/>
    <n v="13.3"/>
    <n v="34419.9"/>
    <s v="Pending"/>
    <s v="Mumbai"/>
    <x v="4"/>
    <s v="Retail"/>
    <n v="56"/>
    <x v="0"/>
    <s v="R002"/>
    <n v="980063.65999999968"/>
    <x v="0"/>
  </r>
  <r>
    <s v="ORD-01384"/>
    <x v="166"/>
    <s v="CUST-0132"/>
    <s v="PROD-008"/>
    <x v="4"/>
    <n v="8"/>
    <n v="2660"/>
    <n v="16.8"/>
    <n v="17704.96"/>
    <s v="Completed"/>
    <s v="Delhi"/>
    <x v="4"/>
    <s v="Retail"/>
    <n v="41"/>
    <x v="0"/>
    <s v="R008"/>
    <n v="861553.33"/>
    <x v="0"/>
  </r>
  <r>
    <s v="ORD-01385"/>
    <x v="90"/>
    <s v="CUST-0029"/>
    <s v="PROD-047"/>
    <x v="13"/>
    <n v="6"/>
    <n v="3450"/>
    <n v="23.4"/>
    <n v="15856.2"/>
    <s v="Completed"/>
    <s v="Chennai"/>
    <x v="5"/>
    <s v="Corporate"/>
    <n v="54"/>
    <x v="3"/>
    <s v="R021"/>
    <n v="761507.17000000027"/>
    <x v="3"/>
  </r>
  <r>
    <s v="ORD-01386"/>
    <x v="356"/>
    <s v="CUST-0295"/>
    <s v="PROD-053"/>
    <x v="0"/>
    <n v="10"/>
    <n v="470"/>
    <n v="21.2"/>
    <n v="3703.6"/>
    <s v="Completed"/>
    <s v="Delhi"/>
    <x v="1"/>
    <s v="SMB"/>
    <n v="48"/>
    <x v="0"/>
    <s v="R007"/>
    <n v="855749.67999999982"/>
    <x v="0"/>
  </r>
  <r>
    <s v="ORD-00168"/>
    <x v="323"/>
    <s v="CUST-0106"/>
    <s v="PROD-059"/>
    <x v="24"/>
    <n v="7"/>
    <n v="3780"/>
    <n v="10.1"/>
    <n v="23787.54"/>
    <s v="Completed"/>
    <s v="Pune"/>
    <x v="1"/>
    <s v="Retail"/>
    <n v="22"/>
    <x v="3"/>
    <s v="R022"/>
    <n v="1069570.5400000003"/>
    <x v="3"/>
  </r>
  <r>
    <s v="ORD-01388"/>
    <x v="258"/>
    <s v="CUST-0127"/>
    <s v="PROD-014"/>
    <x v="28"/>
    <n v="3"/>
    <n v="3620"/>
    <n v="4.2"/>
    <n v="10403.879999999999"/>
    <s v="Completed"/>
    <s v="Bengaluru"/>
    <x v="0"/>
    <s v="SMB"/>
    <n v="36"/>
    <x v="2"/>
    <s v="R027"/>
    <n v="917092.61999999965"/>
    <x v="2"/>
  </r>
  <r>
    <s v="ORD-01389"/>
    <x v="110"/>
    <s v="CUST-0031"/>
    <s v="PROD-049"/>
    <x v="8"/>
    <n v="7"/>
    <n v="960"/>
    <n v="9"/>
    <n v="6115.2"/>
    <s v="Completed"/>
    <s v="Hyderabad"/>
    <x v="5"/>
    <s v="Retail"/>
    <n v="53"/>
    <x v="2"/>
    <s v="R028"/>
    <n v="880468.05"/>
    <x v="2"/>
  </r>
  <r>
    <s v="ORD-01390"/>
    <x v="112"/>
    <s v="CUST-0256"/>
    <s v="PROD-043"/>
    <x v="0"/>
    <n v="10"/>
    <n v="3350"/>
    <n v="1.2"/>
    <n v="33098"/>
    <s v="Cancelled"/>
    <s v="Hyderabad"/>
    <x v="5"/>
    <s v="Retail"/>
    <n v="28"/>
    <x v="0"/>
    <s v="R007"/>
    <n v="855749.67999999982"/>
    <x v="0"/>
  </r>
  <r>
    <s v="ORD-01391"/>
    <x v="321"/>
    <s v="CUST-0131"/>
    <s v="PROD-058"/>
    <x v="14"/>
    <n v="3"/>
    <n v="2400"/>
    <n v="15.4"/>
    <n v="6091.2"/>
    <s v="Completed"/>
    <s v="Delhi"/>
    <x v="1"/>
    <s v="SMB"/>
    <n v="28"/>
    <x v="2"/>
    <s v="R030"/>
    <n v="747624.36999999988"/>
    <x v="2"/>
  </r>
  <r>
    <s v="ORD-01392"/>
    <x v="192"/>
    <s v="CUST-0270"/>
    <s v="PROD-055"/>
    <x v="25"/>
    <n v="2"/>
    <n v="2860"/>
    <n v="10.5"/>
    <n v="5119.3999999999996"/>
    <s v="Completed"/>
    <s v="Bengaluru"/>
    <x v="1"/>
    <s v="Retail"/>
    <n v="29"/>
    <x v="0"/>
    <s v="R002"/>
    <n v="980063.65999999968"/>
    <x v="0"/>
  </r>
  <r>
    <s v="ORD-01393"/>
    <x v="247"/>
    <s v="CUST-0212"/>
    <s v="PROD-042"/>
    <x v="4"/>
    <n v="4"/>
    <n v="2290"/>
    <n v="5.9"/>
    <n v="8619.56"/>
    <s v="Completed"/>
    <s v="Chennai"/>
    <x v="5"/>
    <s v="SMB"/>
    <n v="46"/>
    <x v="0"/>
    <s v="R008"/>
    <n v="861553.33"/>
    <x v="0"/>
  </r>
  <r>
    <s v="ORD-01394"/>
    <x v="59"/>
    <s v="CUST-0216"/>
    <s v="PROD-001"/>
    <x v="12"/>
    <n v="7"/>
    <n v="5330"/>
    <n v="3.5"/>
    <n v="36004.15"/>
    <s v="Cancelled"/>
    <s v="Mumbai"/>
    <x v="4"/>
    <s v="Retail"/>
    <n v="50"/>
    <x v="3"/>
    <s v="R023"/>
    <n v="983787.4800000001"/>
    <x v="3"/>
  </r>
  <r>
    <s v="ORD-01395"/>
    <x v="65"/>
    <s v="CUST-0189"/>
    <s v="PROD-013"/>
    <x v="26"/>
    <n v="10"/>
    <n v="3640"/>
    <n v="20.100000000000001"/>
    <n v="29083.599999999999"/>
    <s v="Completed"/>
    <s v="Chennai"/>
    <x v="0"/>
    <s v="Retail"/>
    <n v="41"/>
    <x v="3"/>
    <s v="R018"/>
    <n v="1112289.6400000001"/>
    <x v="3"/>
  </r>
  <r>
    <s v="ORD-01396"/>
    <x v="142"/>
    <s v="CUST-0064"/>
    <s v="PROD-034"/>
    <x v="6"/>
    <n v="10"/>
    <n v="5080"/>
    <n v="2.1"/>
    <n v="49733.2"/>
    <s v="Completed"/>
    <s v="Hyderabad"/>
    <x v="3"/>
    <s v="SMB"/>
    <n v="40"/>
    <x v="2"/>
    <s v="R024"/>
    <n v="819558.58"/>
    <x v="2"/>
  </r>
  <r>
    <s v="ORD-01397"/>
    <x v="25"/>
    <s v="CUST-0016"/>
    <s v="PROD-035"/>
    <x v="26"/>
    <n v="4"/>
    <n v="1090"/>
    <n v="18.5"/>
    <n v="3553.4"/>
    <s v="Refunded"/>
    <s v="Delhi"/>
    <x v="3"/>
    <s v="SMB"/>
    <n v="26"/>
    <x v="3"/>
    <s v="R018"/>
    <n v="1112289.6400000001"/>
    <x v="3"/>
  </r>
  <r>
    <s v="ORD-01398"/>
    <x v="218"/>
    <s v="CUST-0296"/>
    <s v="PROD-047"/>
    <x v="14"/>
    <n v="10"/>
    <n v="3450"/>
    <n v="26.5"/>
    <n v="25357.5"/>
    <s v="Refunded"/>
    <s v="Delhi"/>
    <x v="5"/>
    <s v="Corporate"/>
    <n v="47"/>
    <x v="2"/>
    <s v="R030"/>
    <n v="747624.36999999988"/>
    <x v="2"/>
  </r>
  <r>
    <s v="ORD-01399"/>
    <x v="64"/>
    <s v="CUST-0031"/>
    <s v="PROD-052"/>
    <x v="18"/>
    <n v="9"/>
    <n v="5410"/>
    <n v="11.5"/>
    <n v="43090.65"/>
    <s v="Completed"/>
    <s v="Hyderabad"/>
    <x v="1"/>
    <s v="Retail"/>
    <n v="53"/>
    <x v="1"/>
    <s v="R009"/>
    <n v="914554.71999999986"/>
    <x v="1"/>
  </r>
  <r>
    <s v="ORD-01400"/>
    <x v="338"/>
    <s v="CUST-0207"/>
    <s v="PROD-011"/>
    <x v="14"/>
    <n v="9"/>
    <n v="3450"/>
    <n v="0.3"/>
    <n v="30956.85"/>
    <s v="Refunded"/>
    <s v="Hyderabad"/>
    <x v="0"/>
    <s v="SMB"/>
    <n v="34"/>
    <x v="2"/>
    <s v="R030"/>
    <n v="747624.36999999988"/>
    <x v="2"/>
  </r>
  <r>
    <s v="ORD-01401"/>
    <x v="105"/>
    <s v="CUST-0165"/>
    <s v="PROD-012"/>
    <x v="5"/>
    <n v="10"/>
    <n v="3160"/>
    <n v="13.6"/>
    <n v="27302.400000000001"/>
    <s v="Completed"/>
    <s v="Pune"/>
    <x v="0"/>
    <s v="Retail"/>
    <n v="29"/>
    <x v="2"/>
    <s v="R025"/>
    <n v="901298.89"/>
    <x v="2"/>
  </r>
  <r>
    <s v="ORD-01402"/>
    <x v="301"/>
    <s v="CUST-0281"/>
    <s v="PROD-041"/>
    <x v="17"/>
    <n v="3"/>
    <n v="1540"/>
    <n v="21.2"/>
    <n v="3640.56"/>
    <s v="Completed"/>
    <s v="Bengaluru"/>
    <x v="5"/>
    <s v="Corporate"/>
    <n v="57"/>
    <x v="2"/>
    <s v="R026"/>
    <n v="576305.08000000019"/>
    <x v="2"/>
  </r>
  <r>
    <s v="ORD-01403"/>
    <x v="73"/>
    <s v="CUST-0018"/>
    <s v="PROD-013"/>
    <x v="24"/>
    <n v="5"/>
    <n v="3640"/>
    <n v="17.5"/>
    <n v="15015"/>
    <s v="Completed"/>
    <s v="Pune"/>
    <x v="0"/>
    <s v="SMB"/>
    <n v="54"/>
    <x v="3"/>
    <s v="R022"/>
    <n v="1069570.5400000003"/>
    <x v="3"/>
  </r>
  <r>
    <s v="ORD-01404"/>
    <x v="272"/>
    <s v="CUST-0204"/>
    <s v="PROD-059"/>
    <x v="25"/>
    <n v="4"/>
    <n v="3780"/>
    <n v="9"/>
    <n v="13759.2"/>
    <s v="Pending"/>
    <s v="Hyderabad"/>
    <x v="1"/>
    <s v="Retail"/>
    <n v="60"/>
    <x v="0"/>
    <s v="R002"/>
    <n v="980063.65999999968"/>
    <x v="0"/>
  </r>
  <r>
    <s v="ORD-01405"/>
    <x v="357"/>
    <s v="CUST-0028"/>
    <s v="PROD-015"/>
    <x v="5"/>
    <n v="9"/>
    <n v="2720"/>
    <n v="8.9"/>
    <n v="22301.279999999999"/>
    <s v="Completed"/>
    <s v="Bengaluru"/>
    <x v="0"/>
    <s v="Retail"/>
    <n v="59"/>
    <x v="2"/>
    <s v="R025"/>
    <n v="901298.89"/>
    <x v="2"/>
  </r>
  <r>
    <s v="ORD-01406"/>
    <x v="83"/>
    <s v="CUST-0144"/>
    <s v="PROD-014"/>
    <x v="10"/>
    <n v="4"/>
    <n v="3620"/>
    <n v="8"/>
    <n v="13321.6"/>
    <s v="Pending"/>
    <s v="Chennai"/>
    <x v="0"/>
    <s v="Retail"/>
    <n v="49"/>
    <x v="0"/>
    <s v="R004"/>
    <n v="589026.2899999998"/>
    <x v="0"/>
  </r>
  <r>
    <s v="ORD-01407"/>
    <x v="354"/>
    <s v="CUST-0043"/>
    <s v="PROD-011"/>
    <x v="10"/>
    <n v="1"/>
    <n v="3450"/>
    <n v="0.2"/>
    <n v="3443.1"/>
    <s v="Completed"/>
    <s v="Hyderabad"/>
    <x v="0"/>
    <s v="Retail"/>
    <n v="61"/>
    <x v="0"/>
    <s v="R004"/>
    <n v="589026.2899999998"/>
    <x v="0"/>
  </r>
  <r>
    <s v="ORD-01408"/>
    <x v="93"/>
    <s v="CUST-0246"/>
    <s v="PROD-013"/>
    <x v="2"/>
    <n v="7"/>
    <n v="3640"/>
    <n v="4.5999999999999996"/>
    <n v="24307.919999999998"/>
    <s v="Completed"/>
    <s v="Delhi"/>
    <x v="0"/>
    <s v="SMB"/>
    <n v="29"/>
    <x v="1"/>
    <s v="R014"/>
    <n v="995713.54000000015"/>
    <x v="1"/>
  </r>
  <r>
    <s v="ORD-01409"/>
    <x v="318"/>
    <s v="CUST-0156"/>
    <s v="PROD-016"/>
    <x v="12"/>
    <n v="9"/>
    <n v="620"/>
    <n v="8.5"/>
    <n v="5105.7"/>
    <s v="Completed"/>
    <s v="Mumbai"/>
    <x v="0"/>
    <s v="Retail"/>
    <n v="33"/>
    <x v="3"/>
    <s v="R023"/>
    <n v="983787.4800000001"/>
    <x v="3"/>
  </r>
  <r>
    <s v="ORD-01410"/>
    <x v="318"/>
    <s v="CUST-0066"/>
    <s v="PROD-059"/>
    <x v="29"/>
    <n v="10"/>
    <n v="3780"/>
    <n v="5.8"/>
    <n v="35607.599999999999"/>
    <s v="Completed"/>
    <s v="Delhi"/>
    <x v="1"/>
    <s v="Retail"/>
    <n v="24"/>
    <x v="1"/>
    <s v="R016"/>
    <n v="814563.7100000002"/>
    <x v="1"/>
  </r>
  <r>
    <s v="ORD-01411"/>
    <x v="79"/>
    <s v="CUST-0121"/>
    <s v="PROD-003"/>
    <x v="18"/>
    <n v="7"/>
    <n v="3570"/>
    <n v="26.1"/>
    <n v="18467.61"/>
    <s v="Completed"/>
    <s v="Delhi"/>
    <x v="4"/>
    <s v="SMB"/>
    <n v="55"/>
    <x v="1"/>
    <s v="R009"/>
    <n v="914554.71999999986"/>
    <x v="1"/>
  </r>
  <r>
    <s v="ORD-01412"/>
    <x v="141"/>
    <s v="CUST-0066"/>
    <s v="PROD-044"/>
    <x v="25"/>
    <n v="2"/>
    <n v="1650"/>
    <n v="3.8"/>
    <n v="3174.6"/>
    <s v="Completed"/>
    <s v="Delhi"/>
    <x v="5"/>
    <s v="Retail"/>
    <n v="24"/>
    <x v="0"/>
    <s v="R002"/>
    <n v="980063.65999999968"/>
    <x v="0"/>
  </r>
  <r>
    <s v="ORD-01413"/>
    <x v="63"/>
    <s v="CUST-0099"/>
    <s v="PROD-049"/>
    <x v="27"/>
    <n v="2"/>
    <n v="960"/>
    <n v="6.8"/>
    <n v="1789.44"/>
    <s v="Completed"/>
    <s v="Bengaluru"/>
    <x v="5"/>
    <s v="SMB"/>
    <n v="54"/>
    <x v="1"/>
    <s v="R012"/>
    <n v="901394.32000000007"/>
    <x v="1"/>
  </r>
  <r>
    <s v="ORD-01414"/>
    <x v="351"/>
    <s v="CUST-0054"/>
    <s v="PROD-005"/>
    <x v="3"/>
    <n v="2"/>
    <n v="300"/>
    <n v="2.8"/>
    <n v="583.20000000000005"/>
    <s v="Completed"/>
    <s v="Mumbai"/>
    <x v="4"/>
    <s v="Corporate"/>
    <n v="62"/>
    <x v="0"/>
    <s v="R006"/>
    <n v="1138648.73"/>
    <x v="0"/>
  </r>
  <r>
    <s v="ORD-01415"/>
    <x v="230"/>
    <s v="CUST-0124"/>
    <s v="PROD-025"/>
    <x v="28"/>
    <n v="10"/>
    <n v="4060"/>
    <n v="15.1"/>
    <n v="34469.4"/>
    <s v="Completed"/>
    <s v="Pune"/>
    <x v="2"/>
    <s v="Retail"/>
    <n v="57"/>
    <x v="2"/>
    <s v="R027"/>
    <n v="917092.61999999965"/>
    <x v="2"/>
  </r>
  <r>
    <s v="ORD-01416"/>
    <x v="153"/>
    <s v="CUST-0211"/>
    <s v="PROD-001"/>
    <x v="24"/>
    <n v="6"/>
    <n v="5330"/>
    <n v="2"/>
    <n v="31340.400000000001"/>
    <s v="Completed"/>
    <s v="Bengaluru"/>
    <x v="4"/>
    <s v="Retail"/>
    <n v="36"/>
    <x v="3"/>
    <s v="R022"/>
    <n v="1069570.5400000003"/>
    <x v="3"/>
  </r>
  <r>
    <s v="ORD-01417"/>
    <x v="160"/>
    <s v="CUST-0298"/>
    <s v="PROD-031"/>
    <x v="13"/>
    <n v="9"/>
    <n v="3730"/>
    <n v="24.5"/>
    <n v="25345.35"/>
    <s v="Refunded"/>
    <s v="Delhi"/>
    <x v="3"/>
    <s v="Retail"/>
    <n v="44"/>
    <x v="3"/>
    <s v="R021"/>
    <n v="761507.17000000027"/>
    <x v="3"/>
  </r>
  <r>
    <s v="ORD-01418"/>
    <x v="4"/>
    <s v="CUST-0164"/>
    <s v="PROD-050"/>
    <x v="14"/>
    <n v="1"/>
    <n v="6080"/>
    <n v="4.4000000000000004"/>
    <n v="5812.48"/>
    <s v="Cancelled"/>
    <s v="Chennai"/>
    <x v="5"/>
    <s v="Retail"/>
    <n v="60"/>
    <x v="2"/>
    <s v="R030"/>
    <n v="747624.36999999988"/>
    <x v="2"/>
  </r>
  <r>
    <s v="ORD-01419"/>
    <x v="111"/>
    <s v="CUST-0003"/>
    <s v="PROD-015"/>
    <x v="5"/>
    <n v="5"/>
    <n v="2720"/>
    <n v="9.1999999999999993"/>
    <n v="12348.8"/>
    <s v="Completed"/>
    <s v="Mumbai"/>
    <x v="0"/>
    <s v="Retail"/>
    <n v="33"/>
    <x v="2"/>
    <s v="R025"/>
    <n v="901298.89"/>
    <x v="2"/>
  </r>
  <r>
    <s v="ORD-01420"/>
    <x v="334"/>
    <s v="CUST-0239"/>
    <s v="PROD-011"/>
    <x v="12"/>
    <n v="1"/>
    <n v="3450"/>
    <n v="15.6"/>
    <n v="2911.8"/>
    <s v="Completed"/>
    <s v="Mumbai"/>
    <x v="0"/>
    <s v="Retail"/>
    <n v="61"/>
    <x v="3"/>
    <s v="R023"/>
    <n v="983787.4800000001"/>
    <x v="3"/>
  </r>
  <r>
    <s v="ORD-01421"/>
    <x v="285"/>
    <s v="CUST-0116"/>
    <s v="PROD-035"/>
    <x v="24"/>
    <n v="2"/>
    <n v="1090"/>
    <n v="0.4"/>
    <n v="2171.2800000000002"/>
    <s v="Refunded"/>
    <s v="Bengaluru"/>
    <x v="3"/>
    <s v="Retail"/>
    <n v="53"/>
    <x v="3"/>
    <s v="R022"/>
    <n v="1069570.5400000003"/>
    <x v="3"/>
  </r>
  <r>
    <s v="ORD-01422"/>
    <x v="175"/>
    <s v="CUST-0232"/>
    <s v="PROD-003"/>
    <x v="21"/>
    <n v="2"/>
    <n v="3570"/>
    <n v="9"/>
    <n v="6497.4"/>
    <s v="Completed"/>
    <s v="Hyderabad"/>
    <x v="4"/>
    <s v="Retail"/>
    <n v="38"/>
    <x v="3"/>
    <s v="R017"/>
    <n v="780384.40999999992"/>
    <x v="3"/>
  </r>
  <r>
    <s v="ORD-01423"/>
    <x v="352"/>
    <s v="CUST-0121"/>
    <s v="PROD-019"/>
    <x v="2"/>
    <n v="9"/>
    <n v="2480"/>
    <n v="3.6"/>
    <n v="21516.48"/>
    <s v="Pending"/>
    <s v="Delhi"/>
    <x v="0"/>
    <s v="SMB"/>
    <n v="55"/>
    <x v="1"/>
    <s v="R014"/>
    <n v="995713.54000000015"/>
    <x v="1"/>
  </r>
  <r>
    <s v="ORD-01424"/>
    <x v="291"/>
    <s v="CUST-0178"/>
    <s v="PROD-027"/>
    <x v="24"/>
    <n v="9"/>
    <n v="3780"/>
    <n v="4.5"/>
    <n v="32489.1"/>
    <s v="Completed"/>
    <s v="Hyderabad"/>
    <x v="2"/>
    <s v="Retail"/>
    <n v="25"/>
    <x v="3"/>
    <s v="R022"/>
    <n v="1069570.5400000003"/>
    <x v="3"/>
  </r>
  <r>
    <s v="ORD-01425"/>
    <x v="252"/>
    <s v="CUST-0131"/>
    <s v="PROD-025"/>
    <x v="9"/>
    <n v="5"/>
    <n v="4060"/>
    <n v="2.7"/>
    <n v="19751.900000000001"/>
    <s v="Completed"/>
    <s v="Delhi"/>
    <x v="2"/>
    <s v="SMB"/>
    <n v="28"/>
    <x v="1"/>
    <s v="R010"/>
    <n v="880345.20000000007"/>
    <x v="1"/>
  </r>
  <r>
    <s v="ORD-01426"/>
    <x v="148"/>
    <s v="CUST-0155"/>
    <s v="PROD-005"/>
    <x v="25"/>
    <n v="8"/>
    <n v="300"/>
    <n v="19.8"/>
    <n v="1924.8"/>
    <s v="Cancelled"/>
    <s v="Pune"/>
    <x v="4"/>
    <s v="Corporate"/>
    <n v="40"/>
    <x v="0"/>
    <s v="R002"/>
    <n v="980063.65999999968"/>
    <x v="0"/>
  </r>
  <r>
    <s v="ORD-01427"/>
    <x v="253"/>
    <s v="CUST-0170"/>
    <s v="PROD-036"/>
    <x v="25"/>
    <n v="10"/>
    <n v="3250"/>
    <n v="21.3"/>
    <n v="25577.5"/>
    <s v="Cancelled"/>
    <s v="Mumbai"/>
    <x v="3"/>
    <s v="SMB"/>
    <n v="22"/>
    <x v="0"/>
    <s v="R002"/>
    <n v="980063.65999999968"/>
    <x v="0"/>
  </r>
  <r>
    <s v="ORD-01428"/>
    <x v="48"/>
    <s v="CUST-0180"/>
    <s v="PROD-055"/>
    <x v="18"/>
    <n v="2"/>
    <n v="2860"/>
    <n v="13.7"/>
    <n v="4936.3599999999997"/>
    <s v="Completed"/>
    <s v="Chennai"/>
    <x v="1"/>
    <s v="Retail"/>
    <n v="36"/>
    <x v="1"/>
    <s v="R009"/>
    <n v="914554.71999999986"/>
    <x v="1"/>
  </r>
  <r>
    <s v="ORD-01429"/>
    <x v="271"/>
    <s v="CUST-0066"/>
    <s v="PROD-009"/>
    <x v="21"/>
    <n v="10"/>
    <n v="1220"/>
    <n v="15.4"/>
    <n v="10321.200000000001"/>
    <s v="Completed"/>
    <s v="Delhi"/>
    <x v="4"/>
    <s v="Retail"/>
    <n v="24"/>
    <x v="3"/>
    <s v="R017"/>
    <n v="780384.40999999992"/>
    <x v="3"/>
  </r>
  <r>
    <s v="ORD-01430"/>
    <x v="96"/>
    <s v="CUST-0267"/>
    <s v="PROD-027"/>
    <x v="9"/>
    <n v="3"/>
    <n v="3780"/>
    <n v="1.9"/>
    <n v="11124.54"/>
    <s v="Completed"/>
    <s v="Hyderabad"/>
    <x v="2"/>
    <s v="Retail"/>
    <n v="27"/>
    <x v="1"/>
    <s v="R010"/>
    <n v="880345.20000000007"/>
    <x v="1"/>
  </r>
  <r>
    <s v="ORD-01431"/>
    <x v="133"/>
    <s v="CUST-0034"/>
    <s v="PROD-038"/>
    <x v="26"/>
    <n v="6"/>
    <n v="5490"/>
    <n v="0.5"/>
    <n v="32775.300000000003"/>
    <s v="Pending"/>
    <s v="Delhi"/>
    <x v="3"/>
    <s v="Retail"/>
    <n v="47"/>
    <x v="3"/>
    <s v="R018"/>
    <n v="1112289.6400000001"/>
    <x v="3"/>
  </r>
  <r>
    <s v="ORD-01432"/>
    <x v="185"/>
    <s v="CUST-0029"/>
    <s v="PROD-022"/>
    <x v="20"/>
    <n v="6"/>
    <n v="2270"/>
    <n v="21.5"/>
    <n v="10691.7"/>
    <s v="Completed"/>
    <s v="Chennai"/>
    <x v="2"/>
    <s v="Corporate"/>
    <n v="54"/>
    <x v="2"/>
    <s v="R029"/>
    <n v="1016696.8000000002"/>
    <x v="2"/>
  </r>
  <r>
    <s v="ORD-01433"/>
    <x v="77"/>
    <s v="CUST-0224"/>
    <s v="PROD-029"/>
    <x v="12"/>
    <n v="7"/>
    <n v="2210"/>
    <n v="10.3"/>
    <n v="13876.59"/>
    <s v="Completed"/>
    <s v="Chennai"/>
    <x v="2"/>
    <s v="Corporate"/>
    <n v="24"/>
    <x v="3"/>
    <s v="R023"/>
    <n v="983787.4800000001"/>
    <x v="3"/>
  </r>
  <r>
    <s v="ORD-01434"/>
    <x v="150"/>
    <s v="CUST-9889"/>
    <s v="PROD-035"/>
    <x v="18"/>
    <n v="8"/>
    <n v="1090"/>
    <n v="21.7"/>
    <n v="6827.76"/>
    <s v="Completed"/>
    <s v="Pune"/>
    <x v="3"/>
    <e v="#N/A"/>
    <e v="#N/A"/>
    <x v="1"/>
    <s v="R009"/>
    <n v="914554.71999999986"/>
    <x v="1"/>
  </r>
  <r>
    <s v="ORD-01435"/>
    <x v="311"/>
    <s v="CUST-0130"/>
    <s v="PROD-018"/>
    <x v="25"/>
    <n v="5"/>
    <n v="3560"/>
    <n v="19.399999999999999"/>
    <n v="14346.8"/>
    <s v="Pending"/>
    <s v="Bengaluru"/>
    <x v="0"/>
    <s v="Corporate"/>
    <n v="41"/>
    <x v="0"/>
    <s v="R002"/>
    <n v="980063.65999999968"/>
    <x v="0"/>
  </r>
  <r>
    <s v="ORD-01436"/>
    <x v="358"/>
    <s v="CUST-0060"/>
    <s v="PROD-054"/>
    <x v="8"/>
    <n v="7"/>
    <n v="1010"/>
    <n v="28.2"/>
    <n v="5076.26"/>
    <s v="Completed"/>
    <s v="Pune"/>
    <x v="1"/>
    <s v="Retail"/>
    <n v="39"/>
    <x v="2"/>
    <s v="R028"/>
    <n v="880468.05"/>
    <x v="2"/>
  </r>
  <r>
    <s v="ORD-01437"/>
    <x v="19"/>
    <s v="CUST-0299"/>
    <s v="PROD-033"/>
    <x v="15"/>
    <n v="2"/>
    <n v="2030"/>
    <n v="27.3"/>
    <n v="2951.62"/>
    <s v="Refunded"/>
    <s v="Mumbai"/>
    <x v="3"/>
    <s v="Corporate"/>
    <n v="51"/>
    <x v="1"/>
    <s v="R015"/>
    <n v="1091740.1799999997"/>
    <x v="1"/>
  </r>
  <r>
    <s v="ORD-01438"/>
    <x v="154"/>
    <s v="CUST-0013"/>
    <s v="PROD-001"/>
    <x v="27"/>
    <n v="6"/>
    <n v="5330"/>
    <n v="0.6"/>
    <n v="31788.12"/>
    <s v="Completed"/>
    <s v="Delhi"/>
    <x v="4"/>
    <s v="Retail"/>
    <n v="41"/>
    <x v="1"/>
    <s v="R012"/>
    <n v="901394.32000000007"/>
    <x v="1"/>
  </r>
  <r>
    <s v="ORD-01439"/>
    <x v="282"/>
    <s v="CUST-0193"/>
    <s v="PROD-010"/>
    <x v="0"/>
    <n v="2"/>
    <n v="2640"/>
    <n v="26"/>
    <n v="3907.2"/>
    <s v="Pending"/>
    <s v="Bengaluru"/>
    <x v="4"/>
    <s v="Retail"/>
    <n v="42"/>
    <x v="0"/>
    <s v="R007"/>
    <n v="855749.67999999982"/>
    <x v="0"/>
  </r>
  <r>
    <s v="ORD-01440"/>
    <x v="130"/>
    <s v="CUST-0170"/>
    <s v="PROD-008"/>
    <x v="27"/>
    <n v="8"/>
    <n v="2660"/>
    <n v="2.9"/>
    <n v="20662.88"/>
    <s v="Completed"/>
    <s v="Mumbai"/>
    <x v="4"/>
    <s v="SMB"/>
    <n v="22"/>
    <x v="1"/>
    <s v="R012"/>
    <n v="901394.32000000007"/>
    <x v="1"/>
  </r>
  <r>
    <s v="ORD-01441"/>
    <x v="69"/>
    <s v="CUST-0063"/>
    <s v="PROD-036"/>
    <x v="12"/>
    <n v="6"/>
    <n v="3250"/>
    <n v="11.1"/>
    <n v="17335.5"/>
    <s v="Completed"/>
    <s v="Mumbai"/>
    <x v="3"/>
    <s v="SMB"/>
    <n v="53"/>
    <x v="3"/>
    <s v="R023"/>
    <n v="983787.4800000001"/>
    <x v="3"/>
  </r>
  <r>
    <s v="ORD-01442"/>
    <x v="246"/>
    <s v="CUST-0168"/>
    <s v="PROD-029"/>
    <x v="10"/>
    <n v="1"/>
    <n v="2210"/>
    <n v="3.5"/>
    <n v="2132.65"/>
    <s v="Completed"/>
    <s v="Pune"/>
    <x v="2"/>
    <s v="Retail"/>
    <n v="25"/>
    <x v="0"/>
    <s v="R004"/>
    <n v="589026.2899999998"/>
    <x v="0"/>
  </r>
  <r>
    <s v="ORD-01443"/>
    <x v="39"/>
    <s v="CUST-0124"/>
    <s v="PROD-032"/>
    <x v="7"/>
    <n v="9"/>
    <n v="370"/>
    <n v="12.4"/>
    <n v="2917.08"/>
    <s v="Completed"/>
    <s v="Pune"/>
    <x v="3"/>
    <s v="Retail"/>
    <n v="57"/>
    <x v="3"/>
    <s v="R019"/>
    <n v="971183.52000000014"/>
    <x v="3"/>
  </r>
  <r>
    <s v="ORD-01444"/>
    <x v="99"/>
    <s v="CUST-0138"/>
    <s v="PROD-059"/>
    <x v="24"/>
    <n v="3"/>
    <n v="3780"/>
    <n v="8.5"/>
    <n v="10376.1"/>
    <s v="Pending"/>
    <s v="Chennai"/>
    <x v="1"/>
    <s v="Retail"/>
    <n v="24"/>
    <x v="3"/>
    <s v="R022"/>
    <n v="1069570.5400000003"/>
    <x v="3"/>
  </r>
  <r>
    <s v="ORD-01445"/>
    <x v="245"/>
    <s v="CUST-0146"/>
    <s v="PROD-054"/>
    <x v="25"/>
    <n v="2"/>
    <n v="1010"/>
    <n v="2.7"/>
    <n v="1965.46"/>
    <s v="Completed"/>
    <s v="Hyderabad"/>
    <x v="1"/>
    <s v="Retail"/>
    <n v="22"/>
    <x v="0"/>
    <s v="R002"/>
    <n v="980063.65999999968"/>
    <x v="0"/>
  </r>
  <r>
    <s v="ORD-01446"/>
    <x v="167"/>
    <s v="CUST-0244"/>
    <s v="PROD-020"/>
    <x v="27"/>
    <n v="2"/>
    <n v="820"/>
    <n v="13.2"/>
    <n v="1423.52"/>
    <s v="Pending"/>
    <s v="Bengaluru"/>
    <x v="0"/>
    <s v="Retail"/>
    <n v="61"/>
    <x v="1"/>
    <s v="R012"/>
    <n v="901394.32000000007"/>
    <x v="1"/>
  </r>
  <r>
    <s v="ORD-01447"/>
    <x v="337"/>
    <s v="CUST-0291"/>
    <s v="PROD-028"/>
    <x v="27"/>
    <n v="1"/>
    <n v="3660"/>
    <n v="14"/>
    <n v="3147.6"/>
    <s v="Refunded"/>
    <s v="Pune"/>
    <x v="2"/>
    <s v="SMB"/>
    <n v="29"/>
    <x v="1"/>
    <s v="R012"/>
    <n v="901394.32000000007"/>
    <x v="1"/>
  </r>
  <r>
    <s v="ORD-01448"/>
    <x v="130"/>
    <s v="CUST-0222"/>
    <s v="PROD-022"/>
    <x v="21"/>
    <n v="6"/>
    <n v="2270"/>
    <n v="16"/>
    <n v="11440.8"/>
    <s v="Completed"/>
    <s v="Chennai"/>
    <x v="2"/>
    <s v="Retail"/>
    <n v="37"/>
    <x v="3"/>
    <s v="R017"/>
    <n v="780384.40999999992"/>
    <x v="3"/>
  </r>
  <r>
    <s v="ORD-01449"/>
    <x v="311"/>
    <s v="CUST-0137"/>
    <s v="PROD-049"/>
    <x v="7"/>
    <n v="7"/>
    <n v="960"/>
    <n v="28.8"/>
    <n v="4784.6400000000003"/>
    <s v="Refunded"/>
    <s v="Mumbai"/>
    <x v="5"/>
    <s v="Retail"/>
    <n v="41"/>
    <x v="3"/>
    <s v="R019"/>
    <n v="971183.52000000014"/>
    <x v="3"/>
  </r>
  <r>
    <s v="ORD-01450"/>
    <x v="218"/>
    <s v="CUST-0150"/>
    <s v="PROD-033"/>
    <x v="5"/>
    <n v="9"/>
    <n v="2030"/>
    <n v="3.4"/>
    <n v="17648.82"/>
    <s v="Completed"/>
    <s v="Pune"/>
    <x v="3"/>
    <s v="SMB"/>
    <n v="53"/>
    <x v="2"/>
    <s v="R025"/>
    <n v="901298.89"/>
    <x v="2"/>
  </r>
  <r>
    <s v="ORD-01451"/>
    <x v="193"/>
    <s v="CUST-0058"/>
    <s v="PROD-023"/>
    <x v="1"/>
    <n v="6"/>
    <n v="2380"/>
    <n v="13.2"/>
    <n v="12395.04"/>
    <s v="Completed"/>
    <s v="Bengaluru"/>
    <x v="2"/>
    <s v="SMB"/>
    <n v="49"/>
    <x v="0"/>
    <s v="R005"/>
    <n v="782445.33"/>
    <x v="0"/>
  </r>
  <r>
    <s v="ORD-01452"/>
    <x v="231"/>
    <s v="CUST-0187"/>
    <s v="PROD-047"/>
    <x v="18"/>
    <n v="10"/>
    <n v="3450"/>
    <n v="8.6999999999999993"/>
    <n v="31498.5"/>
    <s v="Completed"/>
    <s v="Chennai"/>
    <x v="5"/>
    <s v="SMB"/>
    <n v="51"/>
    <x v="1"/>
    <s v="R009"/>
    <n v="914554.71999999986"/>
    <x v="1"/>
  </r>
  <r>
    <s v="ORD-01453"/>
    <x v="173"/>
    <s v="CUST-0116"/>
    <s v="PROD-049"/>
    <x v="13"/>
    <n v="6"/>
    <n v="960"/>
    <n v="20.6"/>
    <n v="4573.4399999999996"/>
    <s v="Pending"/>
    <s v="Bengaluru"/>
    <x v="5"/>
    <s v="Retail"/>
    <n v="53"/>
    <x v="3"/>
    <s v="R021"/>
    <n v="761507.17000000027"/>
    <x v="3"/>
  </r>
  <r>
    <s v="ORD-01454"/>
    <x v="123"/>
    <s v="CUST-0290"/>
    <s v="PROD-018"/>
    <x v="22"/>
    <n v="10"/>
    <n v="3560"/>
    <n v="1.4"/>
    <n v="35101.599999999999"/>
    <s v="Pending"/>
    <s v="Delhi"/>
    <x v="0"/>
    <s v="Retail"/>
    <n v="63"/>
    <x v="1"/>
    <s v="R013"/>
    <n v="811524.37999999989"/>
    <x v="1"/>
  </r>
  <r>
    <s v="ORD-01455"/>
    <x v="20"/>
    <s v="CUST-0053"/>
    <s v="PROD-015"/>
    <x v="2"/>
    <n v="4"/>
    <n v="2720"/>
    <n v="19.399999999999999"/>
    <n v="8769.2800000000007"/>
    <s v="Refunded"/>
    <s v="Delhi"/>
    <x v="0"/>
    <s v="Retail"/>
    <n v="53"/>
    <x v="1"/>
    <s v="R014"/>
    <n v="995713.54000000015"/>
    <x v="1"/>
  </r>
  <r>
    <s v="ORD-01456"/>
    <x v="86"/>
    <s v="CUST-0044"/>
    <s v="PROD-009"/>
    <x v="20"/>
    <n v="5"/>
    <n v="1220"/>
    <n v="15.6"/>
    <n v="5148.3999999999996"/>
    <s v="Completed"/>
    <s v="Hyderabad"/>
    <x v="4"/>
    <s v="SMB"/>
    <n v="29"/>
    <x v="2"/>
    <s v="R029"/>
    <n v="1016696.8000000002"/>
    <x v="2"/>
  </r>
  <r>
    <s v="ORD-01457"/>
    <x v="234"/>
    <s v="CUST-0267"/>
    <s v="PROD-035"/>
    <x v="17"/>
    <n v="5"/>
    <n v="1090"/>
    <n v="15"/>
    <n v="4632.5"/>
    <s v="Completed"/>
    <s v="Hyderabad"/>
    <x v="3"/>
    <s v="Retail"/>
    <n v="27"/>
    <x v="2"/>
    <s v="R026"/>
    <n v="576305.08000000019"/>
    <x v="2"/>
  </r>
  <r>
    <s v="ORD-01458"/>
    <x v="221"/>
    <s v="CUST-0179"/>
    <s v="PROD-032"/>
    <x v="20"/>
    <n v="9"/>
    <n v="370"/>
    <n v="25.4"/>
    <n v="2484.1799999999998"/>
    <s v="Completed"/>
    <s v="Mumbai"/>
    <x v="3"/>
    <s v="SMB"/>
    <n v="54"/>
    <x v="2"/>
    <s v="R029"/>
    <n v="1016696.8000000002"/>
    <x v="2"/>
  </r>
  <r>
    <s v="ORD-01459"/>
    <x v="145"/>
    <s v="CUST-0089"/>
    <s v="PROD-055"/>
    <x v="0"/>
    <n v="7"/>
    <n v="2860"/>
    <n v="14"/>
    <n v="17217.2"/>
    <s v="Completed"/>
    <s v="Mumbai"/>
    <x v="1"/>
    <s v="SMB"/>
    <n v="43"/>
    <x v="0"/>
    <s v="R007"/>
    <n v="855749.67999999982"/>
    <x v="0"/>
  </r>
  <r>
    <s v="ORD-01460"/>
    <x v="156"/>
    <s v="CUST-0090"/>
    <s v="PROD-029"/>
    <x v="17"/>
    <n v="1"/>
    <n v="2210"/>
    <n v="1.7"/>
    <n v="2172.4299999999998"/>
    <s v="Completed"/>
    <s v="Bengaluru"/>
    <x v="2"/>
    <s v="Corporate"/>
    <n v="26"/>
    <x v="2"/>
    <s v="R026"/>
    <n v="576305.08000000019"/>
    <x v="2"/>
  </r>
  <r>
    <s v="ORD-01461"/>
    <x v="241"/>
    <s v="CUST-0135"/>
    <s v="PROD-030"/>
    <x v="5"/>
    <n v="3"/>
    <n v="970"/>
    <n v="20.3"/>
    <n v="2319.27"/>
    <s v="Pending"/>
    <s v="Pune"/>
    <x v="2"/>
    <s v="SMB"/>
    <n v="24"/>
    <x v="2"/>
    <s v="R025"/>
    <n v="901298.89"/>
    <x v="2"/>
  </r>
  <r>
    <s v="ORD-01462"/>
    <x v="233"/>
    <s v="CUST-0252"/>
    <s v="PROD-018"/>
    <x v="13"/>
    <n v="5"/>
    <n v="3560"/>
    <n v="17.100000000000001"/>
    <n v="14756.2"/>
    <s v="Completed"/>
    <s v="Bengaluru"/>
    <x v="0"/>
    <s v="Retail"/>
    <n v="27"/>
    <x v="3"/>
    <s v="R021"/>
    <n v="761507.17000000027"/>
    <x v="3"/>
  </r>
  <r>
    <s v="ORD-01463"/>
    <x v="244"/>
    <s v="CUST-0086"/>
    <s v="PROD-040"/>
    <x v="12"/>
    <n v="10"/>
    <n v="1080"/>
    <n v="12.8"/>
    <n v="9417.6"/>
    <s v="Completed"/>
    <s v="Hyderabad"/>
    <x v="3"/>
    <s v="Corporate"/>
    <n v="56"/>
    <x v="3"/>
    <s v="R023"/>
    <n v="983787.4800000001"/>
    <x v="3"/>
  </r>
  <r>
    <s v="ORD-01464"/>
    <x v="258"/>
    <s v="CUST-0264"/>
    <s v="PROD-009"/>
    <x v="23"/>
    <n v="3"/>
    <n v="1220"/>
    <n v="1.9"/>
    <n v="3590.46"/>
    <s v="Completed"/>
    <s v="Pune"/>
    <x v="4"/>
    <s v="Retail"/>
    <n v="59"/>
    <x v="1"/>
    <s v="R011"/>
    <n v="735207.75999999989"/>
    <x v="1"/>
  </r>
  <r>
    <s v="ORD-01465"/>
    <x v="319"/>
    <s v="CUST-9851"/>
    <s v="PROD-031"/>
    <x v="18"/>
    <n v="1"/>
    <n v="3730"/>
    <n v="14.7"/>
    <n v="3181.69"/>
    <s v="Pending"/>
    <s v="Pune"/>
    <x v="3"/>
    <e v="#N/A"/>
    <e v="#N/A"/>
    <x v="1"/>
    <s v="R009"/>
    <n v="914554.71999999986"/>
    <x v="1"/>
  </r>
  <r>
    <s v="ORD-01466"/>
    <x v="108"/>
    <s v="CUST-0143"/>
    <s v="PROD-007"/>
    <x v="19"/>
    <n v="3"/>
    <n v="1430"/>
    <n v="13.2"/>
    <n v="3723.72"/>
    <s v="Completed"/>
    <s v="Chennai"/>
    <x v="4"/>
    <s v="SMB"/>
    <n v="52"/>
    <x v="0"/>
    <s v="R001"/>
    <n v="789849.60000000009"/>
    <x v="0"/>
  </r>
  <r>
    <s v="ORD-01467"/>
    <x v="3"/>
    <s v="CUST-0086"/>
    <s v="PROD-050"/>
    <x v="26"/>
    <n v="2"/>
    <n v="6080"/>
    <n v="21.8"/>
    <n v="9509.1200000000008"/>
    <s v="Cancelled"/>
    <s v="Hyderabad"/>
    <x v="5"/>
    <s v="Corporate"/>
    <n v="56"/>
    <x v="3"/>
    <s v="R018"/>
    <n v="1112289.6400000001"/>
    <x v="3"/>
  </r>
  <r>
    <s v="ORD-01468"/>
    <x v="30"/>
    <s v="CUST-0196"/>
    <s v="PROD-048"/>
    <x v="15"/>
    <n v="9"/>
    <n v="5100"/>
    <n v="29.3"/>
    <n v="32451.3"/>
    <s v="Completed"/>
    <s v="Chennai"/>
    <x v="5"/>
    <s v="Retail"/>
    <n v="26"/>
    <x v="1"/>
    <s v="R015"/>
    <n v="1091740.1799999997"/>
    <x v="1"/>
  </r>
  <r>
    <s v="ORD-01469"/>
    <x v="75"/>
    <s v="CUST-0089"/>
    <s v="PROD-011"/>
    <x v="2"/>
    <n v="5"/>
    <n v="3450"/>
    <n v="5.3"/>
    <n v="16335.75"/>
    <s v="Completed"/>
    <s v="Mumbai"/>
    <x v="0"/>
    <s v="SMB"/>
    <n v="43"/>
    <x v="1"/>
    <s v="R014"/>
    <n v="995713.54000000015"/>
    <x v="1"/>
  </r>
  <r>
    <s v="ORD-01470"/>
    <x v="215"/>
    <s v="CUST-0149"/>
    <s v="PROD-003"/>
    <x v="25"/>
    <n v="6"/>
    <n v="3570"/>
    <n v="17.3"/>
    <n v="17714.34"/>
    <s v="Completed"/>
    <s v="Hyderabad"/>
    <x v="4"/>
    <s v="Retail"/>
    <n v="44"/>
    <x v="0"/>
    <s v="R002"/>
    <n v="980063.65999999968"/>
    <x v="0"/>
  </r>
  <r>
    <s v="ORD-01471"/>
    <x v="328"/>
    <s v="CUST-0161"/>
    <s v="PROD-031"/>
    <x v="26"/>
    <n v="6"/>
    <n v="3730"/>
    <n v="1"/>
    <n v="22156.2"/>
    <s v="Completed"/>
    <s v="Chennai"/>
    <x v="3"/>
    <s v="Retail"/>
    <n v="38"/>
    <x v="3"/>
    <s v="R018"/>
    <n v="1112289.6400000001"/>
    <x v="3"/>
  </r>
  <r>
    <s v="ORD-01472"/>
    <x v="182"/>
    <s v="CUST-0022"/>
    <s v="PROD-059"/>
    <x v="7"/>
    <n v="4"/>
    <n v="3780"/>
    <n v="13.1"/>
    <n v="13139.28"/>
    <s v="Completed"/>
    <s v="Bengaluru"/>
    <x v="1"/>
    <s v="Corporate"/>
    <n v="55"/>
    <x v="3"/>
    <s v="R019"/>
    <n v="971183.52000000014"/>
    <x v="3"/>
  </r>
  <r>
    <s v="ORD-01473"/>
    <x v="187"/>
    <s v="CUST-0169"/>
    <s v="PROD-017"/>
    <x v="23"/>
    <n v="1"/>
    <n v="2510"/>
    <n v="27.8"/>
    <n v="1812.22"/>
    <s v="Cancelled"/>
    <s v="Bengaluru"/>
    <x v="0"/>
    <s v="SMB"/>
    <n v="42"/>
    <x v="1"/>
    <s v="R011"/>
    <n v="735207.75999999989"/>
    <x v="1"/>
  </r>
  <r>
    <s v="ORD-01474"/>
    <x v="251"/>
    <s v="CUST-0290"/>
    <s v="PROD-037"/>
    <x v="0"/>
    <n v="9"/>
    <n v="660"/>
    <n v="29.3"/>
    <n v="4199.58"/>
    <s v="Completed"/>
    <s v="Delhi"/>
    <x v="3"/>
    <s v="Retail"/>
    <n v="63"/>
    <x v="0"/>
    <s v="R007"/>
    <n v="855749.67999999982"/>
    <x v="0"/>
  </r>
  <r>
    <s v="ORD-01475"/>
    <x v="11"/>
    <s v="CUST-0156"/>
    <s v="PROD-013"/>
    <x v="14"/>
    <n v="7"/>
    <n v="3640"/>
    <n v="11.6"/>
    <n v="22524.32"/>
    <s v="Completed"/>
    <s v="Mumbai"/>
    <x v="0"/>
    <s v="Retail"/>
    <n v="33"/>
    <x v="2"/>
    <s v="R030"/>
    <n v="747624.36999999988"/>
    <x v="2"/>
  </r>
  <r>
    <s v="ORD-01476"/>
    <x v="209"/>
    <s v="CUST-0005"/>
    <s v="PROD-052"/>
    <x v="7"/>
    <n v="8"/>
    <n v="5410"/>
    <n v="25.6"/>
    <n v="32200.32"/>
    <s v="Completed"/>
    <s v="Chennai"/>
    <x v="1"/>
    <s v="Corporate"/>
    <n v="52"/>
    <x v="3"/>
    <s v="R019"/>
    <n v="971183.52000000014"/>
    <x v="3"/>
  </r>
  <r>
    <s v="ORD-01477"/>
    <x v="305"/>
    <s v="CUST-0206"/>
    <s v="PROD-058"/>
    <x v="4"/>
    <n v="4"/>
    <n v="2400"/>
    <n v="10.4"/>
    <n v="8601.6"/>
    <s v="Completed"/>
    <s v="Mumbai"/>
    <x v="1"/>
    <s v="Retail"/>
    <n v="40"/>
    <x v="0"/>
    <s v="R008"/>
    <n v="861553.33"/>
    <x v="0"/>
  </r>
  <r>
    <s v="ORD-01478"/>
    <x v="144"/>
    <s v="CUST-0240"/>
    <s v="PROD-038"/>
    <x v="8"/>
    <n v="2"/>
    <n v="5490"/>
    <n v="5.4"/>
    <n v="10387.08"/>
    <s v="Completed"/>
    <s v="Chennai"/>
    <x v="3"/>
    <s v="Corporate"/>
    <n v="35"/>
    <x v="2"/>
    <s v="R028"/>
    <n v="880468.05"/>
    <x v="2"/>
  </r>
  <r>
    <s v="ORD-01479"/>
    <x v="340"/>
    <s v="CUST-0109"/>
    <s v="PROD-041"/>
    <x v="29"/>
    <n v="6"/>
    <n v="1540"/>
    <n v="0.6"/>
    <n v="9184.56"/>
    <s v="Completed"/>
    <s v="Pune"/>
    <x v="5"/>
    <s v="Retail"/>
    <n v="42"/>
    <x v="1"/>
    <s v="R016"/>
    <n v="814563.7100000002"/>
    <x v="1"/>
  </r>
  <r>
    <s v="ORD-01480"/>
    <x v="30"/>
    <s v="CUST-0201"/>
    <s v="PROD-001"/>
    <x v="19"/>
    <n v="3"/>
    <n v="5330"/>
    <n v="1"/>
    <n v="15830.1"/>
    <s v="Pending"/>
    <s v="Hyderabad"/>
    <x v="4"/>
    <s v="Retail"/>
    <n v="31"/>
    <x v="0"/>
    <s v="R001"/>
    <n v="789849.60000000009"/>
    <x v="0"/>
  </r>
  <r>
    <s v="ORD-01481"/>
    <x v="190"/>
    <s v="CUST-0100"/>
    <s v="PROD-055"/>
    <x v="27"/>
    <n v="6"/>
    <n v="2860"/>
    <n v="13.3"/>
    <n v="14877.72"/>
    <s v="Completed"/>
    <s v="Hyderabad"/>
    <x v="1"/>
    <s v="Corporate"/>
    <n v="60"/>
    <x v="1"/>
    <s v="R012"/>
    <n v="901394.32000000007"/>
    <x v="1"/>
  </r>
  <r>
    <s v="ORD-01482"/>
    <x v="359"/>
    <s v="CUST-0262"/>
    <s v="PROD-046"/>
    <x v="3"/>
    <n v="3"/>
    <n v="4880"/>
    <n v="12.1"/>
    <n v="12868.56"/>
    <s v="Completed"/>
    <s v="Mumbai"/>
    <x v="5"/>
    <s v="Retail"/>
    <n v="52"/>
    <x v="0"/>
    <s v="R006"/>
    <n v="1138648.73"/>
    <x v="0"/>
  </r>
  <r>
    <s v="ORD-01483"/>
    <x v="177"/>
    <s v="CUST-0067"/>
    <s v="PROD-017"/>
    <x v="1"/>
    <n v="5"/>
    <n v="2510"/>
    <n v="2.9"/>
    <n v="12186.05"/>
    <s v="Pending"/>
    <s v="Delhi"/>
    <x v="0"/>
    <s v="SMB"/>
    <n v="59"/>
    <x v="0"/>
    <s v="R005"/>
    <n v="782445.33"/>
    <x v="0"/>
  </r>
  <r>
    <s v="ORD-01484"/>
    <x v="283"/>
    <s v="CUST-9844"/>
    <s v="PROD-006"/>
    <x v="16"/>
    <n v="9"/>
    <n v="3970"/>
    <n v="28"/>
    <n v="25725.599999999999"/>
    <s v="Completed"/>
    <s v="Pune"/>
    <x v="4"/>
    <e v="#N/A"/>
    <e v="#N/A"/>
    <x v="3"/>
    <s v="R020"/>
    <n v="906107.71000000008"/>
    <x v="3"/>
  </r>
  <r>
    <s v="ORD-01485"/>
    <x v="106"/>
    <s v="CUST-0122"/>
    <s v="PROD-053"/>
    <x v="28"/>
    <n v="4"/>
    <n v="470"/>
    <n v="19.100000000000001"/>
    <n v="1520.92"/>
    <s v="Pending"/>
    <s v="Mumbai"/>
    <x v="1"/>
    <s v="Retail"/>
    <n v="44"/>
    <x v="2"/>
    <s v="R027"/>
    <n v="917092.61999999965"/>
    <x v="2"/>
  </r>
  <r>
    <s v="ORD-01486"/>
    <x v="269"/>
    <s v="CUST-0129"/>
    <s v="PROD-001"/>
    <x v="5"/>
    <n v="7"/>
    <n v="5330"/>
    <n v="17.2"/>
    <n v="30892.68"/>
    <s v="Cancelled"/>
    <s v="Hyderabad"/>
    <x v="4"/>
    <s v="Retail"/>
    <n v="29"/>
    <x v="2"/>
    <s v="R025"/>
    <n v="901298.89"/>
    <x v="2"/>
  </r>
  <r>
    <s v="ORD-01487"/>
    <x v="187"/>
    <s v="CUST-0056"/>
    <s v="PROD-035"/>
    <x v="27"/>
    <n v="4"/>
    <n v="1090"/>
    <n v="4.9000000000000004"/>
    <n v="4146.3599999999997"/>
    <s v="Cancelled"/>
    <s v="Bengaluru"/>
    <x v="3"/>
    <s v="SMB"/>
    <n v="46"/>
    <x v="1"/>
    <s v="R012"/>
    <n v="901394.32000000007"/>
    <x v="1"/>
  </r>
  <r>
    <s v="ORD-01488"/>
    <x v="145"/>
    <s v="CUST-0080"/>
    <s v="PROD-054"/>
    <x v="18"/>
    <n v="2"/>
    <n v="1010"/>
    <n v="14"/>
    <n v="1737.2"/>
    <s v="Completed"/>
    <s v="Pune"/>
    <x v="1"/>
    <s v="SMB"/>
    <n v="30"/>
    <x v="1"/>
    <s v="R009"/>
    <n v="914554.71999999986"/>
    <x v="1"/>
  </r>
  <r>
    <s v="ORD-01489"/>
    <x v="30"/>
    <s v="CUST-0155"/>
    <s v="PROD-004"/>
    <x v="29"/>
    <n v="9"/>
    <n v="3870"/>
    <n v="8.1999999999999993"/>
    <n v="31973.94"/>
    <s v="Completed"/>
    <s v="Pune"/>
    <x v="4"/>
    <s v="Corporate"/>
    <n v="40"/>
    <x v="1"/>
    <s v="R016"/>
    <n v="814563.7100000002"/>
    <x v="1"/>
  </r>
  <r>
    <s v="ORD-01490"/>
    <x v="304"/>
    <s v="CUST-0278"/>
    <s v="PROD-008"/>
    <x v="22"/>
    <n v="7"/>
    <n v="2660"/>
    <n v="15.9"/>
    <n v="15659.42"/>
    <s v="Completed"/>
    <s v="Hyderabad"/>
    <x v="4"/>
    <s v="Retail"/>
    <n v="41"/>
    <x v="1"/>
    <s v="R013"/>
    <n v="811524.37999999989"/>
    <x v="1"/>
  </r>
  <r>
    <s v="ORD-01491"/>
    <x v="204"/>
    <s v="CUST-0075"/>
    <s v="PROD-007"/>
    <x v="7"/>
    <n v="4"/>
    <n v="1430"/>
    <n v="25.6"/>
    <n v="4255.68"/>
    <s v="Completed"/>
    <s v="Mumbai"/>
    <x v="4"/>
    <s v="Corporate"/>
    <n v="55"/>
    <x v="3"/>
    <s v="R019"/>
    <n v="971183.52000000014"/>
    <x v="3"/>
  </r>
  <r>
    <s v="ORD-01492"/>
    <x v="163"/>
    <s v="CUST-0274"/>
    <s v="PROD-046"/>
    <x v="12"/>
    <n v="4"/>
    <n v="4880"/>
    <n v="19.399999999999999"/>
    <n v="15733.12"/>
    <s v="Cancelled"/>
    <s v="Bengaluru"/>
    <x v="5"/>
    <s v="Corporate"/>
    <n v="36"/>
    <x v="3"/>
    <s v="R023"/>
    <n v="983787.4800000001"/>
    <x v="3"/>
  </r>
  <r>
    <s v="ORD-01493"/>
    <x v="286"/>
    <s v="CUST-0197"/>
    <s v="PROD-060"/>
    <x v="19"/>
    <n v="2"/>
    <n v="190"/>
    <n v="9"/>
    <n v="345.8"/>
    <s v="Completed"/>
    <s v="Bengaluru"/>
    <x v="1"/>
    <s v="Retail"/>
    <n v="55"/>
    <x v="0"/>
    <s v="R001"/>
    <n v="789849.60000000009"/>
    <x v="0"/>
  </r>
  <r>
    <s v="ORD-01494"/>
    <x v="209"/>
    <s v="CUST-0294"/>
    <s v="PROD-045"/>
    <x v="7"/>
    <n v="1"/>
    <n v="3020"/>
    <n v="3.6"/>
    <n v="2911.28"/>
    <s v="Refunded"/>
    <s v="Delhi"/>
    <x v="5"/>
    <s v="Corporate"/>
    <n v="31"/>
    <x v="3"/>
    <s v="R019"/>
    <n v="971183.52000000014"/>
    <x v="3"/>
  </r>
  <r>
    <s v="ORD-01495"/>
    <x v="131"/>
    <s v="CUST-0281"/>
    <s v="PROD-046"/>
    <x v="7"/>
    <n v="2"/>
    <n v="4880"/>
    <n v="2"/>
    <n v="9564.7999999999993"/>
    <s v="Cancelled"/>
    <s v="Bengaluru"/>
    <x v="5"/>
    <s v="Corporate"/>
    <n v="57"/>
    <x v="3"/>
    <s v="R019"/>
    <n v="971183.52000000014"/>
    <x v="3"/>
  </r>
  <r>
    <s v="ORD-01496"/>
    <x v="158"/>
    <s v="CUST-0130"/>
    <s v="PROD-058"/>
    <x v="28"/>
    <n v="4"/>
    <n v="2400"/>
    <n v="11.5"/>
    <n v="8496"/>
    <s v="Completed"/>
    <s v="Bengaluru"/>
    <x v="1"/>
    <s v="Corporate"/>
    <n v="41"/>
    <x v="2"/>
    <s v="R027"/>
    <n v="917092.61999999965"/>
    <x v="2"/>
  </r>
  <r>
    <s v="ORD-01497"/>
    <x v="298"/>
    <s v="CUST-0097"/>
    <s v="PROD-050"/>
    <x v="25"/>
    <n v="2"/>
    <n v="6080"/>
    <n v="0.5"/>
    <n v="12099.2"/>
    <s v="Cancelled"/>
    <s v="Mumbai"/>
    <x v="5"/>
    <s v="Retail"/>
    <n v="65"/>
    <x v="0"/>
    <s v="R002"/>
    <n v="980063.65999999968"/>
    <x v="0"/>
  </r>
  <r>
    <s v="ORD-01498"/>
    <x v="360"/>
    <s v="CUST-0148"/>
    <s v="PROD-023"/>
    <x v="12"/>
    <n v="7"/>
    <n v="2380"/>
    <n v="12.3"/>
    <n v="14610.82"/>
    <s v="Completed"/>
    <s v="Chennai"/>
    <x v="2"/>
    <s v="Retail"/>
    <n v="32"/>
    <x v="3"/>
    <s v="R023"/>
    <n v="983787.4800000001"/>
    <x v="3"/>
  </r>
  <r>
    <s v="ORD-01499"/>
    <x v="89"/>
    <s v="CUST-0102"/>
    <s v="PROD-041"/>
    <x v="19"/>
    <n v="10"/>
    <n v="1540"/>
    <n v="20.6"/>
    <n v="12227.6"/>
    <s v="Completed"/>
    <s v="Chennai"/>
    <x v="5"/>
    <s v="SMB"/>
    <n v="62"/>
    <x v="0"/>
    <s v="R001"/>
    <n v="789849.60000000009"/>
    <x v="0"/>
  </r>
  <r>
    <s v="ORD-01500"/>
    <x v="226"/>
    <s v="CUST-0265"/>
    <s v="PROD-004"/>
    <x v="8"/>
    <n v="7"/>
    <n v="3870"/>
    <n v="6.1"/>
    <n v="25437.51"/>
    <s v="Completed"/>
    <s v="Chennai"/>
    <x v="4"/>
    <s v="Retail"/>
    <n v="49"/>
    <x v="2"/>
    <s v="R028"/>
    <n v="880468.05"/>
    <x v="2"/>
  </r>
  <r>
    <s v="ORD-01501"/>
    <x v="266"/>
    <s v="CUST-0073"/>
    <s v="PROD-032"/>
    <x v="13"/>
    <n v="3"/>
    <n v="370"/>
    <n v="13.7"/>
    <n v="957.93"/>
    <s v="Completed"/>
    <s v="Pune"/>
    <x v="3"/>
    <s v="Corporate"/>
    <n v="40"/>
    <x v="3"/>
    <s v="R021"/>
    <n v="761507.17000000027"/>
    <x v="3"/>
  </r>
  <r>
    <s v="ORD-01502"/>
    <x v="60"/>
    <s v="CUST-0070"/>
    <s v="PROD-060"/>
    <x v="28"/>
    <n v="8"/>
    <n v="190"/>
    <n v="0.2"/>
    <n v="1516.96"/>
    <s v="Completed"/>
    <s v="Mumbai"/>
    <x v="1"/>
    <s v="Retail"/>
    <n v="42"/>
    <x v="2"/>
    <s v="R027"/>
    <n v="917092.61999999965"/>
    <x v="2"/>
  </r>
  <r>
    <s v="ORD-01503"/>
    <x v="350"/>
    <s v="CUST-0202"/>
    <s v="PROD-007"/>
    <x v="23"/>
    <n v="6"/>
    <n v="1430"/>
    <n v="0.1"/>
    <n v="8571.42"/>
    <s v="Completed"/>
    <s v="Chennai"/>
    <x v="4"/>
    <s v="Retail"/>
    <n v="39"/>
    <x v="1"/>
    <s v="R011"/>
    <n v="735207.75999999989"/>
    <x v="1"/>
  </r>
  <r>
    <s v="ORD-01504"/>
    <x v="63"/>
    <s v="CUST-0240"/>
    <s v="PROD-053"/>
    <x v="16"/>
    <n v="4"/>
    <n v="470"/>
    <n v="3"/>
    <n v="1823.6"/>
    <s v="Completed"/>
    <s v="Chennai"/>
    <x v="1"/>
    <s v="Corporate"/>
    <n v="35"/>
    <x v="3"/>
    <s v="R020"/>
    <n v="906107.71000000008"/>
    <x v="3"/>
  </r>
  <r>
    <s v="ORD-01505"/>
    <x v="225"/>
    <s v="CUST-0163"/>
    <s v="PROD-018"/>
    <x v="10"/>
    <n v="4"/>
    <n v="3560"/>
    <n v="1.1000000000000001"/>
    <n v="14083.36"/>
    <s v="Completed"/>
    <s v="Pune"/>
    <x v="0"/>
    <s v="Retail"/>
    <n v="49"/>
    <x v="0"/>
    <s v="R004"/>
    <n v="589026.2899999998"/>
    <x v="0"/>
  </r>
  <r>
    <s v="ORD-01506"/>
    <x v="126"/>
    <s v="CUST-0238"/>
    <s v="PROD-046"/>
    <x v="27"/>
    <n v="5"/>
    <n v="4880"/>
    <n v="17"/>
    <n v="20252"/>
    <s v="Completed"/>
    <s v="Delhi"/>
    <x v="5"/>
    <s v="Retail"/>
    <n v="49"/>
    <x v="1"/>
    <s v="R012"/>
    <n v="901394.32000000007"/>
    <x v="1"/>
  </r>
  <r>
    <s v="ORD-01507"/>
    <x v="64"/>
    <s v="CUST-0196"/>
    <s v="PROD-003"/>
    <x v="18"/>
    <n v="9"/>
    <n v="3570"/>
    <n v="12"/>
    <n v="28274.400000000001"/>
    <s v="Completed"/>
    <s v="Chennai"/>
    <x v="4"/>
    <s v="Retail"/>
    <n v="26"/>
    <x v="1"/>
    <s v="R009"/>
    <n v="914554.71999999986"/>
    <x v="1"/>
  </r>
  <r>
    <s v="ORD-01508"/>
    <x v="43"/>
    <s v="CUST-0220"/>
    <s v="PROD-051"/>
    <x v="5"/>
    <n v="6"/>
    <n v="3450"/>
    <n v="22.7"/>
    <n v="16001.1"/>
    <s v="Cancelled"/>
    <s v="Chennai"/>
    <x v="1"/>
    <s v="Retail"/>
    <n v="34"/>
    <x v="2"/>
    <s v="R025"/>
    <n v="901298.89"/>
    <x v="2"/>
  </r>
  <r>
    <s v="ORD-01509"/>
    <x v="145"/>
    <s v="CUST-0142"/>
    <s v="PROD-040"/>
    <x v="25"/>
    <n v="10"/>
    <n v="1080"/>
    <n v="27.4"/>
    <n v="7840.8"/>
    <s v="Completed"/>
    <s v="Chennai"/>
    <x v="3"/>
    <s v="Corporate"/>
    <n v="55"/>
    <x v="0"/>
    <s v="R002"/>
    <n v="980063.65999999968"/>
    <x v="0"/>
  </r>
  <r>
    <s v="ORD-01510"/>
    <x v="150"/>
    <s v="CUST-0217"/>
    <s v="PROD-041"/>
    <x v="5"/>
    <n v="6"/>
    <n v="1540"/>
    <n v="17.100000000000001"/>
    <n v="7659.96"/>
    <s v="Completed"/>
    <s v="Pune"/>
    <x v="5"/>
    <s v="SMB"/>
    <n v="59"/>
    <x v="2"/>
    <s v="R025"/>
    <n v="901298.89"/>
    <x v="2"/>
  </r>
  <r>
    <s v="ORD-01511"/>
    <x v="361"/>
    <s v="CUST-9582"/>
    <s v="PROD-015"/>
    <x v="22"/>
    <n v="6"/>
    <n v="2720"/>
    <n v="28.1"/>
    <n v="11734.08"/>
    <s v="Completed"/>
    <s v="Mumbai"/>
    <x v="0"/>
    <e v="#N/A"/>
    <e v="#N/A"/>
    <x v="1"/>
    <s v="R013"/>
    <n v="811524.37999999989"/>
    <x v="1"/>
  </r>
  <r>
    <s v="ORD-01512"/>
    <x v="28"/>
    <s v="CUST-0267"/>
    <s v="PROD-034"/>
    <x v="1"/>
    <n v="2"/>
    <n v="5080"/>
    <n v="11.1"/>
    <n v="9032.24"/>
    <s v="Completed"/>
    <s v="Hyderabad"/>
    <x v="3"/>
    <s v="Retail"/>
    <n v="27"/>
    <x v="0"/>
    <s v="R005"/>
    <n v="782445.33"/>
    <x v="0"/>
  </r>
  <r>
    <s v="ORD-01513"/>
    <x v="90"/>
    <s v="CUST-9565"/>
    <s v="PROD-016"/>
    <x v="4"/>
    <n v="5"/>
    <n v="620"/>
    <n v="10.9"/>
    <n v="2762.1"/>
    <s v="Pending"/>
    <s v="Chennai"/>
    <x v="0"/>
    <e v="#N/A"/>
    <e v="#N/A"/>
    <x v="0"/>
    <s v="R008"/>
    <n v="861553.33"/>
    <x v="0"/>
  </r>
  <r>
    <s v="ORD-01514"/>
    <x v="312"/>
    <s v="CUST-0051"/>
    <s v="PROD-019"/>
    <x v="11"/>
    <n v="3"/>
    <n v="2480"/>
    <n v="5"/>
    <n v="7068"/>
    <s v="Completed"/>
    <s v="Pune"/>
    <x v="0"/>
    <s v="SMB"/>
    <n v="54"/>
    <x v="0"/>
    <s v="R003"/>
    <n v="986692.91"/>
    <x v="0"/>
  </r>
  <r>
    <s v="ORD-01515"/>
    <x v="205"/>
    <s v="CUST-0075"/>
    <s v="PROD-054"/>
    <x v="1"/>
    <n v="9"/>
    <n v="1010"/>
    <n v="21.9"/>
    <n v="7099.29"/>
    <s v="Completed"/>
    <s v="Mumbai"/>
    <x v="1"/>
    <s v="Corporate"/>
    <n v="55"/>
    <x v="0"/>
    <s v="R005"/>
    <n v="782445.33"/>
    <x v="0"/>
  </r>
  <r>
    <s v="ORD-01516"/>
    <x v="269"/>
    <s v="CUST-0106"/>
    <s v="PROD-040"/>
    <x v="10"/>
    <n v="2"/>
    <n v="1080"/>
    <n v="8.5"/>
    <n v="1976.4"/>
    <s v="Completed"/>
    <s v="Pune"/>
    <x v="3"/>
    <s v="Retail"/>
    <n v="22"/>
    <x v="0"/>
    <s v="R004"/>
    <n v="589026.2899999998"/>
    <x v="0"/>
  </r>
  <r>
    <s v="ORD-01517"/>
    <x v="354"/>
    <s v="CUST-0053"/>
    <s v="PROD-053"/>
    <x v="5"/>
    <n v="5"/>
    <n v="470"/>
    <n v="8"/>
    <n v="2162"/>
    <s v="Completed"/>
    <s v="Delhi"/>
    <x v="1"/>
    <s v="Retail"/>
    <n v="53"/>
    <x v="2"/>
    <s v="R025"/>
    <n v="901298.89"/>
    <x v="2"/>
  </r>
  <r>
    <s v="ORD-01518"/>
    <x v="67"/>
    <s v="CUST-0042"/>
    <s v="PROD-006"/>
    <x v="16"/>
    <n v="9"/>
    <n v="3970"/>
    <n v="18.5"/>
    <n v="29119.95"/>
    <s v="Completed"/>
    <s v="Pune"/>
    <x v="4"/>
    <s v="Retail"/>
    <n v="25"/>
    <x v="3"/>
    <s v="R020"/>
    <n v="906107.71000000008"/>
    <x v="3"/>
  </r>
  <r>
    <s v="ORD-01519"/>
    <x v="105"/>
    <s v="CUST-0120"/>
    <s v="PROD-044"/>
    <x v="9"/>
    <n v="9"/>
    <n v="1650"/>
    <n v="19.5"/>
    <n v="11954.25"/>
    <s v="Completed"/>
    <s v="Mumbai"/>
    <x v="5"/>
    <s v="Retail"/>
    <n v="29"/>
    <x v="1"/>
    <s v="R010"/>
    <n v="880345.20000000007"/>
    <x v="1"/>
  </r>
  <r>
    <s v="ORD-01520"/>
    <x v="234"/>
    <s v="CUST-0166"/>
    <s v="PROD-043"/>
    <x v="3"/>
    <n v="9"/>
    <n v="3350"/>
    <n v="4.0999999999999996"/>
    <n v="28913.85"/>
    <s v="Completed"/>
    <s v="Hyderabad"/>
    <x v="5"/>
    <s v="Retail"/>
    <n v="31"/>
    <x v="0"/>
    <s v="R006"/>
    <n v="1138648.73"/>
    <x v="0"/>
  </r>
  <r>
    <s v="ORD-01521"/>
    <x v="305"/>
    <s v="CUST-0175"/>
    <s v="PROD-006"/>
    <x v="12"/>
    <n v="7"/>
    <n v="3970"/>
    <n v="15.6"/>
    <n v="23454.76"/>
    <s v="Completed"/>
    <s v="Delhi"/>
    <x v="4"/>
    <s v="Corporate"/>
    <n v="55"/>
    <x v="3"/>
    <s v="R023"/>
    <n v="983787.4800000001"/>
    <x v="3"/>
  </r>
  <r>
    <s v="ORD-01522"/>
    <x v="253"/>
    <s v="CUST-0001"/>
    <s v="PROD-027"/>
    <x v="26"/>
    <n v="7"/>
    <n v="3780"/>
    <n v="18.7"/>
    <n v="21511.98"/>
    <s v="Completed"/>
    <s v="Pune"/>
    <x v="2"/>
    <s v="Retail"/>
    <n v="36"/>
    <x v="3"/>
    <s v="R018"/>
    <n v="1112289.6400000001"/>
    <x v="3"/>
  </r>
  <r>
    <s v="ORD-01523"/>
    <x v="327"/>
    <s v="CUST-0238"/>
    <s v="PROD-020"/>
    <x v="22"/>
    <n v="4"/>
    <n v="820"/>
    <n v="18.8"/>
    <n v="2663.36"/>
    <s v="Cancelled"/>
    <s v="Delhi"/>
    <x v="0"/>
    <s v="Retail"/>
    <n v="49"/>
    <x v="1"/>
    <s v="R013"/>
    <n v="811524.37999999989"/>
    <x v="1"/>
  </r>
  <r>
    <s v="ORD-01524"/>
    <x v="77"/>
    <s v="CUST-0279"/>
    <s v="PROD-044"/>
    <x v="24"/>
    <n v="1"/>
    <n v="1650"/>
    <n v="18.8"/>
    <n v="1339.8"/>
    <s v="Cancelled"/>
    <s v="Mumbai"/>
    <x v="5"/>
    <s v="Retail"/>
    <n v="56"/>
    <x v="3"/>
    <s v="R022"/>
    <n v="1069570.5400000003"/>
    <x v="3"/>
  </r>
  <r>
    <s v="ORD-01525"/>
    <x v="245"/>
    <s v="CUST-0042"/>
    <s v="PROD-027"/>
    <x v="13"/>
    <n v="2"/>
    <n v="3780"/>
    <n v="1"/>
    <n v="7484.4"/>
    <s v="Refunded"/>
    <s v="Pune"/>
    <x v="2"/>
    <s v="Retail"/>
    <n v="25"/>
    <x v="3"/>
    <s v="R021"/>
    <n v="761507.17000000027"/>
    <x v="3"/>
  </r>
  <r>
    <s v="ORD-01526"/>
    <x v="53"/>
    <s v="CUST-0137"/>
    <s v="PROD-029"/>
    <x v="28"/>
    <n v="5"/>
    <n v="2210"/>
    <n v="16.600000000000001"/>
    <n v="9215.7000000000007"/>
    <s v="Completed"/>
    <s v="Mumbai"/>
    <x v="2"/>
    <s v="Retail"/>
    <n v="41"/>
    <x v="2"/>
    <s v="R027"/>
    <n v="917092.61999999965"/>
    <x v="2"/>
  </r>
  <r>
    <s v="ORD-01527"/>
    <x v="173"/>
    <s v="CUST-0160"/>
    <s v="PROD-056"/>
    <x v="9"/>
    <n v="10"/>
    <n v="6940"/>
    <n v="10.6"/>
    <n v="62043.6"/>
    <s v="Completed"/>
    <s v="Hyderabad"/>
    <x v="1"/>
    <s v="Retail"/>
    <n v="27"/>
    <x v="1"/>
    <s v="R010"/>
    <n v="880345.20000000007"/>
    <x v="1"/>
  </r>
  <r>
    <s v="ORD-01528"/>
    <x v="253"/>
    <s v="CUST-0102"/>
    <s v="PROD-042"/>
    <x v="1"/>
    <n v="8"/>
    <n v="2290"/>
    <n v="12.2"/>
    <n v="16084.96"/>
    <s v="Completed"/>
    <s v="Chennai"/>
    <x v="5"/>
    <s v="SMB"/>
    <n v="62"/>
    <x v="0"/>
    <s v="R005"/>
    <n v="782445.33"/>
    <x v="0"/>
  </r>
  <r>
    <s v="ORD-01529"/>
    <x v="201"/>
    <s v="CUST-0133"/>
    <s v="PROD-033"/>
    <x v="5"/>
    <n v="5"/>
    <n v="2030"/>
    <n v="23.8"/>
    <n v="7734.3"/>
    <s v="Cancelled"/>
    <s v="Chennai"/>
    <x v="3"/>
    <s v="Retail"/>
    <n v="26"/>
    <x v="2"/>
    <s v="R025"/>
    <n v="901298.89"/>
    <x v="2"/>
  </r>
  <r>
    <s v="ORD-01530"/>
    <x v="14"/>
    <s v="CUST-0080"/>
    <s v="PROD-006"/>
    <x v="20"/>
    <n v="3"/>
    <n v="3970"/>
    <n v="7.7"/>
    <n v="10992.93"/>
    <s v="Completed"/>
    <s v="Pune"/>
    <x v="4"/>
    <s v="SMB"/>
    <n v="30"/>
    <x v="2"/>
    <s v="R029"/>
    <n v="1016696.8000000002"/>
    <x v="2"/>
  </r>
  <r>
    <s v="ORD-01821"/>
    <x v="214"/>
    <s v="CUST-0299"/>
    <s v="PROD-020"/>
    <x v="29"/>
    <n v="1"/>
    <n v="820"/>
    <n v="5.4"/>
    <n v="775.72"/>
    <s v="Completed"/>
    <s v="Mumbai"/>
    <x v="0"/>
    <s v="Corporate"/>
    <n v="51"/>
    <x v="1"/>
    <s v="R016"/>
    <n v="814563.7100000002"/>
    <x v="1"/>
  </r>
  <r>
    <s v="ORD-01532"/>
    <x v="22"/>
    <s v="CUST-0078"/>
    <s v="PROD-004"/>
    <x v="5"/>
    <n v="3"/>
    <n v="3870"/>
    <n v="1.9"/>
    <n v="11389.41"/>
    <s v="Completed"/>
    <s v="Delhi"/>
    <x v="4"/>
    <s v="Retail"/>
    <n v="31"/>
    <x v="2"/>
    <s v="R025"/>
    <n v="901298.89"/>
    <x v="2"/>
  </r>
  <r>
    <s v="ORD-01533"/>
    <x v="197"/>
    <s v="CUST-0251"/>
    <s v="PROD-030"/>
    <x v="24"/>
    <n v="6"/>
    <n v="970"/>
    <n v="27.1"/>
    <n v="4242.78"/>
    <s v="Completed"/>
    <s v="Mumbai"/>
    <x v="2"/>
    <s v="Retail"/>
    <n v="44"/>
    <x v="3"/>
    <s v="R022"/>
    <n v="1069570.5400000003"/>
    <x v="3"/>
  </r>
  <r>
    <s v="ORD-01534"/>
    <x v="237"/>
    <s v="CUST-0191"/>
    <s v="PROD-046"/>
    <x v="5"/>
    <n v="1"/>
    <n v="4880"/>
    <n v="26.8"/>
    <n v="3572.16"/>
    <s v="Completed"/>
    <s v="Hyderabad"/>
    <x v="5"/>
    <s v="SMB"/>
    <n v="43"/>
    <x v="2"/>
    <s v="R025"/>
    <n v="901298.89"/>
    <x v="2"/>
  </r>
  <r>
    <s v="ORD-01535"/>
    <x v="186"/>
    <s v="CUST-0130"/>
    <s v="PROD-022"/>
    <x v="12"/>
    <n v="1"/>
    <n v="2270"/>
    <n v="22.2"/>
    <n v="1766.06"/>
    <s v="Completed"/>
    <s v="Bengaluru"/>
    <x v="2"/>
    <s v="Corporate"/>
    <n v="41"/>
    <x v="3"/>
    <s v="R023"/>
    <n v="983787.4800000001"/>
    <x v="3"/>
  </r>
  <r>
    <s v="ORD-01536"/>
    <x v="351"/>
    <s v="CUST-0056"/>
    <s v="PROD-047"/>
    <x v="17"/>
    <n v="10"/>
    <n v="3450"/>
    <n v="21.9"/>
    <n v="26944.5"/>
    <s v="Completed"/>
    <s v="Bengaluru"/>
    <x v="5"/>
    <s v="SMB"/>
    <n v="46"/>
    <x v="2"/>
    <s v="R026"/>
    <n v="576305.08000000019"/>
    <x v="2"/>
  </r>
  <r>
    <s v="ORD-01537"/>
    <x v="48"/>
    <s v="CUST-0185"/>
    <s v="PROD-022"/>
    <x v="23"/>
    <n v="3"/>
    <n v="2270"/>
    <n v="19.100000000000001"/>
    <n v="5509.29"/>
    <s v="Cancelled"/>
    <s v="Hyderabad"/>
    <x v="2"/>
    <s v="SMB"/>
    <n v="43"/>
    <x v="1"/>
    <s v="R011"/>
    <n v="735207.75999999989"/>
    <x v="1"/>
  </r>
  <r>
    <s v="ORD-01538"/>
    <x v="107"/>
    <s v="CUST-0195"/>
    <s v="PROD-029"/>
    <x v="14"/>
    <n v="10"/>
    <n v="2210"/>
    <n v="22.3"/>
    <n v="17171.7"/>
    <s v="Completed"/>
    <s v="Bengaluru"/>
    <x v="2"/>
    <s v="Retail"/>
    <n v="28"/>
    <x v="2"/>
    <s v="R030"/>
    <n v="747624.36999999988"/>
    <x v="2"/>
  </r>
  <r>
    <s v="ORD-01539"/>
    <x v="57"/>
    <s v="CUST-0067"/>
    <s v="PROD-033"/>
    <x v="23"/>
    <n v="9"/>
    <n v="2030"/>
    <n v="24.8"/>
    <n v="13739.04"/>
    <s v="Completed"/>
    <s v="Delhi"/>
    <x v="3"/>
    <s v="SMB"/>
    <n v="59"/>
    <x v="1"/>
    <s v="R011"/>
    <n v="735207.75999999989"/>
    <x v="1"/>
  </r>
  <r>
    <s v="ORD-01540"/>
    <x v="82"/>
    <s v="CUST-0149"/>
    <s v="PROD-043"/>
    <x v="12"/>
    <n v="5"/>
    <n v="3350"/>
    <n v="18.2"/>
    <n v="13701.5"/>
    <s v="Completed"/>
    <s v="Hyderabad"/>
    <x v="5"/>
    <s v="Retail"/>
    <n v="44"/>
    <x v="3"/>
    <s v="R023"/>
    <n v="983787.4800000001"/>
    <x v="3"/>
  </r>
  <r>
    <s v="ORD-01541"/>
    <x v="243"/>
    <s v="CUST-0268"/>
    <s v="PROD-013"/>
    <x v="4"/>
    <n v="7"/>
    <n v="3640"/>
    <n v="14.4"/>
    <n v="21810.880000000001"/>
    <s v="Completed"/>
    <s v="Chennai"/>
    <x v="0"/>
    <s v="Retail"/>
    <n v="35"/>
    <x v="0"/>
    <s v="R008"/>
    <n v="861553.33"/>
    <x v="0"/>
  </r>
  <r>
    <s v="ORD-01542"/>
    <x v="217"/>
    <s v="CUST-0126"/>
    <s v="PROD-051"/>
    <x v="26"/>
    <n v="9"/>
    <n v="3450"/>
    <n v="20.100000000000001"/>
    <n v="24808.95"/>
    <s v="Completed"/>
    <s v="Mumbai"/>
    <x v="1"/>
    <s v="Retail"/>
    <n v="37"/>
    <x v="3"/>
    <s v="R018"/>
    <n v="1112289.6400000001"/>
    <x v="3"/>
  </r>
  <r>
    <s v="ORD-01543"/>
    <x v="68"/>
    <s v="CUST-0017"/>
    <s v="PROD-047"/>
    <x v="11"/>
    <n v="6"/>
    <n v="3450"/>
    <n v="19.899999999999999"/>
    <n v="16580.7"/>
    <s v="Pending"/>
    <s v="Delhi"/>
    <x v="5"/>
    <s v="SMB"/>
    <n v="38"/>
    <x v="0"/>
    <s v="R003"/>
    <n v="986692.91"/>
    <x v="0"/>
  </r>
  <r>
    <s v="ORD-01544"/>
    <x v="37"/>
    <s v="CUST-0250"/>
    <s v="PROD-042"/>
    <x v="24"/>
    <n v="4"/>
    <n v="2290"/>
    <n v="4.8"/>
    <n v="8720.32"/>
    <s v="Pending"/>
    <s v="Delhi"/>
    <x v="5"/>
    <s v="Retail"/>
    <n v="31"/>
    <x v="3"/>
    <s v="R022"/>
    <n v="1069570.5400000003"/>
    <x v="3"/>
  </r>
  <r>
    <s v="ORD-01545"/>
    <x v="319"/>
    <s v="CUST-0245"/>
    <s v="PROD-057"/>
    <x v="9"/>
    <n v="9"/>
    <n v="960"/>
    <n v="2.4"/>
    <n v="8432.64"/>
    <s v="Completed"/>
    <s v="Hyderabad"/>
    <x v="1"/>
    <s v="Retail"/>
    <n v="65"/>
    <x v="1"/>
    <s v="R010"/>
    <n v="880345.20000000007"/>
    <x v="1"/>
  </r>
  <r>
    <s v="ORD-01546"/>
    <x v="135"/>
    <s v="CUST-0016"/>
    <s v="PROD-039"/>
    <x v="5"/>
    <n v="9"/>
    <n v="4610"/>
    <n v="21.3"/>
    <n v="32652.63"/>
    <s v="Completed"/>
    <s v="Delhi"/>
    <x v="3"/>
    <s v="SMB"/>
    <n v="26"/>
    <x v="2"/>
    <s v="R025"/>
    <n v="901298.89"/>
    <x v="2"/>
  </r>
  <r>
    <s v="ORD-01547"/>
    <x v="282"/>
    <s v="CUST-0063"/>
    <s v="PROD-028"/>
    <x v="11"/>
    <n v="1"/>
    <n v="3660"/>
    <n v="15.6"/>
    <n v="3089.04"/>
    <s v="Completed"/>
    <s v="Mumbai"/>
    <x v="2"/>
    <s v="SMB"/>
    <n v="53"/>
    <x v="0"/>
    <s v="R003"/>
    <n v="986692.91"/>
    <x v="0"/>
  </r>
  <r>
    <s v="ORD-01548"/>
    <x v="168"/>
    <s v="CUST-0200"/>
    <s v="PROD-008"/>
    <x v="27"/>
    <n v="5"/>
    <n v="2660"/>
    <n v="20.399999999999999"/>
    <n v="10586.8"/>
    <s v="Completed"/>
    <s v="Hyderabad"/>
    <x v="4"/>
    <s v="Corporate"/>
    <n v="46"/>
    <x v="1"/>
    <s v="R012"/>
    <n v="901394.32000000007"/>
    <x v="1"/>
  </r>
  <r>
    <s v="ORD-01549"/>
    <x v="24"/>
    <s v="CUST-0017"/>
    <s v="PROD-041"/>
    <x v="17"/>
    <n v="8"/>
    <n v="1540"/>
    <n v="0.5"/>
    <n v="12258.4"/>
    <s v="Completed"/>
    <s v="Delhi"/>
    <x v="5"/>
    <s v="SMB"/>
    <n v="38"/>
    <x v="2"/>
    <s v="R026"/>
    <n v="576305.08000000019"/>
    <x v="2"/>
  </r>
  <r>
    <s v="ORD-01550"/>
    <x v="356"/>
    <s v="CUST-0264"/>
    <s v="PROD-006"/>
    <x v="10"/>
    <n v="4"/>
    <n v="3970"/>
    <n v="22.5"/>
    <n v="12307"/>
    <s v="Completed"/>
    <s v="Pune"/>
    <x v="4"/>
    <s v="Retail"/>
    <n v="59"/>
    <x v="0"/>
    <s v="R004"/>
    <n v="589026.2899999998"/>
    <x v="0"/>
  </r>
  <r>
    <s v="ORD-01551"/>
    <x v="213"/>
    <s v="CUST-0102"/>
    <s v="PROD-059"/>
    <x v="0"/>
    <n v="8"/>
    <n v="3780"/>
    <n v="3.8"/>
    <n v="29090.880000000001"/>
    <s v="Completed"/>
    <s v="Chennai"/>
    <x v="1"/>
    <s v="SMB"/>
    <n v="62"/>
    <x v="0"/>
    <s v="R007"/>
    <n v="855749.67999999982"/>
    <x v="0"/>
  </r>
  <r>
    <s v="ORD-01552"/>
    <x v="269"/>
    <s v="CUST-0092"/>
    <s v="PROD-022"/>
    <x v="10"/>
    <n v="4"/>
    <n v="2270"/>
    <n v="3.8"/>
    <n v="8734.9599999999991"/>
    <s v="Cancelled"/>
    <s v="Bengaluru"/>
    <x v="2"/>
    <s v="SMB"/>
    <n v="28"/>
    <x v="0"/>
    <s v="R004"/>
    <n v="589026.2899999998"/>
    <x v="0"/>
  </r>
  <r>
    <s v="ORD-01553"/>
    <x v="300"/>
    <s v="CUST-0139"/>
    <s v="PROD-009"/>
    <x v="18"/>
    <n v="10"/>
    <n v="1220"/>
    <n v="19.5"/>
    <n v="9821"/>
    <s v="Completed"/>
    <s v="Hyderabad"/>
    <x v="4"/>
    <s v="SMB"/>
    <n v="65"/>
    <x v="1"/>
    <s v="R009"/>
    <n v="914554.71999999986"/>
    <x v="1"/>
  </r>
  <r>
    <s v="ORD-01554"/>
    <x v="188"/>
    <s v="CUST-0129"/>
    <s v="PROD-043"/>
    <x v="15"/>
    <n v="10"/>
    <n v="3350"/>
    <n v="7.8"/>
    <n v="30887"/>
    <s v="Completed"/>
    <s v="Hyderabad"/>
    <x v="5"/>
    <s v="Retail"/>
    <n v="29"/>
    <x v="1"/>
    <s v="R015"/>
    <n v="1091740.1799999997"/>
    <x v="1"/>
  </r>
  <r>
    <s v="ORD-01555"/>
    <x v="243"/>
    <s v="CUST-9841"/>
    <s v="PROD-043"/>
    <x v="14"/>
    <n v="7"/>
    <n v="3350"/>
    <n v="14.5"/>
    <n v="20049.75"/>
    <s v="Completed"/>
    <s v="Bengaluru"/>
    <x v="5"/>
    <e v="#N/A"/>
    <e v="#N/A"/>
    <x v="2"/>
    <s v="R030"/>
    <n v="747624.36999999988"/>
    <x v="2"/>
  </r>
  <r>
    <s v="ORD-01556"/>
    <x v="242"/>
    <s v="CUST-0069"/>
    <s v="PROD-038"/>
    <x v="2"/>
    <n v="6"/>
    <n v="5490"/>
    <n v="8"/>
    <n v="30304.799999999999"/>
    <s v="Completed"/>
    <s v="Chennai"/>
    <x v="3"/>
    <s v="Retail"/>
    <n v="51"/>
    <x v="1"/>
    <s v="R014"/>
    <n v="995713.54000000015"/>
    <x v="1"/>
  </r>
  <r>
    <s v="ORD-01557"/>
    <x v="221"/>
    <s v="CUST-0140"/>
    <s v="PROD-055"/>
    <x v="26"/>
    <n v="3"/>
    <n v="2860"/>
    <n v="19.899999999999999"/>
    <n v="6872.58"/>
    <s v="Completed"/>
    <s v="Hyderabad"/>
    <x v="1"/>
    <s v="SMB"/>
    <n v="39"/>
    <x v="3"/>
    <s v="R018"/>
    <n v="1112289.6400000001"/>
    <x v="3"/>
  </r>
  <r>
    <s v="ORD-01558"/>
    <x v="146"/>
    <s v="CUST-0138"/>
    <s v="PROD-010"/>
    <x v="6"/>
    <n v="3"/>
    <n v="2640"/>
    <n v="29.3"/>
    <n v="5599.44"/>
    <s v="Completed"/>
    <s v="Chennai"/>
    <x v="4"/>
    <s v="Retail"/>
    <n v="24"/>
    <x v="2"/>
    <s v="R024"/>
    <n v="819558.58"/>
    <x v="2"/>
  </r>
  <r>
    <s v="ORD-01559"/>
    <x v="360"/>
    <s v="CUST-0277"/>
    <s v="PROD-011"/>
    <x v="20"/>
    <n v="8"/>
    <n v="3450"/>
    <n v="15.2"/>
    <n v="23404.799999999999"/>
    <s v="Cancelled"/>
    <s v="Chennai"/>
    <x v="0"/>
    <s v="Corporate"/>
    <n v="34"/>
    <x v="2"/>
    <s v="R029"/>
    <n v="1016696.8000000002"/>
    <x v="2"/>
  </r>
  <r>
    <s v="ORD-01560"/>
    <x v="134"/>
    <s v="CUST-0017"/>
    <s v="PROD-032"/>
    <x v="5"/>
    <n v="6"/>
    <n v="370"/>
    <n v="7"/>
    <n v="2064.6"/>
    <s v="Completed"/>
    <s v="Delhi"/>
    <x v="3"/>
    <s v="SMB"/>
    <n v="38"/>
    <x v="2"/>
    <s v="R025"/>
    <n v="901298.89"/>
    <x v="2"/>
  </r>
  <r>
    <s v="ORD-01561"/>
    <x v="96"/>
    <s v="CUST-0170"/>
    <s v="PROD-025"/>
    <x v="20"/>
    <n v="10"/>
    <n v="4060"/>
    <n v="4.7"/>
    <n v="38691.800000000003"/>
    <s v="Cancelled"/>
    <s v="Mumbai"/>
    <x v="2"/>
    <s v="SMB"/>
    <n v="22"/>
    <x v="2"/>
    <s v="R029"/>
    <n v="1016696.8000000002"/>
    <x v="2"/>
  </r>
  <r>
    <s v="ORD-01562"/>
    <x v="87"/>
    <s v="CUST-0022"/>
    <s v="PROD-004"/>
    <x v="6"/>
    <n v="1"/>
    <n v="3870"/>
    <n v="18.2"/>
    <n v="3165.66"/>
    <s v="Pending"/>
    <s v="Bengaluru"/>
    <x v="4"/>
    <s v="Corporate"/>
    <n v="55"/>
    <x v="2"/>
    <s v="R024"/>
    <n v="819558.58"/>
    <x v="2"/>
  </r>
  <r>
    <s v="ORD-01563"/>
    <x v="217"/>
    <s v="CUST-0158"/>
    <s v="PROD-001"/>
    <x v="3"/>
    <n v="1"/>
    <n v="5330"/>
    <n v="3.9"/>
    <n v="5122.13"/>
    <s v="Refunded"/>
    <s v="Pune"/>
    <x v="4"/>
    <s v="Corporate"/>
    <n v="42"/>
    <x v="0"/>
    <s v="R006"/>
    <n v="1138648.73"/>
    <x v="0"/>
  </r>
  <r>
    <s v="ORD-01564"/>
    <x v="42"/>
    <s v="CUST-0160"/>
    <s v="PROD-032"/>
    <x v="16"/>
    <n v="8"/>
    <n v="370"/>
    <n v="1.3"/>
    <n v="2921.52"/>
    <s v="Completed"/>
    <s v="Hyderabad"/>
    <x v="3"/>
    <s v="Retail"/>
    <n v="27"/>
    <x v="3"/>
    <s v="R020"/>
    <n v="906107.71000000008"/>
    <x v="3"/>
  </r>
  <r>
    <s v="ORD-01565"/>
    <x v="81"/>
    <s v="CUST-0009"/>
    <s v="PROD-005"/>
    <x v="16"/>
    <n v="7"/>
    <n v="300"/>
    <n v="7.1"/>
    <n v="1950.9"/>
    <s v="Completed"/>
    <s v="Mumbai"/>
    <x v="4"/>
    <s v="Retail"/>
    <n v="61"/>
    <x v="3"/>
    <s v="R020"/>
    <n v="906107.71000000008"/>
    <x v="3"/>
  </r>
  <r>
    <s v="ORD-01566"/>
    <x v="118"/>
    <s v="CUST-0151"/>
    <s v="PROD-043"/>
    <x v="27"/>
    <n v="8"/>
    <n v="3350"/>
    <n v="11.2"/>
    <n v="23798.400000000001"/>
    <s v="Completed"/>
    <s v="Mumbai"/>
    <x v="5"/>
    <s v="Retail"/>
    <n v="53"/>
    <x v="1"/>
    <s v="R012"/>
    <n v="901394.32000000007"/>
    <x v="1"/>
  </r>
  <r>
    <s v="ORD-01567"/>
    <x v="72"/>
    <s v="CUST-0105"/>
    <s v="PROD-056"/>
    <x v="18"/>
    <n v="6"/>
    <n v="6940"/>
    <n v="0.3"/>
    <n v="41515.08"/>
    <s v="Completed"/>
    <s v="Chennai"/>
    <x v="1"/>
    <s v="SMB"/>
    <n v="51"/>
    <x v="1"/>
    <s v="R009"/>
    <n v="914554.71999999986"/>
    <x v="1"/>
  </r>
  <r>
    <s v="ORD-01568"/>
    <x v="64"/>
    <s v="CUST-0292"/>
    <s v="PROD-049"/>
    <x v="4"/>
    <n v="10"/>
    <n v="960"/>
    <n v="9.3000000000000007"/>
    <n v="8707.2000000000007"/>
    <s v="Cancelled"/>
    <s v="Bengaluru"/>
    <x v="5"/>
    <s v="Retail"/>
    <n v="32"/>
    <x v="0"/>
    <s v="R008"/>
    <n v="861553.33"/>
    <x v="0"/>
  </r>
  <r>
    <s v="ORD-01569"/>
    <x v="327"/>
    <s v="CUST-0076"/>
    <s v="PROD-021"/>
    <x v="13"/>
    <n v="10"/>
    <n v="2760"/>
    <n v="17.2"/>
    <n v="22852.799999999999"/>
    <s v="Completed"/>
    <s v="Mumbai"/>
    <x v="2"/>
    <s v="Retail"/>
    <n v="38"/>
    <x v="3"/>
    <s v="R021"/>
    <n v="761507.17000000027"/>
    <x v="3"/>
  </r>
  <r>
    <s v="ORD-01570"/>
    <x v="243"/>
    <s v="CUST-0152"/>
    <s v="PROD-024"/>
    <x v="17"/>
    <n v="4"/>
    <n v="2270"/>
    <n v="26.8"/>
    <n v="6646.56"/>
    <s v="Completed"/>
    <s v="Bengaluru"/>
    <x v="2"/>
    <s v="SMB"/>
    <n v="64"/>
    <x v="2"/>
    <s v="R026"/>
    <n v="576305.08000000019"/>
    <x v="2"/>
  </r>
  <r>
    <s v="ORD-01571"/>
    <x v="305"/>
    <s v="CUST-0146"/>
    <s v="PROD-002"/>
    <x v="13"/>
    <n v="2"/>
    <n v="2600"/>
    <n v="27"/>
    <n v="3796"/>
    <s v="Completed"/>
    <s v="Hyderabad"/>
    <x v="4"/>
    <s v="Retail"/>
    <n v="22"/>
    <x v="3"/>
    <s v="R021"/>
    <n v="761507.17000000027"/>
    <x v="3"/>
  </r>
  <r>
    <s v="ORD-01572"/>
    <x v="300"/>
    <s v="CUST-0127"/>
    <s v="PROD-003"/>
    <x v="6"/>
    <n v="4"/>
    <n v="3570"/>
    <n v="12.3"/>
    <n v="12523.56"/>
    <s v="Completed"/>
    <s v="Bengaluru"/>
    <x v="4"/>
    <s v="SMB"/>
    <n v="36"/>
    <x v="2"/>
    <s v="R024"/>
    <n v="819558.58"/>
    <x v="2"/>
  </r>
  <r>
    <s v="ORD-01573"/>
    <x v="309"/>
    <s v="CUST-0173"/>
    <s v="PROD-034"/>
    <x v="29"/>
    <n v="5"/>
    <n v="5080"/>
    <n v="1.3"/>
    <n v="25069.8"/>
    <s v="Completed"/>
    <s v="Mumbai"/>
    <x v="3"/>
    <s v="Retail"/>
    <n v="65"/>
    <x v="1"/>
    <s v="R016"/>
    <n v="814563.7100000002"/>
    <x v="1"/>
  </r>
  <r>
    <s v="ORD-01574"/>
    <x v="1"/>
    <s v="CUST-0206"/>
    <s v="PROD-049"/>
    <x v="29"/>
    <n v="5"/>
    <n v="960"/>
    <n v="25.2"/>
    <n v="3590.4"/>
    <s v="Completed"/>
    <s v="Mumbai"/>
    <x v="5"/>
    <s v="Retail"/>
    <n v="40"/>
    <x v="1"/>
    <s v="R016"/>
    <n v="814563.7100000002"/>
    <x v="1"/>
  </r>
  <r>
    <s v="ORD-01575"/>
    <x v="117"/>
    <s v="CUST-0072"/>
    <s v="PROD-053"/>
    <x v="9"/>
    <n v="7"/>
    <n v="470"/>
    <n v="21.6"/>
    <n v="2579.36"/>
    <s v="Completed"/>
    <s v="Mumbai"/>
    <x v="1"/>
    <s v="Corporate"/>
    <n v="62"/>
    <x v="1"/>
    <s v="R010"/>
    <n v="880345.20000000007"/>
    <x v="1"/>
  </r>
  <r>
    <s v="ORD-01576"/>
    <x v="327"/>
    <s v="CUST-0004"/>
    <s v="PROD-009"/>
    <x v="28"/>
    <n v="4"/>
    <n v="1220"/>
    <n v="12.6"/>
    <n v="4265.12"/>
    <s v="Completed"/>
    <s v="Delhi"/>
    <x v="4"/>
    <s v="Retail"/>
    <n v="53"/>
    <x v="2"/>
    <s v="R027"/>
    <n v="917092.61999999965"/>
    <x v="2"/>
  </r>
  <r>
    <s v="ORD-01577"/>
    <x v="174"/>
    <s v="CUST-0249"/>
    <s v="PROD-054"/>
    <x v="4"/>
    <n v="4"/>
    <n v="1010"/>
    <n v="11.3"/>
    <n v="3583.48"/>
    <s v="Completed"/>
    <s v="Mumbai"/>
    <x v="1"/>
    <s v="Retail"/>
    <n v="44"/>
    <x v="0"/>
    <s v="R008"/>
    <n v="861553.33"/>
    <x v="0"/>
  </r>
  <r>
    <s v="ORD-01578"/>
    <x v="253"/>
    <s v="CUST-0139"/>
    <s v="PROD-028"/>
    <x v="1"/>
    <n v="4"/>
    <n v="3660"/>
    <n v="7.2"/>
    <n v="13585.92"/>
    <s v="Completed"/>
    <s v="Hyderabad"/>
    <x v="2"/>
    <s v="SMB"/>
    <n v="65"/>
    <x v="0"/>
    <s v="R005"/>
    <n v="782445.33"/>
    <x v="0"/>
  </r>
  <r>
    <s v="ORD-01579"/>
    <x v="138"/>
    <s v="CUST-0019"/>
    <s v="PROD-038"/>
    <x v="9"/>
    <n v="4"/>
    <n v="5490"/>
    <n v="8"/>
    <n v="20203.2"/>
    <s v="Completed"/>
    <s v="Chennai"/>
    <x v="3"/>
    <s v="Retail"/>
    <n v="22"/>
    <x v="1"/>
    <s v="R010"/>
    <n v="880345.20000000007"/>
    <x v="1"/>
  </r>
  <r>
    <s v="ORD-01580"/>
    <x v="218"/>
    <s v="CUST-0210"/>
    <s v="PROD-022"/>
    <x v="11"/>
    <n v="6"/>
    <n v="2270"/>
    <n v="17.100000000000001"/>
    <n v="11290.98"/>
    <s v="Completed"/>
    <s v="Pune"/>
    <x v="2"/>
    <s v="Corporate"/>
    <n v="48"/>
    <x v="0"/>
    <s v="R003"/>
    <n v="986692.91"/>
    <x v="0"/>
  </r>
  <r>
    <s v="ORD-01581"/>
    <x v="276"/>
    <s v="CUST-0168"/>
    <s v="PROD-022"/>
    <x v="15"/>
    <n v="8"/>
    <n v="2270"/>
    <n v="11.9"/>
    <n v="15998.96"/>
    <s v="Pending"/>
    <s v="Pune"/>
    <x v="2"/>
    <s v="Retail"/>
    <n v="25"/>
    <x v="1"/>
    <s v="R015"/>
    <n v="1091740.1799999997"/>
    <x v="1"/>
  </r>
  <r>
    <s v="ORD-01582"/>
    <x v="95"/>
    <s v="CUST-0094"/>
    <s v="PROD-002"/>
    <x v="26"/>
    <n v="6"/>
    <n v="2600"/>
    <n v="5.0999999999999996"/>
    <n v="14804.4"/>
    <s v="Completed"/>
    <s v="Pune"/>
    <x v="4"/>
    <s v="SMB"/>
    <n v="60"/>
    <x v="3"/>
    <s v="R018"/>
    <n v="1112289.6400000001"/>
    <x v="3"/>
  </r>
  <r>
    <s v="ORD-01583"/>
    <x v="210"/>
    <s v="CUST-0259"/>
    <s v="PROD-004"/>
    <x v="28"/>
    <n v="9"/>
    <n v="3870"/>
    <n v="1.8"/>
    <n v="34203.06"/>
    <s v="Cancelled"/>
    <s v="Mumbai"/>
    <x v="4"/>
    <s v="Retail"/>
    <n v="34"/>
    <x v="2"/>
    <s v="R027"/>
    <n v="917092.61999999965"/>
    <x v="2"/>
  </r>
  <r>
    <s v="ORD-01584"/>
    <x v="61"/>
    <s v="CUST-0150"/>
    <s v="PROD-006"/>
    <x v="3"/>
    <n v="3"/>
    <n v="3970"/>
    <n v="8.1999999999999993"/>
    <n v="10933.38"/>
    <s v="Completed"/>
    <s v="Pune"/>
    <x v="4"/>
    <s v="SMB"/>
    <n v="53"/>
    <x v="0"/>
    <s v="R006"/>
    <n v="1138648.73"/>
    <x v="0"/>
  </r>
  <r>
    <s v="ORD-01585"/>
    <x v="334"/>
    <s v="CUST-0040"/>
    <s v="PROD-049"/>
    <x v="8"/>
    <n v="9"/>
    <n v="960"/>
    <n v="21.7"/>
    <n v="6765.12"/>
    <s v="Cancelled"/>
    <s v="Chennai"/>
    <x v="5"/>
    <s v="Retail"/>
    <n v="28"/>
    <x v="2"/>
    <s v="R028"/>
    <n v="880468.05"/>
    <x v="2"/>
  </r>
  <r>
    <s v="ORD-01586"/>
    <x v="215"/>
    <s v="CUST-0290"/>
    <s v="PROD-052"/>
    <x v="5"/>
    <n v="3"/>
    <n v="5410"/>
    <n v="20.3"/>
    <n v="12935.31"/>
    <s v="Completed"/>
    <s v="Delhi"/>
    <x v="1"/>
    <s v="Retail"/>
    <n v="63"/>
    <x v="2"/>
    <s v="R025"/>
    <n v="901298.89"/>
    <x v="2"/>
  </r>
  <r>
    <s v="ORD-01587"/>
    <x v="133"/>
    <s v="CUST-0123"/>
    <s v="PROD-011"/>
    <x v="1"/>
    <n v="3"/>
    <n v="3450"/>
    <n v="11.6"/>
    <n v="9149.4"/>
    <s v="Completed"/>
    <s v="Chennai"/>
    <x v="0"/>
    <s v="Corporate"/>
    <n v="44"/>
    <x v="0"/>
    <s v="R005"/>
    <n v="782445.33"/>
    <x v="0"/>
  </r>
  <r>
    <s v="ORD-01588"/>
    <x v="40"/>
    <s v="CUST-0053"/>
    <s v="PROD-045"/>
    <x v="4"/>
    <n v="2"/>
    <n v="3020"/>
    <n v="20.8"/>
    <n v="4783.68"/>
    <s v="Pending"/>
    <s v="Delhi"/>
    <x v="5"/>
    <s v="Retail"/>
    <n v="53"/>
    <x v="0"/>
    <s v="R008"/>
    <n v="861553.33"/>
    <x v="0"/>
  </r>
  <r>
    <s v="ORD-01589"/>
    <x v="232"/>
    <s v="CUST-0179"/>
    <s v="PROD-060"/>
    <x v="25"/>
    <n v="3"/>
    <n v="190"/>
    <n v="10.7"/>
    <n v="509.01"/>
    <s v="Completed"/>
    <s v="Mumbai"/>
    <x v="1"/>
    <s v="SMB"/>
    <n v="54"/>
    <x v="0"/>
    <s v="R002"/>
    <n v="980063.65999999968"/>
    <x v="0"/>
  </r>
  <r>
    <s v="ORD-01590"/>
    <x v="137"/>
    <s v="CUST-0006"/>
    <s v="PROD-031"/>
    <x v="27"/>
    <n v="4"/>
    <n v="3730"/>
    <n v="6.9"/>
    <n v="13890.52"/>
    <s v="Completed"/>
    <s v="Pune"/>
    <x v="3"/>
    <s v="SMB"/>
    <n v="44"/>
    <x v="1"/>
    <s v="R012"/>
    <n v="901394.32000000007"/>
    <x v="1"/>
  </r>
  <r>
    <s v="ORD-01591"/>
    <x v="240"/>
    <s v="CUST-0272"/>
    <s v="PROD-051"/>
    <x v="5"/>
    <n v="9"/>
    <n v="3450"/>
    <n v="22.2"/>
    <n v="24156.9"/>
    <s v="Cancelled"/>
    <s v="Mumbai"/>
    <x v="1"/>
    <s v="SMB"/>
    <n v="47"/>
    <x v="2"/>
    <s v="R025"/>
    <n v="901298.89"/>
    <x v="2"/>
  </r>
  <r>
    <s v="ORD-01592"/>
    <x v="260"/>
    <s v="CUST-0274"/>
    <s v="PROD-006"/>
    <x v="25"/>
    <n v="3"/>
    <n v="3970"/>
    <n v="6.8"/>
    <n v="11100.12"/>
    <s v="Completed"/>
    <s v="Bengaluru"/>
    <x v="4"/>
    <s v="Corporate"/>
    <n v="36"/>
    <x v="0"/>
    <s v="R002"/>
    <n v="980063.65999999968"/>
    <x v="0"/>
  </r>
  <r>
    <s v="ORD-01593"/>
    <x v="32"/>
    <s v="CUST-0262"/>
    <s v="PROD-035"/>
    <x v="24"/>
    <n v="3"/>
    <n v="1090"/>
    <n v="23.7"/>
    <n v="2495.0100000000002"/>
    <s v="Completed"/>
    <s v="Mumbai"/>
    <x v="3"/>
    <s v="Retail"/>
    <n v="52"/>
    <x v="3"/>
    <s v="R022"/>
    <n v="1069570.5400000003"/>
    <x v="3"/>
  </r>
  <r>
    <s v="ORD-01594"/>
    <x v="212"/>
    <s v="CUST-0087"/>
    <s v="PROD-033"/>
    <x v="12"/>
    <n v="3"/>
    <n v="2030"/>
    <n v="18.8"/>
    <n v="4945.08"/>
    <s v="Completed"/>
    <s v="Pune"/>
    <x v="3"/>
    <s v="SMB"/>
    <n v="49"/>
    <x v="3"/>
    <s v="R023"/>
    <n v="983787.4800000001"/>
    <x v="3"/>
  </r>
  <r>
    <s v="ORD-01595"/>
    <x v="27"/>
    <s v="CUST-0198"/>
    <s v="PROD-026"/>
    <x v="4"/>
    <n v="2"/>
    <n v="4070"/>
    <n v="14.3"/>
    <n v="6975.98"/>
    <s v="Completed"/>
    <s v="Chennai"/>
    <x v="2"/>
    <s v="Corporate"/>
    <n v="22"/>
    <x v="0"/>
    <s v="R008"/>
    <n v="861553.33"/>
    <x v="0"/>
  </r>
  <r>
    <s v="ORD-01596"/>
    <x v="306"/>
    <s v="CUST-0065"/>
    <s v="PROD-014"/>
    <x v="8"/>
    <n v="3"/>
    <n v="3620"/>
    <n v="13.5"/>
    <n v="9393.9"/>
    <s v="Completed"/>
    <s v="Chennai"/>
    <x v="0"/>
    <s v="Corporate"/>
    <n v="49"/>
    <x v="2"/>
    <s v="R028"/>
    <n v="880468.05"/>
    <x v="2"/>
  </r>
  <r>
    <s v="ORD-01597"/>
    <x v="235"/>
    <s v="CUST-0209"/>
    <s v="PROD-054"/>
    <x v="19"/>
    <n v="4"/>
    <n v="1010"/>
    <n v="3.3"/>
    <n v="3906.68"/>
    <s v="Completed"/>
    <s v="Pune"/>
    <x v="1"/>
    <s v="Retail"/>
    <n v="31"/>
    <x v="0"/>
    <s v="R001"/>
    <n v="789849.60000000009"/>
    <x v="0"/>
  </r>
  <r>
    <s v="ORD-01598"/>
    <x v="304"/>
    <s v="CUST-0181"/>
    <s v="PROD-030"/>
    <x v="1"/>
    <n v="7"/>
    <n v="970"/>
    <n v="0.1"/>
    <n v="6783.21"/>
    <s v="Completed"/>
    <s v="Delhi"/>
    <x v="2"/>
    <s v="SMB"/>
    <n v="38"/>
    <x v="0"/>
    <s v="R005"/>
    <n v="782445.33"/>
    <x v="0"/>
  </r>
  <r>
    <s v="ORD-01599"/>
    <x v="297"/>
    <s v="CUST-0007"/>
    <s v="PROD-053"/>
    <x v="28"/>
    <n v="5"/>
    <n v="470"/>
    <n v="18.3"/>
    <n v="1919.95"/>
    <s v="Refunded"/>
    <s v="Bengaluru"/>
    <x v="1"/>
    <s v="Retail"/>
    <n v="47"/>
    <x v="2"/>
    <s v="R027"/>
    <n v="917092.61999999965"/>
    <x v="2"/>
  </r>
  <r>
    <s v="ORD-01600"/>
    <x v="274"/>
    <s v="CUST-0050"/>
    <s v="PROD-011"/>
    <x v="9"/>
    <n v="8"/>
    <n v="3450"/>
    <n v="5.0999999999999996"/>
    <n v="26192.400000000001"/>
    <s v="Refunded"/>
    <s v="Mumbai"/>
    <x v="0"/>
    <s v="Retail"/>
    <n v="37"/>
    <x v="1"/>
    <s v="R010"/>
    <n v="880345.20000000007"/>
    <x v="1"/>
  </r>
  <r>
    <s v="ORD-01601"/>
    <x v="57"/>
    <s v="CUST-0155"/>
    <s v="PROD-010"/>
    <x v="24"/>
    <n v="1"/>
    <n v="2640"/>
    <n v="5.9"/>
    <n v="2484.2399999999998"/>
    <s v="Completed"/>
    <s v="Pune"/>
    <x v="4"/>
    <s v="Corporate"/>
    <n v="40"/>
    <x v="3"/>
    <s v="R022"/>
    <n v="1069570.5400000003"/>
    <x v="3"/>
  </r>
  <r>
    <s v="ORD-01602"/>
    <x v="20"/>
    <s v="CUST-0085"/>
    <s v="PROD-003"/>
    <x v="16"/>
    <n v="10"/>
    <n v="3570"/>
    <n v="21.5"/>
    <n v="28024.5"/>
    <s v="Completed"/>
    <s v="Chennai"/>
    <x v="4"/>
    <s v="Retail"/>
    <n v="26"/>
    <x v="3"/>
    <s v="R020"/>
    <n v="906107.71000000008"/>
    <x v="3"/>
  </r>
  <r>
    <s v="ORD-01603"/>
    <x v="248"/>
    <s v="CUST-0285"/>
    <s v="PROD-007"/>
    <x v="29"/>
    <n v="10"/>
    <n v="1430"/>
    <n v="11.4"/>
    <n v="12669.8"/>
    <s v="Cancelled"/>
    <s v="Hyderabad"/>
    <x v="4"/>
    <s v="Retail"/>
    <n v="22"/>
    <x v="1"/>
    <s v="R016"/>
    <n v="814563.7100000002"/>
    <x v="1"/>
  </r>
  <r>
    <s v="ORD-01604"/>
    <x v="175"/>
    <s v="CUST-0148"/>
    <s v="PROD-057"/>
    <x v="22"/>
    <n v="7"/>
    <n v="960"/>
    <n v="22.9"/>
    <n v="5181.12"/>
    <s v="Completed"/>
    <s v="Chennai"/>
    <x v="1"/>
    <s v="Retail"/>
    <n v="32"/>
    <x v="1"/>
    <s v="R013"/>
    <n v="811524.37999999989"/>
    <x v="1"/>
  </r>
  <r>
    <s v="ORD-01605"/>
    <x v="38"/>
    <s v="CUST-0252"/>
    <s v="PROD-036"/>
    <x v="9"/>
    <n v="8"/>
    <n v="3250"/>
    <n v="1.9"/>
    <n v="25506"/>
    <s v="Completed"/>
    <s v="Bengaluru"/>
    <x v="3"/>
    <s v="Retail"/>
    <n v="27"/>
    <x v="1"/>
    <s v="R010"/>
    <n v="880345.20000000007"/>
    <x v="1"/>
  </r>
  <r>
    <s v="ORD-01606"/>
    <x v="320"/>
    <s v="CUST-0141"/>
    <s v="PROD-051"/>
    <x v="26"/>
    <n v="9"/>
    <n v="3450"/>
    <n v="18"/>
    <n v="25461"/>
    <s v="Completed"/>
    <s v="Hyderabad"/>
    <x v="1"/>
    <s v="Corporate"/>
    <n v="22"/>
    <x v="3"/>
    <s v="R018"/>
    <n v="1112289.6400000001"/>
    <x v="3"/>
  </r>
  <r>
    <s v="ORD-01607"/>
    <x v="30"/>
    <s v="CUST-0101"/>
    <s v="PROD-024"/>
    <x v="29"/>
    <n v="5"/>
    <n v="2270"/>
    <n v="11.5"/>
    <n v="10044.75"/>
    <s v="Completed"/>
    <s v="Hyderabad"/>
    <x v="2"/>
    <s v="SMB"/>
    <n v="40"/>
    <x v="1"/>
    <s v="R016"/>
    <n v="814563.7100000002"/>
    <x v="1"/>
  </r>
  <r>
    <s v="ORD-01608"/>
    <x v="121"/>
    <s v="CUST-0223"/>
    <s v="PROD-045"/>
    <x v="7"/>
    <n v="6"/>
    <n v="3020"/>
    <n v="12.6"/>
    <n v="15836.88"/>
    <s v="Completed"/>
    <s v="Bengaluru"/>
    <x v="5"/>
    <s v="Retail"/>
    <n v="46"/>
    <x v="3"/>
    <s v="R019"/>
    <n v="971183.52000000014"/>
    <x v="3"/>
  </r>
  <r>
    <s v="ORD-01609"/>
    <x v="58"/>
    <s v="CUST-0197"/>
    <s v="PROD-010"/>
    <x v="4"/>
    <n v="8"/>
    <n v="2640"/>
    <n v="14.5"/>
    <n v="18057.599999999999"/>
    <s v="Refunded"/>
    <s v="Bengaluru"/>
    <x v="4"/>
    <s v="Retail"/>
    <n v="55"/>
    <x v="0"/>
    <s v="R008"/>
    <n v="861553.33"/>
    <x v="0"/>
  </r>
  <r>
    <s v="ORD-01610"/>
    <x v="230"/>
    <s v="CUST-0260"/>
    <s v="PROD-024"/>
    <x v="28"/>
    <n v="2"/>
    <n v="2270"/>
    <n v="27"/>
    <n v="3314.2"/>
    <s v="Completed"/>
    <s v="Bengaluru"/>
    <x v="2"/>
    <s v="Retail"/>
    <n v="42"/>
    <x v="2"/>
    <s v="R027"/>
    <n v="917092.61999999965"/>
    <x v="2"/>
  </r>
  <r>
    <s v="ORD-01611"/>
    <x v="184"/>
    <s v="CUST-0180"/>
    <s v="PROD-021"/>
    <x v="28"/>
    <n v="8"/>
    <n v="2760"/>
    <n v="18"/>
    <n v="18105.599999999999"/>
    <s v="Cancelled"/>
    <s v="Chennai"/>
    <x v="2"/>
    <s v="Retail"/>
    <n v="36"/>
    <x v="2"/>
    <s v="R027"/>
    <n v="917092.61999999965"/>
    <x v="2"/>
  </r>
  <r>
    <s v="ORD-01612"/>
    <x v="62"/>
    <s v="CUST-0166"/>
    <s v="PROD-014"/>
    <x v="12"/>
    <n v="8"/>
    <n v="3620"/>
    <n v="7.1"/>
    <n v="26903.84"/>
    <s v="Completed"/>
    <s v="Hyderabad"/>
    <x v="0"/>
    <s v="Retail"/>
    <n v="31"/>
    <x v="3"/>
    <s v="R023"/>
    <n v="983787.4800000001"/>
    <x v="3"/>
  </r>
  <r>
    <s v="ORD-01613"/>
    <x v="302"/>
    <s v="CUST-0062"/>
    <s v="PROD-042"/>
    <x v="13"/>
    <n v="8"/>
    <n v="2290"/>
    <n v="16.399999999999999"/>
    <n v="15315.52"/>
    <s v="Completed"/>
    <s v="Pune"/>
    <x v="5"/>
    <s v="Retail"/>
    <n v="54"/>
    <x v="3"/>
    <s v="R021"/>
    <n v="761507.17000000027"/>
    <x v="3"/>
  </r>
  <r>
    <s v="ORD-01614"/>
    <x v="32"/>
    <s v="CUST-0130"/>
    <s v="PROD-044"/>
    <x v="7"/>
    <n v="3"/>
    <n v="1650"/>
    <n v="1.8"/>
    <n v="4860.8999999999996"/>
    <s v="Cancelled"/>
    <s v="Bengaluru"/>
    <x v="5"/>
    <s v="Corporate"/>
    <n v="41"/>
    <x v="3"/>
    <s v="R019"/>
    <n v="971183.52000000014"/>
    <x v="3"/>
  </r>
  <r>
    <s v="ORD-01615"/>
    <x v="362"/>
    <s v="CUST-0162"/>
    <s v="PROD-001"/>
    <x v="26"/>
    <n v="3"/>
    <n v="5330"/>
    <n v="22.2"/>
    <n v="12440.22"/>
    <s v="Completed"/>
    <s v="Mumbai"/>
    <x v="4"/>
    <s v="Corporate"/>
    <n v="35"/>
    <x v="3"/>
    <s v="R018"/>
    <n v="1112289.6400000001"/>
    <x v="3"/>
  </r>
  <r>
    <s v="ORD-01616"/>
    <x v="166"/>
    <s v="CUST-0153"/>
    <s v="PROD-040"/>
    <x v="24"/>
    <n v="7"/>
    <n v="1080"/>
    <n v="17.899999999999999"/>
    <n v="6206.76"/>
    <s v="Completed"/>
    <s v="Mumbai"/>
    <x v="3"/>
    <s v="Retail"/>
    <n v="35"/>
    <x v="3"/>
    <s v="R022"/>
    <n v="1069570.5400000003"/>
    <x v="3"/>
  </r>
  <r>
    <s v="ORD-01617"/>
    <x v="151"/>
    <s v="CUST-0071"/>
    <s v="PROD-009"/>
    <x v="24"/>
    <n v="10"/>
    <n v="1220"/>
    <n v="5.7"/>
    <n v="11504.6"/>
    <s v="Completed"/>
    <s v="Delhi"/>
    <x v="4"/>
    <s v="Corporate"/>
    <n v="46"/>
    <x v="3"/>
    <s v="R022"/>
    <n v="1069570.5400000003"/>
    <x v="3"/>
  </r>
  <r>
    <s v="ORD-01618"/>
    <x v="83"/>
    <s v="CUST-0200"/>
    <s v="PROD-037"/>
    <x v="14"/>
    <n v="10"/>
    <n v="660"/>
    <n v="7.5"/>
    <n v="6105"/>
    <s v="Completed"/>
    <s v="Hyderabad"/>
    <x v="3"/>
    <s v="Corporate"/>
    <n v="46"/>
    <x v="2"/>
    <s v="R030"/>
    <n v="747624.36999999988"/>
    <x v="2"/>
  </r>
  <r>
    <s v="ORD-01619"/>
    <x v="88"/>
    <s v="CUST-0266"/>
    <s v="PROD-040"/>
    <x v="16"/>
    <n v="6"/>
    <n v="1080"/>
    <n v="28.9"/>
    <n v="4607.28"/>
    <s v="Completed"/>
    <s v="Pune"/>
    <x v="3"/>
    <s v="Retail"/>
    <n v="65"/>
    <x v="3"/>
    <s v="R020"/>
    <n v="906107.71000000008"/>
    <x v="3"/>
  </r>
  <r>
    <s v="ORD-01620"/>
    <x v="241"/>
    <s v="CUST-0171"/>
    <s v="PROD-022"/>
    <x v="16"/>
    <n v="7"/>
    <n v="2270"/>
    <n v="1.4"/>
    <n v="15667.54"/>
    <s v="Completed"/>
    <s v="Chennai"/>
    <x v="2"/>
    <s v="Corporate"/>
    <n v="30"/>
    <x v="3"/>
    <s v="R020"/>
    <n v="906107.71000000008"/>
    <x v="3"/>
  </r>
  <r>
    <s v="ORD-01621"/>
    <x v="206"/>
    <s v="CUST-0221"/>
    <s v="PROD-032"/>
    <x v="8"/>
    <n v="3"/>
    <n v="370"/>
    <n v="9.6"/>
    <n v="1003.44"/>
    <s v="Refunded"/>
    <s v="Delhi"/>
    <x v="3"/>
    <s v="SMB"/>
    <n v="29"/>
    <x v="2"/>
    <s v="R028"/>
    <n v="880468.05"/>
    <x v="2"/>
  </r>
  <r>
    <s v="ORD-01622"/>
    <x v="13"/>
    <s v="CUST-0038"/>
    <s v="PROD-030"/>
    <x v="18"/>
    <n v="9"/>
    <n v="970"/>
    <n v="29.7"/>
    <n v="6137.19"/>
    <s v="Completed"/>
    <s v="Mumbai"/>
    <x v="2"/>
    <s v="Retail"/>
    <n v="57"/>
    <x v="1"/>
    <s v="R009"/>
    <n v="914554.71999999986"/>
    <x v="1"/>
  </r>
  <r>
    <s v="ORD-00613"/>
    <x v="171"/>
    <s v="CUST-0174"/>
    <s v="PROD-016"/>
    <x v="11"/>
    <n v="1"/>
    <n v="620"/>
    <n v="10.4"/>
    <n v="555.52"/>
    <s v="Cancelled"/>
    <s v="Pune"/>
    <x v="0"/>
    <s v="Retail"/>
    <n v="54"/>
    <x v="0"/>
    <s v="R003"/>
    <n v="986692.91"/>
    <x v="0"/>
  </r>
  <r>
    <s v="ORD-01624"/>
    <x v="80"/>
    <s v="CUST-0054"/>
    <s v="PROD-028"/>
    <x v="20"/>
    <n v="5"/>
    <n v="3660"/>
    <n v="8"/>
    <n v="16836"/>
    <s v="Completed"/>
    <s v="Mumbai"/>
    <x v="2"/>
    <s v="Corporate"/>
    <n v="62"/>
    <x v="2"/>
    <s v="R029"/>
    <n v="1016696.8000000002"/>
    <x v="2"/>
  </r>
  <r>
    <s v="ORD-01625"/>
    <x v="108"/>
    <s v="CUST-0071"/>
    <s v="PROD-029"/>
    <x v="6"/>
    <n v="7"/>
    <n v="2210"/>
    <n v="13.7"/>
    <n v="13350.61"/>
    <s v="Refunded"/>
    <s v="Delhi"/>
    <x v="2"/>
    <s v="Corporate"/>
    <n v="46"/>
    <x v="2"/>
    <s v="R024"/>
    <n v="819558.58"/>
    <x v="2"/>
  </r>
  <r>
    <s v="ORD-01626"/>
    <x v="252"/>
    <s v="CUST-0004"/>
    <s v="PROD-059"/>
    <x v="8"/>
    <n v="1"/>
    <n v="3780"/>
    <n v="11.5"/>
    <n v="3345.3"/>
    <s v="Completed"/>
    <s v="Delhi"/>
    <x v="1"/>
    <s v="Retail"/>
    <n v="53"/>
    <x v="2"/>
    <s v="R028"/>
    <n v="880468.05"/>
    <x v="2"/>
  </r>
  <r>
    <s v="ORD-01627"/>
    <x v="131"/>
    <s v="CUST-0033"/>
    <s v="PROD-002"/>
    <x v="1"/>
    <n v="10"/>
    <n v="2600"/>
    <n v="29.4"/>
    <n v="18356"/>
    <s v="Completed"/>
    <s v="Delhi"/>
    <x v="4"/>
    <s v="Retail"/>
    <n v="35"/>
    <x v="0"/>
    <s v="R005"/>
    <n v="782445.33"/>
    <x v="0"/>
  </r>
  <r>
    <s v="ORD-01628"/>
    <x v="13"/>
    <s v="CUST-0079"/>
    <s v="PROD-027"/>
    <x v="21"/>
    <n v="3"/>
    <n v="3780"/>
    <n v="14.4"/>
    <n v="9707.0400000000009"/>
    <s v="Completed"/>
    <s v="Mumbai"/>
    <x v="2"/>
    <s v="Corporate"/>
    <n v="60"/>
    <x v="3"/>
    <s v="R017"/>
    <n v="780384.40999999992"/>
    <x v="3"/>
  </r>
  <r>
    <s v="ORD-01629"/>
    <x v="292"/>
    <s v="CUST-0176"/>
    <s v="PROD-010"/>
    <x v="11"/>
    <n v="10"/>
    <n v="2640"/>
    <n v="26.8"/>
    <n v="19324.8"/>
    <s v="Pending"/>
    <s v="Bengaluru"/>
    <x v="4"/>
    <s v="SMB"/>
    <n v="34"/>
    <x v="0"/>
    <s v="R003"/>
    <n v="986692.91"/>
    <x v="0"/>
  </r>
  <r>
    <s v="ORD-01630"/>
    <x v="324"/>
    <s v="CUST-0254"/>
    <s v="PROD-035"/>
    <x v="22"/>
    <n v="3"/>
    <n v="1090"/>
    <n v="9.1"/>
    <n v="2972.43"/>
    <s v="Completed"/>
    <s v="Bengaluru"/>
    <x v="3"/>
    <s v="Retail"/>
    <n v="35"/>
    <x v="1"/>
    <s v="R013"/>
    <n v="811524.37999999989"/>
    <x v="1"/>
  </r>
  <r>
    <s v="ORD-01631"/>
    <x v="308"/>
    <s v="CUST-0212"/>
    <s v="PROD-011"/>
    <x v="6"/>
    <n v="3"/>
    <n v="3450"/>
    <n v="23"/>
    <n v="7969.5"/>
    <s v="Pending"/>
    <s v="Chennai"/>
    <x v="0"/>
    <s v="SMB"/>
    <n v="46"/>
    <x v="2"/>
    <s v="R024"/>
    <n v="819558.58"/>
    <x v="2"/>
  </r>
  <r>
    <s v="ORD-01632"/>
    <x v="13"/>
    <s v="CUST-0109"/>
    <s v="PROD-049"/>
    <x v="15"/>
    <n v="1"/>
    <n v="960"/>
    <n v="1.1000000000000001"/>
    <n v="949.44"/>
    <s v="Completed"/>
    <s v="Pune"/>
    <x v="5"/>
    <s v="Retail"/>
    <n v="42"/>
    <x v="1"/>
    <s v="R015"/>
    <n v="1091740.1799999997"/>
    <x v="1"/>
  </r>
  <r>
    <s v="ORD-01633"/>
    <x v="251"/>
    <s v="CUST-0087"/>
    <s v="PROD-028"/>
    <x v="14"/>
    <n v="9"/>
    <n v="3660"/>
    <n v="9"/>
    <n v="29975.4"/>
    <s v="Completed"/>
    <s v="Pune"/>
    <x v="2"/>
    <s v="SMB"/>
    <n v="49"/>
    <x v="2"/>
    <s v="R030"/>
    <n v="747624.36999999988"/>
    <x v="2"/>
  </r>
  <r>
    <s v="ORD-01634"/>
    <x v="103"/>
    <s v="CUST-0167"/>
    <s v="PROD-031"/>
    <x v="4"/>
    <n v="3"/>
    <n v="3730"/>
    <n v="15.8"/>
    <n v="9421.98"/>
    <s v="Completed"/>
    <s v="Delhi"/>
    <x v="3"/>
    <s v="Retail"/>
    <n v="43"/>
    <x v="0"/>
    <s v="R008"/>
    <n v="861553.33"/>
    <x v="0"/>
  </r>
  <r>
    <s v="ORD-01635"/>
    <x v="324"/>
    <s v="CUST-0079"/>
    <s v="PROD-026"/>
    <x v="10"/>
    <n v="6"/>
    <n v="4070"/>
    <n v="6.2"/>
    <n v="22905.96"/>
    <s v="Completed"/>
    <s v="Mumbai"/>
    <x v="2"/>
    <s v="Corporate"/>
    <n v="60"/>
    <x v="0"/>
    <s v="R004"/>
    <n v="589026.2899999998"/>
    <x v="0"/>
  </r>
  <r>
    <s v="ORD-01636"/>
    <x v="90"/>
    <s v="CUST-0115"/>
    <s v="PROD-008"/>
    <x v="24"/>
    <n v="1"/>
    <n v="2660"/>
    <n v="14.6"/>
    <n v="2271.64"/>
    <s v="Completed"/>
    <s v="Mumbai"/>
    <x v="4"/>
    <s v="SMB"/>
    <n v="65"/>
    <x v="3"/>
    <s v="R022"/>
    <n v="1069570.5400000003"/>
    <x v="3"/>
  </r>
  <r>
    <s v="ORD-01637"/>
    <x v="239"/>
    <s v="CUST-0184"/>
    <s v="PROD-033"/>
    <x v="11"/>
    <n v="3"/>
    <n v="2030"/>
    <n v="13.3"/>
    <n v="5280.03"/>
    <s v="Cancelled"/>
    <s v="Pune"/>
    <x v="3"/>
    <s v="Retail"/>
    <n v="63"/>
    <x v="0"/>
    <s v="R003"/>
    <n v="986692.91"/>
    <x v="0"/>
  </r>
  <r>
    <s v="ORD-01638"/>
    <x v="274"/>
    <s v="CUST-0084"/>
    <s v="PROD-028"/>
    <x v="19"/>
    <n v="4"/>
    <n v="3660"/>
    <n v="2.2000000000000002"/>
    <n v="14317.92"/>
    <s v="Completed"/>
    <s v="Chennai"/>
    <x v="2"/>
    <s v="Retail"/>
    <n v="28"/>
    <x v="0"/>
    <s v="R001"/>
    <n v="789849.60000000009"/>
    <x v="0"/>
  </r>
  <r>
    <s v="ORD-01639"/>
    <x v="234"/>
    <s v="CUST-0186"/>
    <s v="PROD-008"/>
    <x v="3"/>
    <n v="2"/>
    <n v="2660"/>
    <n v="7.2"/>
    <n v="4936.96"/>
    <s v="Cancelled"/>
    <s v="Bengaluru"/>
    <x v="4"/>
    <s v="Retail"/>
    <n v="42"/>
    <x v="0"/>
    <s v="R006"/>
    <n v="1138648.73"/>
    <x v="0"/>
  </r>
  <r>
    <s v="ORD-01640"/>
    <x v="207"/>
    <s v="CUST-0077"/>
    <s v="PROD-046"/>
    <x v="22"/>
    <n v="2"/>
    <n v="4880"/>
    <n v="23.8"/>
    <n v="7437.12"/>
    <s v="Completed"/>
    <s v="Hyderabad"/>
    <x v="5"/>
    <s v="SMB"/>
    <n v="48"/>
    <x v="1"/>
    <s v="R013"/>
    <n v="811524.37999999989"/>
    <x v="1"/>
  </r>
  <r>
    <s v="ORD-01641"/>
    <x v="91"/>
    <s v="CUST-0093"/>
    <s v="PROD-011"/>
    <x v="23"/>
    <n v="1"/>
    <n v="3450"/>
    <n v="1.7"/>
    <n v="3391.35"/>
    <s v="Completed"/>
    <s v="Pune"/>
    <x v="0"/>
    <s v="Retail"/>
    <n v="36"/>
    <x v="1"/>
    <s v="R011"/>
    <n v="735207.75999999989"/>
    <x v="1"/>
  </r>
  <r>
    <s v="ORD-01642"/>
    <x v="269"/>
    <s v="CUST-0018"/>
    <s v="PROD-045"/>
    <x v="12"/>
    <n v="4"/>
    <n v="3020"/>
    <n v="17.8"/>
    <n v="9929.76"/>
    <s v="Completed"/>
    <s v="Pune"/>
    <x v="5"/>
    <s v="SMB"/>
    <n v="54"/>
    <x v="3"/>
    <s v="R023"/>
    <n v="983787.4800000001"/>
    <x v="3"/>
  </r>
  <r>
    <s v="ORD-01643"/>
    <x v="15"/>
    <s v="CUST-0034"/>
    <s v="PROD-056"/>
    <x v="13"/>
    <n v="6"/>
    <n v="6940"/>
    <n v="8.9"/>
    <n v="37934.04"/>
    <s v="Completed"/>
    <s v="Delhi"/>
    <x v="1"/>
    <s v="Retail"/>
    <n v="47"/>
    <x v="3"/>
    <s v="R021"/>
    <n v="761507.17000000027"/>
    <x v="3"/>
  </r>
  <r>
    <s v="ORD-01644"/>
    <x v="271"/>
    <s v="CUST-0111"/>
    <s v="PROD-021"/>
    <x v="12"/>
    <n v="10"/>
    <n v="2760"/>
    <n v="8.9"/>
    <n v="25143.599999999999"/>
    <s v="Completed"/>
    <s v="Chennai"/>
    <x v="2"/>
    <s v="SMB"/>
    <n v="64"/>
    <x v="3"/>
    <s v="R023"/>
    <n v="983787.4800000001"/>
    <x v="3"/>
  </r>
  <r>
    <s v="ORD-01645"/>
    <x v="202"/>
    <s v="CUST-0210"/>
    <s v="PROD-049"/>
    <x v="16"/>
    <n v="8"/>
    <n v="960"/>
    <n v="20.9"/>
    <n v="6074.88"/>
    <s v="Completed"/>
    <s v="Pune"/>
    <x v="5"/>
    <s v="Corporate"/>
    <n v="48"/>
    <x v="3"/>
    <s v="R020"/>
    <n v="906107.71000000008"/>
    <x v="3"/>
  </r>
  <r>
    <s v="ORD-01646"/>
    <x v="71"/>
    <s v="CUST-0037"/>
    <s v="PROD-049"/>
    <x v="27"/>
    <n v="4"/>
    <n v="960"/>
    <n v="29.1"/>
    <n v="2722.56"/>
    <s v="Completed"/>
    <s v="Bengaluru"/>
    <x v="5"/>
    <s v="Retail"/>
    <n v="52"/>
    <x v="1"/>
    <s v="R012"/>
    <n v="901394.32000000007"/>
    <x v="1"/>
  </r>
  <r>
    <s v="ORD-01647"/>
    <x v="306"/>
    <s v="CUST-0192"/>
    <s v="PROD-030"/>
    <x v="13"/>
    <n v="1"/>
    <n v="970"/>
    <n v="8.4"/>
    <n v="888.52"/>
    <s v="Cancelled"/>
    <s v="Bengaluru"/>
    <x v="2"/>
    <s v="Retail"/>
    <n v="55"/>
    <x v="3"/>
    <s v="R021"/>
    <n v="761507.17000000027"/>
    <x v="3"/>
  </r>
  <r>
    <s v="ORD-01648"/>
    <x v="169"/>
    <s v="CUST-0038"/>
    <s v="PROD-050"/>
    <x v="12"/>
    <n v="5"/>
    <n v="6080"/>
    <n v="17.600000000000001"/>
    <n v="25049.599999999999"/>
    <s v="Completed"/>
    <s v="Mumbai"/>
    <x v="5"/>
    <s v="Retail"/>
    <n v="57"/>
    <x v="3"/>
    <s v="R023"/>
    <n v="983787.4800000001"/>
    <x v="3"/>
  </r>
  <r>
    <s v="ORD-01649"/>
    <x v="283"/>
    <s v="CUST-0034"/>
    <s v="PROD-028"/>
    <x v="22"/>
    <n v="4"/>
    <n v="3660"/>
    <n v="21.8"/>
    <n v="11448.48"/>
    <s v="Pending"/>
    <s v="Delhi"/>
    <x v="2"/>
    <s v="Retail"/>
    <n v="47"/>
    <x v="1"/>
    <s v="R013"/>
    <n v="811524.37999999989"/>
    <x v="1"/>
  </r>
  <r>
    <s v="ORD-01650"/>
    <x v="32"/>
    <s v="CUST-0248"/>
    <s v="PROD-031"/>
    <x v="4"/>
    <n v="6"/>
    <n v="3730"/>
    <n v="13.3"/>
    <n v="19403.46"/>
    <s v="Cancelled"/>
    <s v="Chennai"/>
    <x v="3"/>
    <s v="SMB"/>
    <n v="57"/>
    <x v="0"/>
    <s v="R008"/>
    <n v="861553.33"/>
    <x v="0"/>
  </r>
  <r>
    <s v="ORD-01651"/>
    <x v="327"/>
    <s v="CUST-0194"/>
    <s v="PROD-004"/>
    <x v="20"/>
    <n v="8"/>
    <n v="3870"/>
    <n v="21.2"/>
    <n v="24396.48"/>
    <s v="Pending"/>
    <s v="Delhi"/>
    <x v="4"/>
    <s v="SMB"/>
    <n v="55"/>
    <x v="2"/>
    <s v="R029"/>
    <n v="1016696.8000000002"/>
    <x v="2"/>
  </r>
  <r>
    <s v="ORD-01652"/>
    <x v="69"/>
    <s v="CUST-0114"/>
    <s v="PROD-021"/>
    <x v="29"/>
    <n v="4"/>
    <n v="2760"/>
    <n v="14"/>
    <n v="9494.4"/>
    <s v="Completed"/>
    <s v="Bengaluru"/>
    <x v="2"/>
    <s v="Corporate"/>
    <n v="42"/>
    <x v="1"/>
    <s v="R016"/>
    <n v="814563.7100000002"/>
    <x v="1"/>
  </r>
  <r>
    <s v="ORD-01653"/>
    <x v="100"/>
    <s v="CUST-0118"/>
    <s v="PROD-023"/>
    <x v="16"/>
    <n v="5"/>
    <n v="2380"/>
    <n v="16.399999999999999"/>
    <n v="9948.4"/>
    <s v="Completed"/>
    <s v="Hyderabad"/>
    <x v="2"/>
    <s v="Retail"/>
    <n v="26"/>
    <x v="3"/>
    <s v="R020"/>
    <n v="906107.71000000008"/>
    <x v="3"/>
  </r>
  <r>
    <s v="ORD-01654"/>
    <x v="246"/>
    <s v="CUST-9719"/>
    <s v="PROD-050"/>
    <x v="15"/>
    <n v="2"/>
    <n v="6080"/>
    <n v="20.100000000000001"/>
    <n v="9715.84"/>
    <s v="Cancelled"/>
    <s v="Mumbai"/>
    <x v="5"/>
    <e v="#N/A"/>
    <e v="#N/A"/>
    <x v="1"/>
    <s v="R015"/>
    <n v="1091740.1799999997"/>
    <x v="1"/>
  </r>
  <r>
    <s v="ORD-01655"/>
    <x v="296"/>
    <s v="CUST-0232"/>
    <s v="PROD-016"/>
    <x v="29"/>
    <n v="2"/>
    <n v="620"/>
    <n v="4.3"/>
    <n v="1186.68"/>
    <s v="Completed"/>
    <s v="Hyderabad"/>
    <x v="0"/>
    <s v="Retail"/>
    <n v="38"/>
    <x v="1"/>
    <s v="R016"/>
    <n v="814563.7100000002"/>
    <x v="1"/>
  </r>
  <r>
    <s v="ORD-01656"/>
    <x v="16"/>
    <s v="CUST-0240"/>
    <s v="PROD-004"/>
    <x v="27"/>
    <n v="7"/>
    <n v="3870"/>
    <n v="5.9"/>
    <n v="25491.69"/>
    <s v="Completed"/>
    <s v="Chennai"/>
    <x v="4"/>
    <s v="Corporate"/>
    <n v="35"/>
    <x v="1"/>
    <s v="R012"/>
    <n v="901394.32000000007"/>
    <x v="1"/>
  </r>
  <r>
    <s v="ORD-01657"/>
    <x v="249"/>
    <s v="CUST-0227"/>
    <s v="PROD-003"/>
    <x v="16"/>
    <n v="8"/>
    <n v="3570"/>
    <n v="24.6"/>
    <n v="21534.240000000002"/>
    <s v="Completed"/>
    <s v="Bengaluru"/>
    <x v="4"/>
    <s v="SMB"/>
    <n v="44"/>
    <x v="3"/>
    <s v="R020"/>
    <n v="906107.71000000008"/>
    <x v="3"/>
  </r>
  <r>
    <s v="ORD-01658"/>
    <x v="168"/>
    <s v="CUST-0234"/>
    <s v="PROD-026"/>
    <x v="9"/>
    <n v="1"/>
    <n v="4070"/>
    <n v="29.1"/>
    <n v="2885.63"/>
    <s v="Pending"/>
    <s v="Bengaluru"/>
    <x v="2"/>
    <s v="Retail"/>
    <n v="34"/>
    <x v="1"/>
    <s v="R010"/>
    <n v="880345.20000000007"/>
    <x v="1"/>
  </r>
  <r>
    <s v="ORD-01659"/>
    <x v="296"/>
    <s v="CUST-0041"/>
    <s v="PROD-020"/>
    <x v="21"/>
    <n v="1"/>
    <n v="820"/>
    <n v="17.899999999999999"/>
    <n v="673.22"/>
    <s v="Completed"/>
    <s v="Bengaluru"/>
    <x v="0"/>
    <s v="SMB"/>
    <n v="26"/>
    <x v="3"/>
    <s v="R017"/>
    <n v="780384.40999999992"/>
    <x v="3"/>
  </r>
  <r>
    <s v="ORD-01660"/>
    <x v="175"/>
    <s v="CUST-0129"/>
    <s v="PROD-045"/>
    <x v="20"/>
    <n v="5"/>
    <n v="3020"/>
    <n v="26.2"/>
    <n v="11143.8"/>
    <s v="Completed"/>
    <s v="Hyderabad"/>
    <x v="5"/>
    <s v="Retail"/>
    <n v="29"/>
    <x v="2"/>
    <s v="R029"/>
    <n v="1016696.8000000002"/>
    <x v="2"/>
  </r>
  <r>
    <s v="ORD-01661"/>
    <x v="91"/>
    <s v="CUST-0141"/>
    <s v="PROD-018"/>
    <x v="24"/>
    <n v="10"/>
    <n v="3560"/>
    <n v="15.4"/>
    <n v="30117.599999999999"/>
    <s v="Refunded"/>
    <s v="Hyderabad"/>
    <x v="0"/>
    <s v="Corporate"/>
    <n v="22"/>
    <x v="3"/>
    <s v="R022"/>
    <n v="1069570.5400000003"/>
    <x v="3"/>
  </r>
  <r>
    <s v="ORD-01662"/>
    <x v="299"/>
    <s v="CUST-0282"/>
    <s v="PROD-043"/>
    <x v="19"/>
    <n v="3"/>
    <n v="3350"/>
    <n v="8.1"/>
    <n v="9235.9500000000007"/>
    <s v="Completed"/>
    <s v="Hyderabad"/>
    <x v="5"/>
    <s v="Corporate"/>
    <n v="29"/>
    <x v="0"/>
    <s v="R001"/>
    <n v="789849.60000000009"/>
    <x v="0"/>
  </r>
  <r>
    <s v="ORD-01663"/>
    <x v="176"/>
    <s v="CUST-0269"/>
    <s v="PROD-042"/>
    <x v="5"/>
    <n v="10"/>
    <n v="2290"/>
    <n v="7"/>
    <n v="21297"/>
    <s v="Completed"/>
    <s v="Pune"/>
    <x v="5"/>
    <s v="Retail"/>
    <n v="48"/>
    <x v="2"/>
    <s v="R025"/>
    <n v="901298.89"/>
    <x v="2"/>
  </r>
  <r>
    <s v="ORD-01664"/>
    <x v="64"/>
    <s v="CUST-0239"/>
    <s v="PROD-028"/>
    <x v="11"/>
    <n v="6"/>
    <n v="3660"/>
    <n v="29.9"/>
    <n v="15393.96"/>
    <s v="Completed"/>
    <s v="Mumbai"/>
    <x v="2"/>
    <s v="Retail"/>
    <n v="61"/>
    <x v="0"/>
    <s v="R003"/>
    <n v="986692.91"/>
    <x v="0"/>
  </r>
  <r>
    <s v="ORD-01665"/>
    <x v="87"/>
    <s v="CUST-0075"/>
    <s v="PROD-010"/>
    <x v="22"/>
    <n v="8"/>
    <n v="2640"/>
    <n v="4.2"/>
    <n v="20232.96"/>
    <s v="Refunded"/>
    <s v="Mumbai"/>
    <x v="4"/>
    <s v="Corporate"/>
    <n v="55"/>
    <x v="1"/>
    <s v="R013"/>
    <n v="811524.37999999989"/>
    <x v="1"/>
  </r>
  <r>
    <s v="ORD-01666"/>
    <x v="194"/>
    <s v="CUST-0184"/>
    <s v="PROD-032"/>
    <x v="3"/>
    <n v="5"/>
    <n v="370"/>
    <n v="6"/>
    <n v="1739"/>
    <s v="Completed"/>
    <s v="Pune"/>
    <x v="3"/>
    <s v="Retail"/>
    <n v="63"/>
    <x v="0"/>
    <s v="R006"/>
    <n v="1138648.73"/>
    <x v="0"/>
  </r>
  <r>
    <s v="ORD-01667"/>
    <x v="312"/>
    <s v="CUST-0144"/>
    <s v="PROD-024"/>
    <x v="0"/>
    <n v="9"/>
    <n v="2270"/>
    <n v="4.7"/>
    <n v="19469.79"/>
    <s v="Completed"/>
    <s v="Chennai"/>
    <x v="2"/>
    <s v="Retail"/>
    <n v="49"/>
    <x v="0"/>
    <s v="R007"/>
    <n v="855749.67999999982"/>
    <x v="0"/>
  </r>
  <r>
    <s v="ORD-01668"/>
    <x v="85"/>
    <s v="CUST-0039"/>
    <s v="PROD-037"/>
    <x v="23"/>
    <n v="5"/>
    <n v="660"/>
    <n v="21"/>
    <n v="2607"/>
    <s v="Completed"/>
    <s v="Bengaluru"/>
    <x v="3"/>
    <s v="Retail"/>
    <n v="37"/>
    <x v="1"/>
    <s v="R011"/>
    <n v="735207.75999999989"/>
    <x v="1"/>
  </r>
  <r>
    <s v="ORD-01669"/>
    <x v="192"/>
    <s v="CUST-9765"/>
    <s v="PROD-057"/>
    <x v="11"/>
    <n v="2"/>
    <n v="960"/>
    <n v="7.3"/>
    <n v="1779.84"/>
    <s v="Completed"/>
    <s v="Bengaluru"/>
    <x v="1"/>
    <e v="#N/A"/>
    <e v="#N/A"/>
    <x v="0"/>
    <s v="R003"/>
    <n v="986692.91"/>
    <x v="0"/>
  </r>
  <r>
    <s v="ORD-01670"/>
    <x v="89"/>
    <s v="CUST-0159"/>
    <s v="PROD-048"/>
    <x v="18"/>
    <n v="3"/>
    <n v="5100"/>
    <n v="21"/>
    <n v="12087"/>
    <s v="Completed"/>
    <s v="Hyderabad"/>
    <x v="5"/>
    <s v="Retail"/>
    <n v="32"/>
    <x v="1"/>
    <s v="R009"/>
    <n v="914554.71999999986"/>
    <x v="1"/>
  </r>
  <r>
    <s v="ORD-01671"/>
    <x v="286"/>
    <s v="CUST-0168"/>
    <s v="PROD-012"/>
    <x v="10"/>
    <n v="3"/>
    <n v="3160"/>
    <n v="13.5"/>
    <n v="8200.2000000000007"/>
    <s v="Completed"/>
    <s v="Pune"/>
    <x v="0"/>
    <s v="Retail"/>
    <n v="25"/>
    <x v="0"/>
    <s v="R004"/>
    <n v="589026.2899999998"/>
    <x v="0"/>
  </r>
  <r>
    <s v="ORD-01672"/>
    <x v="111"/>
    <s v="CUST-9552"/>
    <s v="PROD-041"/>
    <x v="1"/>
    <n v="9"/>
    <n v="1540"/>
    <n v="18.2"/>
    <n v="11337.48"/>
    <s v="Cancelled"/>
    <s v="Bengaluru"/>
    <x v="5"/>
    <e v="#N/A"/>
    <e v="#N/A"/>
    <x v="0"/>
    <s v="R005"/>
    <n v="782445.33"/>
    <x v="0"/>
  </r>
  <r>
    <s v="ORD-01673"/>
    <x v="313"/>
    <s v="CUST-0056"/>
    <s v="PROD-047"/>
    <x v="6"/>
    <n v="4"/>
    <n v="3450"/>
    <n v="26.4"/>
    <n v="10156.799999999999"/>
    <s v="Pending"/>
    <s v="Bengaluru"/>
    <x v="5"/>
    <s v="SMB"/>
    <n v="46"/>
    <x v="2"/>
    <s v="R024"/>
    <n v="819558.58"/>
    <x v="2"/>
  </r>
  <r>
    <s v="ORD-01674"/>
    <x v="311"/>
    <s v="CUST-0239"/>
    <s v="PROD-023"/>
    <x v="17"/>
    <n v="4"/>
    <n v="2380"/>
    <n v="6.9"/>
    <n v="8863.1200000000008"/>
    <s v="Completed"/>
    <s v="Mumbai"/>
    <x v="2"/>
    <s v="Retail"/>
    <n v="61"/>
    <x v="2"/>
    <s v="R026"/>
    <n v="576305.08000000019"/>
    <x v="2"/>
  </r>
  <r>
    <s v="ORD-01675"/>
    <x v="140"/>
    <s v="CUST-0168"/>
    <s v="PROD-031"/>
    <x v="11"/>
    <n v="2"/>
    <n v="3730"/>
    <n v="22.9"/>
    <n v="5751.66"/>
    <s v="Completed"/>
    <s v="Pune"/>
    <x v="3"/>
    <s v="Retail"/>
    <n v="25"/>
    <x v="0"/>
    <s v="R003"/>
    <n v="986692.91"/>
    <x v="0"/>
  </r>
  <r>
    <s v="ORD-01676"/>
    <x v="0"/>
    <s v="CUST-0012"/>
    <s v="PROD-036"/>
    <x v="25"/>
    <n v="7"/>
    <n v="3250"/>
    <n v="6"/>
    <n v="21385"/>
    <s v="Completed"/>
    <s v="Pune"/>
    <x v="3"/>
    <s v="Retail"/>
    <n v="43"/>
    <x v="0"/>
    <s v="R002"/>
    <n v="980063.65999999968"/>
    <x v="0"/>
  </r>
  <r>
    <s v="ORD-01677"/>
    <x v="281"/>
    <s v="CUST-0057"/>
    <s v="PROD-053"/>
    <x v="16"/>
    <n v="9"/>
    <n v="470"/>
    <n v="11.6"/>
    <n v="3739.32"/>
    <s v="Completed"/>
    <s v="Pune"/>
    <x v="1"/>
    <s v="Retail"/>
    <n v="35"/>
    <x v="3"/>
    <s v="R020"/>
    <n v="906107.71000000008"/>
    <x v="3"/>
  </r>
  <r>
    <s v="ORD-01678"/>
    <x v="308"/>
    <s v="CUST-0030"/>
    <s v="PROD-042"/>
    <x v="17"/>
    <n v="5"/>
    <n v="2290"/>
    <n v="27.6"/>
    <n v="8289.7999999999993"/>
    <s v="Completed"/>
    <s v="Bengaluru"/>
    <x v="5"/>
    <s v="Corporate"/>
    <n v="43"/>
    <x v="2"/>
    <s v="R026"/>
    <n v="576305.08000000019"/>
    <x v="2"/>
  </r>
  <r>
    <s v="ORD-01679"/>
    <x v="32"/>
    <s v="CUST-0166"/>
    <s v="PROD-007"/>
    <x v="20"/>
    <n v="6"/>
    <n v="1430"/>
    <n v="18.399999999999999"/>
    <n v="7001.28"/>
    <s v="Pending"/>
    <s v="Hyderabad"/>
    <x v="4"/>
    <s v="Retail"/>
    <n v="31"/>
    <x v="2"/>
    <s v="R029"/>
    <n v="1016696.8000000002"/>
    <x v="2"/>
  </r>
  <r>
    <s v="ORD-01680"/>
    <x v="260"/>
    <s v="CUST-0188"/>
    <s v="PROD-055"/>
    <x v="25"/>
    <n v="7"/>
    <n v="2860"/>
    <n v="19.5"/>
    <n v="16116.1"/>
    <s v="Completed"/>
    <s v="Bengaluru"/>
    <x v="1"/>
    <s v="Retail"/>
    <n v="54"/>
    <x v="0"/>
    <s v="R002"/>
    <n v="980063.65999999968"/>
    <x v="0"/>
  </r>
  <r>
    <s v="ORD-01681"/>
    <x v="96"/>
    <s v="CUST-0097"/>
    <s v="PROD-047"/>
    <x v="16"/>
    <n v="8"/>
    <n v="3450"/>
    <n v="25.5"/>
    <n v="20562"/>
    <s v="Pending"/>
    <s v="Mumbai"/>
    <x v="5"/>
    <s v="Retail"/>
    <n v="65"/>
    <x v="3"/>
    <s v="R020"/>
    <n v="906107.71000000008"/>
    <x v="3"/>
  </r>
  <r>
    <s v="ORD-01682"/>
    <x v="344"/>
    <s v="CUST-0026"/>
    <s v="PROD-052"/>
    <x v="7"/>
    <n v="7"/>
    <n v="5410"/>
    <n v="15.2"/>
    <n v="32113.759999999998"/>
    <s v="Cancelled"/>
    <s v="Pune"/>
    <x v="1"/>
    <s v="Retail"/>
    <n v="62"/>
    <x v="3"/>
    <s v="R019"/>
    <n v="971183.52000000014"/>
    <x v="3"/>
  </r>
  <r>
    <s v="ORD-01683"/>
    <x v="276"/>
    <s v="CUST-0026"/>
    <s v="PROD-040"/>
    <x v="5"/>
    <n v="3"/>
    <n v="1080"/>
    <n v="26"/>
    <n v="2397.6"/>
    <s v="Completed"/>
    <s v="Pune"/>
    <x v="3"/>
    <s v="Retail"/>
    <n v="62"/>
    <x v="2"/>
    <s v="R025"/>
    <n v="901298.89"/>
    <x v="2"/>
  </r>
  <r>
    <s v="ORD-01684"/>
    <x v="20"/>
    <s v="CUST-0020"/>
    <s v="PROD-055"/>
    <x v="7"/>
    <n v="8"/>
    <n v="2860"/>
    <n v="14.8"/>
    <n v="19493.759999999998"/>
    <s v="Completed"/>
    <s v="Hyderabad"/>
    <x v="1"/>
    <s v="Retail"/>
    <n v="46"/>
    <x v="3"/>
    <s v="R019"/>
    <n v="971183.52000000014"/>
    <x v="3"/>
  </r>
  <r>
    <s v="ORD-01685"/>
    <x v="10"/>
    <s v="CUST-9740"/>
    <s v="PROD-045"/>
    <x v="22"/>
    <n v="4"/>
    <n v="3020"/>
    <n v="8.1"/>
    <n v="11101.52"/>
    <s v="Completed"/>
    <s v="Hyderabad"/>
    <x v="5"/>
    <e v="#N/A"/>
    <e v="#N/A"/>
    <x v="1"/>
    <s v="R013"/>
    <n v="811524.37999999989"/>
    <x v="1"/>
  </r>
  <r>
    <s v="ORD-01686"/>
    <x v="51"/>
    <s v="CUST-0095"/>
    <s v="PROD-057"/>
    <x v="5"/>
    <n v="4"/>
    <n v="960"/>
    <n v="6.4"/>
    <n v="3594.24"/>
    <s v="Cancelled"/>
    <s v="Mumbai"/>
    <x v="1"/>
    <s v="SMB"/>
    <n v="54"/>
    <x v="2"/>
    <s v="R025"/>
    <n v="901298.89"/>
    <x v="2"/>
  </r>
  <r>
    <s v="ORD-01687"/>
    <x v="102"/>
    <s v="CUST-0079"/>
    <s v="PROD-004"/>
    <x v="20"/>
    <n v="4"/>
    <n v="3870"/>
    <n v="15.9"/>
    <n v="13018.68"/>
    <s v="Completed"/>
    <s v="Mumbai"/>
    <x v="4"/>
    <s v="Corporate"/>
    <n v="60"/>
    <x v="2"/>
    <s v="R029"/>
    <n v="1016696.8000000002"/>
    <x v="2"/>
  </r>
  <r>
    <s v="ORD-01688"/>
    <x v="239"/>
    <s v="CUST-0060"/>
    <s v="PROD-012"/>
    <x v="16"/>
    <n v="5"/>
    <n v="3160"/>
    <n v="29.8"/>
    <n v="11091.6"/>
    <s v="Completed"/>
    <s v="Pune"/>
    <x v="0"/>
    <s v="Retail"/>
    <n v="39"/>
    <x v="3"/>
    <s v="R020"/>
    <n v="906107.71000000008"/>
    <x v="3"/>
  </r>
  <r>
    <s v="ORD-01689"/>
    <x v="210"/>
    <s v="CUST-0080"/>
    <s v="PROD-047"/>
    <x v="28"/>
    <n v="5"/>
    <n v="3450"/>
    <n v="29.4"/>
    <n v="12178.5"/>
    <s v="Completed"/>
    <s v="Pune"/>
    <x v="5"/>
    <s v="SMB"/>
    <n v="30"/>
    <x v="2"/>
    <s v="R027"/>
    <n v="917092.61999999965"/>
    <x v="2"/>
  </r>
  <r>
    <s v="ORD-01690"/>
    <x v="275"/>
    <s v="CUST-0136"/>
    <s v="PROD-049"/>
    <x v="26"/>
    <n v="10"/>
    <n v="960"/>
    <n v="27"/>
    <n v="7008"/>
    <s v="Cancelled"/>
    <s v="Chennai"/>
    <x v="5"/>
    <s v="SMB"/>
    <n v="26"/>
    <x v="3"/>
    <s v="R018"/>
    <n v="1112289.6400000001"/>
    <x v="3"/>
  </r>
  <r>
    <s v="ORD-01691"/>
    <x v="335"/>
    <s v="CUST-0074"/>
    <s v="PROD-056"/>
    <x v="26"/>
    <n v="10"/>
    <n v="6940"/>
    <n v="20.100000000000001"/>
    <n v="55450.6"/>
    <s v="Completed"/>
    <s v="Bengaluru"/>
    <x v="1"/>
    <s v="Retail"/>
    <n v="27"/>
    <x v="3"/>
    <s v="R018"/>
    <n v="1112289.6400000001"/>
    <x v="3"/>
  </r>
  <r>
    <s v="ORD-01692"/>
    <x v="295"/>
    <s v="CUST-0090"/>
    <s v="PROD-058"/>
    <x v="18"/>
    <n v="9"/>
    <n v="2400"/>
    <n v="7.8"/>
    <n v="19915.2"/>
    <s v="Completed"/>
    <s v="Bengaluru"/>
    <x v="1"/>
    <s v="Corporate"/>
    <n v="26"/>
    <x v="1"/>
    <s v="R009"/>
    <n v="914554.71999999986"/>
    <x v="1"/>
  </r>
  <r>
    <s v="ORD-01693"/>
    <x v="245"/>
    <s v="CUST-0300"/>
    <s v="PROD-052"/>
    <x v="21"/>
    <n v="1"/>
    <n v="5410"/>
    <n v="22.8"/>
    <n v="4176.5200000000004"/>
    <s v="Completed"/>
    <s v="Mumbai"/>
    <x v="1"/>
    <s v="Retail"/>
    <n v="38"/>
    <x v="3"/>
    <s v="R017"/>
    <n v="780384.40999999992"/>
    <x v="3"/>
  </r>
  <r>
    <s v="ORD-01694"/>
    <x v="98"/>
    <s v="CUST-0188"/>
    <s v="PROD-009"/>
    <x v="10"/>
    <n v="7"/>
    <n v="1220"/>
    <n v="18.8"/>
    <n v="6934.48"/>
    <s v="Pending"/>
    <s v="Bengaluru"/>
    <x v="4"/>
    <s v="Retail"/>
    <n v="54"/>
    <x v="0"/>
    <s v="R004"/>
    <n v="589026.2899999998"/>
    <x v="0"/>
  </r>
  <r>
    <s v="ORD-01695"/>
    <x v="127"/>
    <s v="CUST-0250"/>
    <s v="PROD-035"/>
    <x v="7"/>
    <n v="1"/>
    <n v="1090"/>
    <n v="23.5"/>
    <n v="833.85"/>
    <s v="Completed"/>
    <s v="Delhi"/>
    <x v="3"/>
    <s v="Retail"/>
    <n v="31"/>
    <x v="3"/>
    <s v="R019"/>
    <n v="971183.52000000014"/>
    <x v="3"/>
  </r>
  <r>
    <s v="ORD-01696"/>
    <x v="101"/>
    <s v="CUST-0195"/>
    <s v="PROD-021"/>
    <x v="12"/>
    <n v="2"/>
    <n v="2760"/>
    <n v="2.2999999999999998"/>
    <n v="5393.04"/>
    <s v="Completed"/>
    <s v="Bengaluru"/>
    <x v="2"/>
    <s v="Retail"/>
    <n v="28"/>
    <x v="3"/>
    <s v="R023"/>
    <n v="983787.4800000001"/>
    <x v="3"/>
  </r>
  <r>
    <s v="ORD-01697"/>
    <x v="17"/>
    <s v="CUST-0185"/>
    <s v="PROD-003"/>
    <x v="17"/>
    <n v="3"/>
    <n v="3570"/>
    <n v="18.399999999999999"/>
    <n v="8739.36"/>
    <s v="Refunded"/>
    <s v="Hyderabad"/>
    <x v="4"/>
    <s v="SMB"/>
    <n v="43"/>
    <x v="2"/>
    <s v="R026"/>
    <n v="576305.08000000019"/>
    <x v="2"/>
  </r>
  <r>
    <s v="ORD-01698"/>
    <x v="349"/>
    <s v="CUST-0256"/>
    <s v="PROD-009"/>
    <x v="10"/>
    <n v="7"/>
    <n v="1220"/>
    <n v="25.8"/>
    <n v="6336.68"/>
    <s v="Refunded"/>
    <s v="Hyderabad"/>
    <x v="4"/>
    <s v="Retail"/>
    <n v="28"/>
    <x v="0"/>
    <s v="R004"/>
    <n v="589026.2899999998"/>
    <x v="0"/>
  </r>
  <r>
    <s v="ORD-01699"/>
    <x v="350"/>
    <s v="CUST-0060"/>
    <s v="PROD-051"/>
    <x v="20"/>
    <n v="6"/>
    <n v="3450"/>
    <n v="13.1"/>
    <n v="17988.3"/>
    <s v="Completed"/>
    <s v="Pune"/>
    <x v="1"/>
    <s v="Retail"/>
    <n v="39"/>
    <x v="2"/>
    <s v="R029"/>
    <n v="1016696.8000000002"/>
    <x v="2"/>
  </r>
  <r>
    <s v="ORD-01700"/>
    <x v="347"/>
    <s v="CUST-0275"/>
    <s v="PROD-029"/>
    <x v="10"/>
    <n v="10"/>
    <n v="2210"/>
    <n v="16.600000000000001"/>
    <n v="18431.400000000001"/>
    <s v="Completed"/>
    <s v="Mumbai"/>
    <x v="2"/>
    <s v="Retail"/>
    <n v="36"/>
    <x v="0"/>
    <s v="R004"/>
    <n v="589026.2899999998"/>
    <x v="0"/>
  </r>
  <r>
    <s v="ORD-01701"/>
    <x v="146"/>
    <s v="CUST-0114"/>
    <s v="PROD-019"/>
    <x v="28"/>
    <n v="10"/>
    <n v="2480"/>
    <n v="17.5"/>
    <n v="20460"/>
    <s v="Completed"/>
    <s v="Bengaluru"/>
    <x v="0"/>
    <s v="Corporate"/>
    <n v="42"/>
    <x v="2"/>
    <s v="R027"/>
    <n v="917092.61999999965"/>
    <x v="2"/>
  </r>
  <r>
    <s v="ORD-01702"/>
    <x v="286"/>
    <s v="CUST-0060"/>
    <s v="PROD-036"/>
    <x v="7"/>
    <n v="9"/>
    <n v="3250"/>
    <n v="25.9"/>
    <n v="21674.25"/>
    <s v="Completed"/>
    <s v="Pune"/>
    <x v="3"/>
    <s v="Retail"/>
    <n v="39"/>
    <x v="3"/>
    <s v="R019"/>
    <n v="971183.52000000014"/>
    <x v="3"/>
  </r>
  <r>
    <s v="ORD-01703"/>
    <x v="267"/>
    <s v="CUST-0039"/>
    <s v="PROD-058"/>
    <x v="4"/>
    <n v="3"/>
    <n v="2400"/>
    <n v="17.5"/>
    <n v="5940"/>
    <s v="Completed"/>
    <s v="Bengaluru"/>
    <x v="1"/>
    <s v="Retail"/>
    <n v="37"/>
    <x v="0"/>
    <s v="R008"/>
    <n v="861553.33"/>
    <x v="0"/>
  </r>
  <r>
    <s v="ORD-01704"/>
    <x v="332"/>
    <s v="CUST-0033"/>
    <s v="PROD-052"/>
    <x v="3"/>
    <n v="8"/>
    <n v="5410"/>
    <n v="8.3000000000000007"/>
    <n v="39687.760000000002"/>
    <s v="Completed"/>
    <s v="Delhi"/>
    <x v="1"/>
    <s v="Retail"/>
    <n v="35"/>
    <x v="0"/>
    <s v="R006"/>
    <n v="1138648.73"/>
    <x v="0"/>
  </r>
  <r>
    <s v="ORD-01705"/>
    <x v="81"/>
    <s v="CUST-0037"/>
    <s v="PROD-002"/>
    <x v="26"/>
    <n v="1"/>
    <n v="2600"/>
    <n v="5.9"/>
    <n v="2446.6"/>
    <s v="Completed"/>
    <s v="Bengaluru"/>
    <x v="4"/>
    <s v="Retail"/>
    <n v="52"/>
    <x v="3"/>
    <s v="R018"/>
    <n v="1112289.6400000001"/>
    <x v="3"/>
  </r>
  <r>
    <s v="ORD-01706"/>
    <x v="348"/>
    <s v="CUST-0081"/>
    <s v="PROD-025"/>
    <x v="11"/>
    <n v="10"/>
    <n v="4060"/>
    <n v="2.2999999999999998"/>
    <n v="39666.199999999997"/>
    <s v="Completed"/>
    <s v="Mumbai"/>
    <x v="2"/>
    <s v="Retail"/>
    <n v="25"/>
    <x v="0"/>
    <s v="R003"/>
    <n v="986692.91"/>
    <x v="0"/>
  </r>
  <r>
    <s v="ORD-01707"/>
    <x v="279"/>
    <s v="CUST-0279"/>
    <s v="PROD-001"/>
    <x v="16"/>
    <n v="9"/>
    <n v="5330"/>
    <n v="23.5"/>
    <n v="36697.050000000003"/>
    <s v="Completed"/>
    <s v="Mumbai"/>
    <x v="4"/>
    <s v="Retail"/>
    <n v="56"/>
    <x v="3"/>
    <s v="R020"/>
    <n v="906107.71000000008"/>
    <x v="3"/>
  </r>
  <r>
    <s v="ORD-01708"/>
    <x v="77"/>
    <s v="CUST-0129"/>
    <s v="PROD-043"/>
    <x v="5"/>
    <n v="7"/>
    <n v="3350"/>
    <n v="13.4"/>
    <n v="20307.7"/>
    <s v="Pending"/>
    <s v="Hyderabad"/>
    <x v="5"/>
    <s v="Retail"/>
    <n v="29"/>
    <x v="2"/>
    <s v="R025"/>
    <n v="901298.89"/>
    <x v="2"/>
  </r>
  <r>
    <s v="ORD-01709"/>
    <x v="252"/>
    <s v="CUST-0010"/>
    <s v="PROD-017"/>
    <x v="2"/>
    <n v="4"/>
    <n v="2510"/>
    <n v="26.6"/>
    <n v="7369.36"/>
    <s v="Completed"/>
    <s v="Mumbai"/>
    <x v="0"/>
    <s v="SMB"/>
    <n v="61"/>
    <x v="1"/>
    <s v="R014"/>
    <n v="995713.54000000015"/>
    <x v="1"/>
  </r>
  <r>
    <s v="ORD-01710"/>
    <x v="145"/>
    <s v="CUST-0006"/>
    <s v="PROD-045"/>
    <x v="13"/>
    <n v="1"/>
    <n v="3020"/>
    <n v="15.2"/>
    <n v="2560.96"/>
    <s v="Cancelled"/>
    <s v="Pune"/>
    <x v="5"/>
    <s v="SMB"/>
    <n v="44"/>
    <x v="3"/>
    <s v="R021"/>
    <n v="761507.17000000027"/>
    <x v="3"/>
  </r>
  <r>
    <s v="ORD-01711"/>
    <x v="149"/>
    <s v="CUST-0206"/>
    <s v="PROD-020"/>
    <x v="20"/>
    <n v="1"/>
    <n v="820"/>
    <n v="6.3"/>
    <n v="768.34"/>
    <s v="Completed"/>
    <s v="Mumbai"/>
    <x v="0"/>
    <s v="Retail"/>
    <n v="40"/>
    <x v="2"/>
    <s v="R029"/>
    <n v="1016696.8000000002"/>
    <x v="2"/>
  </r>
  <r>
    <s v="ORD-01712"/>
    <x v="56"/>
    <s v="CUST-0034"/>
    <s v="PROD-012"/>
    <x v="28"/>
    <n v="4"/>
    <n v="3160"/>
    <n v="3.6"/>
    <n v="12184.96"/>
    <s v="Pending"/>
    <s v="Delhi"/>
    <x v="0"/>
    <s v="Retail"/>
    <n v="47"/>
    <x v="2"/>
    <s v="R027"/>
    <n v="917092.61999999965"/>
    <x v="2"/>
  </r>
  <r>
    <s v="ORD-01713"/>
    <x v="43"/>
    <s v="CUST-0121"/>
    <s v="PROD-028"/>
    <x v="27"/>
    <n v="1"/>
    <n v="3660"/>
    <n v="28.2"/>
    <n v="2627.88"/>
    <s v="Pending"/>
    <s v="Delhi"/>
    <x v="2"/>
    <s v="SMB"/>
    <n v="55"/>
    <x v="1"/>
    <s v="R012"/>
    <n v="901394.32000000007"/>
    <x v="1"/>
  </r>
  <r>
    <s v="ORD-01714"/>
    <x v="18"/>
    <s v="CUST-0098"/>
    <s v="PROD-020"/>
    <x v="17"/>
    <n v="2"/>
    <n v="820"/>
    <n v="7"/>
    <n v="1525.2"/>
    <s v="Completed"/>
    <s v="Delhi"/>
    <x v="0"/>
    <s v="Retail"/>
    <n v="52"/>
    <x v="2"/>
    <s v="R026"/>
    <n v="576305.08000000019"/>
    <x v="2"/>
  </r>
  <r>
    <s v="ORD-01715"/>
    <x v="225"/>
    <s v="CUST-0031"/>
    <s v="PROD-023"/>
    <x v="24"/>
    <n v="5"/>
    <n v="2380"/>
    <n v="23"/>
    <n v="9163"/>
    <s v="Completed"/>
    <s v="Hyderabad"/>
    <x v="2"/>
    <s v="Retail"/>
    <n v="53"/>
    <x v="3"/>
    <s v="R022"/>
    <n v="1069570.5400000003"/>
    <x v="3"/>
  </r>
  <r>
    <s v="ORD-01716"/>
    <x v="109"/>
    <s v="CUST-0185"/>
    <s v="PROD-004"/>
    <x v="22"/>
    <n v="1"/>
    <n v="3870"/>
    <n v="27.3"/>
    <n v="2813.49"/>
    <s v="Completed"/>
    <s v="Hyderabad"/>
    <x v="4"/>
    <s v="SMB"/>
    <n v="43"/>
    <x v="1"/>
    <s v="R013"/>
    <n v="811524.37999999989"/>
    <x v="1"/>
  </r>
  <r>
    <s v="ORD-01717"/>
    <x v="114"/>
    <s v="CUST-0011"/>
    <s v="PROD-005"/>
    <x v="0"/>
    <n v="10"/>
    <n v="300"/>
    <n v="14.1"/>
    <n v="2577"/>
    <s v="Cancelled"/>
    <s v="Chennai"/>
    <x v="4"/>
    <s v="Corporate"/>
    <n v="41"/>
    <x v="0"/>
    <s v="R007"/>
    <n v="855749.67999999982"/>
    <x v="0"/>
  </r>
  <r>
    <s v="ORD-01718"/>
    <x v="262"/>
    <s v="CUST-0223"/>
    <s v="PROD-048"/>
    <x v="28"/>
    <n v="10"/>
    <n v="5100"/>
    <n v="12.7"/>
    <n v="44523"/>
    <s v="Completed"/>
    <s v="Bengaluru"/>
    <x v="5"/>
    <s v="Retail"/>
    <n v="46"/>
    <x v="2"/>
    <s v="R027"/>
    <n v="917092.61999999965"/>
    <x v="2"/>
  </r>
  <r>
    <s v="ORD-01719"/>
    <x v="55"/>
    <s v="CUST-0126"/>
    <s v="PROD-021"/>
    <x v="22"/>
    <n v="1"/>
    <n v="2760"/>
    <n v="17.8"/>
    <n v="2268.7199999999998"/>
    <s v="Refunded"/>
    <s v="Mumbai"/>
    <x v="2"/>
    <s v="Retail"/>
    <n v="37"/>
    <x v="1"/>
    <s v="R013"/>
    <n v="811524.37999999989"/>
    <x v="1"/>
  </r>
  <r>
    <s v="ORD-01720"/>
    <x v="143"/>
    <s v="CUST-0284"/>
    <s v="PROD-001"/>
    <x v="25"/>
    <n v="8"/>
    <n v="5330"/>
    <n v="16.399999999999999"/>
    <n v="35647.040000000001"/>
    <s v="Completed"/>
    <s v="Hyderabad"/>
    <x v="4"/>
    <s v="SMB"/>
    <n v="65"/>
    <x v="0"/>
    <s v="R002"/>
    <n v="980063.65999999968"/>
    <x v="0"/>
  </r>
  <r>
    <s v="ORD-01721"/>
    <x v="136"/>
    <s v="CUST-0011"/>
    <s v="PROD-054"/>
    <x v="29"/>
    <n v="1"/>
    <n v="1010"/>
    <n v="20.399999999999999"/>
    <n v="803.96"/>
    <s v="Cancelled"/>
    <s v="Chennai"/>
    <x v="1"/>
    <s v="Corporate"/>
    <n v="41"/>
    <x v="1"/>
    <s v="R016"/>
    <n v="814563.7100000002"/>
    <x v="1"/>
  </r>
  <r>
    <s v="ORD-01722"/>
    <x v="351"/>
    <s v="CUST-0275"/>
    <s v="PROD-008"/>
    <x v="7"/>
    <n v="10"/>
    <n v="2660"/>
    <n v="29.3"/>
    <n v="18806.2"/>
    <s v="Completed"/>
    <s v="Mumbai"/>
    <x v="4"/>
    <s v="Retail"/>
    <n v="36"/>
    <x v="3"/>
    <s v="R019"/>
    <n v="971183.52000000014"/>
    <x v="3"/>
  </r>
  <r>
    <s v="ORD-01723"/>
    <x v="47"/>
    <s v="CUST-0259"/>
    <s v="PROD-006"/>
    <x v="23"/>
    <n v="9"/>
    <n v="3970"/>
    <n v="10.4"/>
    <n v="32014.080000000002"/>
    <s v="Pending"/>
    <s v="Mumbai"/>
    <x v="4"/>
    <s v="Retail"/>
    <n v="34"/>
    <x v="1"/>
    <s v="R011"/>
    <n v="735207.75999999989"/>
    <x v="1"/>
  </r>
  <r>
    <s v="ORD-01724"/>
    <x v="22"/>
    <s v="CUST-0089"/>
    <s v="PROD-014"/>
    <x v="4"/>
    <n v="3"/>
    <n v="3620"/>
    <n v="22"/>
    <n v="8470.7999999999993"/>
    <s v="Completed"/>
    <s v="Mumbai"/>
    <x v="0"/>
    <s v="SMB"/>
    <n v="43"/>
    <x v="0"/>
    <s v="R008"/>
    <n v="861553.33"/>
    <x v="0"/>
  </r>
  <r>
    <s v="ORD-01725"/>
    <x v="266"/>
    <s v="CUST-0232"/>
    <s v="PROD-022"/>
    <x v="26"/>
    <n v="6"/>
    <n v="2270"/>
    <n v="11.1"/>
    <n v="12108.18"/>
    <s v="Cancelled"/>
    <s v="Hyderabad"/>
    <x v="2"/>
    <s v="Retail"/>
    <n v="38"/>
    <x v="3"/>
    <s v="R018"/>
    <n v="1112289.6400000001"/>
    <x v="3"/>
  </r>
  <r>
    <s v="ORD-01726"/>
    <x v="363"/>
    <s v="CUST-0220"/>
    <s v="PROD-022"/>
    <x v="2"/>
    <n v="4"/>
    <n v="2270"/>
    <n v="27.2"/>
    <n v="6610.24"/>
    <s v="Pending"/>
    <s v="Chennai"/>
    <x v="2"/>
    <s v="Retail"/>
    <n v="34"/>
    <x v="1"/>
    <s v="R014"/>
    <n v="995713.54000000015"/>
    <x v="1"/>
  </r>
  <r>
    <s v="ORD-01727"/>
    <x v="31"/>
    <s v="CUST-0137"/>
    <s v="PROD-039"/>
    <x v="27"/>
    <n v="8"/>
    <n v="4610"/>
    <n v="24.5"/>
    <n v="27844.400000000001"/>
    <s v="Completed"/>
    <s v="Mumbai"/>
    <x v="3"/>
    <s v="Retail"/>
    <n v="41"/>
    <x v="1"/>
    <s v="R012"/>
    <n v="901394.32000000007"/>
    <x v="1"/>
  </r>
  <r>
    <s v="ORD-01728"/>
    <x v="250"/>
    <s v="CUST-0132"/>
    <s v="PROD-060"/>
    <x v="16"/>
    <n v="6"/>
    <n v="190"/>
    <n v="8.6999999999999993"/>
    <n v="1040.82"/>
    <s v="Cancelled"/>
    <s v="Delhi"/>
    <x v="1"/>
    <s v="Retail"/>
    <n v="41"/>
    <x v="3"/>
    <s v="R020"/>
    <n v="906107.71000000008"/>
    <x v="3"/>
  </r>
  <r>
    <s v="ORD-01729"/>
    <x v="7"/>
    <s v="CUST-0226"/>
    <s v="PROD-033"/>
    <x v="17"/>
    <n v="5"/>
    <n v="2030"/>
    <n v="0.9"/>
    <n v="10058.65"/>
    <s v="Cancelled"/>
    <s v="Chennai"/>
    <x v="3"/>
    <s v="Corporate"/>
    <n v="52"/>
    <x v="2"/>
    <s v="R026"/>
    <n v="576305.08000000019"/>
    <x v="2"/>
  </r>
  <r>
    <s v="ORD-01730"/>
    <x v="105"/>
    <s v="CUST-0080"/>
    <s v="PROD-026"/>
    <x v="16"/>
    <n v="1"/>
    <n v="4070"/>
    <n v="9.3000000000000007"/>
    <n v="3691.49"/>
    <s v="Refunded"/>
    <s v="Pune"/>
    <x v="2"/>
    <s v="SMB"/>
    <n v="30"/>
    <x v="3"/>
    <s v="R020"/>
    <n v="906107.71000000008"/>
    <x v="3"/>
  </r>
  <r>
    <s v="ORD-01731"/>
    <x v="151"/>
    <s v="CUST-0068"/>
    <s v="PROD-042"/>
    <x v="19"/>
    <n v="3"/>
    <n v="2290"/>
    <n v="12.1"/>
    <n v="6038.73"/>
    <s v="Completed"/>
    <s v="Delhi"/>
    <x v="5"/>
    <s v="SMB"/>
    <n v="48"/>
    <x v="0"/>
    <s v="R001"/>
    <n v="789849.60000000009"/>
    <x v="0"/>
  </r>
  <r>
    <s v="ORD-01732"/>
    <x v="282"/>
    <s v="CUST-0146"/>
    <s v="PROD-031"/>
    <x v="16"/>
    <n v="7"/>
    <n v="3730"/>
    <n v="4.5"/>
    <n v="24935.05"/>
    <s v="Completed"/>
    <s v="Hyderabad"/>
    <x v="3"/>
    <s v="Retail"/>
    <n v="22"/>
    <x v="3"/>
    <s v="R020"/>
    <n v="906107.71000000008"/>
    <x v="3"/>
  </r>
  <r>
    <s v="ORD-01733"/>
    <x v="141"/>
    <s v="CUST-0106"/>
    <s v="PROD-016"/>
    <x v="1"/>
    <n v="5"/>
    <n v="620"/>
    <n v="7.5"/>
    <n v="2867.5"/>
    <s v="Completed"/>
    <s v="Pune"/>
    <x v="0"/>
    <s v="Retail"/>
    <n v="22"/>
    <x v="0"/>
    <s v="R005"/>
    <n v="782445.33"/>
    <x v="0"/>
  </r>
  <r>
    <s v="ORD-01734"/>
    <x v="6"/>
    <s v="CUST-0096"/>
    <s v="PROD-010"/>
    <x v="9"/>
    <n v="8"/>
    <n v="2640"/>
    <n v="16.399999999999999"/>
    <n v="17656.32"/>
    <s v="Completed"/>
    <s v="Delhi"/>
    <x v="4"/>
    <s v="Corporate"/>
    <n v="27"/>
    <x v="1"/>
    <s v="R010"/>
    <n v="880345.20000000007"/>
    <x v="1"/>
  </r>
  <r>
    <s v="ORD-01735"/>
    <x v="148"/>
    <s v="CUST-0248"/>
    <s v="PROD-028"/>
    <x v="10"/>
    <n v="6"/>
    <n v="3660"/>
    <n v="6.2"/>
    <n v="20598.48"/>
    <s v="Completed"/>
    <s v="Chennai"/>
    <x v="2"/>
    <s v="SMB"/>
    <n v="57"/>
    <x v="0"/>
    <s v="R004"/>
    <n v="589026.2899999998"/>
    <x v="0"/>
  </r>
  <r>
    <s v="ORD-01736"/>
    <x v="11"/>
    <s v="CUST-0297"/>
    <s v="PROD-020"/>
    <x v="16"/>
    <n v="2"/>
    <n v="820"/>
    <n v="25.4"/>
    <n v="1223.44"/>
    <s v="Completed"/>
    <s v="Hyderabad"/>
    <x v="0"/>
    <s v="Retail"/>
    <n v="50"/>
    <x v="3"/>
    <s v="R020"/>
    <n v="906107.71000000008"/>
    <x v="3"/>
  </r>
  <r>
    <s v="ORD-01737"/>
    <x v="102"/>
    <s v="CUST-0120"/>
    <s v="PROD-019"/>
    <x v="13"/>
    <n v="3"/>
    <n v="2480"/>
    <n v="28.7"/>
    <n v="5304.72"/>
    <s v="Pending"/>
    <s v="Mumbai"/>
    <x v="0"/>
    <s v="Retail"/>
    <n v="29"/>
    <x v="3"/>
    <s v="R021"/>
    <n v="761507.17000000027"/>
    <x v="3"/>
  </r>
  <r>
    <s v="ORD-01738"/>
    <x v="166"/>
    <s v="CUST-0148"/>
    <s v="PROD-050"/>
    <x v="8"/>
    <n v="10"/>
    <n v="6080"/>
    <n v="18.899999999999999"/>
    <n v="49308.800000000003"/>
    <s v="Completed"/>
    <s v="Chennai"/>
    <x v="5"/>
    <s v="Retail"/>
    <n v="32"/>
    <x v="2"/>
    <s v="R028"/>
    <n v="880468.05"/>
    <x v="2"/>
  </r>
  <r>
    <s v="ORD-01739"/>
    <x v="260"/>
    <s v="CUST-0008"/>
    <s v="PROD-060"/>
    <x v="24"/>
    <n v="1"/>
    <n v="190"/>
    <n v="5.7"/>
    <n v="179.17"/>
    <s v="Completed"/>
    <s v="Pune"/>
    <x v="1"/>
    <s v="SMB"/>
    <n v="39"/>
    <x v="3"/>
    <s v="R022"/>
    <n v="1069570.5400000003"/>
    <x v="3"/>
  </r>
  <r>
    <s v="ORD-01740"/>
    <x v="113"/>
    <s v="CUST-0013"/>
    <s v="PROD-059"/>
    <x v="17"/>
    <n v="2"/>
    <n v="3780"/>
    <n v="11.8"/>
    <n v="6667.92"/>
    <s v="Completed"/>
    <s v="Delhi"/>
    <x v="1"/>
    <s v="Retail"/>
    <n v="41"/>
    <x v="2"/>
    <s v="R026"/>
    <n v="576305.08000000019"/>
    <x v="2"/>
  </r>
  <r>
    <s v="ORD-01741"/>
    <x v="341"/>
    <s v="CUST-0234"/>
    <s v="PROD-036"/>
    <x v="19"/>
    <n v="5"/>
    <n v="3250"/>
    <n v="19.899999999999999"/>
    <n v="13016.25"/>
    <s v="Completed"/>
    <s v="Bengaluru"/>
    <x v="3"/>
    <s v="Retail"/>
    <n v="34"/>
    <x v="0"/>
    <s v="R001"/>
    <n v="789849.60000000009"/>
    <x v="0"/>
  </r>
  <r>
    <s v="ORD-01742"/>
    <x v="13"/>
    <s v="CUST-0207"/>
    <s v="PROD-033"/>
    <x v="4"/>
    <n v="7"/>
    <n v="2030"/>
    <n v="4.0999999999999996"/>
    <n v="13627.39"/>
    <s v="Completed"/>
    <s v="Hyderabad"/>
    <x v="3"/>
    <s v="SMB"/>
    <n v="34"/>
    <x v="0"/>
    <s v="R008"/>
    <n v="861553.33"/>
    <x v="0"/>
  </r>
  <r>
    <s v="ORD-01743"/>
    <x v="330"/>
    <s v="CUST-0245"/>
    <s v="PROD-046"/>
    <x v="27"/>
    <n v="5"/>
    <n v="4880"/>
    <n v="22.9"/>
    <n v="18812.400000000001"/>
    <s v="Completed"/>
    <s v="Hyderabad"/>
    <x v="5"/>
    <s v="Retail"/>
    <n v="65"/>
    <x v="1"/>
    <s v="R012"/>
    <n v="901394.32000000007"/>
    <x v="1"/>
  </r>
  <r>
    <s v="ORD-01744"/>
    <x v="92"/>
    <s v="CUST-0044"/>
    <s v="PROD-043"/>
    <x v="16"/>
    <n v="3"/>
    <n v="3350"/>
    <n v="15.2"/>
    <n v="8522.4"/>
    <s v="Pending"/>
    <s v="Hyderabad"/>
    <x v="5"/>
    <s v="SMB"/>
    <n v="29"/>
    <x v="3"/>
    <s v="R020"/>
    <n v="906107.71000000008"/>
    <x v="3"/>
  </r>
  <r>
    <s v="ORD-01745"/>
    <x v="54"/>
    <s v="CUST-0264"/>
    <s v="PROD-055"/>
    <x v="20"/>
    <n v="10"/>
    <n v="2860"/>
    <n v="15"/>
    <n v="24310"/>
    <s v="Completed"/>
    <s v="Pune"/>
    <x v="1"/>
    <s v="Retail"/>
    <n v="59"/>
    <x v="2"/>
    <s v="R029"/>
    <n v="1016696.8000000002"/>
    <x v="2"/>
  </r>
  <r>
    <s v="ORD-01746"/>
    <x v="328"/>
    <s v="CUST-0193"/>
    <s v="PROD-047"/>
    <x v="26"/>
    <n v="5"/>
    <n v="3450"/>
    <n v="2.2999999999999998"/>
    <n v="16853.25"/>
    <s v="Completed"/>
    <s v="Bengaluru"/>
    <x v="5"/>
    <s v="Retail"/>
    <n v="42"/>
    <x v="3"/>
    <s v="R018"/>
    <n v="1112289.6400000001"/>
    <x v="3"/>
  </r>
  <r>
    <s v="ORD-01747"/>
    <x v="245"/>
    <s v="CUST-0006"/>
    <s v="PROD-024"/>
    <x v="15"/>
    <n v="3"/>
    <n v="2270"/>
    <n v="2.8"/>
    <n v="6619.32"/>
    <s v="Pending"/>
    <s v="Pune"/>
    <x v="2"/>
    <s v="SMB"/>
    <n v="44"/>
    <x v="1"/>
    <s v="R015"/>
    <n v="1091740.1799999997"/>
    <x v="1"/>
  </r>
  <r>
    <s v="ORD-01748"/>
    <x v="20"/>
    <s v="CUST-0221"/>
    <s v="PROD-028"/>
    <x v="0"/>
    <n v="8"/>
    <n v="3660"/>
    <n v="16.8"/>
    <n v="24360.959999999999"/>
    <s v="Completed"/>
    <s v="Delhi"/>
    <x v="2"/>
    <s v="SMB"/>
    <n v="29"/>
    <x v="0"/>
    <s v="R007"/>
    <n v="855749.67999999982"/>
    <x v="0"/>
  </r>
  <r>
    <s v="ORD-01749"/>
    <x v="277"/>
    <s v="CUST-0151"/>
    <s v="PROD-045"/>
    <x v="4"/>
    <n v="7"/>
    <n v="3020"/>
    <n v="17.8"/>
    <n v="17377.080000000002"/>
    <s v="Completed"/>
    <s v="Mumbai"/>
    <x v="5"/>
    <s v="Retail"/>
    <n v="53"/>
    <x v="0"/>
    <s v="R008"/>
    <n v="861553.33"/>
    <x v="0"/>
  </r>
  <r>
    <s v="ORD-01750"/>
    <x v="78"/>
    <s v="CUST-0188"/>
    <s v="PROD-040"/>
    <x v="2"/>
    <n v="7"/>
    <n v="1080"/>
    <n v="12.9"/>
    <n v="6584.76"/>
    <s v="Completed"/>
    <s v="Bengaluru"/>
    <x v="3"/>
    <s v="Retail"/>
    <n v="54"/>
    <x v="1"/>
    <s v="R014"/>
    <n v="995713.54000000015"/>
    <x v="1"/>
  </r>
  <r>
    <s v="ORD-01751"/>
    <x v="315"/>
    <s v="CUST-0010"/>
    <s v="PROD-022"/>
    <x v="27"/>
    <n v="2"/>
    <n v="2270"/>
    <n v="8.6"/>
    <n v="4149.5600000000004"/>
    <s v="Cancelled"/>
    <s v="Mumbai"/>
    <x v="2"/>
    <s v="SMB"/>
    <n v="61"/>
    <x v="1"/>
    <s v="R012"/>
    <n v="901394.32000000007"/>
    <x v="1"/>
  </r>
  <r>
    <s v="ORD-01752"/>
    <x v="338"/>
    <s v="CUST-0018"/>
    <s v="PROD-016"/>
    <x v="27"/>
    <n v="10"/>
    <n v="620"/>
    <n v="26.1"/>
    <n v="4581.8"/>
    <s v="Completed"/>
    <s v="Pune"/>
    <x v="0"/>
    <s v="SMB"/>
    <n v="54"/>
    <x v="1"/>
    <s v="R012"/>
    <n v="901394.32000000007"/>
    <x v="1"/>
  </r>
  <r>
    <s v="ORD-01753"/>
    <x v="230"/>
    <s v="CUST-0262"/>
    <s v="PROD-025"/>
    <x v="15"/>
    <n v="2"/>
    <n v="4060"/>
    <n v="3.8"/>
    <n v="7811.44"/>
    <s v="Completed"/>
    <s v="Mumbai"/>
    <x v="2"/>
    <s v="Retail"/>
    <n v="52"/>
    <x v="1"/>
    <s v="R015"/>
    <n v="1091740.1799999997"/>
    <x v="1"/>
  </r>
  <r>
    <s v="ORD-01754"/>
    <x v="56"/>
    <s v="CUST-0282"/>
    <s v="PROD-027"/>
    <x v="27"/>
    <n v="1"/>
    <n v="3780"/>
    <n v="27.9"/>
    <n v="2725.38"/>
    <s v="Completed"/>
    <s v="Hyderabad"/>
    <x v="2"/>
    <s v="Corporate"/>
    <n v="29"/>
    <x v="1"/>
    <s v="R012"/>
    <n v="901394.32000000007"/>
    <x v="1"/>
  </r>
  <r>
    <s v="ORD-01755"/>
    <x v="7"/>
    <s v="CUST-0194"/>
    <s v="PROD-023"/>
    <x v="24"/>
    <n v="8"/>
    <n v="2380"/>
    <n v="3.8"/>
    <n v="18316.48"/>
    <s v="Completed"/>
    <s v="Delhi"/>
    <x v="2"/>
    <s v="SMB"/>
    <n v="55"/>
    <x v="3"/>
    <s v="R022"/>
    <n v="1069570.5400000003"/>
    <x v="3"/>
  </r>
  <r>
    <s v="ORD-01756"/>
    <x v="239"/>
    <s v="CUST-0161"/>
    <s v="PROD-026"/>
    <x v="6"/>
    <n v="7"/>
    <n v="4070"/>
    <n v="0.3"/>
    <n v="28404.53"/>
    <s v="Completed"/>
    <s v="Chennai"/>
    <x v="2"/>
    <s v="Retail"/>
    <n v="38"/>
    <x v="2"/>
    <s v="R024"/>
    <n v="819558.58"/>
    <x v="2"/>
  </r>
  <r>
    <s v="ORD-01757"/>
    <x v="61"/>
    <s v="CUST-0120"/>
    <s v="PROD-010"/>
    <x v="16"/>
    <n v="6"/>
    <n v="2640"/>
    <n v="3.4"/>
    <n v="15301.44"/>
    <s v="Completed"/>
    <s v="Mumbai"/>
    <x v="4"/>
    <s v="Retail"/>
    <n v="29"/>
    <x v="3"/>
    <s v="R020"/>
    <n v="906107.71000000008"/>
    <x v="3"/>
  </r>
  <r>
    <s v="ORD-01758"/>
    <x v="312"/>
    <s v="CUST-0250"/>
    <s v="PROD-059"/>
    <x v="14"/>
    <n v="10"/>
    <n v="3780"/>
    <n v="13.3"/>
    <n v="32772.6"/>
    <s v="Completed"/>
    <s v="Delhi"/>
    <x v="1"/>
    <s v="Retail"/>
    <n v="31"/>
    <x v="2"/>
    <s v="R030"/>
    <n v="747624.36999999988"/>
    <x v="2"/>
  </r>
  <r>
    <s v="ORD-01759"/>
    <x v="272"/>
    <s v="CUST-0054"/>
    <s v="PROD-043"/>
    <x v="18"/>
    <n v="9"/>
    <n v="3350"/>
    <n v="12.8"/>
    <n v="26290.799999999999"/>
    <s v="Completed"/>
    <s v="Mumbai"/>
    <x v="5"/>
    <s v="Corporate"/>
    <n v="62"/>
    <x v="1"/>
    <s v="R009"/>
    <n v="914554.71999999986"/>
    <x v="1"/>
  </r>
  <r>
    <s v="ORD-01760"/>
    <x v="61"/>
    <s v="CUST-0247"/>
    <s v="PROD-012"/>
    <x v="6"/>
    <n v="7"/>
    <n v="3160"/>
    <n v="15.3"/>
    <n v="18735.64"/>
    <s v="Completed"/>
    <s v="Pune"/>
    <x v="0"/>
    <s v="SMB"/>
    <n v="35"/>
    <x v="2"/>
    <s v="R024"/>
    <n v="819558.58"/>
    <x v="2"/>
  </r>
  <r>
    <s v="ORD-01761"/>
    <x v="49"/>
    <s v="CUST-0127"/>
    <s v="PROD-055"/>
    <x v="10"/>
    <n v="6"/>
    <n v="2860"/>
    <n v="17.5"/>
    <n v="14157"/>
    <s v="Completed"/>
    <s v="Bengaluru"/>
    <x v="1"/>
    <s v="SMB"/>
    <n v="36"/>
    <x v="0"/>
    <s v="R004"/>
    <n v="589026.2899999998"/>
    <x v="0"/>
  </r>
  <r>
    <s v="ORD-01762"/>
    <x v="123"/>
    <s v="CUST-0030"/>
    <s v="PROD-005"/>
    <x v="9"/>
    <n v="9"/>
    <n v="300"/>
    <n v="25.2"/>
    <n v="2019.6"/>
    <s v="Completed"/>
    <s v="Bengaluru"/>
    <x v="4"/>
    <s v="Corporate"/>
    <n v="43"/>
    <x v="1"/>
    <s v="R010"/>
    <n v="880345.20000000007"/>
    <x v="1"/>
  </r>
  <r>
    <s v="ORD-01763"/>
    <x v="197"/>
    <s v="CUST-0205"/>
    <s v="PROD-060"/>
    <x v="16"/>
    <n v="5"/>
    <n v="190"/>
    <n v="1.8"/>
    <n v="932.9"/>
    <s v="Completed"/>
    <s v="Pune"/>
    <x v="1"/>
    <s v="Corporate"/>
    <n v="29"/>
    <x v="3"/>
    <s v="R020"/>
    <n v="906107.71000000008"/>
    <x v="3"/>
  </r>
  <r>
    <s v="ORD-01764"/>
    <x v="80"/>
    <s v="CUST-0172"/>
    <s v="PROD-054"/>
    <x v="13"/>
    <n v="7"/>
    <n v="1010"/>
    <n v="11.2"/>
    <n v="6278.16"/>
    <s v="Completed"/>
    <s v="Pune"/>
    <x v="1"/>
    <s v="Retail"/>
    <n v="65"/>
    <x v="3"/>
    <s v="R021"/>
    <n v="761507.17000000027"/>
    <x v="3"/>
  </r>
  <r>
    <s v="ORD-01765"/>
    <x v="50"/>
    <s v="CUST-0283"/>
    <s v="PROD-051"/>
    <x v="19"/>
    <n v="8"/>
    <n v="3450"/>
    <n v="8.4"/>
    <n v="25281.599999999999"/>
    <s v="Completed"/>
    <s v="Delhi"/>
    <x v="1"/>
    <s v="SMB"/>
    <n v="50"/>
    <x v="0"/>
    <s v="R001"/>
    <n v="789849.60000000009"/>
    <x v="0"/>
  </r>
  <r>
    <s v="ORD-01766"/>
    <x v="100"/>
    <s v="CUST-0005"/>
    <s v="PROD-005"/>
    <x v="19"/>
    <n v="3"/>
    <n v="300"/>
    <n v="7.5"/>
    <n v="832.5"/>
    <s v="Refunded"/>
    <s v="Chennai"/>
    <x v="4"/>
    <s v="Corporate"/>
    <n v="52"/>
    <x v="0"/>
    <s v="R001"/>
    <n v="789849.60000000009"/>
    <x v="0"/>
  </r>
  <r>
    <s v="ORD-01767"/>
    <x v="43"/>
    <s v="CUST-0095"/>
    <s v="PROD-031"/>
    <x v="26"/>
    <n v="4"/>
    <n v="3730"/>
    <n v="24.8"/>
    <n v="11219.84"/>
    <s v="Completed"/>
    <s v="Mumbai"/>
    <x v="3"/>
    <s v="SMB"/>
    <n v="54"/>
    <x v="3"/>
    <s v="R018"/>
    <n v="1112289.6400000001"/>
    <x v="3"/>
  </r>
  <r>
    <s v="ORD-01768"/>
    <x v="32"/>
    <s v="CUST-0142"/>
    <s v="PROD-058"/>
    <x v="16"/>
    <n v="5"/>
    <n v="2400"/>
    <n v="9.1999999999999993"/>
    <n v="10896"/>
    <s v="Completed"/>
    <s v="Chennai"/>
    <x v="1"/>
    <s v="Corporate"/>
    <n v="55"/>
    <x v="3"/>
    <s v="R020"/>
    <n v="906107.71000000008"/>
    <x v="3"/>
  </r>
  <r>
    <s v="ORD-01769"/>
    <x v="303"/>
    <s v="CUST-0028"/>
    <s v="PROD-021"/>
    <x v="19"/>
    <n v="3"/>
    <n v="2760"/>
    <n v="2.4"/>
    <n v="8081.28"/>
    <s v="Completed"/>
    <s v="Bengaluru"/>
    <x v="2"/>
    <s v="Retail"/>
    <n v="59"/>
    <x v="0"/>
    <s v="R001"/>
    <n v="789849.60000000009"/>
    <x v="0"/>
  </r>
  <r>
    <s v="ORD-01770"/>
    <x v="289"/>
    <s v="CUST-0118"/>
    <s v="PROD-053"/>
    <x v="18"/>
    <n v="8"/>
    <n v="470"/>
    <n v="24.8"/>
    <n v="2827.52"/>
    <s v="Pending"/>
    <s v="Hyderabad"/>
    <x v="1"/>
    <s v="Retail"/>
    <n v="26"/>
    <x v="1"/>
    <s v="R009"/>
    <n v="914554.71999999986"/>
    <x v="1"/>
  </r>
  <r>
    <s v="ORD-01771"/>
    <x v="142"/>
    <s v="CUST-0231"/>
    <s v="PROD-053"/>
    <x v="28"/>
    <n v="3"/>
    <n v="470"/>
    <n v="18.600000000000001"/>
    <n v="1147.74"/>
    <s v="Completed"/>
    <s v="Chennai"/>
    <x v="1"/>
    <s v="Retail"/>
    <n v="61"/>
    <x v="2"/>
    <s v="R027"/>
    <n v="917092.61999999965"/>
    <x v="2"/>
  </r>
  <r>
    <s v="ORD-01772"/>
    <x v="228"/>
    <s v="CUST-0264"/>
    <s v="PROD-032"/>
    <x v="8"/>
    <n v="2"/>
    <n v="370"/>
    <n v="24"/>
    <n v="562.4"/>
    <s v="Completed"/>
    <s v="Pune"/>
    <x v="3"/>
    <s v="Retail"/>
    <n v="59"/>
    <x v="2"/>
    <s v="R028"/>
    <n v="880468.05"/>
    <x v="2"/>
  </r>
  <r>
    <s v="ORD-01773"/>
    <x v="90"/>
    <s v="CUST-0120"/>
    <s v="PROD-029"/>
    <x v="19"/>
    <n v="6"/>
    <n v="2210"/>
    <n v="28.3"/>
    <n v="9507.42"/>
    <s v="Cancelled"/>
    <s v="Mumbai"/>
    <x v="2"/>
    <s v="Retail"/>
    <n v="29"/>
    <x v="0"/>
    <s v="R001"/>
    <n v="789849.60000000009"/>
    <x v="0"/>
  </r>
  <r>
    <s v="ORD-01774"/>
    <x v="0"/>
    <s v="CUST-0185"/>
    <s v="PROD-056"/>
    <x v="25"/>
    <n v="3"/>
    <n v="6940"/>
    <n v="27.2"/>
    <n v="15156.96"/>
    <s v="Refunded"/>
    <s v="Hyderabad"/>
    <x v="1"/>
    <s v="SMB"/>
    <n v="43"/>
    <x v="0"/>
    <s v="R002"/>
    <n v="980063.65999999968"/>
    <x v="0"/>
  </r>
  <r>
    <s v="ORD-01775"/>
    <x v="318"/>
    <s v="CUST-0174"/>
    <s v="PROD-033"/>
    <x v="26"/>
    <n v="10"/>
    <n v="2030"/>
    <n v="25.6"/>
    <n v="15103.2"/>
    <s v="Completed"/>
    <s v="Pune"/>
    <x v="3"/>
    <s v="Retail"/>
    <n v="54"/>
    <x v="3"/>
    <s v="R018"/>
    <n v="1112289.6400000001"/>
    <x v="3"/>
  </r>
  <r>
    <s v="ORD-01776"/>
    <x v="80"/>
    <s v="CUST-0174"/>
    <s v="PROD-054"/>
    <x v="21"/>
    <n v="9"/>
    <n v="1010"/>
    <n v="9.3000000000000007"/>
    <n v="8244.6299999999992"/>
    <s v="Completed"/>
    <s v="Pune"/>
    <x v="1"/>
    <s v="Retail"/>
    <n v="54"/>
    <x v="3"/>
    <s v="R017"/>
    <n v="780384.40999999992"/>
    <x v="3"/>
  </r>
  <r>
    <s v="ORD-01777"/>
    <x v="297"/>
    <s v="CUST-0084"/>
    <s v="PROD-017"/>
    <x v="25"/>
    <n v="5"/>
    <n v="2510"/>
    <n v="22.2"/>
    <n v="9763.9"/>
    <s v="Completed"/>
    <s v="Chennai"/>
    <x v="0"/>
    <s v="Retail"/>
    <n v="28"/>
    <x v="0"/>
    <s v="R002"/>
    <n v="980063.65999999968"/>
    <x v="0"/>
  </r>
  <r>
    <s v="ORD-01778"/>
    <x v="236"/>
    <s v="CUST-0270"/>
    <s v="PROD-032"/>
    <x v="25"/>
    <n v="10"/>
    <n v="370"/>
    <n v="29"/>
    <n v="2627"/>
    <s v="Completed"/>
    <s v="Bengaluru"/>
    <x v="3"/>
    <s v="Retail"/>
    <n v="29"/>
    <x v="0"/>
    <s v="R002"/>
    <n v="980063.65999999968"/>
    <x v="0"/>
  </r>
  <r>
    <s v="ORD-01779"/>
    <x v="210"/>
    <s v="CUST-0178"/>
    <s v="PROD-019"/>
    <x v="13"/>
    <n v="3"/>
    <n v="2480"/>
    <n v="9.6"/>
    <n v="6725.76"/>
    <s v="Completed"/>
    <s v="Hyderabad"/>
    <x v="0"/>
    <s v="Retail"/>
    <n v="25"/>
    <x v="3"/>
    <s v="R021"/>
    <n v="761507.17000000027"/>
    <x v="3"/>
  </r>
  <r>
    <s v="ORD-01780"/>
    <x v="128"/>
    <s v="CUST-0019"/>
    <s v="PROD-010"/>
    <x v="21"/>
    <n v="3"/>
    <n v="2640"/>
    <n v="10.199999999999999"/>
    <n v="7112.16"/>
    <s v="Cancelled"/>
    <s v="Chennai"/>
    <x v="4"/>
    <s v="Retail"/>
    <n v="22"/>
    <x v="3"/>
    <s v="R017"/>
    <n v="780384.40999999992"/>
    <x v="3"/>
  </r>
  <r>
    <s v="ORD-01781"/>
    <x v="172"/>
    <s v="CUST-0276"/>
    <s v="PROD-035"/>
    <x v="16"/>
    <n v="1"/>
    <n v="1090"/>
    <n v="21.6"/>
    <n v="854.56"/>
    <s v="Cancelled"/>
    <s v="Chennai"/>
    <x v="3"/>
    <s v="Retail"/>
    <n v="26"/>
    <x v="3"/>
    <s v="R020"/>
    <n v="906107.71000000008"/>
    <x v="3"/>
  </r>
  <r>
    <s v="ORD-01782"/>
    <x v="38"/>
    <s v="CUST-0076"/>
    <s v="PROD-043"/>
    <x v="25"/>
    <n v="10"/>
    <n v="3350"/>
    <n v="12.1"/>
    <n v="29446.5"/>
    <s v="Completed"/>
    <s v="Mumbai"/>
    <x v="5"/>
    <s v="Retail"/>
    <n v="38"/>
    <x v="0"/>
    <s v="R002"/>
    <n v="980063.65999999968"/>
    <x v="0"/>
  </r>
  <r>
    <s v="ORD-01783"/>
    <x v="254"/>
    <s v="CUST-0085"/>
    <s v="PROD-050"/>
    <x v="15"/>
    <n v="4"/>
    <n v="6080"/>
    <n v="26.7"/>
    <n v="17826.560000000001"/>
    <s v="Cancelled"/>
    <s v="Chennai"/>
    <x v="5"/>
    <s v="Retail"/>
    <n v="26"/>
    <x v="1"/>
    <s v="R015"/>
    <n v="1091740.1799999997"/>
    <x v="1"/>
  </r>
  <r>
    <s v="ORD-01784"/>
    <x v="332"/>
    <s v="CUST-0245"/>
    <s v="PROD-049"/>
    <x v="25"/>
    <n v="3"/>
    <n v="960"/>
    <n v="13.2"/>
    <n v="2499.84"/>
    <s v="Completed"/>
    <s v="Hyderabad"/>
    <x v="5"/>
    <s v="Retail"/>
    <n v="65"/>
    <x v="0"/>
    <s v="R002"/>
    <n v="980063.65999999968"/>
    <x v="0"/>
  </r>
  <r>
    <s v="ORD-01785"/>
    <x v="294"/>
    <s v="CUST-0135"/>
    <s v="PROD-028"/>
    <x v="0"/>
    <n v="9"/>
    <n v="3660"/>
    <n v="9.3000000000000007"/>
    <n v="29876.58"/>
    <s v="Cancelled"/>
    <s v="Pune"/>
    <x v="2"/>
    <s v="SMB"/>
    <n v="24"/>
    <x v="0"/>
    <s v="R007"/>
    <n v="855749.67999999982"/>
    <x v="0"/>
  </r>
  <r>
    <s v="ORD-01786"/>
    <x v="321"/>
    <s v="CUST-0224"/>
    <s v="PROD-047"/>
    <x v="7"/>
    <n v="6"/>
    <n v="3450"/>
    <n v="8.1999999999999993"/>
    <n v="19002.599999999999"/>
    <s v="Completed"/>
    <s v="Chennai"/>
    <x v="5"/>
    <s v="Corporate"/>
    <n v="24"/>
    <x v="3"/>
    <s v="R019"/>
    <n v="971183.52000000014"/>
    <x v="3"/>
  </r>
  <r>
    <s v="ORD-01787"/>
    <x v="292"/>
    <s v="CUST-0036"/>
    <s v="PROD-039"/>
    <x v="16"/>
    <n v="7"/>
    <n v="4610"/>
    <n v="10.4"/>
    <n v="28913.919999999998"/>
    <s v="Completed"/>
    <s v="Mumbai"/>
    <x v="3"/>
    <s v="Retail"/>
    <n v="35"/>
    <x v="3"/>
    <s v="R020"/>
    <n v="906107.71000000008"/>
    <x v="3"/>
  </r>
  <r>
    <s v="ORD-01788"/>
    <x v="201"/>
    <s v="CUST-0197"/>
    <s v="PROD-057"/>
    <x v="18"/>
    <n v="2"/>
    <n v="960"/>
    <n v="16.5"/>
    <n v="1603.2"/>
    <s v="Completed"/>
    <s v="Bengaluru"/>
    <x v="1"/>
    <s v="Retail"/>
    <n v="55"/>
    <x v="1"/>
    <s v="R009"/>
    <n v="914554.71999999986"/>
    <x v="1"/>
  </r>
  <r>
    <s v="ORD-01789"/>
    <x v="223"/>
    <s v="CUST-0111"/>
    <s v="PROD-032"/>
    <x v="12"/>
    <n v="7"/>
    <n v="370"/>
    <n v="1.4"/>
    <n v="2553.7399999999998"/>
    <s v="Refunded"/>
    <s v="Chennai"/>
    <x v="3"/>
    <s v="SMB"/>
    <n v="64"/>
    <x v="3"/>
    <s v="R023"/>
    <n v="983787.4800000001"/>
    <x v="3"/>
  </r>
  <r>
    <s v="ORD-01790"/>
    <x v="275"/>
    <s v="CUST-0198"/>
    <s v="PROD-024"/>
    <x v="10"/>
    <n v="3"/>
    <n v="2270"/>
    <n v="12.6"/>
    <n v="5951.94"/>
    <s v="Completed"/>
    <s v="Chennai"/>
    <x v="2"/>
    <s v="Corporate"/>
    <n v="22"/>
    <x v="0"/>
    <s v="R004"/>
    <n v="589026.2899999998"/>
    <x v="0"/>
  </r>
  <r>
    <s v="ORD-00268"/>
    <x v="114"/>
    <s v="CUST-0049"/>
    <s v="PROD-036"/>
    <x v="2"/>
    <n v="1"/>
    <n v="3250"/>
    <n v="17.8"/>
    <n v="2671.5"/>
    <s v="Completed"/>
    <s v="Mumbai"/>
    <x v="3"/>
    <s v="Corporate"/>
    <n v="42"/>
    <x v="1"/>
    <s v="R014"/>
    <n v="995713.54000000015"/>
    <x v="1"/>
  </r>
  <r>
    <s v="ORD-01792"/>
    <x v="280"/>
    <s v="CUST-0029"/>
    <s v="PROD-016"/>
    <x v="26"/>
    <n v="5"/>
    <n v="620"/>
    <n v="19.399999999999999"/>
    <n v="2498.6"/>
    <s v="Pending"/>
    <s v="Chennai"/>
    <x v="0"/>
    <s v="Corporate"/>
    <n v="54"/>
    <x v="3"/>
    <s v="R018"/>
    <n v="1112289.6400000001"/>
    <x v="3"/>
  </r>
  <r>
    <s v="ORD-01793"/>
    <x v="77"/>
    <s v="CUST-0018"/>
    <s v="PROD-008"/>
    <x v="1"/>
    <n v="6"/>
    <n v="2660"/>
    <n v="14.9"/>
    <n v="13581.96"/>
    <s v="Completed"/>
    <s v="Pune"/>
    <x v="4"/>
    <s v="SMB"/>
    <n v="54"/>
    <x v="0"/>
    <s v="R005"/>
    <n v="782445.33"/>
    <x v="0"/>
  </r>
  <r>
    <s v="ORD-01794"/>
    <x v="357"/>
    <s v="CUST-0007"/>
    <s v="PROD-014"/>
    <x v="19"/>
    <n v="5"/>
    <n v="3620"/>
    <n v="21"/>
    <n v="14299"/>
    <s v="Cancelled"/>
    <s v="Bengaluru"/>
    <x v="0"/>
    <s v="Retail"/>
    <n v="47"/>
    <x v="0"/>
    <s v="R001"/>
    <n v="789849.60000000009"/>
    <x v="0"/>
  </r>
  <r>
    <s v="ORD-01795"/>
    <x v="228"/>
    <s v="CUST-0014"/>
    <s v="PROD-013"/>
    <x v="13"/>
    <n v="1"/>
    <n v="3640"/>
    <n v="15.8"/>
    <n v="3064.88"/>
    <s v="Completed"/>
    <s v="Bengaluru"/>
    <x v="0"/>
    <s v="Retail"/>
    <n v="48"/>
    <x v="3"/>
    <s v="R021"/>
    <n v="761507.17000000027"/>
    <x v="3"/>
  </r>
  <r>
    <s v="ORD-01796"/>
    <x v="328"/>
    <s v="CUST-0215"/>
    <s v="PROD-009"/>
    <x v="0"/>
    <n v="1"/>
    <n v="1220"/>
    <n v="0.6"/>
    <n v="1212.68"/>
    <s v="Refunded"/>
    <s v="Hyderabad"/>
    <x v="4"/>
    <s v="Retail"/>
    <n v="52"/>
    <x v="0"/>
    <s v="R007"/>
    <n v="855749.67999999982"/>
    <x v="0"/>
  </r>
  <r>
    <s v="ORD-01797"/>
    <x v="154"/>
    <s v="CUST-0056"/>
    <s v="PROD-019"/>
    <x v="25"/>
    <n v="10"/>
    <n v="2480"/>
    <n v="0.6"/>
    <n v="24651.200000000001"/>
    <s v="Completed"/>
    <s v="Bengaluru"/>
    <x v="0"/>
    <s v="SMB"/>
    <n v="46"/>
    <x v="0"/>
    <s v="R002"/>
    <n v="980063.65999999968"/>
    <x v="0"/>
  </r>
  <r>
    <s v="ORD-01798"/>
    <x v="287"/>
    <s v="CUST-0231"/>
    <s v="PROD-044"/>
    <x v="28"/>
    <n v="9"/>
    <n v="1650"/>
    <n v="26.8"/>
    <n v="10870.2"/>
    <s v="Completed"/>
    <s v="Chennai"/>
    <x v="5"/>
    <s v="Retail"/>
    <n v="61"/>
    <x v="2"/>
    <s v="R027"/>
    <n v="917092.61999999965"/>
    <x v="2"/>
  </r>
  <r>
    <s v="ORD-01799"/>
    <x v="9"/>
    <s v="CUST-0138"/>
    <s v="PROD-045"/>
    <x v="4"/>
    <n v="10"/>
    <n v="3020"/>
    <n v="2.6"/>
    <n v="29414.799999999999"/>
    <s v="Completed"/>
    <s v="Chennai"/>
    <x v="5"/>
    <s v="Retail"/>
    <n v="24"/>
    <x v="0"/>
    <s v="R008"/>
    <n v="861553.33"/>
    <x v="0"/>
  </r>
  <r>
    <s v="ORD-01800"/>
    <x v="227"/>
    <s v="CUST-0007"/>
    <s v="PROD-011"/>
    <x v="2"/>
    <n v="5"/>
    <n v="3450"/>
    <n v="25.3"/>
    <n v="12885.75"/>
    <s v="Completed"/>
    <s v="Bengaluru"/>
    <x v="0"/>
    <s v="Retail"/>
    <n v="47"/>
    <x v="1"/>
    <s v="R014"/>
    <n v="995713.54000000015"/>
    <x v="1"/>
  </r>
  <r>
    <s v="ORD-01801"/>
    <x v="136"/>
    <s v="CUST-0118"/>
    <s v="PROD-009"/>
    <x v="7"/>
    <n v="7"/>
    <n v="1220"/>
    <n v="13.1"/>
    <n v="7421.26"/>
    <s v="Completed"/>
    <s v="Hyderabad"/>
    <x v="4"/>
    <s v="Retail"/>
    <n v="26"/>
    <x v="3"/>
    <s v="R019"/>
    <n v="971183.52000000014"/>
    <x v="3"/>
  </r>
  <r>
    <s v="ORD-01802"/>
    <x v="344"/>
    <s v="CUST-0064"/>
    <s v="PROD-027"/>
    <x v="1"/>
    <n v="10"/>
    <n v="3780"/>
    <n v="23.7"/>
    <n v="28841.4"/>
    <s v="Completed"/>
    <s v="Hyderabad"/>
    <x v="2"/>
    <s v="SMB"/>
    <n v="40"/>
    <x v="0"/>
    <s v="R005"/>
    <n v="782445.33"/>
    <x v="0"/>
  </r>
  <r>
    <s v="ORD-01803"/>
    <x v="171"/>
    <s v="CUST-0298"/>
    <s v="PROD-008"/>
    <x v="25"/>
    <n v="8"/>
    <n v="2660"/>
    <n v="16.100000000000001"/>
    <n v="17853.919999999998"/>
    <s v="Completed"/>
    <s v="Delhi"/>
    <x v="4"/>
    <s v="Retail"/>
    <n v="44"/>
    <x v="0"/>
    <s v="R002"/>
    <n v="980063.65999999968"/>
    <x v="0"/>
  </r>
  <r>
    <s v="ORD-01804"/>
    <x v="200"/>
    <s v="CUST-0020"/>
    <s v="PROD-035"/>
    <x v="4"/>
    <n v="6"/>
    <n v="1090"/>
    <n v="20"/>
    <n v="5232"/>
    <s v="Pending"/>
    <s v="Hyderabad"/>
    <x v="3"/>
    <s v="Retail"/>
    <n v="46"/>
    <x v="0"/>
    <s v="R008"/>
    <n v="861553.33"/>
    <x v="0"/>
  </r>
  <r>
    <s v="ORD-01805"/>
    <x v="258"/>
    <s v="CUST-9725"/>
    <s v="PROD-037"/>
    <x v="29"/>
    <n v="2"/>
    <n v="660"/>
    <n v="18.7"/>
    <n v="1073.1600000000001"/>
    <s v="Completed"/>
    <s v="Mumbai"/>
    <x v="3"/>
    <e v="#N/A"/>
    <e v="#N/A"/>
    <x v="1"/>
    <s v="R016"/>
    <n v="814563.7100000002"/>
    <x v="1"/>
  </r>
  <r>
    <s v="ORD-01806"/>
    <x v="10"/>
    <s v="CUST-0063"/>
    <s v="PROD-035"/>
    <x v="15"/>
    <n v="7"/>
    <n v="1090"/>
    <n v="19.399999999999999"/>
    <n v="6149.78"/>
    <s v="Pending"/>
    <s v="Mumbai"/>
    <x v="3"/>
    <s v="SMB"/>
    <n v="53"/>
    <x v="1"/>
    <s v="R015"/>
    <n v="1091740.1799999997"/>
    <x v="1"/>
  </r>
  <r>
    <s v="ORD-01807"/>
    <x v="335"/>
    <s v="CUST-0193"/>
    <s v="PROD-029"/>
    <x v="15"/>
    <n v="3"/>
    <n v="2210"/>
    <n v="11"/>
    <n v="5900.7"/>
    <s v="Completed"/>
    <s v="Bengaluru"/>
    <x v="2"/>
    <s v="Retail"/>
    <n v="42"/>
    <x v="1"/>
    <s v="R015"/>
    <n v="1091740.1799999997"/>
    <x v="1"/>
  </r>
  <r>
    <s v="ORD-01808"/>
    <x v="103"/>
    <s v="CUST-0142"/>
    <s v="PROD-006"/>
    <x v="20"/>
    <n v="2"/>
    <n v="3970"/>
    <n v="24.9"/>
    <n v="5962.94"/>
    <s v="Completed"/>
    <s v="Chennai"/>
    <x v="4"/>
    <s v="Corporate"/>
    <n v="55"/>
    <x v="2"/>
    <s v="R029"/>
    <n v="1016696.8000000002"/>
    <x v="2"/>
  </r>
  <r>
    <s v="ORD-01809"/>
    <x v="210"/>
    <s v="CUST-0264"/>
    <s v="PROD-039"/>
    <x v="13"/>
    <n v="7"/>
    <n v="4610"/>
    <n v="6.3"/>
    <n v="30236.99"/>
    <s v="Completed"/>
    <s v="Pune"/>
    <x v="3"/>
    <s v="Retail"/>
    <n v="59"/>
    <x v="3"/>
    <s v="R021"/>
    <n v="761507.17000000027"/>
    <x v="3"/>
  </r>
  <r>
    <s v="ORD-01810"/>
    <x v="210"/>
    <s v="CUST-0121"/>
    <s v="PROD-049"/>
    <x v="17"/>
    <n v="10"/>
    <n v="960"/>
    <n v="14.6"/>
    <n v="8198.4"/>
    <s v="Completed"/>
    <s v="Delhi"/>
    <x v="5"/>
    <s v="SMB"/>
    <n v="55"/>
    <x v="2"/>
    <s v="R026"/>
    <n v="576305.08000000019"/>
    <x v="2"/>
  </r>
  <r>
    <s v="ORD-01811"/>
    <x v="77"/>
    <s v="CUST-0152"/>
    <s v="PROD-045"/>
    <x v="29"/>
    <n v="8"/>
    <n v="3020"/>
    <n v="14.5"/>
    <n v="20656.8"/>
    <s v="Completed"/>
    <s v="Bengaluru"/>
    <x v="5"/>
    <s v="SMB"/>
    <n v="64"/>
    <x v="1"/>
    <s v="R016"/>
    <n v="814563.7100000002"/>
    <x v="1"/>
  </r>
  <r>
    <s v="ORD-01812"/>
    <x v="98"/>
    <s v="CUST-0008"/>
    <s v="PROD-019"/>
    <x v="17"/>
    <n v="7"/>
    <n v="2480"/>
    <n v="17.3"/>
    <n v="14356.72"/>
    <s v="Completed"/>
    <s v="Pune"/>
    <x v="0"/>
    <s v="SMB"/>
    <n v="39"/>
    <x v="2"/>
    <s v="R026"/>
    <n v="576305.08000000019"/>
    <x v="2"/>
  </r>
  <r>
    <s v="ORD-01813"/>
    <x v="259"/>
    <s v="CUST-0285"/>
    <s v="PROD-004"/>
    <x v="22"/>
    <n v="10"/>
    <n v="3870"/>
    <n v="22.4"/>
    <n v="30031.200000000001"/>
    <s v="Pending"/>
    <s v="Hyderabad"/>
    <x v="4"/>
    <s v="Retail"/>
    <n v="22"/>
    <x v="1"/>
    <s v="R013"/>
    <n v="811524.37999999989"/>
    <x v="1"/>
  </r>
  <r>
    <s v="ORD-01814"/>
    <x v="317"/>
    <s v="CUST-0072"/>
    <s v="PROD-037"/>
    <x v="24"/>
    <n v="6"/>
    <n v="660"/>
    <n v="27.3"/>
    <n v="2878.92"/>
    <s v="Completed"/>
    <s v="Mumbai"/>
    <x v="3"/>
    <s v="Corporate"/>
    <n v="62"/>
    <x v="3"/>
    <s v="R022"/>
    <n v="1069570.5400000003"/>
    <x v="3"/>
  </r>
  <r>
    <s v="ORD-01815"/>
    <x v="188"/>
    <s v="CUST-9630"/>
    <s v="PROD-004"/>
    <x v="17"/>
    <n v="3"/>
    <n v="3870"/>
    <n v="7.6"/>
    <n v="10727.64"/>
    <s v="Cancelled"/>
    <s v="Chennai"/>
    <x v="4"/>
    <e v="#N/A"/>
    <e v="#N/A"/>
    <x v="2"/>
    <s v="R026"/>
    <n v="576305.08000000019"/>
    <x v="2"/>
  </r>
  <r>
    <s v="ORD-01816"/>
    <x v="176"/>
    <s v="CUST-0243"/>
    <s v="PROD-019"/>
    <x v="3"/>
    <n v="10"/>
    <n v="2480"/>
    <n v="21.5"/>
    <n v="19468"/>
    <s v="Pending"/>
    <s v="Pune"/>
    <x v="0"/>
    <s v="SMB"/>
    <n v="44"/>
    <x v="0"/>
    <s v="R006"/>
    <n v="1138648.73"/>
    <x v="0"/>
  </r>
  <r>
    <s v="ORD-01817"/>
    <x v="175"/>
    <s v="CUST-0231"/>
    <s v="PROD-010"/>
    <x v="19"/>
    <n v="8"/>
    <n v="2640"/>
    <n v="22.3"/>
    <n v="16410.240000000002"/>
    <s v="Completed"/>
    <s v="Chennai"/>
    <x v="4"/>
    <s v="Retail"/>
    <n v="61"/>
    <x v="0"/>
    <s v="R001"/>
    <n v="789849.60000000009"/>
    <x v="0"/>
  </r>
  <r>
    <s v="ORD-01818"/>
    <x v="115"/>
    <s v="CUST-0229"/>
    <s v="PROD-030"/>
    <x v="19"/>
    <n v="8"/>
    <n v="970"/>
    <n v="13.1"/>
    <n v="6743.44"/>
    <s v="Completed"/>
    <s v="Hyderabad"/>
    <x v="2"/>
    <s v="SMB"/>
    <n v="25"/>
    <x v="0"/>
    <s v="R001"/>
    <n v="789849.60000000009"/>
    <x v="0"/>
  </r>
  <r>
    <s v="ORD-01819"/>
    <x v="104"/>
    <s v="CUST-0218"/>
    <s v="PROD-057"/>
    <x v="19"/>
    <n v="6"/>
    <n v="960"/>
    <n v="3.2"/>
    <n v="5575.68"/>
    <s v="Completed"/>
    <s v="Mumbai"/>
    <x v="1"/>
    <s v="Retail"/>
    <n v="39"/>
    <x v="0"/>
    <s v="R001"/>
    <n v="789849.60000000009"/>
    <x v="0"/>
  </r>
  <r>
    <s v="ORD-01820"/>
    <x v="277"/>
    <s v="CUST-0015"/>
    <s v="PROD-033"/>
    <x v="4"/>
    <n v="9"/>
    <n v="2030"/>
    <n v="12.6"/>
    <n v="15967.98"/>
    <s v="Cancelled"/>
    <s v="Chennai"/>
    <x v="3"/>
    <s v="Retail"/>
    <n v="31"/>
    <x v="0"/>
    <s v="R008"/>
    <n v="861553.33"/>
    <x v="0"/>
  </r>
  <r>
    <s v="ORD-01821"/>
    <x v="244"/>
    <s v="CUST-0291"/>
    <s v="PROD-042"/>
    <x v="6"/>
    <n v="10"/>
    <n v="2290"/>
    <n v="22.2"/>
    <n v="17816.2"/>
    <s v="Completed"/>
    <s v="Pune"/>
    <x v="5"/>
    <s v="SMB"/>
    <n v="29"/>
    <x v="2"/>
    <s v="R024"/>
    <n v="819558.58"/>
    <x v="2"/>
  </r>
  <r>
    <s v="ORD-01822"/>
    <x v="41"/>
    <s v="CUST-0276"/>
    <s v="PROD-020"/>
    <x v="28"/>
    <n v="7"/>
    <n v="820"/>
    <n v="6.4"/>
    <n v="5372.64"/>
    <s v="Refunded"/>
    <s v="Chennai"/>
    <x v="0"/>
    <s v="Retail"/>
    <n v="26"/>
    <x v="2"/>
    <s v="R027"/>
    <n v="917092.61999999965"/>
    <x v="2"/>
  </r>
  <r>
    <s v="ORD-01823"/>
    <x v="105"/>
    <s v="CUST-0139"/>
    <s v="PROD-040"/>
    <x v="14"/>
    <n v="5"/>
    <n v="1080"/>
    <n v="6"/>
    <n v="5076"/>
    <s v="Completed"/>
    <s v="Hyderabad"/>
    <x v="3"/>
    <s v="SMB"/>
    <n v="65"/>
    <x v="2"/>
    <s v="R030"/>
    <n v="747624.36999999988"/>
    <x v="2"/>
  </r>
  <r>
    <s v="ORD-01824"/>
    <x v="202"/>
    <s v="CUST-0087"/>
    <s v="PROD-060"/>
    <x v="8"/>
    <n v="4"/>
    <n v="190"/>
    <n v="6.3"/>
    <n v="712.12"/>
    <s v="Refunded"/>
    <s v="Pune"/>
    <x v="1"/>
    <s v="SMB"/>
    <n v="49"/>
    <x v="2"/>
    <s v="R028"/>
    <n v="880468.05"/>
    <x v="2"/>
  </r>
  <r>
    <s v="ORD-01825"/>
    <x v="158"/>
    <s v="CUST-0203"/>
    <s v="PROD-017"/>
    <x v="20"/>
    <n v="6"/>
    <n v="2510"/>
    <n v="11.5"/>
    <n v="13328.1"/>
    <s v="Completed"/>
    <s v="Chennai"/>
    <x v="0"/>
    <s v="SMB"/>
    <n v="55"/>
    <x v="2"/>
    <s v="R029"/>
    <n v="1016696.8000000002"/>
    <x v="2"/>
  </r>
  <r>
    <s v="ORD-01826"/>
    <x v="193"/>
    <s v="CUST-0180"/>
    <s v="PROD-018"/>
    <x v="15"/>
    <n v="2"/>
    <n v="3560"/>
    <n v="10.5"/>
    <n v="6372.4"/>
    <s v="Completed"/>
    <s v="Chennai"/>
    <x v="0"/>
    <s v="Retail"/>
    <n v="36"/>
    <x v="1"/>
    <s v="R015"/>
    <n v="1091740.1799999997"/>
    <x v="1"/>
  </r>
  <r>
    <s v="ORD-01827"/>
    <x v="361"/>
    <s v="CUST-0130"/>
    <s v="PROD-020"/>
    <x v="22"/>
    <n v="3"/>
    <n v="820"/>
    <n v="13"/>
    <n v="2140.1999999999998"/>
    <s v="Cancelled"/>
    <s v="Bengaluru"/>
    <x v="0"/>
    <s v="Corporate"/>
    <n v="41"/>
    <x v="1"/>
    <s v="R013"/>
    <n v="811524.37999999989"/>
    <x v="1"/>
  </r>
  <r>
    <s v="ORD-01828"/>
    <x v="66"/>
    <s v="CUST-0049"/>
    <s v="PROD-013"/>
    <x v="11"/>
    <n v="6"/>
    <n v="3640"/>
    <n v="14"/>
    <n v="18782.400000000001"/>
    <s v="Completed"/>
    <s v="Mumbai"/>
    <x v="0"/>
    <s v="Corporate"/>
    <n v="42"/>
    <x v="0"/>
    <s v="R003"/>
    <n v="986692.91"/>
    <x v="0"/>
  </r>
  <r>
    <s v="ORD-01829"/>
    <x v="43"/>
    <s v="CUST-0182"/>
    <s v="PROD-028"/>
    <x v="7"/>
    <n v="5"/>
    <n v="3660"/>
    <n v="28.7"/>
    <n v="13047.9"/>
    <s v="Completed"/>
    <s v="Mumbai"/>
    <x v="2"/>
    <s v="Retail"/>
    <n v="54"/>
    <x v="3"/>
    <s v="R019"/>
    <n v="971183.52000000014"/>
    <x v="3"/>
  </r>
  <r>
    <s v="ORD-01830"/>
    <x v="126"/>
    <s v="CUST-0291"/>
    <s v="PROD-055"/>
    <x v="14"/>
    <n v="2"/>
    <n v="2860"/>
    <n v="21.1"/>
    <n v="4513.08"/>
    <s v="Completed"/>
    <s v="Pune"/>
    <x v="1"/>
    <s v="SMB"/>
    <n v="29"/>
    <x v="2"/>
    <s v="R030"/>
    <n v="747624.36999999988"/>
    <x v="2"/>
  </r>
  <r>
    <s v="ORD-01831"/>
    <x v="214"/>
    <s v="CUST-0167"/>
    <s v="PROD-015"/>
    <x v="7"/>
    <n v="1"/>
    <n v="2720"/>
    <n v="22.1"/>
    <n v="2118.88"/>
    <s v="Completed"/>
    <s v="Delhi"/>
    <x v="0"/>
    <s v="Retail"/>
    <n v="43"/>
    <x v="3"/>
    <s v="R019"/>
    <n v="971183.52000000014"/>
    <x v="3"/>
  </r>
  <r>
    <s v="ORD-01832"/>
    <x v="142"/>
    <s v="CUST-0223"/>
    <s v="PROD-055"/>
    <x v="10"/>
    <n v="6"/>
    <n v="2860"/>
    <n v="10.5"/>
    <n v="15358.2"/>
    <s v="Cancelled"/>
    <s v="Bengaluru"/>
    <x v="1"/>
    <s v="Retail"/>
    <n v="46"/>
    <x v="0"/>
    <s v="R004"/>
    <n v="589026.2899999998"/>
    <x v="0"/>
  </r>
  <r>
    <s v="ORD-01833"/>
    <x v="359"/>
    <s v="CUST-0050"/>
    <s v="PROD-017"/>
    <x v="16"/>
    <n v="1"/>
    <n v="2510"/>
    <n v="12"/>
    <n v="2208.8000000000002"/>
    <s v="Completed"/>
    <s v="Mumbai"/>
    <x v="0"/>
    <s v="Retail"/>
    <n v="37"/>
    <x v="3"/>
    <s v="R020"/>
    <n v="906107.71000000008"/>
    <x v="3"/>
  </r>
  <r>
    <s v="ORD-01834"/>
    <x v="106"/>
    <s v="CUST-0242"/>
    <s v="PROD-017"/>
    <x v="16"/>
    <n v="4"/>
    <n v="2510"/>
    <n v="23.2"/>
    <n v="7710.72"/>
    <s v="Completed"/>
    <s v="Chennai"/>
    <x v="0"/>
    <s v="SMB"/>
    <n v="59"/>
    <x v="3"/>
    <s v="R020"/>
    <n v="906107.71000000008"/>
    <x v="3"/>
  </r>
  <r>
    <s v="ORD-01835"/>
    <x v="122"/>
    <s v="CUST-0144"/>
    <s v="PROD-049"/>
    <x v="1"/>
    <n v="8"/>
    <n v="960"/>
    <n v="20.3"/>
    <n v="6120.96"/>
    <s v="Pending"/>
    <s v="Chennai"/>
    <x v="5"/>
    <s v="Retail"/>
    <n v="49"/>
    <x v="0"/>
    <s v="R005"/>
    <n v="782445.33"/>
    <x v="0"/>
  </r>
  <r>
    <s v="ORD-01836"/>
    <x v="5"/>
    <s v="CUST-0140"/>
    <s v="PROD-038"/>
    <x v="9"/>
    <n v="3"/>
    <n v="5490"/>
    <n v="25.2"/>
    <n v="12319.56"/>
    <s v="Completed"/>
    <s v="Hyderabad"/>
    <x v="3"/>
    <s v="SMB"/>
    <n v="39"/>
    <x v="1"/>
    <s v="R010"/>
    <n v="880345.20000000007"/>
    <x v="1"/>
  </r>
  <r>
    <s v="ORD-01837"/>
    <x v="262"/>
    <s v="CUST-0174"/>
    <s v="PROD-017"/>
    <x v="3"/>
    <n v="2"/>
    <n v="2510"/>
    <n v="28.2"/>
    <n v="3604.36"/>
    <s v="Completed"/>
    <s v="Pune"/>
    <x v="0"/>
    <s v="Retail"/>
    <n v="54"/>
    <x v="0"/>
    <s v="R006"/>
    <n v="1138648.73"/>
    <x v="0"/>
  </r>
  <r>
    <s v="ORD-01838"/>
    <x v="194"/>
    <s v="CUST-0290"/>
    <s v="PROD-020"/>
    <x v="23"/>
    <n v="1"/>
    <n v="820"/>
    <n v="4.7"/>
    <n v="781.46"/>
    <s v="Completed"/>
    <s v="Delhi"/>
    <x v="0"/>
    <s v="Retail"/>
    <n v="63"/>
    <x v="1"/>
    <s v="R011"/>
    <n v="735207.75999999989"/>
    <x v="1"/>
  </r>
  <r>
    <s v="ORD-01839"/>
    <x v="99"/>
    <s v="CUST-0170"/>
    <s v="PROD-005"/>
    <x v="26"/>
    <n v="6"/>
    <n v="300"/>
    <n v="13.3"/>
    <n v="1560.6"/>
    <s v="Completed"/>
    <s v="Mumbai"/>
    <x v="4"/>
    <s v="SMB"/>
    <n v="22"/>
    <x v="3"/>
    <s v="R018"/>
    <n v="1112289.6400000001"/>
    <x v="3"/>
  </r>
  <r>
    <s v="ORD-01840"/>
    <x v="155"/>
    <s v="CUST-0180"/>
    <s v="PROD-043"/>
    <x v="29"/>
    <n v="4"/>
    <n v="3350"/>
    <n v="5.8"/>
    <n v="12622.8"/>
    <s v="Pending"/>
    <s v="Chennai"/>
    <x v="5"/>
    <s v="Retail"/>
    <n v="36"/>
    <x v="1"/>
    <s v="R016"/>
    <n v="814563.7100000002"/>
    <x v="1"/>
  </r>
  <r>
    <s v="ORD-01841"/>
    <x v="150"/>
    <s v="CUST-0286"/>
    <s v="PROD-036"/>
    <x v="5"/>
    <n v="3"/>
    <n v="3250"/>
    <n v="19.600000000000001"/>
    <n v="7839"/>
    <s v="Pending"/>
    <s v="Delhi"/>
    <x v="3"/>
    <s v="Retail"/>
    <n v="62"/>
    <x v="2"/>
    <s v="R025"/>
    <n v="901298.89"/>
    <x v="2"/>
  </r>
  <r>
    <s v="ORD-01842"/>
    <x v="112"/>
    <s v="CUST-0056"/>
    <s v="PROD-044"/>
    <x v="28"/>
    <n v="10"/>
    <n v="1650"/>
    <n v="22.5"/>
    <n v="12787.5"/>
    <s v="Cancelled"/>
    <s v="Bengaluru"/>
    <x v="5"/>
    <s v="SMB"/>
    <n v="46"/>
    <x v="2"/>
    <s v="R027"/>
    <n v="917092.61999999965"/>
    <x v="2"/>
  </r>
  <r>
    <s v="ORD-01843"/>
    <x v="47"/>
    <s v="CUST-0292"/>
    <s v="PROD-009"/>
    <x v="17"/>
    <n v="2"/>
    <n v="1220"/>
    <n v="10.5"/>
    <n v="2183.8000000000002"/>
    <s v="Completed"/>
    <s v="Bengaluru"/>
    <x v="4"/>
    <s v="Retail"/>
    <n v="32"/>
    <x v="2"/>
    <s v="R026"/>
    <n v="576305.08000000019"/>
    <x v="2"/>
  </r>
  <r>
    <s v="ORD-01844"/>
    <x v="126"/>
    <s v="CUST-0020"/>
    <s v="PROD-049"/>
    <x v="17"/>
    <n v="7"/>
    <n v="960"/>
    <n v="5.4"/>
    <n v="6357.12"/>
    <s v="Refunded"/>
    <s v="Hyderabad"/>
    <x v="5"/>
    <s v="Retail"/>
    <n v="46"/>
    <x v="2"/>
    <s v="R026"/>
    <n v="576305.08000000019"/>
    <x v="2"/>
  </r>
  <r>
    <s v="ORD-01845"/>
    <x v="44"/>
    <s v="CUST-0089"/>
    <s v="PROD-046"/>
    <x v="2"/>
    <n v="3"/>
    <n v="4880"/>
    <n v="17.100000000000001"/>
    <n v="12136.56"/>
    <s v="Completed"/>
    <s v="Mumbai"/>
    <x v="5"/>
    <s v="SMB"/>
    <n v="43"/>
    <x v="1"/>
    <s v="R014"/>
    <n v="995713.54000000015"/>
    <x v="1"/>
  </r>
  <r>
    <s v="ORD-01846"/>
    <x v="69"/>
    <s v="CUST-0242"/>
    <s v="PROD-024"/>
    <x v="8"/>
    <n v="5"/>
    <n v="2270"/>
    <n v="12.4"/>
    <n v="9942.6"/>
    <s v="Completed"/>
    <s v="Chennai"/>
    <x v="2"/>
    <s v="SMB"/>
    <n v="59"/>
    <x v="2"/>
    <s v="R028"/>
    <n v="880468.05"/>
    <x v="2"/>
  </r>
  <r>
    <s v="ORD-01847"/>
    <x v="3"/>
    <s v="CUST-0249"/>
    <s v="PROD-035"/>
    <x v="8"/>
    <n v="1"/>
    <n v="1090"/>
    <n v="17.3"/>
    <n v="901.43"/>
    <s v="Completed"/>
    <s v="Mumbai"/>
    <x v="3"/>
    <s v="Retail"/>
    <n v="44"/>
    <x v="2"/>
    <s v="R028"/>
    <n v="880468.05"/>
    <x v="2"/>
  </r>
  <r>
    <s v="ORD-01848"/>
    <x v="275"/>
    <s v="CUST-0032"/>
    <s v="PROD-034"/>
    <x v="20"/>
    <n v="8"/>
    <n v="5080"/>
    <n v="0.9"/>
    <n v="40274.239999999998"/>
    <s v="Completed"/>
    <s v="Hyderabad"/>
    <x v="3"/>
    <s v="Retail"/>
    <n v="28"/>
    <x v="2"/>
    <s v="R029"/>
    <n v="1016696.8000000002"/>
    <x v="2"/>
  </r>
  <r>
    <s v="ORD-01849"/>
    <x v="28"/>
    <s v="CUST-0217"/>
    <s v="PROD-039"/>
    <x v="21"/>
    <n v="7"/>
    <n v="4610"/>
    <n v="0.9"/>
    <n v="31979.57"/>
    <s v="Completed"/>
    <s v="Pune"/>
    <x v="3"/>
    <s v="SMB"/>
    <n v="59"/>
    <x v="3"/>
    <s v="R017"/>
    <n v="780384.40999999992"/>
    <x v="3"/>
  </r>
  <r>
    <s v="ORD-01850"/>
    <x v="159"/>
    <s v="CUST-0284"/>
    <s v="PROD-045"/>
    <x v="8"/>
    <n v="1"/>
    <n v="3020"/>
    <n v="10.3"/>
    <n v="2708.94"/>
    <s v="Completed"/>
    <s v="Hyderabad"/>
    <x v="5"/>
    <s v="SMB"/>
    <n v="65"/>
    <x v="2"/>
    <s v="R028"/>
    <n v="880468.05"/>
    <x v="2"/>
  </r>
  <r>
    <s v="ORD-01851"/>
    <x v="99"/>
    <s v="CUST-0167"/>
    <s v="PROD-022"/>
    <x v="8"/>
    <n v="6"/>
    <n v="2270"/>
    <n v="23.1"/>
    <n v="10473.780000000001"/>
    <s v="Completed"/>
    <s v="Delhi"/>
    <x v="2"/>
    <s v="Retail"/>
    <n v="43"/>
    <x v="2"/>
    <s v="R028"/>
    <n v="880468.05"/>
    <x v="2"/>
  </r>
  <r>
    <s v="ORD-01852"/>
    <x v="150"/>
    <s v="CUST-0008"/>
    <s v="PROD-026"/>
    <x v="9"/>
    <n v="6"/>
    <n v="4070"/>
    <n v="28.9"/>
    <n v="17362.62"/>
    <s v="Completed"/>
    <s v="Pune"/>
    <x v="2"/>
    <s v="SMB"/>
    <n v="39"/>
    <x v="1"/>
    <s v="R010"/>
    <n v="880345.20000000007"/>
    <x v="1"/>
  </r>
  <r>
    <s v="ORD-01853"/>
    <x v="181"/>
    <s v="CUST-0277"/>
    <s v="PROD-009"/>
    <x v="21"/>
    <n v="5"/>
    <n v="1220"/>
    <n v="18.7"/>
    <n v="4959.3"/>
    <s v="Completed"/>
    <s v="Chennai"/>
    <x v="4"/>
    <s v="Corporate"/>
    <n v="34"/>
    <x v="3"/>
    <s v="R017"/>
    <n v="780384.40999999992"/>
    <x v="3"/>
  </r>
  <r>
    <s v="ORD-01854"/>
    <x v="249"/>
    <s v="CUST-0025"/>
    <s v="PROD-019"/>
    <x v="6"/>
    <n v="8"/>
    <n v="2480"/>
    <n v="3.2"/>
    <n v="19205.12"/>
    <s v="Cancelled"/>
    <s v="Bengaluru"/>
    <x v="0"/>
    <s v="Retail"/>
    <n v="23"/>
    <x v="2"/>
    <s v="R024"/>
    <n v="819558.58"/>
    <x v="2"/>
  </r>
  <r>
    <s v="ORD-01855"/>
    <x v="211"/>
    <s v="CUST-0228"/>
    <s v="PROD-055"/>
    <x v="0"/>
    <n v="7"/>
    <n v="2860"/>
    <n v="8.4"/>
    <n v="18338.32"/>
    <s v="Completed"/>
    <s v="Pune"/>
    <x v="1"/>
    <s v="Corporate"/>
    <n v="37"/>
    <x v="0"/>
    <s v="R007"/>
    <n v="855749.67999999982"/>
    <x v="0"/>
  </r>
  <r>
    <s v="ORD-01856"/>
    <x v="13"/>
    <s v="CUST-0078"/>
    <s v="PROD-027"/>
    <x v="6"/>
    <n v="1"/>
    <n v="3780"/>
    <n v="16.3"/>
    <n v="3163.86"/>
    <s v="Cancelled"/>
    <s v="Delhi"/>
    <x v="2"/>
    <s v="Retail"/>
    <n v="31"/>
    <x v="2"/>
    <s v="R024"/>
    <n v="819558.58"/>
    <x v="2"/>
  </r>
  <r>
    <s v="ORD-01857"/>
    <x v="172"/>
    <s v="CUST-0205"/>
    <s v="PROD-055"/>
    <x v="5"/>
    <n v="6"/>
    <n v="2860"/>
    <n v="10.7"/>
    <n v="15323.88"/>
    <s v="Completed"/>
    <s v="Pune"/>
    <x v="1"/>
    <s v="Corporate"/>
    <n v="29"/>
    <x v="2"/>
    <s v="R025"/>
    <n v="901298.89"/>
    <x v="2"/>
  </r>
  <r>
    <s v="ORD-01858"/>
    <x v="325"/>
    <s v="CUST-0044"/>
    <s v="PROD-058"/>
    <x v="28"/>
    <n v="3"/>
    <n v="2400"/>
    <n v="20.7"/>
    <n v="5709.6"/>
    <s v="Completed"/>
    <s v="Hyderabad"/>
    <x v="1"/>
    <s v="SMB"/>
    <n v="29"/>
    <x v="2"/>
    <s v="R027"/>
    <n v="917092.61999999965"/>
    <x v="2"/>
  </r>
  <r>
    <s v="ORD-01859"/>
    <x v="259"/>
    <s v="CUST-0188"/>
    <s v="PROD-023"/>
    <x v="5"/>
    <n v="8"/>
    <n v="2380"/>
    <n v="22.3"/>
    <n v="14794.08"/>
    <s v="Refunded"/>
    <s v="Bengaluru"/>
    <x v="2"/>
    <s v="Retail"/>
    <n v="54"/>
    <x v="2"/>
    <s v="R025"/>
    <n v="901298.89"/>
    <x v="2"/>
  </r>
  <r>
    <s v="ORD-01860"/>
    <x v="80"/>
    <s v="CUST-0165"/>
    <s v="PROD-048"/>
    <x v="3"/>
    <n v="7"/>
    <n v="5100"/>
    <n v="22.9"/>
    <n v="27524.7"/>
    <s v="Cancelled"/>
    <s v="Pune"/>
    <x v="5"/>
    <s v="Retail"/>
    <n v="29"/>
    <x v="0"/>
    <s v="R006"/>
    <n v="1138648.73"/>
    <x v="0"/>
  </r>
  <r>
    <s v="ORD-01861"/>
    <x v="113"/>
    <s v="CUST-0059"/>
    <s v="PROD-005"/>
    <x v="15"/>
    <n v="7"/>
    <n v="300"/>
    <n v="15.3"/>
    <n v="1778.7"/>
    <s v="Completed"/>
    <s v="Pune"/>
    <x v="4"/>
    <s v="Corporate"/>
    <n v="29"/>
    <x v="1"/>
    <s v="R015"/>
    <n v="1091740.1799999997"/>
    <x v="1"/>
  </r>
  <r>
    <s v="ORD-01862"/>
    <x v="49"/>
    <s v="CUST-0280"/>
    <s v="PROD-051"/>
    <x v="9"/>
    <n v="5"/>
    <n v="3450"/>
    <n v="16.8"/>
    <n v="14352"/>
    <s v="Completed"/>
    <s v="Delhi"/>
    <x v="1"/>
    <s v="SMB"/>
    <n v="27"/>
    <x v="1"/>
    <s v="R010"/>
    <n v="880345.20000000007"/>
    <x v="1"/>
  </r>
  <r>
    <s v="ORD-01863"/>
    <x v="287"/>
    <s v="CUST-0153"/>
    <s v="PROD-055"/>
    <x v="2"/>
    <n v="4"/>
    <n v="2860"/>
    <n v="14.3"/>
    <n v="9804.08"/>
    <s v="Completed"/>
    <s v="Mumbai"/>
    <x v="1"/>
    <s v="Retail"/>
    <n v="35"/>
    <x v="1"/>
    <s v="R014"/>
    <n v="995713.54000000015"/>
    <x v="1"/>
  </r>
  <r>
    <s v="ORD-01864"/>
    <x v="180"/>
    <s v="CUST-0251"/>
    <s v="PROD-015"/>
    <x v="19"/>
    <n v="6"/>
    <n v="2720"/>
    <n v="25.1"/>
    <n v="12223.68"/>
    <s v="Cancelled"/>
    <s v="Mumbai"/>
    <x v="0"/>
    <s v="Retail"/>
    <n v="44"/>
    <x v="0"/>
    <s v="R001"/>
    <n v="789849.60000000009"/>
    <x v="0"/>
  </r>
  <r>
    <s v="ORD-01865"/>
    <x v="335"/>
    <s v="CUST-0255"/>
    <s v="PROD-031"/>
    <x v="8"/>
    <n v="3"/>
    <n v="3730"/>
    <n v="24.8"/>
    <n v="8414.8799999999992"/>
    <s v="Completed"/>
    <s v="Chennai"/>
    <x v="3"/>
    <s v="Corporate"/>
    <n v="51"/>
    <x v="2"/>
    <s v="R028"/>
    <n v="880468.05"/>
    <x v="2"/>
  </r>
  <r>
    <s v="ORD-01866"/>
    <x v="83"/>
    <s v="CUST-0076"/>
    <s v="PROD-025"/>
    <x v="25"/>
    <n v="2"/>
    <n v="4060"/>
    <n v="11.3"/>
    <n v="7202.44"/>
    <s v="Completed"/>
    <s v="Mumbai"/>
    <x v="2"/>
    <s v="Retail"/>
    <n v="38"/>
    <x v="0"/>
    <s v="R002"/>
    <n v="980063.65999999968"/>
    <x v="0"/>
  </r>
  <r>
    <s v="ORD-01867"/>
    <x v="146"/>
    <s v="CUST-0195"/>
    <s v="PROD-042"/>
    <x v="26"/>
    <n v="6"/>
    <n v="2290"/>
    <n v="26.8"/>
    <n v="10057.68"/>
    <s v="Refunded"/>
    <s v="Bengaluru"/>
    <x v="5"/>
    <s v="Retail"/>
    <n v="28"/>
    <x v="3"/>
    <s v="R018"/>
    <n v="1112289.6400000001"/>
    <x v="3"/>
  </r>
  <r>
    <s v="ORD-01868"/>
    <x v="196"/>
    <s v="CUST-0164"/>
    <s v="PROD-056"/>
    <x v="22"/>
    <n v="1"/>
    <n v="6940"/>
    <n v="15.7"/>
    <n v="5850.42"/>
    <s v="Completed"/>
    <s v="Chennai"/>
    <x v="1"/>
    <s v="Retail"/>
    <n v="60"/>
    <x v="1"/>
    <s v="R013"/>
    <n v="811524.37999999989"/>
    <x v="1"/>
  </r>
  <r>
    <s v="ORD-01869"/>
    <x v="235"/>
    <s v="CUST-0239"/>
    <s v="PROD-031"/>
    <x v="18"/>
    <n v="3"/>
    <n v="3730"/>
    <n v="18.100000000000001"/>
    <n v="9164.61"/>
    <s v="Completed"/>
    <s v="Mumbai"/>
    <x v="3"/>
    <s v="Retail"/>
    <n v="61"/>
    <x v="1"/>
    <s v="R009"/>
    <n v="914554.71999999986"/>
    <x v="1"/>
  </r>
  <r>
    <s v="ORD-01870"/>
    <x v="72"/>
    <s v="CUST-0133"/>
    <s v="PROD-031"/>
    <x v="25"/>
    <n v="8"/>
    <n v="3730"/>
    <n v="12.5"/>
    <n v="26110"/>
    <s v="Completed"/>
    <s v="Chennai"/>
    <x v="3"/>
    <s v="Retail"/>
    <n v="26"/>
    <x v="0"/>
    <s v="R002"/>
    <n v="980063.65999999968"/>
    <x v="0"/>
  </r>
  <r>
    <s v="ORD-01871"/>
    <x v="128"/>
    <s v="CUST-0286"/>
    <s v="PROD-023"/>
    <x v="15"/>
    <n v="9"/>
    <n v="2380"/>
    <n v="8.1"/>
    <n v="19684.98"/>
    <s v="Cancelled"/>
    <s v="Delhi"/>
    <x v="2"/>
    <s v="Retail"/>
    <n v="62"/>
    <x v="1"/>
    <s v="R015"/>
    <n v="1091740.1799999997"/>
    <x v="1"/>
  </r>
  <r>
    <s v="ORD-01872"/>
    <x v="206"/>
    <s v="CUST-0122"/>
    <s v="PROD-040"/>
    <x v="25"/>
    <n v="6"/>
    <n v="1080"/>
    <n v="8.8000000000000007"/>
    <n v="5909.76"/>
    <s v="Completed"/>
    <s v="Mumbai"/>
    <x v="3"/>
    <s v="Retail"/>
    <n v="44"/>
    <x v="0"/>
    <s v="R002"/>
    <n v="980063.65999999968"/>
    <x v="0"/>
  </r>
  <r>
    <s v="ORD-01712"/>
    <x v="24"/>
    <s v="CUST-0285"/>
    <s v="PROD-053"/>
    <x v="22"/>
    <n v="5"/>
    <n v="470"/>
    <n v="1.3"/>
    <n v="2319.4499999999998"/>
    <s v="Completed"/>
    <s v="Hyderabad"/>
    <x v="1"/>
    <s v="Retail"/>
    <n v="22"/>
    <x v="1"/>
    <s v="R013"/>
    <n v="811524.37999999989"/>
    <x v="1"/>
  </r>
  <r>
    <s v="ORD-01874"/>
    <x v="340"/>
    <s v="CUST-0174"/>
    <s v="PROD-032"/>
    <x v="17"/>
    <n v="4"/>
    <n v="370"/>
    <n v="13.1"/>
    <n v="1286.1199999999999"/>
    <s v="Completed"/>
    <s v="Pune"/>
    <x v="3"/>
    <s v="Retail"/>
    <n v="54"/>
    <x v="2"/>
    <s v="R026"/>
    <n v="576305.08000000019"/>
    <x v="2"/>
  </r>
  <r>
    <s v="ORD-01875"/>
    <x v="25"/>
    <s v="CUST-0115"/>
    <s v="PROD-012"/>
    <x v="0"/>
    <n v="7"/>
    <n v="3160"/>
    <n v="12.3"/>
    <n v="19399.240000000002"/>
    <s v="Completed"/>
    <s v="Mumbai"/>
    <x v="0"/>
    <s v="SMB"/>
    <n v="65"/>
    <x v="0"/>
    <s v="R007"/>
    <n v="855749.67999999982"/>
    <x v="0"/>
  </r>
  <r>
    <s v="ORD-01876"/>
    <x v="218"/>
    <s v="CUST-0028"/>
    <s v="PROD-018"/>
    <x v="6"/>
    <n v="5"/>
    <n v="3560"/>
    <n v="24"/>
    <n v="13528"/>
    <s v="Completed"/>
    <s v="Bengaluru"/>
    <x v="0"/>
    <s v="Retail"/>
    <n v="59"/>
    <x v="2"/>
    <s v="R024"/>
    <n v="819558.58"/>
    <x v="2"/>
  </r>
  <r>
    <s v="ORD-01877"/>
    <x v="53"/>
    <s v="CUST-0111"/>
    <s v="PROD-033"/>
    <x v="13"/>
    <n v="6"/>
    <n v="2030"/>
    <n v="20.5"/>
    <n v="9683.1"/>
    <s v="Completed"/>
    <s v="Chennai"/>
    <x v="3"/>
    <s v="SMB"/>
    <n v="64"/>
    <x v="3"/>
    <s v="R021"/>
    <n v="761507.17000000027"/>
    <x v="3"/>
  </r>
  <r>
    <s v="ORD-01878"/>
    <x v="116"/>
    <s v="CUST-0240"/>
    <s v="PROD-010"/>
    <x v="26"/>
    <n v="5"/>
    <n v="2640"/>
    <n v="21.3"/>
    <n v="10388.4"/>
    <s v="Pending"/>
    <s v="Chennai"/>
    <x v="4"/>
    <s v="Corporate"/>
    <n v="35"/>
    <x v="3"/>
    <s v="R018"/>
    <n v="1112289.6400000001"/>
    <x v="3"/>
  </r>
  <r>
    <s v="ORD-01879"/>
    <x v="98"/>
    <s v="CUST-0222"/>
    <s v="PROD-022"/>
    <x v="25"/>
    <n v="4"/>
    <n v="2270"/>
    <n v="15.8"/>
    <n v="7645.36"/>
    <s v="Completed"/>
    <s v="Chennai"/>
    <x v="2"/>
    <s v="Retail"/>
    <n v="37"/>
    <x v="0"/>
    <s v="R002"/>
    <n v="980063.65999999968"/>
    <x v="0"/>
  </r>
  <r>
    <s v="ORD-01880"/>
    <x v="276"/>
    <s v="CUST-0251"/>
    <s v="PROD-032"/>
    <x v="25"/>
    <n v="1"/>
    <n v="370"/>
    <n v="27"/>
    <n v="270.10000000000002"/>
    <s v="Pending"/>
    <s v="Mumbai"/>
    <x v="3"/>
    <s v="Retail"/>
    <n v="44"/>
    <x v="0"/>
    <s v="R002"/>
    <n v="980063.65999999968"/>
    <x v="0"/>
  </r>
  <r>
    <s v="ORD-01881"/>
    <x v="250"/>
    <s v="CUST-0203"/>
    <s v="PROD-048"/>
    <x v="21"/>
    <n v="9"/>
    <n v="5100"/>
    <n v="2.4"/>
    <n v="44798.400000000001"/>
    <s v="Completed"/>
    <s v="Chennai"/>
    <x v="5"/>
    <s v="SMB"/>
    <n v="55"/>
    <x v="3"/>
    <s v="R017"/>
    <n v="780384.40999999992"/>
    <x v="3"/>
  </r>
  <r>
    <s v="ORD-01882"/>
    <x v="94"/>
    <s v="CUST-0285"/>
    <s v="PROD-032"/>
    <x v="12"/>
    <n v="6"/>
    <n v="370"/>
    <n v="18.7"/>
    <n v="1804.86"/>
    <s v="Cancelled"/>
    <s v="Hyderabad"/>
    <x v="3"/>
    <s v="Retail"/>
    <n v="22"/>
    <x v="3"/>
    <s v="R023"/>
    <n v="983787.4800000001"/>
    <x v="3"/>
  </r>
  <r>
    <s v="ORD-01883"/>
    <x v="57"/>
    <s v="CUST-0135"/>
    <s v="PROD-030"/>
    <x v="10"/>
    <n v="6"/>
    <n v="970"/>
    <n v="21.6"/>
    <n v="4562.88"/>
    <s v="Completed"/>
    <s v="Pune"/>
    <x v="2"/>
    <s v="SMB"/>
    <n v="24"/>
    <x v="0"/>
    <s v="R004"/>
    <n v="589026.2899999998"/>
    <x v="0"/>
  </r>
  <r>
    <s v="ORD-01884"/>
    <x v="81"/>
    <s v="CUST-9967"/>
    <s v="PROD-029"/>
    <x v="20"/>
    <n v="3"/>
    <n v="2210"/>
    <n v="8.5"/>
    <n v="6066.45"/>
    <s v="Completed"/>
    <s v="Delhi"/>
    <x v="2"/>
    <e v="#N/A"/>
    <e v="#N/A"/>
    <x v="2"/>
    <s v="R029"/>
    <n v="1016696.8000000002"/>
    <x v="2"/>
  </r>
  <r>
    <s v="ORD-01885"/>
    <x v="136"/>
    <s v="CUST-0096"/>
    <s v="PROD-044"/>
    <x v="25"/>
    <n v="1"/>
    <n v="1650"/>
    <n v="19.7"/>
    <n v="1324.95"/>
    <s v="Completed"/>
    <s v="Delhi"/>
    <x v="5"/>
    <s v="Corporate"/>
    <n v="27"/>
    <x v="0"/>
    <s v="R002"/>
    <n v="980063.65999999968"/>
    <x v="0"/>
  </r>
  <r>
    <s v="ORD-01886"/>
    <x v="178"/>
    <s v="CUST-0266"/>
    <s v="PROD-056"/>
    <x v="11"/>
    <n v="5"/>
    <n v="6940"/>
    <n v="7.7"/>
    <n v="32028.1"/>
    <s v="Completed"/>
    <s v="Pune"/>
    <x v="1"/>
    <s v="Retail"/>
    <n v="65"/>
    <x v="0"/>
    <s v="R003"/>
    <n v="986692.91"/>
    <x v="0"/>
  </r>
  <r>
    <s v="ORD-01887"/>
    <x v="40"/>
    <s v="CUST-0059"/>
    <s v="PROD-029"/>
    <x v="24"/>
    <n v="2"/>
    <n v="2210"/>
    <n v="5.6"/>
    <n v="4172.4799999999996"/>
    <s v="Cancelled"/>
    <s v="Pune"/>
    <x v="2"/>
    <s v="Corporate"/>
    <n v="29"/>
    <x v="3"/>
    <s v="R022"/>
    <n v="1069570.5400000003"/>
    <x v="3"/>
  </r>
  <r>
    <s v="ORD-01888"/>
    <x v="82"/>
    <s v="CUST-0094"/>
    <s v="PROD-002"/>
    <x v="2"/>
    <n v="9"/>
    <n v="2600"/>
    <n v="3.1"/>
    <n v="22674.6"/>
    <s v="Completed"/>
    <s v="Pune"/>
    <x v="4"/>
    <s v="SMB"/>
    <n v="60"/>
    <x v="1"/>
    <s v="R014"/>
    <n v="995713.54000000015"/>
    <x v="1"/>
  </r>
  <r>
    <s v="ORD-01889"/>
    <x v="315"/>
    <s v="CUST-0254"/>
    <s v="PROD-059"/>
    <x v="11"/>
    <n v="7"/>
    <n v="3780"/>
    <n v="13.3"/>
    <n v="22940.82"/>
    <s v="Completed"/>
    <s v="Bengaluru"/>
    <x v="1"/>
    <s v="Retail"/>
    <n v="35"/>
    <x v="0"/>
    <s v="R003"/>
    <n v="986692.91"/>
    <x v="0"/>
  </r>
  <r>
    <s v="ORD-01890"/>
    <x v="356"/>
    <s v="CUST-0022"/>
    <s v="PROD-058"/>
    <x v="22"/>
    <n v="4"/>
    <n v="2400"/>
    <n v="16.600000000000001"/>
    <n v="8006.4"/>
    <s v="Pending"/>
    <s v="Bengaluru"/>
    <x v="1"/>
    <s v="Corporate"/>
    <n v="55"/>
    <x v="1"/>
    <s v="R013"/>
    <n v="811524.37999999989"/>
    <x v="1"/>
  </r>
  <r>
    <s v="ORD-01891"/>
    <x v="348"/>
    <s v="CUST-0168"/>
    <s v="PROD-005"/>
    <x v="1"/>
    <n v="10"/>
    <n v="300"/>
    <n v="23.9"/>
    <n v="2283"/>
    <s v="Completed"/>
    <s v="Pune"/>
    <x v="4"/>
    <s v="Retail"/>
    <n v="25"/>
    <x v="0"/>
    <s v="R005"/>
    <n v="782445.33"/>
    <x v="0"/>
  </r>
  <r>
    <s v="ORD-01892"/>
    <x v="93"/>
    <s v="CUST-0175"/>
    <s v="PROD-028"/>
    <x v="9"/>
    <n v="1"/>
    <n v="3660"/>
    <n v="1.5"/>
    <n v="3605.1"/>
    <s v="Pending"/>
    <s v="Delhi"/>
    <x v="2"/>
    <s v="Corporate"/>
    <n v="55"/>
    <x v="1"/>
    <s v="R010"/>
    <n v="880345.20000000007"/>
    <x v="1"/>
  </r>
  <r>
    <s v="ORD-01893"/>
    <x v="166"/>
    <s v="CUST-0193"/>
    <s v="PROD-051"/>
    <x v="23"/>
    <n v="9"/>
    <n v="3450"/>
    <n v="21.8"/>
    <n v="24281.1"/>
    <s v="Completed"/>
    <s v="Bengaluru"/>
    <x v="1"/>
    <s v="Retail"/>
    <n v="42"/>
    <x v="1"/>
    <s v="R011"/>
    <n v="735207.75999999989"/>
    <x v="1"/>
  </r>
  <r>
    <s v="ORD-01894"/>
    <x v="306"/>
    <s v="CUST-0284"/>
    <s v="PROD-011"/>
    <x v="0"/>
    <n v="10"/>
    <n v="3450"/>
    <n v="15.7"/>
    <n v="29083.5"/>
    <s v="Cancelled"/>
    <s v="Hyderabad"/>
    <x v="0"/>
    <s v="SMB"/>
    <n v="65"/>
    <x v="0"/>
    <s v="R007"/>
    <n v="855749.67999999982"/>
    <x v="0"/>
  </r>
  <r>
    <s v="ORD-01895"/>
    <x v="249"/>
    <s v="CUST-0071"/>
    <s v="PROD-026"/>
    <x v="4"/>
    <n v="2"/>
    <n v="4070"/>
    <n v="10.8"/>
    <n v="7260.88"/>
    <s v="Completed"/>
    <s v="Delhi"/>
    <x v="2"/>
    <s v="Corporate"/>
    <n v="46"/>
    <x v="0"/>
    <s v="R008"/>
    <n v="861553.33"/>
    <x v="0"/>
  </r>
  <r>
    <s v="ORD-01896"/>
    <x v="332"/>
    <s v="CUST-0102"/>
    <s v="PROD-059"/>
    <x v="12"/>
    <n v="4"/>
    <n v="3780"/>
    <n v="17.100000000000001"/>
    <n v="12534.48"/>
    <s v="Completed"/>
    <s v="Chennai"/>
    <x v="1"/>
    <s v="SMB"/>
    <n v="62"/>
    <x v="3"/>
    <s v="R023"/>
    <n v="983787.4800000001"/>
    <x v="3"/>
  </r>
  <r>
    <s v="ORD-01897"/>
    <x v="81"/>
    <s v="CUST-0036"/>
    <s v="PROD-021"/>
    <x v="10"/>
    <n v="1"/>
    <n v="2760"/>
    <n v="2.5"/>
    <n v="2691"/>
    <s v="Cancelled"/>
    <s v="Mumbai"/>
    <x v="2"/>
    <s v="Retail"/>
    <n v="35"/>
    <x v="0"/>
    <s v="R004"/>
    <n v="589026.2899999998"/>
    <x v="0"/>
  </r>
  <r>
    <s v="ORD-01898"/>
    <x v="293"/>
    <s v="CUST-0273"/>
    <s v="PROD-046"/>
    <x v="14"/>
    <n v="2"/>
    <n v="4880"/>
    <n v="11"/>
    <n v="8686.4"/>
    <s v="Completed"/>
    <s v="Hyderabad"/>
    <x v="5"/>
    <s v="Corporate"/>
    <n v="32"/>
    <x v="2"/>
    <s v="R030"/>
    <n v="747624.36999999988"/>
    <x v="2"/>
  </r>
  <r>
    <s v="ORD-01899"/>
    <x v="228"/>
    <s v="CUST-0262"/>
    <s v="PROD-023"/>
    <x v="24"/>
    <n v="10"/>
    <n v="2380"/>
    <n v="28.3"/>
    <n v="17064.599999999999"/>
    <s v="Completed"/>
    <s v="Mumbai"/>
    <x v="2"/>
    <s v="Retail"/>
    <n v="52"/>
    <x v="3"/>
    <s v="R022"/>
    <n v="1069570.5400000003"/>
    <x v="3"/>
  </r>
  <r>
    <s v="ORD-01900"/>
    <x v="121"/>
    <s v="CUST-0083"/>
    <s v="PROD-042"/>
    <x v="11"/>
    <n v="3"/>
    <n v="2290"/>
    <n v="11.1"/>
    <n v="6107.43"/>
    <s v="Cancelled"/>
    <s v="Bengaluru"/>
    <x v="5"/>
    <s v="Corporate"/>
    <n v="31"/>
    <x v="0"/>
    <s v="R003"/>
    <n v="986692.91"/>
    <x v="0"/>
  </r>
  <r>
    <s v="ORD-01901"/>
    <x v="53"/>
    <s v="CUST-0273"/>
    <s v="PROD-021"/>
    <x v="10"/>
    <n v="6"/>
    <n v="2760"/>
    <n v="16.5"/>
    <n v="13827.6"/>
    <s v="Completed"/>
    <s v="Hyderabad"/>
    <x v="2"/>
    <s v="Corporate"/>
    <n v="32"/>
    <x v="0"/>
    <s v="R004"/>
    <n v="589026.2899999998"/>
    <x v="0"/>
  </r>
  <r>
    <s v="ORD-01902"/>
    <x v="271"/>
    <s v="CUST-0047"/>
    <s v="PROD-025"/>
    <x v="28"/>
    <n v="5"/>
    <n v="4060"/>
    <n v="22.5"/>
    <n v="15732.5"/>
    <s v="Completed"/>
    <s v="Pune"/>
    <x v="2"/>
    <s v="Retail"/>
    <n v="49"/>
    <x v="2"/>
    <s v="R027"/>
    <n v="917092.61999999965"/>
    <x v="2"/>
  </r>
  <r>
    <s v="ORD-01903"/>
    <x v="27"/>
    <s v="CUST-0084"/>
    <s v="PROD-010"/>
    <x v="3"/>
    <n v="8"/>
    <n v="2640"/>
    <n v="11.8"/>
    <n v="18627.84"/>
    <s v="Completed"/>
    <s v="Chennai"/>
    <x v="4"/>
    <s v="Retail"/>
    <n v="28"/>
    <x v="0"/>
    <s v="R006"/>
    <n v="1138648.73"/>
    <x v="0"/>
  </r>
  <r>
    <s v="ORD-01904"/>
    <x v="119"/>
    <s v="CUST-0093"/>
    <s v="PROD-039"/>
    <x v="1"/>
    <n v="2"/>
    <n v="4610"/>
    <n v="10.4"/>
    <n v="8261.1200000000008"/>
    <s v="Pending"/>
    <s v="Pune"/>
    <x v="3"/>
    <s v="Retail"/>
    <n v="36"/>
    <x v="0"/>
    <s v="R005"/>
    <n v="782445.33"/>
    <x v="0"/>
  </r>
  <r>
    <s v="ORD-01905"/>
    <x v="266"/>
    <s v="CUST-0282"/>
    <s v="PROD-029"/>
    <x v="8"/>
    <n v="6"/>
    <n v="2210"/>
    <n v="22.5"/>
    <n v="10276.5"/>
    <s v="Cancelled"/>
    <s v="Hyderabad"/>
    <x v="2"/>
    <s v="Corporate"/>
    <n v="29"/>
    <x v="2"/>
    <s v="R028"/>
    <n v="880468.05"/>
    <x v="2"/>
  </r>
  <r>
    <s v="ORD-01906"/>
    <x v="103"/>
    <s v="CUST-0246"/>
    <s v="PROD-029"/>
    <x v="23"/>
    <n v="4"/>
    <n v="2210"/>
    <n v="21.5"/>
    <n v="6939.4"/>
    <s v="Pending"/>
    <s v="Delhi"/>
    <x v="2"/>
    <s v="SMB"/>
    <n v="29"/>
    <x v="1"/>
    <s v="R011"/>
    <n v="735207.75999999989"/>
    <x v="1"/>
  </r>
  <r>
    <s v="ORD-01907"/>
    <x v="169"/>
    <s v="CUST-0243"/>
    <s v="PROD-035"/>
    <x v="22"/>
    <n v="6"/>
    <n v="1090"/>
    <n v="28.3"/>
    <n v="4689.18"/>
    <s v="Completed"/>
    <s v="Pune"/>
    <x v="3"/>
    <s v="SMB"/>
    <n v="44"/>
    <x v="1"/>
    <s v="R013"/>
    <n v="811524.37999999989"/>
    <x v="1"/>
  </r>
  <r>
    <s v="ORD-01908"/>
    <x v="327"/>
    <s v="CUST-0298"/>
    <s v="PROD-032"/>
    <x v="11"/>
    <n v="9"/>
    <n v="370"/>
    <n v="13.8"/>
    <n v="2870.46"/>
    <s v="Completed"/>
    <s v="Delhi"/>
    <x v="3"/>
    <s v="Retail"/>
    <n v="44"/>
    <x v="0"/>
    <s v="R003"/>
    <n v="986692.91"/>
    <x v="0"/>
  </r>
  <r>
    <s v="ORD-01909"/>
    <x v="122"/>
    <s v="CUST-0124"/>
    <s v="PROD-003"/>
    <x v="5"/>
    <n v="10"/>
    <n v="3570"/>
    <n v="3"/>
    <n v="34629"/>
    <s v="Cancelled"/>
    <s v="Pune"/>
    <x v="4"/>
    <s v="Retail"/>
    <n v="57"/>
    <x v="2"/>
    <s v="R025"/>
    <n v="901298.89"/>
    <x v="2"/>
  </r>
  <r>
    <s v="ORD-01910"/>
    <x v="89"/>
    <s v="CUST-0070"/>
    <s v="PROD-036"/>
    <x v="29"/>
    <n v="10"/>
    <n v="3250"/>
    <n v="20.3"/>
    <n v="25902.5"/>
    <s v="Completed"/>
    <s v="Mumbai"/>
    <x v="3"/>
    <s v="Retail"/>
    <n v="42"/>
    <x v="1"/>
    <s v="R016"/>
    <n v="814563.7100000002"/>
    <x v="1"/>
  </r>
  <r>
    <s v="ORD-01911"/>
    <x v="295"/>
    <s v="CUST-0054"/>
    <s v="PROD-036"/>
    <x v="8"/>
    <n v="6"/>
    <n v="3250"/>
    <n v="25.8"/>
    <n v="14469"/>
    <s v="Pending"/>
    <s v="Mumbai"/>
    <x v="3"/>
    <s v="Corporate"/>
    <n v="62"/>
    <x v="2"/>
    <s v="R028"/>
    <n v="880468.05"/>
    <x v="2"/>
  </r>
  <r>
    <s v="ORD-01912"/>
    <x v="294"/>
    <s v="CUST-0208"/>
    <s v="PROD-057"/>
    <x v="6"/>
    <n v="9"/>
    <n v="960"/>
    <n v="29"/>
    <n v="6134.4"/>
    <s v="Completed"/>
    <s v="Mumbai"/>
    <x v="1"/>
    <s v="Retail"/>
    <n v="49"/>
    <x v="2"/>
    <s v="R024"/>
    <n v="819558.58"/>
    <x v="2"/>
  </r>
  <r>
    <s v="ORD-01913"/>
    <x v="275"/>
    <s v="CUST-0181"/>
    <s v="PROD-050"/>
    <x v="15"/>
    <n v="9"/>
    <n v="6080"/>
    <n v="21"/>
    <n v="43228.800000000003"/>
    <s v="Completed"/>
    <s v="Delhi"/>
    <x v="5"/>
    <s v="SMB"/>
    <n v="38"/>
    <x v="1"/>
    <s v="R015"/>
    <n v="1091740.1799999997"/>
    <x v="1"/>
  </r>
  <r>
    <s v="ORD-01914"/>
    <x v="250"/>
    <s v="CUST-0259"/>
    <s v="PROD-039"/>
    <x v="16"/>
    <n v="6"/>
    <n v="4610"/>
    <n v="13.5"/>
    <n v="23925.9"/>
    <s v="Completed"/>
    <s v="Mumbai"/>
    <x v="3"/>
    <s v="Retail"/>
    <n v="34"/>
    <x v="3"/>
    <s v="R020"/>
    <n v="906107.71000000008"/>
    <x v="3"/>
  </r>
  <r>
    <s v="ORD-01915"/>
    <x v="225"/>
    <s v="CUST-0277"/>
    <s v="PROD-034"/>
    <x v="13"/>
    <n v="7"/>
    <n v="5080"/>
    <n v="25.4"/>
    <n v="26527.759999999998"/>
    <s v="Completed"/>
    <s v="Chennai"/>
    <x v="3"/>
    <s v="Corporate"/>
    <n v="34"/>
    <x v="3"/>
    <s v="R021"/>
    <n v="761507.17000000027"/>
    <x v="3"/>
  </r>
  <r>
    <s v="ORD-01916"/>
    <x v="269"/>
    <s v="CUST-0173"/>
    <s v="PROD-043"/>
    <x v="21"/>
    <n v="5"/>
    <n v="3350"/>
    <n v="2.2000000000000002"/>
    <n v="16381.5"/>
    <s v="Completed"/>
    <s v="Mumbai"/>
    <x v="5"/>
    <s v="Retail"/>
    <n v="65"/>
    <x v="3"/>
    <s v="R017"/>
    <n v="780384.40999999992"/>
    <x v="3"/>
  </r>
  <r>
    <s v="ORD-01917"/>
    <x v="77"/>
    <s v="CUST-0091"/>
    <s v="PROD-027"/>
    <x v="2"/>
    <n v="1"/>
    <n v="3780"/>
    <n v="13.7"/>
    <n v="3262.14"/>
    <s v="Completed"/>
    <s v="Delhi"/>
    <x v="2"/>
    <s v="Retail"/>
    <n v="55"/>
    <x v="1"/>
    <s v="R014"/>
    <n v="995713.54000000015"/>
    <x v="1"/>
  </r>
  <r>
    <s v="ORD-01918"/>
    <x v="279"/>
    <s v="CUST-0142"/>
    <s v="PROD-046"/>
    <x v="16"/>
    <n v="4"/>
    <n v="4880"/>
    <n v="11.6"/>
    <n v="17255.68"/>
    <s v="Completed"/>
    <s v="Chennai"/>
    <x v="5"/>
    <s v="Corporate"/>
    <n v="55"/>
    <x v="3"/>
    <s v="R020"/>
    <n v="906107.71000000008"/>
    <x v="3"/>
  </r>
  <r>
    <s v="ORD-01919"/>
    <x v="217"/>
    <s v="CUST-0011"/>
    <s v="PROD-048"/>
    <x v="20"/>
    <n v="3"/>
    <n v="5100"/>
    <n v="24.2"/>
    <n v="11597.4"/>
    <s v="Completed"/>
    <s v=" Chennai "/>
    <x v="5"/>
    <s v="Corporate"/>
    <n v="41"/>
    <x v="2"/>
    <s v="R029"/>
    <n v="1016696.8000000002"/>
    <x v="2"/>
  </r>
  <r>
    <s v="ORD-01920"/>
    <x v="287"/>
    <s v="CUST-0074"/>
    <s v="PROD-008"/>
    <x v="12"/>
    <n v="5"/>
    <n v="2660"/>
    <n v="4.7"/>
    <n v="12674.9"/>
    <s v="Completed"/>
    <s v="Bengaluru"/>
    <x v="4"/>
    <s v="Retail"/>
    <n v="27"/>
    <x v="3"/>
    <s v="R023"/>
    <n v="983787.4800000001"/>
    <x v="3"/>
  </r>
  <r>
    <s v="ORD-01921"/>
    <x v="328"/>
    <s v="CUST-0131"/>
    <s v="PROD-023"/>
    <x v="21"/>
    <n v="10"/>
    <n v="2380"/>
    <n v="1"/>
    <n v="23562"/>
    <s v="Completed"/>
    <s v="Delhi"/>
    <x v="2"/>
    <s v="SMB"/>
    <n v="28"/>
    <x v="3"/>
    <s v="R017"/>
    <n v="780384.40999999992"/>
    <x v="3"/>
  </r>
  <r>
    <s v="ORD-01922"/>
    <x v="223"/>
    <s v="CUST-0093"/>
    <s v="PROD-046"/>
    <x v="25"/>
    <n v="9"/>
    <n v="4880"/>
    <n v="7.2"/>
    <n v="40757.760000000002"/>
    <s v="Completed"/>
    <s v="Pune"/>
    <x v="5"/>
    <s v="Retail"/>
    <n v="36"/>
    <x v="0"/>
    <s v="R002"/>
    <n v="980063.65999999968"/>
    <x v="0"/>
  </r>
  <r>
    <s v="ORD-01923"/>
    <x v="91"/>
    <s v="CUST-0229"/>
    <s v="PROD-031"/>
    <x v="2"/>
    <n v="1"/>
    <n v="3730"/>
    <n v="15.3"/>
    <n v="3159.31"/>
    <s v="Completed"/>
    <s v="Hyderabad"/>
    <x v="3"/>
    <s v="SMB"/>
    <n v="25"/>
    <x v="1"/>
    <s v="R014"/>
    <n v="995713.54000000015"/>
    <x v="1"/>
  </r>
  <r>
    <s v="ORD-01924"/>
    <x v="33"/>
    <s v="CUST-0293"/>
    <s v="PROD-059"/>
    <x v="11"/>
    <n v="10"/>
    <n v="3780"/>
    <n v="2.7"/>
    <n v="36779.4"/>
    <s v="Completed"/>
    <s v="Bengaluru"/>
    <x v="1"/>
    <s v="Retail"/>
    <n v="27"/>
    <x v="0"/>
    <s v="R003"/>
    <n v="986692.91"/>
    <x v="0"/>
  </r>
  <r>
    <s v="ORD-01925"/>
    <x v="257"/>
    <s v="CUST-0105"/>
    <s v="PROD-014"/>
    <x v="12"/>
    <n v="2"/>
    <n v="3620"/>
    <n v="23"/>
    <n v="5574.8"/>
    <s v="Completed"/>
    <s v="Chennai"/>
    <x v="0"/>
    <s v="SMB"/>
    <n v="51"/>
    <x v="3"/>
    <s v="R023"/>
    <n v="983787.4800000001"/>
    <x v="3"/>
  </r>
  <r>
    <s v="ORD-01926"/>
    <x v="355"/>
    <s v="CUST-0003"/>
    <s v="PROD-034"/>
    <x v="13"/>
    <n v="9"/>
    <n v="5080"/>
    <n v="19.899999999999999"/>
    <n v="36621.72"/>
    <s v="Completed"/>
    <s v="Mumbai"/>
    <x v="3"/>
    <s v="Retail"/>
    <n v="33"/>
    <x v="3"/>
    <s v="R021"/>
    <n v="761507.17000000027"/>
    <x v="3"/>
  </r>
  <r>
    <s v="ORD-01927"/>
    <x v="230"/>
    <s v="CUST-0092"/>
    <s v="PROD-018"/>
    <x v="6"/>
    <n v="2"/>
    <n v="3560"/>
    <n v="5.5"/>
    <n v="6728.4"/>
    <s v="Completed"/>
    <s v="Bengaluru"/>
    <x v="0"/>
    <s v="SMB"/>
    <n v="28"/>
    <x v="2"/>
    <s v="R024"/>
    <n v="819558.58"/>
    <x v="2"/>
  </r>
  <r>
    <s v="ORD-01928"/>
    <x v="134"/>
    <s v="CUST-0050"/>
    <s v="PROD-030"/>
    <x v="19"/>
    <n v="6"/>
    <n v="970"/>
    <n v="22.5"/>
    <n v="4510.5"/>
    <s v="Refunded"/>
    <s v="Mumbai"/>
    <x v="2"/>
    <s v="Retail"/>
    <n v="37"/>
    <x v="0"/>
    <s v="R001"/>
    <n v="789849.60000000009"/>
    <x v="0"/>
  </r>
  <r>
    <s v="ORD-01929"/>
    <x v="181"/>
    <s v="CUST-0237"/>
    <s v="PROD-043"/>
    <x v="2"/>
    <n v="9"/>
    <n v="3350"/>
    <n v="5.0999999999999996"/>
    <n v="28612.35"/>
    <s v="Completed"/>
    <s v="Mumbai"/>
    <x v="5"/>
    <s v="Retail"/>
    <n v="49"/>
    <x v="1"/>
    <s v="R014"/>
    <n v="995713.54000000015"/>
    <x v="1"/>
  </r>
  <r>
    <s v="ORD-01930"/>
    <x v="283"/>
    <s v="CUST-9905"/>
    <s v="PROD-032"/>
    <x v="23"/>
    <n v="6"/>
    <n v="370"/>
    <n v="17.8"/>
    <n v="1824.84"/>
    <s v="Completed"/>
    <s v="Mumbai"/>
    <x v="3"/>
    <e v="#N/A"/>
    <e v="#N/A"/>
    <x v="1"/>
    <s v="R011"/>
    <n v="735207.75999999989"/>
    <x v="1"/>
  </r>
  <r>
    <s v="ORD-01931"/>
    <x v="13"/>
    <s v="CUST-0175"/>
    <s v="PROD-024"/>
    <x v="23"/>
    <n v="3"/>
    <n v="2270"/>
    <n v="8.4"/>
    <n v="6237.96"/>
    <s v="Pending"/>
    <s v="Delhi"/>
    <x v="2"/>
    <s v="Corporate"/>
    <n v="55"/>
    <x v="1"/>
    <s v="R011"/>
    <n v="735207.75999999989"/>
    <x v="1"/>
  </r>
  <r>
    <s v="ORD-01932"/>
    <x v="364"/>
    <s v="CUST-0271"/>
    <s v="PROD-051"/>
    <x v="13"/>
    <n v="3"/>
    <n v="3450"/>
    <n v="7.2"/>
    <n v="9604.7999999999993"/>
    <s v="Completed"/>
    <s v="Bengaluru"/>
    <x v="1"/>
    <s v="Corporate"/>
    <n v="41"/>
    <x v="3"/>
    <s v="R021"/>
    <n v="761507.17000000027"/>
    <x v="3"/>
  </r>
  <r>
    <s v="ORD-01933"/>
    <x v="142"/>
    <s v="CUST-0129"/>
    <s v="PROD-054"/>
    <x v="4"/>
    <n v="9"/>
    <n v="1010"/>
    <n v="17.8"/>
    <n v="7471.98"/>
    <s v="Completed"/>
    <s v="Hyderabad"/>
    <x v="1"/>
    <s v="Retail"/>
    <n v="29"/>
    <x v="0"/>
    <s v="R008"/>
    <n v="861553.33"/>
    <x v="0"/>
  </r>
  <r>
    <s v="ORD-01934"/>
    <x v="41"/>
    <s v="CUST-0156"/>
    <s v="PROD-039"/>
    <x v="11"/>
    <n v="5"/>
    <n v="4610"/>
    <n v="29.8"/>
    <n v="16181.1"/>
    <s v="Cancelled"/>
    <s v="Mumbai"/>
    <x v="3"/>
    <s v="Retail"/>
    <n v="33"/>
    <x v="0"/>
    <s v="R003"/>
    <n v="986692.91"/>
    <x v="0"/>
  </r>
  <r>
    <s v="ORD-01935"/>
    <x v="255"/>
    <s v="CUST-0048"/>
    <s v="PROD-032"/>
    <x v="11"/>
    <n v="6"/>
    <n v="370"/>
    <n v="17.899999999999999"/>
    <n v="1822.62"/>
    <s v="Completed"/>
    <s v="Delhi"/>
    <x v="3"/>
    <s v="Retail"/>
    <n v="59"/>
    <x v="0"/>
    <s v="R003"/>
    <n v="986692.91"/>
    <x v="0"/>
  </r>
  <r>
    <s v="ORD-01936"/>
    <x v="279"/>
    <s v="CUST-0224"/>
    <s v="PROD-023"/>
    <x v="17"/>
    <n v="6"/>
    <n v="2380"/>
    <n v="13.6"/>
    <n v="12337.92"/>
    <s v="Cancelled"/>
    <s v="Chennai"/>
    <x v="2"/>
    <s v="Corporate"/>
    <n v="24"/>
    <x v="2"/>
    <s v="R026"/>
    <n v="576305.08000000019"/>
    <x v="2"/>
  </r>
  <r>
    <s v="ORD-01937"/>
    <x v="229"/>
    <s v="CUST-0101"/>
    <s v="PROD-049"/>
    <x v="12"/>
    <n v="6"/>
    <n v="960"/>
    <n v="15"/>
    <n v="4896"/>
    <s v="Pending"/>
    <s v="Hyderabad"/>
    <x v="5"/>
    <s v="SMB"/>
    <n v="40"/>
    <x v="3"/>
    <s v="R023"/>
    <n v="983787.4800000001"/>
    <x v="3"/>
  </r>
  <r>
    <s v="ORD-01938"/>
    <x v="124"/>
    <s v="CUST-0269"/>
    <s v="PROD-057"/>
    <x v="25"/>
    <n v="3"/>
    <n v="960"/>
    <n v="12.3"/>
    <n v="2525.7600000000002"/>
    <s v="Completed"/>
    <s v="Pune"/>
    <x v="1"/>
    <s v="Retail"/>
    <n v="48"/>
    <x v="0"/>
    <s v="R002"/>
    <n v="980063.65999999968"/>
    <x v="0"/>
  </r>
  <r>
    <s v="ORD-01939"/>
    <x v="3"/>
    <s v="CUST-0097"/>
    <s v="PROD-016"/>
    <x v="20"/>
    <n v="7"/>
    <n v="620"/>
    <n v="5.8"/>
    <n v="4088.28"/>
    <s v="Completed"/>
    <s v="Mumbai"/>
    <x v="0"/>
    <s v="Retail"/>
    <n v="65"/>
    <x v="2"/>
    <s v="R029"/>
    <n v="1016696.8000000002"/>
    <x v="2"/>
  </r>
  <r>
    <s v="ORD-01940"/>
    <x v="299"/>
    <s v="CUST-0062"/>
    <s v="PROD-057"/>
    <x v="16"/>
    <n v="1"/>
    <n v="960"/>
    <n v="4.5999999999999996"/>
    <n v="915.84"/>
    <s v="Completed"/>
    <s v="Pune"/>
    <x v="1"/>
    <s v="Retail"/>
    <n v="54"/>
    <x v="3"/>
    <s v="R020"/>
    <n v="906107.71000000008"/>
    <x v="3"/>
  </r>
  <r>
    <s v="ORD-01941"/>
    <x v="226"/>
    <s v="CUST-0124"/>
    <s v="PROD-047"/>
    <x v="8"/>
    <n v="4"/>
    <n v="3450"/>
    <n v="13.3"/>
    <n v="11964.6"/>
    <s v="Completed"/>
    <s v="Pune"/>
    <x v="5"/>
    <s v="Retail"/>
    <n v="57"/>
    <x v="2"/>
    <s v="R028"/>
    <n v="880468.05"/>
    <x v="2"/>
  </r>
  <r>
    <s v="ORD-01942"/>
    <x v="17"/>
    <s v="CUST-0185"/>
    <s v="PROD-015"/>
    <x v="7"/>
    <n v="10"/>
    <n v="2720"/>
    <n v="3.4"/>
    <n v="26275.200000000001"/>
    <s v="Completed"/>
    <s v="Hyderabad"/>
    <x v="0"/>
    <s v="SMB"/>
    <n v="43"/>
    <x v="3"/>
    <s v="R019"/>
    <n v="971183.52000000014"/>
    <x v="3"/>
  </r>
  <r>
    <s v="ORD-01943"/>
    <x v="358"/>
    <s v="CUST-0115"/>
    <s v="PROD-047"/>
    <x v="7"/>
    <n v="1"/>
    <n v="3450"/>
    <n v="29.4"/>
    <n v="2435.6999999999998"/>
    <s v="Completed"/>
    <s v="Mumbai"/>
    <x v="5"/>
    <s v="SMB"/>
    <n v="65"/>
    <x v="3"/>
    <s v="R019"/>
    <n v="971183.52000000014"/>
    <x v="3"/>
  </r>
  <r>
    <s v="ORD-01944"/>
    <x v="201"/>
    <s v="CUST-0097"/>
    <s v="PROD-044"/>
    <x v="6"/>
    <n v="5"/>
    <n v="1650"/>
    <n v="29.4"/>
    <n v="5824.5"/>
    <s v="Completed"/>
    <s v="Mumbai"/>
    <x v="5"/>
    <s v="Retail"/>
    <n v="65"/>
    <x v="2"/>
    <s v="R024"/>
    <n v="819558.58"/>
    <x v="2"/>
  </r>
  <r>
    <s v="ORD-01945"/>
    <x v="167"/>
    <s v="CUST-0221"/>
    <s v="PROD-014"/>
    <x v="18"/>
    <n v="2"/>
    <n v="3620"/>
    <n v="15.6"/>
    <n v="6110.56"/>
    <s v="Completed"/>
    <s v="Delhi"/>
    <x v="0"/>
    <s v="SMB"/>
    <n v="29"/>
    <x v="1"/>
    <s v="R009"/>
    <n v="914554.71999999986"/>
    <x v="1"/>
  </r>
  <r>
    <s v="ORD-01946"/>
    <x v="95"/>
    <s v="CUST-0098"/>
    <s v="PROD-005"/>
    <x v="27"/>
    <n v="3"/>
    <n v="300"/>
    <n v="24.8"/>
    <n v="676.8"/>
    <s v="Completed"/>
    <s v="Delhi"/>
    <x v="4"/>
    <s v="Retail"/>
    <n v="52"/>
    <x v="1"/>
    <s v="R012"/>
    <n v="901394.32000000007"/>
    <x v="1"/>
  </r>
  <r>
    <s v="ORD-01947"/>
    <x v="200"/>
    <s v="CUST-0203"/>
    <s v="PROD-041"/>
    <x v="19"/>
    <n v="3"/>
    <n v="1540"/>
    <n v="29.5"/>
    <n v="3257.1"/>
    <s v="Completed"/>
    <s v="Chennai"/>
    <x v="5"/>
    <s v="SMB"/>
    <n v="55"/>
    <x v="0"/>
    <s v="R001"/>
    <n v="789849.60000000009"/>
    <x v="0"/>
  </r>
  <r>
    <s v="ORD-01948"/>
    <x v="317"/>
    <s v="CUST-0074"/>
    <s v="PROD-024"/>
    <x v="7"/>
    <n v="10"/>
    <n v="2270"/>
    <n v="5.5"/>
    <n v="21451.5"/>
    <s v="Cancelled"/>
    <s v="Bengaluru"/>
    <x v="2"/>
    <s v="Retail"/>
    <n v="27"/>
    <x v="3"/>
    <s v="R019"/>
    <n v="971183.52000000014"/>
    <x v="3"/>
  </r>
  <r>
    <s v="ORD-01949"/>
    <x v="154"/>
    <s v="CUST-0217"/>
    <s v="PROD-010"/>
    <x v="4"/>
    <n v="3"/>
    <n v="2640"/>
    <n v="28.2"/>
    <n v="5686.56"/>
    <s v="Refunded"/>
    <s v="Pune"/>
    <x v="4"/>
    <s v="SMB"/>
    <n v="59"/>
    <x v="0"/>
    <s v="R008"/>
    <n v="861553.33"/>
    <x v="0"/>
  </r>
  <r>
    <s v="ORD-01950"/>
    <x v="11"/>
    <s v="CUST-0021"/>
    <s v="PROD-010"/>
    <x v="15"/>
    <n v="10"/>
    <n v="2640"/>
    <n v="25.9"/>
    <n v="19562.400000000001"/>
    <s v="Completed"/>
    <s v="Pune"/>
    <x v="4"/>
    <s v="Retail"/>
    <n v="44"/>
    <x v="1"/>
    <s v="R015"/>
    <n v="1091740.1799999997"/>
    <x v="1"/>
  </r>
  <r>
    <s v="ORD-01951"/>
    <x v="152"/>
    <s v="CUST-0004"/>
    <s v="PROD-007"/>
    <x v="14"/>
    <n v="2"/>
    <n v="1430"/>
    <n v="5"/>
    <n v="2717"/>
    <s v="Cancelled"/>
    <s v="Delhi"/>
    <x v="4"/>
    <s v="Retail"/>
    <n v="53"/>
    <x v="2"/>
    <s v="R030"/>
    <n v="747624.36999999988"/>
    <x v="2"/>
  </r>
  <r>
    <s v="ORD-01952"/>
    <x v="221"/>
    <s v="CUST-0080"/>
    <s v="PROD-003"/>
    <x v="16"/>
    <n v="6"/>
    <n v="3570"/>
    <n v="28.5"/>
    <n v="15315.3"/>
    <s v="Cancelled"/>
    <s v="Pune"/>
    <x v="4"/>
    <s v="SMB"/>
    <n v="30"/>
    <x v="3"/>
    <s v="R020"/>
    <n v="906107.71000000008"/>
    <x v="3"/>
  </r>
  <r>
    <s v="ORD-01953"/>
    <x v="328"/>
    <s v="CUST-0113"/>
    <s v="PROD-003"/>
    <x v="6"/>
    <n v="1"/>
    <n v="3570"/>
    <n v="7.7"/>
    <n v="3295.11"/>
    <s v="Completed"/>
    <s v="Delhi"/>
    <x v="4"/>
    <s v="Retail"/>
    <n v="30"/>
    <x v="2"/>
    <s v="R024"/>
    <n v="819558.58"/>
    <x v="2"/>
  </r>
  <r>
    <s v="ORD-01954"/>
    <x v="312"/>
    <s v="CUST-0023"/>
    <s v="PROD-004"/>
    <x v="14"/>
    <n v="9"/>
    <n v="3870"/>
    <n v="11.9"/>
    <n v="30685.23"/>
    <s v="Cancelled"/>
    <s v="Chennai"/>
    <x v="4"/>
    <s v="SMB"/>
    <n v="43"/>
    <x v="2"/>
    <s v="R030"/>
    <n v="747624.36999999988"/>
    <x v="2"/>
  </r>
  <r>
    <s v="ORD-01955"/>
    <x v="50"/>
    <s v="CUST-0136"/>
    <s v="PROD-056"/>
    <x v="2"/>
    <n v="5"/>
    <n v="6940"/>
    <n v="17.399999999999999"/>
    <n v="28662.2"/>
    <s v="Completed"/>
    <s v="Chennai"/>
    <x v="1"/>
    <s v="SMB"/>
    <n v="26"/>
    <x v="1"/>
    <s v="R014"/>
    <n v="995713.54000000015"/>
    <x v="1"/>
  </r>
  <r>
    <s v="ORD-01956"/>
    <x v="42"/>
    <s v="CUST-0031"/>
    <s v="PROD-032"/>
    <x v="17"/>
    <n v="6"/>
    <n v="370"/>
    <n v="8.1"/>
    <n v="2040.18"/>
    <s v="Cancelled"/>
    <s v="Hyderabad"/>
    <x v="3"/>
    <s v="Retail"/>
    <n v="53"/>
    <x v="2"/>
    <s v="R026"/>
    <n v="576305.08000000019"/>
    <x v="2"/>
  </r>
  <r>
    <s v="ORD-01957"/>
    <x v="0"/>
    <s v="CUST-0175"/>
    <s v="PROD-018"/>
    <x v="28"/>
    <n v="8"/>
    <n v="3560"/>
    <n v="23.3"/>
    <n v="21844.16"/>
    <s v="Completed"/>
    <s v="Delhi"/>
    <x v="0"/>
    <s v="Corporate"/>
    <n v="55"/>
    <x v="2"/>
    <s v="R027"/>
    <n v="917092.61999999965"/>
    <x v="2"/>
  </r>
  <r>
    <s v="ORD-01958"/>
    <x v="142"/>
    <s v="CUST-0249"/>
    <s v="PROD-009"/>
    <x v="8"/>
    <n v="4"/>
    <n v="1220"/>
    <n v="2.7"/>
    <n v="4748.24"/>
    <s v="Completed"/>
    <s v="Mumbai"/>
    <x v="4"/>
    <s v="Retail"/>
    <n v="44"/>
    <x v="2"/>
    <s v="R028"/>
    <n v="880468.05"/>
    <x v="2"/>
  </r>
  <r>
    <s v="ORD-01959"/>
    <x v="311"/>
    <s v="CUST-0138"/>
    <s v="PROD-026"/>
    <x v="16"/>
    <n v="10"/>
    <n v="4070"/>
    <n v="11.6"/>
    <n v="35978.800000000003"/>
    <s v="Completed"/>
    <s v="Chennai"/>
    <x v="2"/>
    <s v="Retail"/>
    <n v="24"/>
    <x v="3"/>
    <s v="R020"/>
    <n v="906107.71000000008"/>
    <x v="3"/>
  </r>
  <r>
    <s v="ORD-01960"/>
    <x v="260"/>
    <s v="CUST-0290"/>
    <s v="PROD-028"/>
    <x v="7"/>
    <n v="10"/>
    <n v="3660"/>
    <n v="28.8"/>
    <n v="26059.200000000001"/>
    <s v="Completed"/>
    <s v="Delhi"/>
    <x v="2"/>
    <s v="Retail"/>
    <n v="63"/>
    <x v="3"/>
    <s v="R019"/>
    <n v="971183.52000000014"/>
    <x v="3"/>
  </r>
  <r>
    <s v="ORD-01961"/>
    <x v="121"/>
    <s v="CUST-0151"/>
    <s v="PROD-034"/>
    <x v="26"/>
    <n v="5"/>
    <n v="5080"/>
    <n v="12.1"/>
    <n v="22326.6"/>
    <s v="Completed"/>
    <s v="Mumbai"/>
    <x v="3"/>
    <s v="Retail"/>
    <n v="53"/>
    <x v="3"/>
    <s v="R018"/>
    <n v="1112289.6400000001"/>
    <x v="3"/>
  </r>
  <r>
    <s v="ORD-01962"/>
    <x v="200"/>
    <s v="CUST-0290"/>
    <s v="PROD-039"/>
    <x v="22"/>
    <n v="10"/>
    <n v="4610"/>
    <n v="22.5"/>
    <n v="35727.5"/>
    <s v="Completed"/>
    <s v="Delhi"/>
    <x v="3"/>
    <s v="Retail"/>
    <n v="63"/>
    <x v="1"/>
    <s v="R013"/>
    <n v="811524.37999999989"/>
    <x v="1"/>
  </r>
  <r>
    <s v="ORD-01963"/>
    <x v="58"/>
    <s v="CUST-0074"/>
    <s v="PROD-008"/>
    <x v="0"/>
    <n v="3"/>
    <n v="2660"/>
    <n v="15"/>
    <n v="6783"/>
    <s v="Completed"/>
    <s v="Bengaluru"/>
    <x v="4"/>
    <s v="Retail"/>
    <n v="27"/>
    <x v="0"/>
    <s v="R007"/>
    <n v="855749.67999999982"/>
    <x v="0"/>
  </r>
  <r>
    <s v="ORD-01964"/>
    <x v="360"/>
    <s v="CUST-0295"/>
    <s v="PROD-012"/>
    <x v="3"/>
    <n v="5"/>
    <n v="3160"/>
    <n v="1.3"/>
    <n v="15594.6"/>
    <s v="Completed"/>
    <s v="Delhi"/>
    <x v="0"/>
    <s v="SMB"/>
    <n v="48"/>
    <x v="0"/>
    <s v="R006"/>
    <n v="1138648.73"/>
    <x v="0"/>
  </r>
  <r>
    <s v="ORD-01965"/>
    <x v="354"/>
    <s v="CUST-0132"/>
    <s v="PROD-032"/>
    <x v="10"/>
    <n v="10"/>
    <n v="370"/>
    <n v="29"/>
    <n v="2627"/>
    <s v="Completed"/>
    <s v="Delhi"/>
    <x v="3"/>
    <s v="Retail"/>
    <n v="41"/>
    <x v="0"/>
    <s v="R004"/>
    <n v="589026.2899999998"/>
    <x v="0"/>
  </r>
  <r>
    <s v="ORD-01966"/>
    <x v="243"/>
    <s v="CUST-0289"/>
    <s v="PROD-054"/>
    <x v="4"/>
    <n v="10"/>
    <n v="1010"/>
    <n v="14.1"/>
    <n v="8675.9"/>
    <s v="Refunded"/>
    <s v="Mumbai"/>
    <x v="1"/>
    <s v="Retail"/>
    <n v="54"/>
    <x v="0"/>
    <s v="R008"/>
    <n v="861553.33"/>
    <x v="0"/>
  </r>
  <r>
    <s v="ORD-01967"/>
    <x v="261"/>
    <s v="CUST-0139"/>
    <s v="PROD-018"/>
    <x v="14"/>
    <n v="3"/>
    <n v="3560"/>
    <n v="23.6"/>
    <n v="8159.52"/>
    <s v="Completed"/>
    <s v="Hyderabad"/>
    <x v="0"/>
    <s v="SMB"/>
    <n v="65"/>
    <x v="2"/>
    <s v="R030"/>
    <n v="747624.36999999988"/>
    <x v="2"/>
  </r>
  <r>
    <s v="ORD-01968"/>
    <x v="1"/>
    <s v="CUST-0032"/>
    <s v="PROD-009"/>
    <x v="8"/>
    <n v="9"/>
    <n v="1220"/>
    <n v="16.600000000000001"/>
    <n v="9157.32"/>
    <s v="Completed"/>
    <s v="Hyderabad"/>
    <x v="4"/>
    <s v="Retail"/>
    <n v="28"/>
    <x v="2"/>
    <s v="R028"/>
    <n v="880468.05"/>
    <x v="2"/>
  </r>
  <r>
    <s v="ORD-01969"/>
    <x v="30"/>
    <s v="CUST-0109"/>
    <s v="PROD-060"/>
    <x v="4"/>
    <n v="8"/>
    <n v="190"/>
    <n v="22.3"/>
    <n v="1181.04"/>
    <s v="Completed"/>
    <s v="Pune"/>
    <x v="1"/>
    <s v="Retail"/>
    <n v="42"/>
    <x v="0"/>
    <s v="R008"/>
    <n v="861553.33"/>
    <x v="0"/>
  </r>
  <r>
    <s v="ORD-01970"/>
    <x v="290"/>
    <s v="CUST-0224"/>
    <s v="PROD-054"/>
    <x v="25"/>
    <n v="2"/>
    <n v="1010"/>
    <n v="3.8"/>
    <n v="1943.24"/>
    <s v="Completed"/>
    <s v="Chennai"/>
    <x v="1"/>
    <s v="Corporate"/>
    <n v="24"/>
    <x v="0"/>
    <s v="R002"/>
    <n v="980063.65999999968"/>
    <x v="0"/>
  </r>
  <r>
    <s v="ORD-01971"/>
    <x v="96"/>
    <s v="CUST-0038"/>
    <s v="PROD-002"/>
    <x v="18"/>
    <n v="4"/>
    <n v="2600"/>
    <n v="29.1"/>
    <n v="7373.6"/>
    <s v="Completed"/>
    <s v="Mumbai"/>
    <x v="4"/>
    <s v="Retail"/>
    <n v="57"/>
    <x v="1"/>
    <s v="R009"/>
    <n v="914554.71999999986"/>
    <x v="1"/>
  </r>
  <r>
    <s v="ORD-01972"/>
    <x v="25"/>
    <s v="CUST-0132"/>
    <s v="PROD-011"/>
    <x v="20"/>
    <n v="7"/>
    <n v="3450"/>
    <n v="4"/>
    <n v="23184"/>
    <s v="Completed"/>
    <s v="Delhi"/>
    <x v="0"/>
    <s v="Retail"/>
    <n v="41"/>
    <x v="2"/>
    <s v="R029"/>
    <n v="1016696.8000000002"/>
    <x v="2"/>
  </r>
  <r>
    <s v="ORD-01973"/>
    <x v="288"/>
    <s v="CUST-0226"/>
    <s v="PROD-017"/>
    <x v="7"/>
    <n v="6"/>
    <n v="2510"/>
    <n v="12.7"/>
    <n v="13147.38"/>
    <s v="Completed"/>
    <s v="Chennai"/>
    <x v="0"/>
    <s v="Corporate"/>
    <n v="52"/>
    <x v="3"/>
    <s v="R019"/>
    <n v="971183.52000000014"/>
    <x v="3"/>
  </r>
  <r>
    <s v="ORD-01974"/>
    <x v="9"/>
    <s v="CUST-0275"/>
    <s v="PROD-060"/>
    <x v="28"/>
    <n v="6"/>
    <n v="190"/>
    <n v="20"/>
    <n v="912"/>
    <s v="Cancelled"/>
    <s v="Mumbai"/>
    <x v="1"/>
    <s v="Retail"/>
    <n v="36"/>
    <x v="2"/>
    <s v="R027"/>
    <n v="917092.61999999965"/>
    <x v="2"/>
  </r>
  <r>
    <s v="ORD-01975"/>
    <x v="201"/>
    <s v="CUST-0109"/>
    <s v="PROD-044"/>
    <x v="20"/>
    <n v="10"/>
    <n v="1650"/>
    <n v="21.5"/>
    <n v="12952.5"/>
    <s v="Completed"/>
    <s v="Pune"/>
    <x v="5"/>
    <s v="Retail"/>
    <n v="42"/>
    <x v="2"/>
    <s v="R029"/>
    <n v="1016696.8000000002"/>
    <x v="2"/>
  </r>
  <r>
    <s v="ORD-01976"/>
    <x v="112"/>
    <s v="CUST-0281"/>
    <s v="PROD-055"/>
    <x v="18"/>
    <n v="4"/>
    <n v="2860"/>
    <n v="15.2"/>
    <n v="9701.1200000000008"/>
    <s v="Completed"/>
    <s v="Bengaluru"/>
    <x v="1"/>
    <s v="Corporate"/>
    <n v="57"/>
    <x v="1"/>
    <s v="R009"/>
    <n v="914554.71999999986"/>
    <x v="1"/>
  </r>
  <r>
    <s v="ORD-01977"/>
    <x v="55"/>
    <s v="CUST-0174"/>
    <s v="PROD-053"/>
    <x v="8"/>
    <n v="3"/>
    <n v="470"/>
    <n v="14.2"/>
    <n v="1209.78"/>
    <s v="Completed"/>
    <s v="Pune"/>
    <x v="1"/>
    <s v="Retail"/>
    <n v="54"/>
    <x v="2"/>
    <s v="R028"/>
    <n v="880468.05"/>
    <x v="2"/>
  </r>
  <r>
    <s v="ORD-01978"/>
    <x v="277"/>
    <s v="CUST-0103"/>
    <s v="PROD-055"/>
    <x v="14"/>
    <n v="2"/>
    <n v="2860"/>
    <n v="17.899999999999999"/>
    <n v="4696.12"/>
    <s v="Completed"/>
    <s v="Hyderabad"/>
    <x v="1"/>
    <s v="Corporate"/>
    <n v="54"/>
    <x v="2"/>
    <s v="R030"/>
    <n v="747624.36999999988"/>
    <x v="2"/>
  </r>
  <r>
    <s v="ORD-01979"/>
    <x v="192"/>
    <s v="CUST-0076"/>
    <s v="PROD-019"/>
    <x v="26"/>
    <n v="2"/>
    <n v="2480"/>
    <n v="11.5"/>
    <n v="4389.6000000000004"/>
    <s v="Cancelled"/>
    <s v="Mumbai"/>
    <x v="0"/>
    <s v="Retail"/>
    <n v="38"/>
    <x v="3"/>
    <s v="R018"/>
    <n v="1112289.6400000001"/>
    <x v="3"/>
  </r>
  <r>
    <s v="ORD-01980"/>
    <x v="208"/>
    <s v="CUST-0227"/>
    <s v="PROD-033"/>
    <x v="3"/>
    <n v="10"/>
    <n v="2030"/>
    <n v="29.2"/>
    <n v="14372.4"/>
    <s v="Completed"/>
    <s v="Bengaluru"/>
    <x v="3"/>
    <s v="SMB"/>
    <n v="44"/>
    <x v="0"/>
    <s v="R006"/>
    <n v="1138648.73"/>
    <x v="0"/>
  </r>
  <r>
    <s v="ORD-01981"/>
    <x v="135"/>
    <s v="CUST-0006"/>
    <s v="PROD-047"/>
    <x v="27"/>
    <n v="6"/>
    <n v="3450"/>
    <n v="3.5"/>
    <n v="19975.5"/>
    <s v="Refunded"/>
    <s v="Pune"/>
    <x v="5"/>
    <s v="SMB"/>
    <n v="44"/>
    <x v="1"/>
    <s v="R012"/>
    <n v="901394.32000000007"/>
    <x v="1"/>
  </r>
  <r>
    <s v="ORD-01982"/>
    <x v="320"/>
    <s v="CUST-0231"/>
    <s v="PROD-007"/>
    <x v="23"/>
    <n v="10"/>
    <n v="1430"/>
    <n v="3.5"/>
    <n v="13799.5"/>
    <s v="Completed"/>
    <s v="Chennai"/>
    <x v="4"/>
    <s v="Retail"/>
    <n v="61"/>
    <x v="1"/>
    <s v="R011"/>
    <n v="735207.75999999989"/>
    <x v="1"/>
  </r>
  <r>
    <s v="ORD-01983"/>
    <x v="124"/>
    <s v="CUST-0085"/>
    <s v="PROD-020"/>
    <x v="21"/>
    <n v="1"/>
    <n v="820"/>
    <n v="14.5"/>
    <n v="701.1"/>
    <s v="Cancelled"/>
    <s v="Chennai"/>
    <x v="0"/>
    <s v="Retail"/>
    <n v="26"/>
    <x v="3"/>
    <s v="R017"/>
    <n v="780384.40999999992"/>
    <x v="3"/>
  </r>
  <r>
    <s v="ORD-01984"/>
    <x v="144"/>
    <s v="CUST-0022"/>
    <s v="PROD-046"/>
    <x v="12"/>
    <n v="5"/>
    <n v="4880"/>
    <n v="1.8"/>
    <n v="23960.799999999999"/>
    <s v="Completed"/>
    <s v="Bengaluru"/>
    <x v="5"/>
    <s v="Corporate"/>
    <n v="55"/>
    <x v="3"/>
    <s v="R023"/>
    <n v="983787.4800000001"/>
    <x v="3"/>
  </r>
  <r>
    <s v="ORD-01985"/>
    <x v="217"/>
    <s v="CUST-0275"/>
    <s v="PROD-043"/>
    <x v="29"/>
    <n v="8"/>
    <n v="3350"/>
    <n v="26.3"/>
    <n v="19751.599999999999"/>
    <s v="Cancelled"/>
    <s v="Mumbai"/>
    <x v="5"/>
    <s v="Retail"/>
    <n v="36"/>
    <x v="1"/>
    <s v="R016"/>
    <n v="814563.7100000002"/>
    <x v="1"/>
  </r>
  <r>
    <s v="ORD-01986"/>
    <x v="129"/>
    <s v="CUST-0159"/>
    <s v="PROD-019"/>
    <x v="24"/>
    <n v="9"/>
    <n v="2480"/>
    <n v="24.3"/>
    <n v="16896.240000000002"/>
    <s v="Completed"/>
    <s v="Hyderabad"/>
    <x v="0"/>
    <s v="Retail"/>
    <n v="32"/>
    <x v="3"/>
    <s v="R022"/>
    <n v="1069570.5400000003"/>
    <x v="3"/>
  </r>
  <r>
    <s v="ORD-01987"/>
    <x v="66"/>
    <s v="CUST-0152"/>
    <s v="PROD-039"/>
    <x v="6"/>
    <n v="9"/>
    <n v="4610"/>
    <n v="10"/>
    <n v="37341"/>
    <s v="Completed"/>
    <s v="Bengaluru"/>
    <x v="3"/>
    <s v="SMB"/>
    <n v="64"/>
    <x v="2"/>
    <s v="R024"/>
    <n v="819558.58"/>
    <x v="2"/>
  </r>
  <r>
    <s v="ORD-01988"/>
    <x v="132"/>
    <s v="CUST-0289"/>
    <s v="PROD-027"/>
    <x v="10"/>
    <n v="1"/>
    <n v="3780"/>
    <n v="2.2000000000000002"/>
    <n v="3696.84"/>
    <s v="Completed"/>
    <s v="Mumbai"/>
    <x v="2"/>
    <s v="Retail"/>
    <n v="54"/>
    <x v="0"/>
    <s v="R004"/>
    <n v="589026.2899999998"/>
    <x v="0"/>
  </r>
  <r>
    <s v="ORD-01989"/>
    <x v="24"/>
    <s v="CUST-0004"/>
    <s v="PROD-045"/>
    <x v="17"/>
    <n v="3"/>
    <n v="3020"/>
    <n v="21.4"/>
    <n v="7121.16"/>
    <s v="Cancelled"/>
    <s v="Delhi"/>
    <x v="5"/>
    <s v="Retail"/>
    <n v="53"/>
    <x v="2"/>
    <s v="R026"/>
    <n v="576305.08000000019"/>
    <x v="2"/>
  </r>
  <r>
    <s v="ORD-01990"/>
    <x v="218"/>
    <s v="CUST-0159"/>
    <s v="PROD-035"/>
    <x v="3"/>
    <n v="10"/>
    <n v="1090"/>
    <n v="29.2"/>
    <n v="7717.2"/>
    <s v="Cancelled"/>
    <s v="Hyderabad"/>
    <x v="3"/>
    <s v="Retail"/>
    <n v="32"/>
    <x v="0"/>
    <s v="R006"/>
    <n v="1138648.73"/>
    <x v="0"/>
  </r>
  <r>
    <s v="ORD-01991"/>
    <x v="48"/>
    <s v="CUST-0083"/>
    <s v="PROD-048"/>
    <x v="22"/>
    <n v="5"/>
    <n v="5100"/>
    <n v="28.4"/>
    <n v="18258"/>
    <s v="Completed"/>
    <s v="Bengaluru"/>
    <x v="5"/>
    <s v="Corporate"/>
    <n v="31"/>
    <x v="1"/>
    <s v="R013"/>
    <n v="811524.37999999989"/>
    <x v="1"/>
  </r>
  <r>
    <s v="ORD-01992"/>
    <x v="279"/>
    <s v="CUST-0242"/>
    <s v="PROD-046"/>
    <x v="4"/>
    <n v="6"/>
    <n v="4880"/>
    <n v="16.8"/>
    <n v="24360.959999999999"/>
    <s v="Completed"/>
    <s v="Chennai"/>
    <x v="5"/>
    <s v="SMB"/>
    <n v="59"/>
    <x v="0"/>
    <s v="R008"/>
    <n v="861553.33"/>
    <x v="0"/>
  </r>
  <r>
    <s v="ORD-01993"/>
    <x v="310"/>
    <s v="CUST-0245"/>
    <s v="PROD-001"/>
    <x v="28"/>
    <n v="1"/>
    <n v="5330"/>
    <n v="27.5"/>
    <n v="3864.25"/>
    <s v="Completed"/>
    <s v="Hyderabad"/>
    <x v="4"/>
    <s v="Retail"/>
    <n v="65"/>
    <x v="2"/>
    <s v="R027"/>
    <n v="917092.61999999965"/>
    <x v="2"/>
  </r>
  <r>
    <s v="ORD-01994"/>
    <x v="302"/>
    <s v="CUST-0008"/>
    <s v="PROD-033"/>
    <x v="20"/>
    <n v="7"/>
    <n v="2030"/>
    <n v="5.3"/>
    <n v="13456.87"/>
    <s v="Cancelled"/>
    <s v="Pune"/>
    <x v="3"/>
    <s v="SMB"/>
    <n v="39"/>
    <x v="2"/>
    <s v="R029"/>
    <n v="1016696.8000000002"/>
    <x v="2"/>
  </r>
  <r>
    <s v="ORD-01995"/>
    <x v="107"/>
    <s v="CUST-0260"/>
    <s v="PROD-043"/>
    <x v="6"/>
    <n v="7"/>
    <n v="3350"/>
    <n v="0.4"/>
    <n v="23356.2"/>
    <s v="Completed"/>
    <s v="Bengaluru"/>
    <x v="5"/>
    <s v="Retail"/>
    <n v="42"/>
    <x v="2"/>
    <s v="R024"/>
    <n v="819558.58"/>
    <x v="2"/>
  </r>
  <r>
    <s v="ORD-01996"/>
    <x v="346"/>
    <s v="CUST-0265"/>
    <s v="PROD-031"/>
    <x v="15"/>
    <n v="6"/>
    <n v="3730"/>
    <n v="13.8"/>
    <n v="19291.560000000001"/>
    <s v="Completed"/>
    <s v="Chennai"/>
    <x v="3"/>
    <s v="Retail"/>
    <n v="49"/>
    <x v="1"/>
    <s v="R015"/>
    <n v="1091740.1799999997"/>
    <x v="1"/>
  </r>
  <r>
    <s v="ORD-01997"/>
    <x v="65"/>
    <s v="CUST-0135"/>
    <s v="PROD-006"/>
    <x v="21"/>
    <n v="6"/>
    <n v="3970"/>
    <n v="5.8"/>
    <n v="22438.44"/>
    <s v="Pending"/>
    <s v="Pune"/>
    <x v="4"/>
    <s v="SMB"/>
    <n v="24"/>
    <x v="3"/>
    <s v="R017"/>
    <n v="780384.40999999992"/>
    <x v="3"/>
  </r>
  <r>
    <s v="ORD-01998"/>
    <x v="95"/>
    <s v="CUST-0030"/>
    <s v="PROD-029"/>
    <x v="23"/>
    <n v="4"/>
    <n v="2210"/>
    <n v="18.2"/>
    <n v="7231.12"/>
    <s v="Pending"/>
    <s v="Bengaluru"/>
    <x v="2"/>
    <s v="Corporate"/>
    <n v="43"/>
    <x v="1"/>
    <s v="R011"/>
    <n v="735207.75999999989"/>
    <x v="1"/>
  </r>
  <r>
    <s v="ORD-01999"/>
    <x v="43"/>
    <s v="CUST-0167"/>
    <s v="PROD-052"/>
    <x v="4"/>
    <n v="6"/>
    <n v="5410"/>
    <n v="15.5"/>
    <n v="27428.7"/>
    <s v="Completed"/>
    <s v="Delhi"/>
    <x v="1"/>
    <s v="Retail"/>
    <n v="43"/>
    <x v="0"/>
    <s v="R008"/>
    <n v="861553.33"/>
    <x v="0"/>
  </r>
  <r>
    <s v="ORD-02000"/>
    <x v="354"/>
    <s v="CUST-0238"/>
    <s v="PROD-034"/>
    <x v="12"/>
    <n v="6"/>
    <n v="5080"/>
    <n v="28.1"/>
    <n v="21915.119999999999"/>
    <s v="Completed"/>
    <s v="Delhi"/>
    <x v="3"/>
    <s v="Retail"/>
    <n v="49"/>
    <x v="3"/>
    <s v="R023"/>
    <n v="983787.4800000001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00">
  <r>
    <s v="ORD-00001"/>
    <d v="2024-09-14T00:00:00"/>
    <s v="CUST-0243"/>
    <s v="PROD-014"/>
    <s v="R007"/>
    <n v="8"/>
    <n v="3620"/>
    <n v="15.4"/>
    <n v="24500.16"/>
    <s v="Completed"/>
    <x v="0"/>
    <s v="Apparel"/>
    <s v="SMB"/>
    <n v="44"/>
    <s v="North"/>
    <s v="R007"/>
    <n v="855749.67999999982"/>
    <s v="North"/>
    <s v="Apparel"/>
    <n v="2509"/>
  </r>
  <r>
    <s v="ORD-00002"/>
    <d v="2024-02-18T00:00:00"/>
    <s v="CUST-0202"/>
    <s v="PROD-020"/>
    <s v="R005"/>
    <n v="2"/>
    <n v="820"/>
    <n v="10.8"/>
    <n v="1462.88"/>
    <s v="Pending"/>
    <x v="1"/>
    <s v="Apparel"/>
    <s v="Retail"/>
    <n v="39"/>
    <s v="North"/>
    <s v="R005"/>
    <n v="782445.33"/>
    <s v="North"/>
    <s v="Apparel"/>
    <n v="391"/>
  </r>
  <r>
    <s v="ORD-00003"/>
    <d v="2024-03-20T00:00:00"/>
    <s v="CUST-0098"/>
    <s v="PROD-053"/>
    <s v="R014"/>
    <n v="8"/>
    <n v="470"/>
    <n v="3.3"/>
    <n v="3635.92"/>
    <s v="Pending"/>
    <x v="2"/>
    <s v="Sports"/>
    <s v="Retail"/>
    <n v="52"/>
    <s v="South"/>
    <s v="R014"/>
    <n v="995713.54000000015"/>
    <s v="South"/>
    <s v="Sports"/>
    <n v="302"/>
  </r>
  <r>
    <s v="ORD-00004"/>
    <d v="2024-05-01T00:00:00"/>
    <s v="CUST-0071"/>
    <s v="PROD-028"/>
    <s v="R006"/>
    <n v="1"/>
    <n v="3660"/>
    <n v="15.7"/>
    <n v="3085.38"/>
    <s v="Completed"/>
    <x v="2"/>
    <s v="Grocery"/>
    <s v="Corporate"/>
    <n v="46"/>
    <s v="North"/>
    <s v="R006"/>
    <n v="1138648.73"/>
    <s v="North"/>
    <s v="Grocery"/>
    <n v="2214"/>
  </r>
  <r>
    <s v="ORD-00005"/>
    <d v="2024-11-15T00:00:00"/>
    <s v="CUST-0180"/>
    <s v="PROD-012"/>
    <s v="R008"/>
    <n v="1"/>
    <n v="3160"/>
    <n v="26"/>
    <n v="2338.4"/>
    <s v="Completed"/>
    <x v="1"/>
    <s v="Apparel"/>
    <s v="Retail"/>
    <n v="36"/>
    <s v="North"/>
    <s v="R008"/>
    <n v="861553.33"/>
    <s v="North"/>
    <s v="Apparel"/>
    <n v="1886"/>
  </r>
  <r>
    <s v="ORD-00006"/>
    <d v="2024-04-24T00:00:00"/>
    <s v="CUST-0275"/>
    <s v="PROD-032"/>
    <s v="R025"/>
    <n v="4"/>
    <n v="370"/>
    <n v="29"/>
    <n v="1050.8"/>
    <s v="Completed"/>
    <x v="3"/>
    <s v="Home"/>
    <s v="Retail"/>
    <n v="36"/>
    <s v="West"/>
    <s v="R025"/>
    <n v="901298.89"/>
    <s v="West"/>
    <s v="Home"/>
    <n v="288"/>
  </r>
  <r>
    <s v="ORD-00007"/>
    <d v="2024-06-12T00:00:00"/>
    <s v="CUST-0293"/>
    <s v="PROD-057"/>
    <s v="R024"/>
    <n v="3"/>
    <n v="960"/>
    <n v="5.8"/>
    <n v="2712.96"/>
    <s v="Completed"/>
    <x v="4"/>
    <s v="Sports"/>
    <s v="Retail"/>
    <n v="27"/>
    <s v="West"/>
    <s v="R024"/>
    <n v="819558.58"/>
    <s v="West"/>
    <s v="Sports"/>
    <n v="705"/>
  </r>
  <r>
    <s v="ORD-00008"/>
    <d v="2024-11-21T00:00:00"/>
    <s v="CUST-0281"/>
    <s v="PROD-007"/>
    <s v="R019"/>
    <n v="8"/>
    <n v="1430"/>
    <n v="2.4"/>
    <n v="11165.44"/>
    <s v="Completed"/>
    <x v="4"/>
    <s v="Electronics"/>
    <s v="Corporate"/>
    <n v="57"/>
    <s v="East"/>
    <s v="R019"/>
    <n v="971183.52000000014"/>
    <s v="East"/>
    <s v="Electronics"/>
    <n v="861"/>
  </r>
  <r>
    <s v="ORD-00009"/>
    <d v="2024-09-14T00:00:00"/>
    <s v="CUST-0260"/>
    <s v="PROD-038"/>
    <s v="R008"/>
    <n v="3"/>
    <n v="5490"/>
    <n v="14.2"/>
    <n v="14131.26"/>
    <s v="Completed"/>
    <x v="4"/>
    <s v="Home"/>
    <s v="Retail"/>
    <n v="42"/>
    <s v="North"/>
    <s v="R008"/>
    <n v="861553.33"/>
    <s v="North"/>
    <s v="Home"/>
    <n v="2549"/>
  </r>
  <r>
    <s v="ORD-00010"/>
    <d v="2024-04-14T00:00:00"/>
    <s v="CUST-0147"/>
    <s v="PROD-030"/>
    <s v="R028"/>
    <n v="3"/>
    <n v="970"/>
    <n v="1.2"/>
    <n v="2875.08"/>
    <s v="Completed"/>
    <x v="0"/>
    <s v="Grocery"/>
    <s v="Retail"/>
    <n v="56"/>
    <s v="West"/>
    <s v="R028"/>
    <n v="880468.05"/>
    <s v="West"/>
    <s v="Grocery"/>
    <n v="434"/>
  </r>
  <r>
    <s v="ORD-00011"/>
    <d v="2024-09-25T00:00:00"/>
    <s v="CUST-0204"/>
    <s v="PROD-024"/>
    <s v="R010"/>
    <n v="7"/>
    <n v="2270"/>
    <n v="7.1"/>
    <n v="14761.81"/>
    <s v="Pending"/>
    <x v="5"/>
    <s v="Grocery"/>
    <s v="Retail"/>
    <n v="60"/>
    <s v="South"/>
    <s v="R010"/>
    <n v="880345.20000000007"/>
    <s v="South"/>
    <s v="Grocery"/>
    <n v="1203"/>
  </r>
  <r>
    <s v="ORD-00012"/>
    <d v="2024-02-10T00:00:00"/>
    <s v="CUST-0147"/>
    <s v="PROD-010"/>
    <s v="R024"/>
    <n v="9"/>
    <n v="2640"/>
    <n v="21.7"/>
    <n v="18604.080000000002"/>
    <s v="Completed"/>
    <x v="0"/>
    <s v="Electronics"/>
    <s v="Retail"/>
    <n v="56"/>
    <s v="West"/>
    <s v="R024"/>
    <n v="819558.58"/>
    <s v="West"/>
    <s v="Electronics"/>
    <n v="1149"/>
  </r>
  <r>
    <s v="ORD-00013"/>
    <d v="2024-08-03T00:00:00"/>
    <s v="CUST-0280"/>
    <s v="PROD-002"/>
    <s v="R004"/>
    <n v="3"/>
    <n v="2600"/>
    <n v="4.3"/>
    <n v="7464.6"/>
    <s v="Cancelled"/>
    <x v="2"/>
    <s v="Electronics"/>
    <s v="SMB"/>
    <n v="27"/>
    <s v="North"/>
    <s v="R004"/>
    <n v="589026.2899999998"/>
    <s v="North"/>
    <s v="Electronics"/>
    <n v="1052"/>
  </r>
  <r>
    <s v="ORD-00014"/>
    <d v="2024-06-23T00:00:00"/>
    <s v="CUST-0008"/>
    <s v="PROD-036"/>
    <s v="R025"/>
    <n v="3"/>
    <n v="3250"/>
    <n v="14.1"/>
    <n v="8375.25"/>
    <s v="Refunded"/>
    <x v="0"/>
    <s v="Home"/>
    <s v="SMB"/>
    <n v="39"/>
    <s v="West"/>
    <s v="R025"/>
    <n v="901298.89"/>
    <s v="West"/>
    <s v="Home"/>
    <n v="1556"/>
  </r>
  <r>
    <s v="ORD-00015"/>
    <d v="2024-03-14T00:00:00"/>
    <s v="CUST-0052"/>
    <s v="PROD-060"/>
    <s v="R003"/>
    <n v="1"/>
    <n v="190"/>
    <n v="20.7"/>
    <n v="150.66999999999999"/>
    <s v="Completed"/>
    <x v="0"/>
    <s v="Sports"/>
    <s v="Retail"/>
    <n v="38"/>
    <s v="North"/>
    <s v="R003"/>
    <n v="986692.91"/>
    <s v="North"/>
    <s v="Sports"/>
    <n v="147"/>
  </r>
  <r>
    <s v="ORD-00016"/>
    <d v="2024-09-11T00:00:00"/>
    <s v="CUST-0184"/>
    <s v="PROD-058"/>
    <s v="R014"/>
    <n v="7"/>
    <n v="2400"/>
    <n v="10.199999999999999"/>
    <n v="15086.4"/>
    <s v="Pending"/>
    <x v="0"/>
    <s v="Sports"/>
    <s v="Retail"/>
    <n v="63"/>
    <s v="South"/>
    <s v="R014"/>
    <n v="995713.54000000015"/>
    <s v="South"/>
    <s v="Sports"/>
    <n v="974"/>
  </r>
  <r>
    <s v="ORD-00017"/>
    <d v="2024-08-08T00:00:00"/>
    <s v="CUST-0056"/>
    <s v="PROD-028"/>
    <s v="R023"/>
    <n v="4"/>
    <n v="3660"/>
    <n v="2.6"/>
    <n v="14259.36"/>
    <s v="Completed"/>
    <x v="4"/>
    <s v="Grocery"/>
    <s v="SMB"/>
    <n v="46"/>
    <s v="East"/>
    <s v="R023"/>
    <n v="983787.4800000001"/>
    <s v="East"/>
    <s v="Grocery"/>
    <n v="2214"/>
  </r>
  <r>
    <s v="ORD-00018"/>
    <d v="2024-12-28T00:00:00"/>
    <s v="CUST-0273"/>
    <s v="PROD-047"/>
    <s v="R021"/>
    <n v="8"/>
    <n v="3450"/>
    <n v="18.5"/>
    <n v="22494"/>
    <s v="Completed"/>
    <x v="5"/>
    <s v="Beauty"/>
    <s v="Corporate"/>
    <n v="32"/>
    <s v="East"/>
    <s v="R021"/>
    <n v="761507.17000000027"/>
    <s v="East"/>
    <s v="Beauty"/>
    <n v="2420"/>
  </r>
  <r>
    <s v="ORD-00019"/>
    <d v="2024-11-30T00:00:00"/>
    <s v="CUST-0182"/>
    <s v="PROD-051"/>
    <s v="R023"/>
    <n v="5"/>
    <n v="3450"/>
    <n v="7.3"/>
    <n v="15990.75"/>
    <s v="Completed"/>
    <x v="3"/>
    <s v="Sports"/>
    <s v="Retail"/>
    <n v="54"/>
    <s v="East"/>
    <s v="R023"/>
    <n v="983787.4800000001"/>
    <s v="East"/>
    <s v="Sports"/>
    <n v="2467"/>
  </r>
  <r>
    <s v="ORD-00020"/>
    <d v="2024-04-12T00:00:00"/>
    <s v="CUST-0265"/>
    <s v="PROD-040"/>
    <s v="R023"/>
    <n v="8"/>
    <n v="1080"/>
    <n v="2.2000000000000002"/>
    <n v="8449.92"/>
    <s v="Completed"/>
    <x v="1"/>
    <s v="Home"/>
    <s v="Retail"/>
    <n v="49"/>
    <s v="East"/>
    <s v="R023"/>
    <n v="983787.4800000001"/>
    <s v="East"/>
    <s v="Home"/>
    <n v="519"/>
  </r>
  <r>
    <s v="ORD-00021"/>
    <d v="2024-06-27T00:00:00"/>
    <s v="CUST-0159"/>
    <s v="PROD-019"/>
    <s v="R006"/>
    <n v="7"/>
    <n v="2480"/>
    <n v="28.7"/>
    <n v="12377.68"/>
    <s v="Completed"/>
    <x v="5"/>
    <s v="Apparel"/>
    <s v="Retail"/>
    <n v="32"/>
    <s v="North"/>
    <s v="R006"/>
    <n v="1138648.73"/>
    <s v="North"/>
    <s v="Apparel"/>
    <n v="1173"/>
  </r>
  <r>
    <s v="ORD-00022"/>
    <d v="2024-03-03T00:00:00"/>
    <s v="CUST-0259"/>
    <s v="PROD-036"/>
    <s v="R030"/>
    <n v="4"/>
    <n v="3250"/>
    <n v="24.6"/>
    <n v="9802"/>
    <s v="Completed"/>
    <x v="3"/>
    <s v="Home"/>
    <s v="Retail"/>
    <n v="34"/>
    <s v="West"/>
    <s v="R030"/>
    <n v="747624.36999999988"/>
    <s v="West"/>
    <s v="Home"/>
    <n v="1556"/>
  </r>
  <r>
    <s v="ORD-00023"/>
    <d v="2024-08-26T00:00:00"/>
    <s v="CUST-0107"/>
    <s v="PROD-015"/>
    <s v="R030"/>
    <n v="9"/>
    <n v="2720"/>
    <n v="26.2"/>
    <n v="18066.240000000002"/>
    <s v="Completed"/>
    <x v="0"/>
    <s v="Apparel"/>
    <s v="Retail"/>
    <n v="50"/>
    <s v="West"/>
    <s v="R030"/>
    <n v="747624.36999999988"/>
    <s v="West"/>
    <s v="Apparel"/>
    <n v="1962"/>
  </r>
  <r>
    <s v="ORD-00024"/>
    <d v="2024-06-29T00:00:00"/>
    <s v="CUST-0101"/>
    <s v="PROD-044"/>
    <s v="R003"/>
    <n v="2"/>
    <n v="1650"/>
    <n v="9.4"/>
    <n v="2989.8"/>
    <s v="Completed"/>
    <x v="5"/>
    <s v="Beauty"/>
    <s v="SMB"/>
    <n v="40"/>
    <s v="North"/>
    <s v="R003"/>
    <n v="986692.91"/>
    <s v="North"/>
    <s v="Beauty"/>
    <n v="1222"/>
  </r>
  <r>
    <s v="ORD-00025"/>
    <d v="2024-04-12T00:00:00"/>
    <s v="CUST-0142"/>
    <s v="PROD-043"/>
    <s v="R023"/>
    <n v="6"/>
    <n v="3350"/>
    <n v="6.1"/>
    <n v="18873.900000000001"/>
    <s v="Pending"/>
    <x v="1"/>
    <s v="Beauty"/>
    <s v="Corporate"/>
    <n v="55"/>
    <s v="East"/>
    <s v="R023"/>
    <n v="983787.4800000001"/>
    <s v="East"/>
    <s v="Beauty"/>
    <n v="1728"/>
  </r>
  <r>
    <s v="ORD-00026"/>
    <d v="2024-10-05T00:00:00"/>
    <s v="CUST-0250"/>
    <s v="PROD-054"/>
    <s v="R019"/>
    <n v="2"/>
    <n v="1010"/>
    <n v="16.5"/>
    <n v="1686.7"/>
    <s v="Cancelled"/>
    <x v="2"/>
    <s v="Sports"/>
    <s v="Retail"/>
    <n v="31"/>
    <s v="East"/>
    <s v="R019"/>
    <n v="971183.52000000014"/>
    <s v="East"/>
    <s v="Sports"/>
    <n v="516"/>
  </r>
  <r>
    <s v="ORD-00027"/>
    <d v="2024-04-19T00:00:00"/>
    <s v="CUST-0098"/>
    <s v="PROD-046"/>
    <s v="R006"/>
    <n v="5"/>
    <n v="4880"/>
    <n v="23.6"/>
    <n v="18641.599999999999"/>
    <s v="Completed"/>
    <x v="2"/>
    <s v="Beauty"/>
    <s v="Retail"/>
    <n v="52"/>
    <s v="North"/>
    <s v="R006"/>
    <n v="1138648.73"/>
    <s v="North"/>
    <s v="Beauty"/>
    <n v="2768"/>
  </r>
  <r>
    <s v="ORD-00028"/>
    <d v="2024-08-13T00:00:00"/>
    <s v="CUST-0143"/>
    <s v="PROD-003"/>
    <s v="R015"/>
    <n v="7"/>
    <n v="3570"/>
    <n v="5.8"/>
    <n v="23540.58"/>
    <s v="Cancelled"/>
    <x v="1"/>
    <s v="Electronics"/>
    <s v="SMB"/>
    <n v="52"/>
    <s v="South"/>
    <s v="R015"/>
    <n v="1091740.1799999997"/>
    <s v="South"/>
    <s v="Electronics"/>
    <n v="1665"/>
  </r>
  <r>
    <s v="ORD-00029"/>
    <d v="2024-03-12T00:00:00"/>
    <s v="CUST-0086"/>
    <s v="PROD-048"/>
    <s v="R020"/>
    <n v="9"/>
    <n v="5100"/>
    <n v="16.7"/>
    <n v="38234.699999999997"/>
    <s v="Completed"/>
    <x v="5"/>
    <s v="Beauty"/>
    <s v="Corporate"/>
    <n v="56"/>
    <s v="East"/>
    <s v="R020"/>
    <n v="906107.71000000008"/>
    <s v="East"/>
    <s v="Beauty"/>
    <n v="2237"/>
  </r>
  <r>
    <s v="ORD-00030"/>
    <d v="2024-03-16T00:00:00"/>
    <s v="CUST-0006"/>
    <s v="PROD-055"/>
    <s v="R005"/>
    <n v="3"/>
    <n v="2860"/>
    <n v="25.8"/>
    <n v="6366.36"/>
    <s v="Completed"/>
    <x v="0"/>
    <s v="Sports"/>
    <s v="SMB"/>
    <n v="44"/>
    <s v="North"/>
    <s v="R005"/>
    <n v="782445.33"/>
    <s v="North"/>
    <s v="Sports"/>
    <n v="2028"/>
  </r>
  <r>
    <s v="ORD-00031"/>
    <d v="2024-10-04T00:00:00"/>
    <s v="CUST-0241"/>
    <s v="PROD-030"/>
    <s v="R006"/>
    <n v="7"/>
    <n v="970"/>
    <n v="29.8"/>
    <n v="4766.58"/>
    <s v="Completed"/>
    <x v="0"/>
    <s v="Grocery"/>
    <s v="Corporate"/>
    <n v="47"/>
    <s v="North"/>
    <s v="R006"/>
    <n v="1138648.73"/>
    <s v="North"/>
    <s v="Grocery"/>
    <n v="434"/>
  </r>
  <r>
    <s v="ORD-00032"/>
    <d v="2024-12-15T00:00:00"/>
    <s v="CUST-0035"/>
    <s v="PROD-021"/>
    <s v="R026"/>
    <n v="4"/>
    <n v="2760"/>
    <n v="5.9"/>
    <n v="10388.64"/>
    <s v="Completed"/>
    <x v="5"/>
    <s v="Grocery"/>
    <s v="Retail"/>
    <n v="53"/>
    <s v="West"/>
    <s v="R026"/>
    <n v="576305.08000000019"/>
    <s v="West"/>
    <s v="Grocery"/>
    <n v="1435"/>
  </r>
  <r>
    <s v="ORD-00033"/>
    <d v="2024-02-21T00:00:00"/>
    <s v="CUST-0273"/>
    <s v="PROD-037"/>
    <s v="R009"/>
    <n v="10"/>
    <n v="660"/>
    <n v="18.3"/>
    <n v="5392.2"/>
    <s v="Pending"/>
    <x v="5"/>
    <s v="Home"/>
    <s v="Corporate"/>
    <n v="32"/>
    <s v="South"/>
    <s v="R009"/>
    <n v="914554.71999999986"/>
    <s v="South"/>
    <s v="Home"/>
    <n v="329"/>
  </r>
  <r>
    <s v="ORD-00034"/>
    <d v="2024-10-11T00:00:00"/>
    <s v="CUST-0064"/>
    <s v="PROD-036"/>
    <s v="R019"/>
    <n v="1"/>
    <n v="3250"/>
    <n v="10.7"/>
    <n v="2902.25"/>
    <s v="Completed"/>
    <x v="5"/>
    <s v="Home"/>
    <s v="SMB"/>
    <n v="40"/>
    <s v="East"/>
    <s v="R019"/>
    <n v="971183.52000000014"/>
    <s v="East"/>
    <s v="Home"/>
    <n v="1556"/>
  </r>
  <r>
    <s v="ORD-00035"/>
    <d v="2024-06-19T00:00:00"/>
    <s v="CUST-0118"/>
    <s v="PROD-048"/>
    <s v="R019"/>
    <n v="8"/>
    <n v="5100"/>
    <n v="26.4"/>
    <n v="30028.799999999999"/>
    <s v="Cancelled"/>
    <x v="5"/>
    <s v="Beauty"/>
    <s v="Retail"/>
    <n v="26"/>
    <s v="East"/>
    <s v="R019"/>
    <n v="971183.52000000014"/>
    <s v="East"/>
    <s v="Beauty"/>
    <n v="2237"/>
  </r>
  <r>
    <s v="ORD-00036"/>
    <d v="2024-05-30T00:00:00"/>
    <s v="CUST-0013"/>
    <s v="PROD-040"/>
    <s v="R021"/>
    <n v="1"/>
    <n v="1080"/>
    <n v="5.0999999999999996"/>
    <n v="1024.92"/>
    <s v="Completed"/>
    <x v="2"/>
    <s v="Home"/>
    <s v="Retail"/>
    <n v="41"/>
    <s v="East"/>
    <s v="R021"/>
    <n v="761507.17000000027"/>
    <s v="East"/>
    <s v="Home"/>
    <n v="519"/>
  </r>
  <r>
    <s v="ORD-00037"/>
    <d v="2024-12-20T00:00:00"/>
    <s v="CUST-0177"/>
    <s v="PROD-038"/>
    <s v="R009"/>
    <n v="2"/>
    <n v="5490"/>
    <n v="21.1"/>
    <n v="8663.2199999999993"/>
    <s v="Cancelled"/>
    <x v="3"/>
    <s v="Home"/>
    <s v="SMB"/>
    <n v="36"/>
    <s v="South"/>
    <s v="R009"/>
    <n v="914554.71999999986"/>
    <s v="South"/>
    <s v="Home"/>
    <n v="2549"/>
  </r>
  <r>
    <s v="ORD-00038"/>
    <d v="2024-07-05T00:00:00"/>
    <s v="CUST-0186"/>
    <s v="PROD-060"/>
    <s v="R001"/>
    <n v="7"/>
    <n v="190"/>
    <n v="28.7"/>
    <n v="948.29"/>
    <s v="Completed"/>
    <x v="4"/>
    <s v="Sports"/>
    <s v="Retail"/>
    <n v="42"/>
    <s v="North"/>
    <s v="R001"/>
    <n v="789849.60000000009"/>
    <s v="North"/>
    <s v="Sports"/>
    <n v="147"/>
  </r>
  <r>
    <s v="ORD-00039"/>
    <d v="2024-03-04T00:00:00"/>
    <s v="CUST-0069"/>
    <s v="PROD-058"/>
    <s v="R015"/>
    <n v="6"/>
    <n v="2400"/>
    <n v="2.7"/>
    <n v="14011.2"/>
    <s v="Completed"/>
    <x v="1"/>
    <s v="Sports"/>
    <s v="Retail"/>
    <n v="51"/>
    <s v="South"/>
    <s v="R015"/>
    <n v="1091740.1799999997"/>
    <s v="South"/>
    <s v="Sports"/>
    <n v="974"/>
  </r>
  <r>
    <s v="ORD-00040"/>
    <d v="2024-11-03T00:00:00"/>
    <s v="CUST-0283"/>
    <s v="PROD-044"/>
    <s v="R023"/>
    <n v="9"/>
    <n v="1650"/>
    <n v="11.6"/>
    <n v="13127.4"/>
    <s v="Completed"/>
    <x v="2"/>
    <s v="Beauty"/>
    <s v="SMB"/>
    <n v="50"/>
    <s v="East"/>
    <s v="R023"/>
    <n v="983787.4800000001"/>
    <s v="East"/>
    <s v="Beauty"/>
    <n v="1222"/>
  </r>
  <r>
    <s v="ORD-00041"/>
    <d v="2024-11-10T00:00:00"/>
    <s v="CUST-9507"/>
    <s v="PROD-038"/>
    <s v="R006"/>
    <n v="4"/>
    <n v="5490"/>
    <n v="12.8"/>
    <n v="19149.12"/>
    <s v="Cancelled"/>
    <x v="1"/>
    <s v="Home"/>
    <e v="#N/A"/>
    <e v="#N/A"/>
    <s v="North"/>
    <s v="R006"/>
    <n v="1138648.73"/>
    <s v="North"/>
    <s v="Home"/>
    <n v="2549"/>
  </r>
  <r>
    <s v="ORD-00042"/>
    <d v="2024-05-20T00:00:00"/>
    <s v="CUST-0053"/>
    <s v="PROD-046"/>
    <s v="R014"/>
    <n v="10"/>
    <n v="4880"/>
    <n v="12.7"/>
    <n v="42602.400000000001"/>
    <s v="Completed"/>
    <x v="2"/>
    <s v="Beauty"/>
    <s v="Retail"/>
    <n v="53"/>
    <s v="South"/>
    <s v="R014"/>
    <n v="995713.54000000015"/>
    <s v="South"/>
    <s v="Beauty"/>
    <n v="2768"/>
  </r>
  <r>
    <s v="ORD-00043"/>
    <d v="2024-04-10T00:00:00"/>
    <s v="CUST-0222"/>
    <s v="PROD-031"/>
    <s v="R019"/>
    <n v="2"/>
    <n v="3730"/>
    <n v="25.8"/>
    <n v="5535.32"/>
    <s v="Completed"/>
    <x v="1"/>
    <s v="Home"/>
    <s v="Retail"/>
    <n v="37"/>
    <s v="East"/>
    <s v="R019"/>
    <n v="971183.52000000014"/>
    <s v="East"/>
    <s v="Home"/>
    <n v="2135"/>
  </r>
  <r>
    <s v="ORD-00044"/>
    <d v="2024-04-14T00:00:00"/>
    <s v="CUST-0095"/>
    <s v="PROD-047"/>
    <s v="R029"/>
    <n v="4"/>
    <n v="3450"/>
    <n v="20.7"/>
    <n v="10943.4"/>
    <s v="Completed"/>
    <x v="3"/>
    <s v="Beauty"/>
    <s v="SMB"/>
    <n v="54"/>
    <s v="West"/>
    <s v="R029"/>
    <n v="1016696.8000000002"/>
    <s v="West"/>
    <s v="Beauty"/>
    <n v="2420"/>
  </r>
  <r>
    <s v="ORD-00045"/>
    <d v="2024-03-22T00:00:00"/>
    <s v="CUST-0152"/>
    <s v="PROD-019"/>
    <s v="R019"/>
    <n v="2"/>
    <n v="2480"/>
    <n v="17.3"/>
    <n v="4101.92"/>
    <s v="Completed"/>
    <x v="4"/>
    <s v="Apparel"/>
    <s v="SMB"/>
    <n v="64"/>
    <s v="East"/>
    <s v="R019"/>
    <n v="971183.52000000014"/>
    <s v="East"/>
    <s v="Apparel"/>
    <n v="1173"/>
  </r>
  <r>
    <s v="ORD-00046"/>
    <d v="2024-01-21T00:00:00"/>
    <s v="CUST-0291"/>
    <s v="PROD-027"/>
    <s v="R015"/>
    <n v="9"/>
    <n v="3780"/>
    <n v="8.6999999999999993"/>
    <n v="31060.26"/>
    <s v="Pending"/>
    <x v="0"/>
    <s v="Grocery"/>
    <s v="SMB"/>
    <n v="29"/>
    <s v="South"/>
    <s v="R015"/>
    <n v="1091740.1799999997"/>
    <s v="South"/>
    <s v="Grocery"/>
    <n v="2436"/>
  </r>
  <r>
    <s v="ORD-00047"/>
    <d v="2024-02-18T00:00:00"/>
    <s v="CUST-0112"/>
    <s v="PROD-013"/>
    <s v="R017"/>
    <n v="4"/>
    <n v="3640"/>
    <n v="20.7"/>
    <n v="11546.08"/>
    <s v="Completed"/>
    <x v="5"/>
    <s v="Apparel"/>
    <s v="Retail"/>
    <n v="64"/>
    <s v="East"/>
    <s v="R017"/>
    <n v="780384.40999999992"/>
    <s v="East"/>
    <s v="Apparel"/>
    <n v="2611"/>
  </r>
  <r>
    <s v="ORD-00048"/>
    <d v="2024-03-19T00:00:00"/>
    <s v="CUST-9800"/>
    <s v="PROD-050"/>
    <s v="R003"/>
    <n v="8"/>
    <n v="6080"/>
    <n v="24.4"/>
    <n v="36771.839999999997"/>
    <s v="Completed"/>
    <x v="0"/>
    <s v="Beauty"/>
    <e v="#N/A"/>
    <e v="#N/A"/>
    <s v="North"/>
    <s v="R003"/>
    <n v="986692.91"/>
    <s v="North"/>
    <s v="Beauty"/>
    <n v="2617"/>
  </r>
  <r>
    <s v="ORD-00049"/>
    <d v="2024-04-07T00:00:00"/>
    <s v="CUST-0143"/>
    <s v="PROD-030"/>
    <s v="R007"/>
    <n v="10"/>
    <n v="970"/>
    <n v="0.6"/>
    <n v="9641.7999999999993"/>
    <s v="Cancelled"/>
    <x v="1"/>
    <s v="Grocery"/>
    <s v="SMB"/>
    <n v="52"/>
    <s v="North"/>
    <s v="R007"/>
    <n v="855749.67999999982"/>
    <s v="North"/>
    <s v="Grocery"/>
    <n v="434"/>
  </r>
  <r>
    <s v="ORD-00050"/>
    <d v="2024-09-30T00:00:00"/>
    <s v="CUST-0226"/>
    <s v="PROD-022"/>
    <s v="R028"/>
    <n v="1"/>
    <n v="2270"/>
    <n v="11.5"/>
    <n v="2008.95"/>
    <s v="Pending"/>
    <x v="1"/>
    <s v="Grocery"/>
    <s v="Corporate"/>
    <n v="52"/>
    <s v="West"/>
    <s v="R028"/>
    <n v="880468.05"/>
    <s v="West"/>
    <s v="Grocery"/>
    <n v="1412"/>
  </r>
  <r>
    <s v="ORD-00051"/>
    <d v="2024-02-01T00:00:00"/>
    <s v="CUST-0234"/>
    <s v="PROD-004"/>
    <s v="R023"/>
    <n v="7"/>
    <n v="3870"/>
    <n v="0.3"/>
    <n v="27008.73"/>
    <s v="Cancelled"/>
    <x v="4"/>
    <s v="Electronics"/>
    <s v="Retail"/>
    <n v="34"/>
    <s v="East"/>
    <s v="R023"/>
    <n v="983787.4800000001"/>
    <s v="East"/>
    <s v="Electronics"/>
    <n v="1559"/>
  </r>
  <r>
    <s v="ORD-00052"/>
    <d v="2024-08-02T00:00:00"/>
    <s v="CUST-0176"/>
    <s v="PROD-046"/>
    <s v="R009"/>
    <n v="1"/>
    <n v="4880"/>
    <n v="23.9"/>
    <n v="3713.68"/>
    <s v="Pending"/>
    <x v="4"/>
    <s v="Beauty"/>
    <s v="SMB"/>
    <n v="34"/>
    <s v="South"/>
    <s v="R009"/>
    <n v="914554.71999999986"/>
    <s v="South"/>
    <s v="Beauty"/>
    <n v="2768"/>
  </r>
  <r>
    <s v="ORD-00053"/>
    <d v="2024-11-20T00:00:00"/>
    <s v="CUST-0180"/>
    <s v="PROD-027"/>
    <s v="R013"/>
    <n v="5"/>
    <n v="3780"/>
    <n v="18.5"/>
    <n v="15403.5"/>
    <s v="Completed"/>
    <x v="1"/>
    <s v="Grocery"/>
    <s v="Retail"/>
    <n v="36"/>
    <s v="South"/>
    <s v="R013"/>
    <n v="811524.37999999989"/>
    <s v="South"/>
    <s v="Grocery"/>
    <n v="2436"/>
  </r>
  <r>
    <s v="ORD-00054"/>
    <d v="2024-05-16T00:00:00"/>
    <s v="CUST-0088"/>
    <s v="PROD-036"/>
    <s v="R020"/>
    <n v="10"/>
    <n v="3250"/>
    <n v="25.5"/>
    <n v="24212.5"/>
    <s v="Completed"/>
    <x v="1"/>
    <s v="Home"/>
    <s v="Retail"/>
    <n v="24"/>
    <s v="East"/>
    <s v="R020"/>
    <n v="906107.71000000008"/>
    <s v="East"/>
    <s v="Home"/>
    <n v="1556"/>
  </r>
  <r>
    <s v="ORD-00055"/>
    <d v="2024-08-11T00:00:00"/>
    <s v="CUST-0267"/>
    <s v="PROD-013"/>
    <s v="R007"/>
    <n v="4"/>
    <n v="3640"/>
    <n v="9.9"/>
    <n v="13118.56"/>
    <s v="Refunded"/>
    <x v="5"/>
    <s v="Apparel"/>
    <s v="Retail"/>
    <n v="27"/>
    <s v="North"/>
    <s v="R007"/>
    <n v="855749.67999999982"/>
    <s v="North"/>
    <s v="Apparel"/>
    <n v="2611"/>
  </r>
  <r>
    <s v="ORD-00056"/>
    <d v="2024-12-23T00:00:00"/>
    <s v="CUST-0194"/>
    <s v="PROD-041"/>
    <s v="R023"/>
    <n v="4"/>
    <n v="1540"/>
    <n v="28.8"/>
    <n v="4385.92"/>
    <s v="Completed"/>
    <x v="2"/>
    <s v="Beauty"/>
    <s v="SMB"/>
    <n v="55"/>
    <s v="East"/>
    <s v="R023"/>
    <n v="983787.4800000001"/>
    <s v="East"/>
    <s v="Beauty"/>
    <n v="647"/>
  </r>
  <r>
    <s v="ORD-00057"/>
    <d v="2024-11-20T00:00:00"/>
    <s v="CUST-0261"/>
    <s v="PROD-040"/>
    <s v="R017"/>
    <n v="1"/>
    <n v="1080"/>
    <n v="23"/>
    <n v="831.6"/>
    <s v="Cancelled"/>
    <x v="2"/>
    <s v="Home"/>
    <s v="Retail"/>
    <n v="54"/>
    <s v="East"/>
    <s v="R017"/>
    <n v="780384.40999999992"/>
    <s v="East"/>
    <s v="Home"/>
    <n v="519"/>
  </r>
  <r>
    <s v="ORD-00058"/>
    <d v="2024-10-08T00:00:00"/>
    <s v="CUST-0031"/>
    <s v="PROD-026"/>
    <s v="R007"/>
    <n v="1"/>
    <n v="4070"/>
    <n v="6.7"/>
    <n v="3797.31"/>
    <s v="Completed"/>
    <x v="5"/>
    <s v="Grocery"/>
    <s v="Retail"/>
    <n v="53"/>
    <s v="North"/>
    <s v="R007"/>
    <n v="855749.67999999982"/>
    <s v="North"/>
    <s v="Grocery"/>
    <n v="2027"/>
  </r>
  <r>
    <s v="ORD-00059"/>
    <d v="2024-05-05T00:00:00"/>
    <s v="CUST-0175"/>
    <s v="PROD-009"/>
    <s v="R030"/>
    <n v="2"/>
    <n v="1220"/>
    <n v="11.7"/>
    <n v="2154.52"/>
    <s v="Cancelled"/>
    <x v="2"/>
    <s v="Electronics"/>
    <s v="Corporate"/>
    <n v="55"/>
    <s v="West"/>
    <s v="R030"/>
    <n v="747624.36999999988"/>
    <s v="West"/>
    <s v="Electronics"/>
    <n v="517"/>
  </r>
  <r>
    <s v="ORD-00060"/>
    <d v="2024-05-13T00:00:00"/>
    <s v="CUST-0263"/>
    <s v="PROD-039"/>
    <s v="R029"/>
    <n v="4"/>
    <n v="4610"/>
    <n v="26.9"/>
    <n v="13479.64"/>
    <s v="Pending"/>
    <x v="3"/>
    <s v="Home"/>
    <s v="Retail"/>
    <n v="40"/>
    <s v="West"/>
    <s v="R029"/>
    <n v="1016696.8000000002"/>
    <s v="West"/>
    <s v="Home"/>
    <n v="1850"/>
  </r>
  <r>
    <s v="ORD-00061"/>
    <d v="2024-10-24T00:00:00"/>
    <s v="CUST-0203"/>
    <s v="PROD-040"/>
    <s v="R011"/>
    <n v="8"/>
    <n v="1080"/>
    <n v="28.4"/>
    <n v="6186.24"/>
    <s v="Completed"/>
    <x v="1"/>
    <s v="Home"/>
    <s v="SMB"/>
    <n v="55"/>
    <s v="South"/>
    <s v="R011"/>
    <n v="735207.75999999989"/>
    <s v="South"/>
    <s v="Home"/>
    <n v="519"/>
  </r>
  <r>
    <s v="ORD-00062"/>
    <d v="2024-07-15T00:00:00"/>
    <s v="CUST-0258"/>
    <s v="PROD-045"/>
    <s v="R006"/>
    <n v="10"/>
    <n v="3020"/>
    <n v="25.4"/>
    <n v="22529.200000000001"/>
    <s v="Completed"/>
    <x v="0"/>
    <s v="Beauty"/>
    <s v="Retail"/>
    <n v="44"/>
    <s v="North"/>
    <s v="R006"/>
    <n v="1138648.73"/>
    <s v="North"/>
    <s v="Beauty"/>
    <n v="1626"/>
  </r>
  <r>
    <s v="ORD-00063"/>
    <d v="2024-06-22T00:00:00"/>
    <s v="CUST-0282"/>
    <s v="PROD-008"/>
    <s v="R017"/>
    <n v="7"/>
    <n v="2660"/>
    <n v="5.3"/>
    <n v="17633.14"/>
    <s v="Completed"/>
    <x v="5"/>
    <s v="Electronics"/>
    <s v="Corporate"/>
    <n v="29"/>
    <s v="East"/>
    <s v="R017"/>
    <n v="780384.40999999992"/>
    <s v="East"/>
    <s v="Electronics"/>
    <n v="1259"/>
  </r>
  <r>
    <s v="ORD-00064"/>
    <d v="2024-11-03T00:00:00"/>
    <s v="CUST-0168"/>
    <s v="PROD-005"/>
    <s v="R003"/>
    <n v="9"/>
    <n v="300"/>
    <n v="25.3"/>
    <n v="2016.9"/>
    <s v="Completed"/>
    <x v="0"/>
    <s v="Electronics"/>
    <s v="Retail"/>
    <n v="25"/>
    <s v="North"/>
    <s v="R003"/>
    <n v="986692.91"/>
    <s v="North"/>
    <s v="Electronics"/>
    <n v="128"/>
  </r>
  <r>
    <s v="ORD-00065"/>
    <d v="2024-01-26T00:00:00"/>
    <s v="CUST-0040"/>
    <s v="PROD-010"/>
    <s v="R022"/>
    <n v="10"/>
    <n v="2640"/>
    <n v="18.7"/>
    <n v="21463.200000000001"/>
    <s v="Cancelled"/>
    <x v="1"/>
    <s v="Electronics"/>
    <s v="Retail"/>
    <n v="28"/>
    <s v="East"/>
    <s v="R022"/>
    <n v="1069570.5400000003"/>
    <s v="East"/>
    <s v="Electronics"/>
    <n v="1149"/>
  </r>
  <r>
    <s v="ORD-00066"/>
    <d v="2024-06-19T00:00:00"/>
    <s v="CUST-0283"/>
    <s v="PROD-020"/>
    <s v="R020"/>
    <n v="8"/>
    <n v="820"/>
    <n v="24"/>
    <n v="4985.6000000000004"/>
    <s v="Completed"/>
    <x v="2"/>
    <s v="Apparel"/>
    <s v="SMB"/>
    <n v="50"/>
    <s v="East"/>
    <s v="R020"/>
    <n v="906107.71000000008"/>
    <s v="East"/>
    <s v="Apparel"/>
    <n v="391"/>
  </r>
  <r>
    <s v="ORD-00067"/>
    <d v="2024-07-26T00:00:00"/>
    <s v="CUST-0202"/>
    <s v="PROD-021"/>
    <s v="R028"/>
    <n v="1"/>
    <n v="2760"/>
    <n v="4.8"/>
    <n v="2627.52"/>
    <s v="Completed"/>
    <x v="1"/>
    <s v="Grocery"/>
    <s v="Retail"/>
    <n v="39"/>
    <s v="West"/>
    <s v="R028"/>
    <n v="880468.05"/>
    <s v="West"/>
    <s v="Grocery"/>
    <n v="1435"/>
  </r>
  <r>
    <s v="ORD-00068"/>
    <d v="2024-02-06T00:00:00"/>
    <s v="CUST-0161"/>
    <s v="PROD-014"/>
    <s v="R017"/>
    <n v="2"/>
    <n v="3620"/>
    <n v="19.100000000000001"/>
    <n v="5857.16"/>
    <s v="Completed"/>
    <x v="1"/>
    <s v="Apparel"/>
    <s v="Retail"/>
    <n v="38"/>
    <s v="East"/>
    <s v="R017"/>
    <n v="780384.40999999992"/>
    <s v="East"/>
    <s v="Apparel"/>
    <n v="2509"/>
  </r>
  <r>
    <s v="ORD-00069"/>
    <d v="2024-06-16T00:00:00"/>
    <s v="CUST-0033"/>
    <s v="PROD-016"/>
    <s v="R025"/>
    <n v="1"/>
    <n v="620"/>
    <n v="1"/>
    <n v="613.79999999999995"/>
    <s v="Completed"/>
    <x v="2"/>
    <s v="Apparel"/>
    <s v="Retail"/>
    <n v="35"/>
    <s v="West"/>
    <s v="R025"/>
    <n v="901298.89"/>
    <s v="West"/>
    <s v="Apparel"/>
    <n v="396"/>
  </r>
  <r>
    <s v="ORD-00070"/>
    <d v="2024-04-16T00:00:00"/>
    <s v="CUST-0191"/>
    <s v="PROD-033"/>
    <s v="R030"/>
    <n v="1"/>
    <n v="2030"/>
    <n v="3.3"/>
    <n v="1963.01"/>
    <s v="Completed"/>
    <x v="5"/>
    <s v="Home"/>
    <s v="SMB"/>
    <n v="43"/>
    <s v="West"/>
    <s v="R030"/>
    <n v="747624.36999999988"/>
    <s v="West"/>
    <s v="Home"/>
    <n v="1143"/>
  </r>
  <r>
    <s v="ORD-00071"/>
    <d v="2024-06-27T00:00:00"/>
    <s v="CUST-0180"/>
    <s v="PROD-012"/>
    <s v="R002"/>
    <n v="10"/>
    <n v="3160"/>
    <n v="15.8"/>
    <n v="26607.200000000001"/>
    <s v="Completed"/>
    <x v="1"/>
    <s v="Apparel"/>
    <s v="Retail"/>
    <n v="36"/>
    <s v="North"/>
    <s v="R002"/>
    <n v="980063.65999999968"/>
    <s v="North"/>
    <s v="Apparel"/>
    <n v="1886"/>
  </r>
  <r>
    <s v="ORD-00072"/>
    <d v="2024-02-24T00:00:00"/>
    <s v="CUST-0129"/>
    <s v="PROD-030"/>
    <s v="R001"/>
    <n v="5"/>
    <n v="970"/>
    <n v="12.2"/>
    <n v="4258.3"/>
    <s v="Completed"/>
    <x v="5"/>
    <s v="Grocery"/>
    <s v="Retail"/>
    <n v="29"/>
    <s v="North"/>
    <s v="R001"/>
    <n v="789849.60000000009"/>
    <s v="North"/>
    <s v="Grocery"/>
    <n v="434"/>
  </r>
  <r>
    <s v="ORD-00073"/>
    <d v="2024-07-10T00:00:00"/>
    <s v="CUST-0189"/>
    <s v="PROD-043"/>
    <s v="R003"/>
    <n v="9"/>
    <n v="3350"/>
    <n v="25.8"/>
    <n v="22371.3"/>
    <s v="Pending"/>
    <x v="1"/>
    <s v="Beauty"/>
    <s v="Retail"/>
    <n v="41"/>
    <s v="North"/>
    <s v="R003"/>
    <n v="986692.91"/>
    <s v="North"/>
    <s v="Beauty"/>
    <n v="1728"/>
  </r>
  <r>
    <s v="ORD-00074"/>
    <d v="2024-10-20T00:00:00"/>
    <s v="CUST-0194"/>
    <s v="PROD-032"/>
    <s v="R018"/>
    <n v="1"/>
    <n v="370"/>
    <n v="28.9"/>
    <n v="263.07"/>
    <s v="Completed"/>
    <x v="2"/>
    <s v="Home"/>
    <s v="SMB"/>
    <n v="55"/>
    <s v="East"/>
    <s v="R018"/>
    <n v="1112289.6400000001"/>
    <s v="East"/>
    <s v="Home"/>
    <n v="288"/>
  </r>
  <r>
    <s v="ORD-00075"/>
    <d v="2024-07-27T00:00:00"/>
    <s v="CUST-0200"/>
    <s v="PROD-030"/>
    <s v="R010"/>
    <n v="3"/>
    <n v="970"/>
    <n v="4.3"/>
    <n v="2784.87"/>
    <s v="Cancelled"/>
    <x v="5"/>
    <s v="Grocery"/>
    <s v="Corporate"/>
    <n v="46"/>
    <s v="South"/>
    <s v="R010"/>
    <n v="880345.20000000007"/>
    <s v="South"/>
    <s v="Grocery"/>
    <n v="434"/>
  </r>
  <r>
    <s v="ORD-00076"/>
    <d v="2024-03-24T00:00:00"/>
    <s v="CUST-0008"/>
    <s v="PROD-021"/>
    <s v="R022"/>
    <n v="6"/>
    <n v="2760"/>
    <n v="19.899999999999999"/>
    <n v="13264.56"/>
    <s v="Pending"/>
    <x v="0"/>
    <s v="Grocery"/>
    <s v="SMB"/>
    <n v="39"/>
    <s v="East"/>
    <s v="R022"/>
    <n v="1069570.5400000003"/>
    <s v="East"/>
    <s v="Grocery"/>
    <n v="1435"/>
  </r>
  <r>
    <s v="ORD-00077"/>
    <d v="2024-05-31T00:00:00"/>
    <s v="CUST-0051"/>
    <s v="PROD-021"/>
    <s v="R019"/>
    <n v="7"/>
    <n v="2760"/>
    <n v="25.2"/>
    <n v="14451.36"/>
    <s v="Completed"/>
    <x v="0"/>
    <s v="Grocery"/>
    <s v="SMB"/>
    <n v="54"/>
    <s v="East"/>
    <s v="R019"/>
    <n v="971183.52000000014"/>
    <s v="East"/>
    <s v="Grocery"/>
    <n v="1435"/>
  </r>
  <r>
    <s v="ORD-00078"/>
    <d v="2024-04-08T00:00:00"/>
    <s v="CUST-0193"/>
    <s v="PROD-009"/>
    <s v="R022"/>
    <n v="4"/>
    <n v="1220"/>
    <n v="8.4"/>
    <n v="4470.08"/>
    <s v="Completed"/>
    <x v="4"/>
    <s v="Electronics"/>
    <s v="Retail"/>
    <n v="42"/>
    <s v="East"/>
    <s v="R022"/>
    <n v="1069570.5400000003"/>
    <s v="East"/>
    <s v="Electronics"/>
    <n v="517"/>
  </r>
  <r>
    <s v="ORD-00079"/>
    <d v="2024-11-19T00:00:00"/>
    <s v="CUST-0020"/>
    <s v="PROD-002"/>
    <s v="R028"/>
    <n v="2"/>
    <n v="2600"/>
    <n v="1.9"/>
    <n v="5101.2"/>
    <s v="Pending"/>
    <x v="5"/>
    <s v="Electronics"/>
    <s v="Retail"/>
    <n v="46"/>
    <s v="West"/>
    <s v="R028"/>
    <n v="880468.05"/>
    <s v="West"/>
    <s v="Electronics"/>
    <n v="1052"/>
  </r>
  <r>
    <s v="ORD-00080"/>
    <d v="2024-07-25T00:00:00"/>
    <s v="CUST-0230"/>
    <s v="PROD-026"/>
    <s v="R030"/>
    <n v="9"/>
    <n v="4070"/>
    <n v="28.8"/>
    <n v="26080.560000000001"/>
    <s v="Completed"/>
    <x v="0"/>
    <s v="Grocery"/>
    <s v="Corporate"/>
    <n v="33"/>
    <s v="West"/>
    <s v="R030"/>
    <n v="747624.36999999988"/>
    <s v="West"/>
    <s v="Grocery"/>
    <n v="2027"/>
  </r>
  <r>
    <s v="ORD-00081"/>
    <d v="2024-08-11T00:00:00"/>
    <s v="CUST-0094"/>
    <s v="PROD-024"/>
    <s v="R005"/>
    <n v="2"/>
    <n v="2270"/>
    <n v="18"/>
    <n v="3722.8"/>
    <s v="Refunded"/>
    <x v="0"/>
    <s v="Grocery"/>
    <s v="SMB"/>
    <n v="60"/>
    <s v="North"/>
    <s v="R005"/>
    <n v="782445.33"/>
    <s v="North"/>
    <s v="Grocery"/>
    <n v="1203"/>
  </r>
  <r>
    <s v="ORD-00082"/>
    <d v="2024-08-24T00:00:00"/>
    <s v="CUST-0248"/>
    <s v="PROD-012"/>
    <s v="R017"/>
    <n v="2"/>
    <n v="3160"/>
    <n v="18.3"/>
    <n v="5163.4399999999996"/>
    <s v="Completed"/>
    <x v="1"/>
    <s v="Apparel"/>
    <s v="SMB"/>
    <n v="57"/>
    <s v="East"/>
    <s v="R017"/>
    <n v="780384.40999999992"/>
    <s v="East"/>
    <s v="Apparel"/>
    <n v="1886"/>
  </r>
  <r>
    <s v="ORD-00083"/>
    <d v="2024-04-20T00:00:00"/>
    <s v="CUST-0082"/>
    <s v="PROD-019"/>
    <s v="R007"/>
    <n v="4"/>
    <n v="2480"/>
    <n v="1.1000000000000001"/>
    <n v="9810.8799999999992"/>
    <s v="Pending"/>
    <x v="5"/>
    <s v="Apparel"/>
    <s v="SMB"/>
    <n v="36"/>
    <s v="North"/>
    <s v="R007"/>
    <n v="855749.67999999982"/>
    <s v="North"/>
    <s v="Apparel"/>
    <n v="1173"/>
  </r>
  <r>
    <s v="ORD-00084"/>
    <d v="2024-09-12T00:00:00"/>
    <s v="CUST-0078"/>
    <s v="PROD-008"/>
    <s v="R026"/>
    <n v="1"/>
    <n v="2660"/>
    <n v="21"/>
    <n v="2101.4"/>
    <s v="Completed"/>
    <x v="2"/>
    <s v="Electronics"/>
    <s v="Retail"/>
    <n v="31"/>
    <s v="West"/>
    <s v="R026"/>
    <n v="576305.08000000019"/>
    <s v="West"/>
    <s v="Electronics"/>
    <n v="1259"/>
  </r>
  <r>
    <s v="ORD-00085"/>
    <d v="2024-05-12T00:00:00"/>
    <s v="CUST-0032"/>
    <s v="PROD-045"/>
    <s v="R012"/>
    <n v="5"/>
    <n v="3020"/>
    <n v="22.2"/>
    <n v="11747.8"/>
    <s v="Completed"/>
    <x v="5"/>
    <s v="Beauty"/>
    <s v="Retail"/>
    <n v="28"/>
    <s v="South"/>
    <s v="R012"/>
    <n v="901394.32000000007"/>
    <s v="South"/>
    <s v="Beauty"/>
    <n v="1626"/>
  </r>
  <r>
    <s v="ORD-00086"/>
    <d v="2024-06-18T00:00:00"/>
    <s v="CUST-0006"/>
    <s v="PROD-016"/>
    <s v="R030"/>
    <n v="9"/>
    <n v="620"/>
    <n v="23.3"/>
    <n v="4279.8599999999997"/>
    <s v="Completed"/>
    <x v="0"/>
    <s v="Apparel"/>
    <s v="SMB"/>
    <n v="44"/>
    <s v="West"/>
    <s v="R030"/>
    <n v="747624.36999999988"/>
    <s v="West"/>
    <s v="Apparel"/>
    <n v="396"/>
  </r>
  <r>
    <s v="ORD-00087"/>
    <d v="2024-11-04T00:00:00"/>
    <s v="CUST-0084"/>
    <s v="PROD-053"/>
    <s v="R026"/>
    <n v="2"/>
    <n v="470"/>
    <n v="5.4"/>
    <n v="889.24"/>
    <s v="Completed"/>
    <x v="1"/>
    <s v="Sports"/>
    <s v="Retail"/>
    <n v="28"/>
    <s v="West"/>
    <s v="R026"/>
    <n v="576305.08000000019"/>
    <s v="West"/>
    <s v="Sports"/>
    <n v="302"/>
  </r>
  <r>
    <s v="ORD-00088"/>
    <d v="2024-10-22T00:00:00"/>
    <s v="CUST-0107"/>
    <s v="PROD-007"/>
    <s v="R010"/>
    <n v="3"/>
    <n v="1430"/>
    <n v="6.5"/>
    <n v="4011.15"/>
    <s v="Completed"/>
    <x v="0"/>
    <s v="Electronics"/>
    <s v="Retail"/>
    <n v="50"/>
    <s v="South"/>
    <s v="R010"/>
    <n v="880345.20000000007"/>
    <s v="South"/>
    <s v="Electronics"/>
    <n v="861"/>
  </r>
  <r>
    <s v="ORD-00089"/>
    <d v="2024-08-14T00:00:00"/>
    <s v="CUST-0108"/>
    <s v="PROD-016"/>
    <s v="R004"/>
    <n v="6"/>
    <n v="620"/>
    <n v="2.6"/>
    <n v="3623.28"/>
    <s v="Completed"/>
    <x v="4"/>
    <s v="Apparel"/>
    <s v="Corporate"/>
    <n v="59"/>
    <s v="North"/>
    <s v="R004"/>
    <n v="589026.2899999998"/>
    <s v="North"/>
    <s v="Apparel"/>
    <n v="396"/>
  </r>
  <r>
    <s v="ORD-00090"/>
    <d v="2024-08-29T00:00:00"/>
    <s v="CUST-0139"/>
    <s v="PROD-003"/>
    <s v="R012"/>
    <n v="4"/>
    <n v="3570"/>
    <n v="4.5"/>
    <n v="13637.4"/>
    <s v="Pending"/>
    <x v="5"/>
    <s v="Electronics"/>
    <s v="SMB"/>
    <n v="65"/>
    <s v="South"/>
    <s v="R012"/>
    <n v="901394.32000000007"/>
    <s v="South"/>
    <s v="Electronics"/>
    <n v="1665"/>
  </r>
  <r>
    <s v="ORD-00091"/>
    <d v="2024-11-26T00:00:00"/>
    <s v="CUST-0200"/>
    <s v="PROD-022"/>
    <s v="R010"/>
    <n v="6"/>
    <n v="2270"/>
    <n v="2"/>
    <n v="13347.6"/>
    <s v="Completed"/>
    <x v="5"/>
    <s v="Grocery"/>
    <s v="Corporate"/>
    <n v="46"/>
    <s v="South"/>
    <s v="R010"/>
    <n v="880345.20000000007"/>
    <s v="South"/>
    <s v="Grocery"/>
    <n v="1412"/>
  </r>
  <r>
    <s v="ORD-00092"/>
    <d v="2024-02-06T00:00:00"/>
    <s v="CUST-0208"/>
    <s v="PROD-015"/>
    <s v="R014"/>
    <n v="7"/>
    <n v="2720"/>
    <n v="15.4"/>
    <n v="16107.84"/>
    <s v="Completed"/>
    <x v="3"/>
    <s v="Apparel"/>
    <s v="Retail"/>
    <n v="49"/>
    <s v="South"/>
    <s v="R014"/>
    <n v="995713.54000000015"/>
    <s v="South"/>
    <s v="Apparel"/>
    <n v="1962"/>
  </r>
  <r>
    <s v="ORD-00093"/>
    <d v="2024-03-29T00:00:00"/>
    <s v="CUST-0161"/>
    <s v="PROD-029"/>
    <s v="R001"/>
    <n v="9"/>
    <n v="2210"/>
    <n v="12.4"/>
    <n v="17423.64"/>
    <s v="Completed"/>
    <x v="1"/>
    <s v="Grocery"/>
    <s v="Retail"/>
    <n v="38"/>
    <s v="North"/>
    <s v="R001"/>
    <n v="789849.60000000009"/>
    <s v="North"/>
    <s v="Grocery"/>
    <n v="1010"/>
  </r>
  <r>
    <s v="ORD-00094"/>
    <d v="2024-12-22T00:00:00"/>
    <s v="CUST-0042"/>
    <s v="PROD-060"/>
    <s v="R026"/>
    <n v="6"/>
    <n v="190"/>
    <n v="19.2"/>
    <n v="921.12"/>
    <s v="Completed"/>
    <x v="0"/>
    <s v="Sports"/>
    <s v="Retail"/>
    <n v="25"/>
    <s v="West"/>
    <s v="R026"/>
    <n v="576305.08000000019"/>
    <s v="West"/>
    <s v="Sports"/>
    <n v="147"/>
  </r>
  <r>
    <s v="ORD-00095"/>
    <d v="2024-11-11T00:00:00"/>
    <s v="CUST-0133"/>
    <s v="PROD-048"/>
    <s v="R027"/>
    <n v="10"/>
    <n v="5100"/>
    <n v="25.4"/>
    <n v="38046"/>
    <s v="Refunded"/>
    <x v="1"/>
    <s v="Beauty"/>
    <s v="Retail"/>
    <n v="26"/>
    <s v="West"/>
    <s v="R027"/>
    <n v="917092.61999999965"/>
    <s v="West"/>
    <s v="Beauty"/>
    <n v="2237"/>
  </r>
  <r>
    <s v="ORD-00096"/>
    <d v="2024-05-02T00:00:00"/>
    <s v="CUST-0219"/>
    <s v="PROD-054"/>
    <s v="R016"/>
    <n v="5"/>
    <n v="1010"/>
    <n v="1.6"/>
    <n v="4969.2"/>
    <s v="Completed"/>
    <x v="1"/>
    <s v="Sports"/>
    <s v="Corporate"/>
    <n v="38"/>
    <s v="South"/>
    <s v="R016"/>
    <n v="814563.7100000002"/>
    <s v="South"/>
    <s v="Sports"/>
    <n v="516"/>
  </r>
  <r>
    <s v="ORD-00097"/>
    <d v="2024-02-06T00:00:00"/>
    <s v="CUST-0031"/>
    <s v="PROD-031"/>
    <s v="R025"/>
    <n v="1"/>
    <n v="3730"/>
    <n v="22.7"/>
    <n v="2883.29"/>
    <s v="Completed"/>
    <x v="5"/>
    <s v="Home"/>
    <s v="Retail"/>
    <n v="53"/>
    <s v="West"/>
    <s v="R025"/>
    <n v="901298.89"/>
    <s v="West"/>
    <s v="Home"/>
    <n v="2135"/>
  </r>
  <r>
    <s v="ORD-00098"/>
    <d v="2024-03-22T00:00:00"/>
    <s v="CUST-0189"/>
    <s v="PROD-002"/>
    <s v="R028"/>
    <n v="10"/>
    <n v="2600"/>
    <n v="20.7"/>
    <n v="20618"/>
    <s v="Completed"/>
    <x v="1"/>
    <s v="Electronics"/>
    <s v="Retail"/>
    <n v="41"/>
    <s v="West"/>
    <s v="R028"/>
    <n v="880468.05"/>
    <s v="West"/>
    <s v="Electronics"/>
    <n v="1052"/>
  </r>
  <r>
    <s v="ORD-00099"/>
    <d v="2024-06-15T00:00:00"/>
    <s v="CUST-0170"/>
    <s v="PROD-025"/>
    <s v="R006"/>
    <n v="4"/>
    <n v="4060"/>
    <n v="13.9"/>
    <n v="13982.64"/>
    <s v="Completed"/>
    <x v="3"/>
    <s v="Grocery"/>
    <s v="SMB"/>
    <n v="22"/>
    <s v="North"/>
    <s v="R006"/>
    <n v="1138648.73"/>
    <s v="North"/>
    <s v="Grocery"/>
    <n v="2911"/>
  </r>
  <r>
    <s v="ORD-00100"/>
    <d v="2024-05-14T00:00:00"/>
    <s v="CUST-0164"/>
    <s v="PROD-050"/>
    <s v="R027"/>
    <n v="6"/>
    <n v="6080"/>
    <n v="16.5"/>
    <n v="30460.799999999999"/>
    <s v="Completed"/>
    <x v="1"/>
    <s v="Beauty"/>
    <s v="Retail"/>
    <n v="60"/>
    <s v="West"/>
    <s v="R027"/>
    <n v="917092.61999999965"/>
    <s v="West"/>
    <s v="Beauty"/>
    <n v="2617"/>
  </r>
  <r>
    <s v="ORD-00101"/>
    <d v="2024-09-22T00:00:00"/>
    <s v="CUST-0006"/>
    <s v="PROD-017"/>
    <s v="R028"/>
    <n v="6"/>
    <n v="2510"/>
    <n v="11.7"/>
    <n v="13297.98"/>
    <s v="Completed"/>
    <x v="0"/>
    <s v="Apparel"/>
    <s v="SMB"/>
    <n v="44"/>
    <s v="West"/>
    <s v="R028"/>
    <n v="880468.05"/>
    <s v="West"/>
    <s v="Apparel"/>
    <n v="1075"/>
  </r>
  <r>
    <s v="ORD-00102"/>
    <d v="2024-08-05T00:00:00"/>
    <s v="CUST-0181"/>
    <s v="PROD-036"/>
    <s v="R026"/>
    <n v="5"/>
    <n v="3250"/>
    <n v="18.399999999999999"/>
    <n v="13260"/>
    <s v="Completed"/>
    <x v="2"/>
    <s v="Home"/>
    <s v="SMB"/>
    <n v="38"/>
    <s v="West"/>
    <s v="R026"/>
    <n v="576305.08000000019"/>
    <s v="West"/>
    <s v="Home"/>
    <n v="1556"/>
  </r>
  <r>
    <s v="ORD-00103"/>
    <d v="2024-02-07T00:00:00"/>
    <s v="CUST-0131"/>
    <s v="PROD-052"/>
    <s v="R005"/>
    <n v="4"/>
    <n v="5410"/>
    <n v="9.8000000000000007"/>
    <n v="19519.28"/>
    <s v="Cancelled"/>
    <x v="2"/>
    <s v="Sports"/>
    <s v="SMB"/>
    <n v="28"/>
    <s v="North"/>
    <s v="R005"/>
    <n v="782445.33"/>
    <s v="North"/>
    <s v="Sports"/>
    <n v="2265"/>
  </r>
  <r>
    <s v="ORD-00104"/>
    <d v="2024-04-29T00:00:00"/>
    <s v="CUST-0255"/>
    <s v="PROD-003"/>
    <s v="R018"/>
    <n v="8"/>
    <n v="3570"/>
    <n v="11.1"/>
    <n v="25389.84"/>
    <s v="Completed"/>
    <x v="1"/>
    <s v="Electronics"/>
    <s v="Corporate"/>
    <n v="51"/>
    <s v="East"/>
    <s v="R018"/>
    <n v="1112289.6400000001"/>
    <s v="East"/>
    <s v="Electronics"/>
    <n v="1665"/>
  </r>
  <r>
    <s v="ORD-00105"/>
    <d v="2024-01-06T00:00:00"/>
    <s v="CUST-0170"/>
    <s v="PROD-001"/>
    <s v="R003"/>
    <n v="10"/>
    <n v="5330"/>
    <n v="21.2"/>
    <n v="42000.4"/>
    <s v="Completed"/>
    <x v="3"/>
    <s v="Electronics"/>
    <s v="SMB"/>
    <n v="22"/>
    <s v="North"/>
    <s v="R003"/>
    <n v="986692.91"/>
    <s v="North"/>
    <s v="Electronics"/>
    <n v="2405"/>
  </r>
  <r>
    <s v="ORD-00106"/>
    <d v="2024-12-14T00:00:00"/>
    <s v="CUST-0081"/>
    <s v="PROD-023"/>
    <s v="R017"/>
    <n v="4"/>
    <n v="2380"/>
    <n v="26.2"/>
    <n v="7025.76"/>
    <s v="Completed"/>
    <x v="3"/>
    <s v="Grocery"/>
    <s v="Retail"/>
    <n v="25"/>
    <s v="East"/>
    <s v="R017"/>
    <n v="780384.40999999992"/>
    <s v="East"/>
    <s v="Grocery"/>
    <n v="1182"/>
  </r>
  <r>
    <s v="ORD-00107"/>
    <d v="2024-01-31T00:00:00"/>
    <s v="CUST-0102"/>
    <s v="PROD-054"/>
    <s v="R027"/>
    <n v="1"/>
    <n v="1010"/>
    <n v="19.5"/>
    <n v="813.05"/>
    <s v="Cancelled"/>
    <x v="1"/>
    <s v="Sports"/>
    <s v="SMB"/>
    <n v="62"/>
    <s v="West"/>
    <s v="R027"/>
    <n v="917092.61999999965"/>
    <s v="West"/>
    <s v="Sports"/>
    <n v="516"/>
  </r>
  <r>
    <s v="ORD-00108"/>
    <d v="2024-05-02T00:00:00"/>
    <s v="CUST-0070"/>
    <s v="PROD-028"/>
    <s v="R025"/>
    <n v="1"/>
    <n v="3660"/>
    <n v="1.3"/>
    <n v="3612.42"/>
    <s v="Completed"/>
    <x v="3"/>
    <s v="Grocery"/>
    <s v="Retail"/>
    <n v="42"/>
    <s v="West"/>
    <s v="R025"/>
    <n v="901298.89"/>
    <s v="West"/>
    <s v="Grocery"/>
    <n v="2214"/>
  </r>
  <r>
    <s v="ORD-00109"/>
    <d v="2024-10-27T00:00:00"/>
    <s v="CUST-0012"/>
    <s v="PROD-026"/>
    <s v="R013"/>
    <n v="2"/>
    <n v="4070"/>
    <n v="29"/>
    <n v="5779.4"/>
    <s v="Cancelled"/>
    <x v="0"/>
    <s v="Grocery"/>
    <s v="Retail"/>
    <n v="43"/>
    <s v="South"/>
    <s v="R013"/>
    <n v="811524.37999999989"/>
    <s v="South"/>
    <s v="Grocery"/>
    <n v="2027"/>
  </r>
  <r>
    <s v="ORD-00110"/>
    <d v="2024-05-27T00:00:00"/>
    <s v="CUST-0086"/>
    <s v="PROD-037"/>
    <s v="R029"/>
    <n v="6"/>
    <n v="660"/>
    <n v="20.2"/>
    <n v="3160.08"/>
    <s v="Pending"/>
    <x v="5"/>
    <s v="Home"/>
    <s v="Corporate"/>
    <n v="56"/>
    <s v="West"/>
    <s v="R029"/>
    <n v="1016696.8000000002"/>
    <s v="West"/>
    <s v="Home"/>
    <n v="329"/>
  </r>
  <r>
    <s v="ORD-00111"/>
    <d v="2024-07-13T00:00:00"/>
    <s v="CUST-0145"/>
    <s v="PROD-040"/>
    <s v="R024"/>
    <n v="3"/>
    <n v="1080"/>
    <n v="29.7"/>
    <n v="2277.7199999999998"/>
    <s v="Completed"/>
    <x v="4"/>
    <s v="Home"/>
    <s v="SMB"/>
    <n v="44"/>
    <s v="West"/>
    <s v="R024"/>
    <n v="819558.58"/>
    <s v="West"/>
    <s v="Home"/>
    <n v="519"/>
  </r>
  <r>
    <s v="ORD-00112"/>
    <d v="2024-12-03T00:00:00"/>
    <s v="CUST-0287"/>
    <s v="PROD-020"/>
    <s v="R006"/>
    <n v="7"/>
    <n v="820"/>
    <n v="13.5"/>
    <n v="4965.1000000000004"/>
    <s v="Cancelled"/>
    <x v="1"/>
    <s v="Apparel"/>
    <s v="SMB"/>
    <n v="53"/>
    <s v="North"/>
    <s v="R006"/>
    <n v="1138648.73"/>
    <s v="North"/>
    <s v="Apparel"/>
    <n v="391"/>
  </r>
  <r>
    <s v="ORD-00113"/>
    <d v="2024-04-12T00:00:00"/>
    <s v="CUST-0280"/>
    <s v="PROD-049"/>
    <s v="R027"/>
    <n v="4"/>
    <n v="960"/>
    <n v="26"/>
    <n v="2841.6"/>
    <s v="Completed"/>
    <x v="2"/>
    <s v="Beauty"/>
    <s v="SMB"/>
    <n v="27"/>
    <s v="West"/>
    <s v="R027"/>
    <n v="917092.61999999965"/>
    <s v="West"/>
    <s v="Beauty"/>
    <n v="675"/>
  </r>
  <r>
    <s v="ORD-00114"/>
    <d v="2024-06-10T00:00:00"/>
    <s v="CUST-0096"/>
    <s v="PROD-002"/>
    <s v="R014"/>
    <n v="3"/>
    <n v="2600"/>
    <n v="18.2"/>
    <n v="6380.4"/>
    <s v="Completed"/>
    <x v="2"/>
    <s v="Electronics"/>
    <s v="Corporate"/>
    <n v="27"/>
    <s v="South"/>
    <s v="R014"/>
    <n v="995713.54000000015"/>
    <s v="South"/>
    <s v="Electronics"/>
    <n v="1052"/>
  </r>
  <r>
    <s v="ORD-00115"/>
    <d v="2024-03-19T00:00:00"/>
    <s v="CUST-0184"/>
    <s v="PROD-033"/>
    <s v="R029"/>
    <n v="9"/>
    <n v="2030"/>
    <n v="26.1"/>
    <n v="13501.53"/>
    <s v="Completed"/>
    <x v="0"/>
    <s v="Home"/>
    <s v="Retail"/>
    <n v="63"/>
    <s v="West"/>
    <s v="R029"/>
    <n v="1016696.8000000002"/>
    <s v="West"/>
    <s v="Home"/>
    <n v="1143"/>
  </r>
  <r>
    <s v="ORD-00116"/>
    <d v="2024-11-01T00:00:00"/>
    <s v="CUST-0025"/>
    <s v="PROD-042"/>
    <s v="R028"/>
    <n v="8"/>
    <n v="2290"/>
    <n v="20.8"/>
    <n v="14509.44"/>
    <s v="Completed"/>
    <x v="4"/>
    <s v="Beauty"/>
    <s v="Retail"/>
    <n v="23"/>
    <s v="West"/>
    <s v="R028"/>
    <n v="880468.05"/>
    <s v="West"/>
    <s v="Beauty"/>
    <n v="1219"/>
  </r>
  <r>
    <s v="ORD-00117"/>
    <d v="2024-08-27T00:00:00"/>
    <s v="CUST-0149"/>
    <s v="PROD-031"/>
    <s v="R029"/>
    <n v="3"/>
    <n v="3730"/>
    <n v="7.9"/>
    <n v="10305.99"/>
    <s v="Completed"/>
    <x v="5"/>
    <s v="Home"/>
    <s v="Retail"/>
    <n v="44"/>
    <s v="West"/>
    <s v="R029"/>
    <n v="1016696.8000000002"/>
    <s v="West"/>
    <s v="Home"/>
    <n v="2135"/>
  </r>
  <r>
    <s v="ORD-00118"/>
    <d v="2024-10-31T00:00:00"/>
    <s v="CUST-0018"/>
    <s v="PROD-005"/>
    <s v="R014"/>
    <n v="1"/>
    <n v="300"/>
    <n v="16.899999999999999"/>
    <n v="249.3"/>
    <s v="Pending"/>
    <x v="0"/>
    <s v="Electronics"/>
    <s v="SMB"/>
    <n v="54"/>
    <s v="South"/>
    <s v="R014"/>
    <n v="995713.54000000015"/>
    <s v="South"/>
    <s v="Electronics"/>
    <n v="128"/>
  </r>
  <r>
    <s v="ORD-00119"/>
    <d v="2024-05-08T00:00:00"/>
    <s v="CUST-0216"/>
    <s v="PROD-005"/>
    <s v="R012"/>
    <n v="3"/>
    <n v="300"/>
    <n v="0.6"/>
    <n v="894.6"/>
    <s v="Completed"/>
    <x v="3"/>
    <s v="Electronics"/>
    <s v="Retail"/>
    <n v="50"/>
    <s v="South"/>
    <s v="R012"/>
    <n v="901394.32000000007"/>
    <s v="South"/>
    <s v="Electronics"/>
    <n v="128"/>
  </r>
  <r>
    <s v="ORD-00120"/>
    <d v="2024-02-07T00:00:00"/>
    <s v="CUST-0092"/>
    <s v="PROD-043"/>
    <s v="R007"/>
    <n v="6"/>
    <n v="3350"/>
    <n v="2.2999999999999998"/>
    <n v="19637.7"/>
    <s v="Cancelled"/>
    <x v="4"/>
    <s v="Beauty"/>
    <s v="SMB"/>
    <n v="28"/>
    <s v="North"/>
    <s v="R007"/>
    <n v="855749.67999999982"/>
    <s v="North"/>
    <s v="Beauty"/>
    <n v="1728"/>
  </r>
  <r>
    <s v="ORD-00121"/>
    <d v="2024-05-04T00:00:00"/>
    <s v="CUST-0056"/>
    <s v="PROD-001"/>
    <s v="R003"/>
    <n v="4"/>
    <n v="5330"/>
    <n v="29.3"/>
    <n v="15073.24"/>
    <s v="Completed"/>
    <x v="4"/>
    <s v="Electronics"/>
    <s v="SMB"/>
    <n v="46"/>
    <s v="North"/>
    <s v="R003"/>
    <n v="986692.91"/>
    <s v="North"/>
    <s v="Electronics"/>
    <n v="2405"/>
  </r>
  <r>
    <s v="ORD-00122"/>
    <d v="2024-11-18T00:00:00"/>
    <s v="CUST-0113"/>
    <s v="PROD-014"/>
    <s v="R002"/>
    <n v="6"/>
    <n v="3620"/>
    <n v="10.8"/>
    <n v="19374.240000000002"/>
    <s v="Completed"/>
    <x v="2"/>
    <s v="Apparel"/>
    <s v="Retail"/>
    <n v="30"/>
    <s v="North"/>
    <s v="R002"/>
    <n v="980063.65999999968"/>
    <s v="North"/>
    <s v="Apparel"/>
    <n v="2509"/>
  </r>
  <r>
    <s v="ORD-00123"/>
    <d v="2024-10-28T00:00:00"/>
    <s v="CUST-0253"/>
    <s v="PROD-014"/>
    <s v="R005"/>
    <n v="6"/>
    <n v="3620"/>
    <n v="21.7"/>
    <n v="17006.759999999998"/>
    <s v="Completed"/>
    <x v="2"/>
    <s v="Apparel"/>
    <s v="SMB"/>
    <n v="53"/>
    <s v="North"/>
    <s v="R005"/>
    <n v="782445.33"/>
    <s v="North"/>
    <s v="Apparel"/>
    <n v="2509"/>
  </r>
  <r>
    <s v="ORD-00124"/>
    <d v="2024-03-09T00:00:00"/>
    <s v="CUST-0187"/>
    <s v="PROD-057"/>
    <s v="R008"/>
    <n v="8"/>
    <n v="960"/>
    <n v="27.9"/>
    <n v="5537.28"/>
    <s v="Completed"/>
    <x v="1"/>
    <s v="Sports"/>
    <s v="SMB"/>
    <n v="51"/>
    <s v="North"/>
    <s v="R008"/>
    <n v="861553.33"/>
    <s v="North"/>
    <s v="Sports"/>
    <n v="705"/>
  </r>
  <r>
    <s v="ORD-00125"/>
    <d v="2024-12-02T00:00:00"/>
    <s v="CUST-0028"/>
    <s v="PROD-044"/>
    <s v="R025"/>
    <n v="5"/>
    <n v="1650"/>
    <n v="4.9000000000000004"/>
    <n v="7845.75"/>
    <s v="Completed"/>
    <x v="4"/>
    <s v="Beauty"/>
    <s v="Retail"/>
    <n v="59"/>
    <s v="West"/>
    <s v="R025"/>
    <n v="901298.89"/>
    <s v="West"/>
    <s v="Beauty"/>
    <n v="1222"/>
  </r>
  <r>
    <s v="ORD-00126"/>
    <d v="2024-10-27T00:00:00"/>
    <s v="CUST-0224"/>
    <s v="PROD-049"/>
    <s v="R010"/>
    <n v="9"/>
    <n v="960"/>
    <n v="25.1"/>
    <n v="6471.36"/>
    <s v="Refunded"/>
    <x v="1"/>
    <s v="Beauty"/>
    <s v="Corporate"/>
    <n v="24"/>
    <s v="South"/>
    <s v="R010"/>
    <n v="880345.20000000007"/>
    <s v="South"/>
    <s v="Beauty"/>
    <n v="675"/>
  </r>
  <r>
    <s v="ORD-00127"/>
    <d v="2024-06-10T00:00:00"/>
    <s v="CUST-0150"/>
    <s v="PROD-006"/>
    <s v="R003"/>
    <n v="7"/>
    <n v="3970"/>
    <n v="13.8"/>
    <n v="23954.98"/>
    <s v="Pending"/>
    <x v="0"/>
    <s v="Electronics"/>
    <s v="SMB"/>
    <n v="53"/>
    <s v="North"/>
    <s v="R003"/>
    <n v="986692.91"/>
    <s v="North"/>
    <s v="Electronics"/>
    <n v="2865"/>
  </r>
  <r>
    <s v="ORD-00128"/>
    <d v="2024-11-16T00:00:00"/>
    <s v="CUST-0129"/>
    <s v="PROD-030"/>
    <s v="R005"/>
    <n v="7"/>
    <n v="970"/>
    <n v="21.6"/>
    <n v="5323.36"/>
    <s v="Pending"/>
    <x v="5"/>
    <s v="Grocery"/>
    <s v="Retail"/>
    <n v="29"/>
    <s v="North"/>
    <s v="R005"/>
    <n v="782445.33"/>
    <s v="North"/>
    <s v="Grocery"/>
    <n v="434"/>
  </r>
  <r>
    <s v="ORD-00129"/>
    <d v="2024-09-06T00:00:00"/>
    <s v="CUST-0239"/>
    <s v="PROD-033"/>
    <s v="R001"/>
    <n v="10"/>
    <n v="2030"/>
    <n v="1.2"/>
    <n v="20056.400000000001"/>
    <s v="Completed"/>
    <x v="3"/>
    <s v="Home"/>
    <s v="Retail"/>
    <n v="61"/>
    <s v="North"/>
    <s v="R001"/>
    <n v="789849.60000000009"/>
    <s v="North"/>
    <s v="Home"/>
    <n v="1143"/>
  </r>
  <r>
    <s v="ORD-00130"/>
    <d v="2024-12-14T00:00:00"/>
    <s v="CUST-0106"/>
    <s v="PROD-024"/>
    <s v="R021"/>
    <n v="9"/>
    <n v="2270"/>
    <n v="13.2"/>
    <n v="17733.240000000002"/>
    <s v="Pending"/>
    <x v="0"/>
    <s v="Grocery"/>
    <s v="Retail"/>
    <n v="22"/>
    <s v="East"/>
    <s v="R021"/>
    <n v="761507.17000000027"/>
    <s v="East"/>
    <s v="Grocery"/>
    <n v="1203"/>
  </r>
  <r>
    <s v="ORD-00131"/>
    <d v="2024-08-20T00:00:00"/>
    <s v="CUST-0273"/>
    <s v="PROD-046"/>
    <s v="R003"/>
    <n v="8"/>
    <n v="4880"/>
    <n v="13.4"/>
    <n v="33808.639999999999"/>
    <s v="Completed"/>
    <x v="5"/>
    <s v="Beauty"/>
    <s v="Corporate"/>
    <n v="32"/>
    <s v="North"/>
    <s v="R003"/>
    <n v="986692.91"/>
    <s v="North"/>
    <s v="Beauty"/>
    <n v="2768"/>
  </r>
  <r>
    <s v="ORD-00132"/>
    <d v="2024-02-22T00:00:00"/>
    <s v="CUST-0114"/>
    <s v="PROD-004"/>
    <s v="R011"/>
    <n v="10"/>
    <n v="3870"/>
    <n v="23.9"/>
    <n v="29450.7"/>
    <s v="Completed"/>
    <x v="4"/>
    <s v="Electronics"/>
    <s v="Corporate"/>
    <n v="42"/>
    <s v="South"/>
    <s v="R011"/>
    <n v="735207.75999999989"/>
    <s v="South"/>
    <s v="Electronics"/>
    <n v="1559"/>
  </r>
  <r>
    <s v="ORD-00133"/>
    <d v="2024-06-20T00:00:00"/>
    <s v="CUST-0146"/>
    <s v="PROD-042"/>
    <s v="R002"/>
    <n v="4"/>
    <n v="2290"/>
    <n v="15.2"/>
    <n v="7767.68"/>
    <s v="Completed"/>
    <x v="5"/>
    <s v="Beauty"/>
    <s v="Retail"/>
    <n v="22"/>
    <s v="North"/>
    <s v="R002"/>
    <n v="980063.65999999968"/>
    <s v="North"/>
    <s v="Beauty"/>
    <n v="1219"/>
  </r>
  <r>
    <s v="ORD-00134"/>
    <d v="2024-05-31T00:00:00"/>
    <s v="CUST-0298"/>
    <s v="PROD-023"/>
    <s v="R020"/>
    <n v="8"/>
    <n v="2380"/>
    <n v="4.2"/>
    <n v="18240.32"/>
    <s v="Completed"/>
    <x v="2"/>
    <s v="Grocery"/>
    <s v="Retail"/>
    <n v="44"/>
    <s v="East"/>
    <s v="R020"/>
    <n v="906107.71000000008"/>
    <s v="East"/>
    <s v="Grocery"/>
    <n v="1182"/>
  </r>
  <r>
    <s v="ORD-00135"/>
    <d v="2024-01-10T00:00:00"/>
    <s v="CUST-0111"/>
    <s v="PROD-029"/>
    <s v="R013"/>
    <n v="8"/>
    <n v="2210"/>
    <n v="11.5"/>
    <n v="15646.8"/>
    <s v="Completed"/>
    <x v="1"/>
    <s v="Grocery"/>
    <s v="SMB"/>
    <n v="64"/>
    <s v="South"/>
    <s v="R013"/>
    <n v="811524.37999999989"/>
    <s v="South"/>
    <s v="Grocery"/>
    <n v="1010"/>
  </r>
  <r>
    <s v="ORD-01445"/>
    <d v="2024-03-09T00:00:00"/>
    <s v="CUST-0291"/>
    <s v="PROD-001"/>
    <s v="R022"/>
    <n v="4"/>
    <n v="5330"/>
    <n v="22.6"/>
    <n v="16501.68"/>
    <s v="Pending"/>
    <x v="0"/>
    <s v="Electronics"/>
    <s v="SMB"/>
    <n v="29"/>
    <s v="East"/>
    <s v="R022"/>
    <n v="1069570.5400000003"/>
    <s v="East"/>
    <s v="Electronics"/>
    <n v="2405"/>
  </r>
  <r>
    <s v="ORD-00137"/>
    <d v="2024-09-24T00:00:00"/>
    <s v="CUST-0024"/>
    <s v="PROD-006"/>
    <s v="R022"/>
    <n v="8"/>
    <n v="3970"/>
    <n v="21.8"/>
    <n v="24836.32"/>
    <s v="Completed"/>
    <x v="1"/>
    <s v="Electronics"/>
    <s v="SMB"/>
    <n v="64"/>
    <s v="East"/>
    <s v="R022"/>
    <n v="1069570.5400000003"/>
    <s v="East"/>
    <s v="Electronics"/>
    <n v="2865"/>
  </r>
  <r>
    <s v="ORD-00138"/>
    <d v="2024-09-11T00:00:00"/>
    <s v="CUST-0210"/>
    <s v="PROD-012"/>
    <s v="R020"/>
    <n v="10"/>
    <n v="3160"/>
    <n v="16.100000000000001"/>
    <n v="26512.400000000001"/>
    <s v="Cancelled"/>
    <x v="0"/>
    <s v="Apparel"/>
    <s v="Corporate"/>
    <n v="48"/>
    <s v="East"/>
    <s v="R020"/>
    <n v="906107.71000000008"/>
    <s v="East"/>
    <s v="Apparel"/>
    <n v="1886"/>
  </r>
  <r>
    <s v="ORD-00139"/>
    <d v="2024-05-13T00:00:00"/>
    <s v="CUST-0192"/>
    <s v="PROD-060"/>
    <s v="R009"/>
    <n v="5"/>
    <n v="190"/>
    <n v="14.8"/>
    <n v="809.4"/>
    <s v="Completed"/>
    <x v="4"/>
    <s v="Sports"/>
    <s v="Retail"/>
    <n v="55"/>
    <s v="South"/>
    <s v="R009"/>
    <n v="914554.71999999986"/>
    <s v="South"/>
    <s v="Sports"/>
    <n v="147"/>
  </r>
  <r>
    <s v="ORD-00140"/>
    <d v="2024-02-29T00:00:00"/>
    <s v="CUST-0078"/>
    <s v="PROD-021"/>
    <s v="R007"/>
    <n v="6"/>
    <n v="2760"/>
    <n v="19.8"/>
    <n v="13281.12"/>
    <s v="Completed"/>
    <x v="2"/>
    <s v="Grocery"/>
    <s v="Retail"/>
    <n v="31"/>
    <s v="North"/>
    <s v="R007"/>
    <n v="855749.67999999982"/>
    <s v="North"/>
    <s v="Grocery"/>
    <n v="1435"/>
  </r>
  <r>
    <s v="ORD-00141"/>
    <d v="2024-11-08T00:00:00"/>
    <s v="CUST-0070"/>
    <s v="PROD-022"/>
    <s v="R019"/>
    <n v="9"/>
    <n v="2270"/>
    <n v="20.8"/>
    <n v="16180.56"/>
    <s v="Cancelled"/>
    <x v="3"/>
    <s v="Grocery"/>
    <s v="Retail"/>
    <n v="42"/>
    <s v="East"/>
    <s v="R019"/>
    <n v="971183.52000000014"/>
    <s v="East"/>
    <s v="Grocery"/>
    <n v="1412"/>
  </r>
  <r>
    <s v="ORD-00142"/>
    <d v="2024-02-06T00:00:00"/>
    <s v="CUST-0159"/>
    <s v="PROD-052"/>
    <s v="R001"/>
    <n v="8"/>
    <n v="5410"/>
    <n v="12.9"/>
    <n v="37696.879999999997"/>
    <s v="Completed"/>
    <x v="5"/>
    <s v="Sports"/>
    <s v="Retail"/>
    <n v="32"/>
    <s v="North"/>
    <s v="R001"/>
    <n v="789849.60000000009"/>
    <s v="North"/>
    <s v="Sports"/>
    <n v="2265"/>
  </r>
  <r>
    <s v="ORD-00143"/>
    <d v="2024-08-04T00:00:00"/>
    <s v="CUST-0294"/>
    <s v="PROD-024"/>
    <s v="R009"/>
    <n v="9"/>
    <n v="2270"/>
    <n v="6.8"/>
    <n v="19040.759999999998"/>
    <s v="Completed"/>
    <x v="2"/>
    <s v="Grocery"/>
    <s v="Corporate"/>
    <n v="31"/>
    <s v="South"/>
    <s v="R009"/>
    <n v="914554.71999999986"/>
    <s v="South"/>
    <s v="Grocery"/>
    <n v="1203"/>
  </r>
  <r>
    <s v="ORD-00144"/>
    <d v="2024-01-18T00:00:00"/>
    <s v="CUST-0280"/>
    <s v="PROD-012"/>
    <s v="R001"/>
    <n v="3"/>
    <n v="3160"/>
    <n v="12.8"/>
    <n v="8266.56"/>
    <s v="Completed"/>
    <x v="2"/>
    <s v="Apparel"/>
    <s v="SMB"/>
    <n v="27"/>
    <s v="North"/>
    <s v="R001"/>
    <n v="789849.60000000009"/>
    <s v="North"/>
    <s v="Apparel"/>
    <n v="1886"/>
  </r>
  <r>
    <s v="ORD-00145"/>
    <d v="2024-06-05T00:00:00"/>
    <s v="CUST-0291"/>
    <s v="PROD-025"/>
    <s v="R028"/>
    <n v="8"/>
    <n v="4060"/>
    <n v="20.9"/>
    <n v="25691.68"/>
    <s v="Completed"/>
    <x v="0"/>
    <s v="Grocery"/>
    <s v="SMB"/>
    <n v="29"/>
    <s v="West"/>
    <s v="R028"/>
    <n v="880468.05"/>
    <s v="West"/>
    <s v="Grocery"/>
    <n v="2911"/>
  </r>
  <r>
    <s v="ORD-00146"/>
    <d v="2024-06-06T00:00:00"/>
    <s v="CUST-9657"/>
    <s v="PROD-020"/>
    <s v="R018"/>
    <n v="5"/>
    <n v="820"/>
    <n v="9.1"/>
    <n v="3726.9"/>
    <s v="Refunded"/>
    <x v="0"/>
    <s v="Apparel"/>
    <e v="#N/A"/>
    <e v="#N/A"/>
    <s v="East"/>
    <s v="R018"/>
    <n v="1112289.6400000001"/>
    <s v="East"/>
    <s v="Apparel"/>
    <n v="391"/>
  </r>
  <r>
    <s v="ORD-00147"/>
    <d v="2024-09-20T00:00:00"/>
    <s v="CUST-0080"/>
    <s v="PROD-032"/>
    <s v="R007"/>
    <n v="5"/>
    <n v="370"/>
    <n v="11.5"/>
    <n v="1637.25"/>
    <s v="Completed"/>
    <x v="0"/>
    <s v="Home"/>
    <s v="SMB"/>
    <n v="30"/>
    <s v="North"/>
    <s v="R007"/>
    <n v="855749.67999999982"/>
    <s v="North"/>
    <s v="Home"/>
    <n v="288"/>
  </r>
  <r>
    <s v="ORD-00148"/>
    <d v="2024-02-19T00:00:00"/>
    <s v="CUST-0172"/>
    <s v="PROD-034"/>
    <s v="R002"/>
    <n v="9"/>
    <n v="5080"/>
    <n v="27.5"/>
    <n v="33147"/>
    <s v="Completed"/>
    <x v="0"/>
    <s v="Home"/>
    <s v="Retail"/>
    <n v="65"/>
    <s v="North"/>
    <s v="R002"/>
    <n v="980063.65999999968"/>
    <s v="North"/>
    <s v="Home"/>
    <n v="2459"/>
  </r>
  <r>
    <s v="ORD-00149"/>
    <d v="2024-05-10T00:00:00"/>
    <s v="CUST-0051"/>
    <s v="PROD-026"/>
    <s v="R012"/>
    <n v="6"/>
    <n v="4070"/>
    <n v="12.5"/>
    <n v="21367.5"/>
    <s v="Completed"/>
    <x v="0"/>
    <s v="Grocery"/>
    <s v="SMB"/>
    <n v="54"/>
    <s v="South"/>
    <s v="R012"/>
    <n v="901394.32000000007"/>
    <s v="South"/>
    <s v="Grocery"/>
    <n v="2027"/>
  </r>
  <r>
    <s v="ORD-00150"/>
    <d v="2024-02-24T00:00:00"/>
    <s v="CUST-0080"/>
    <s v="PROD-005"/>
    <s v="R024"/>
    <n v="5"/>
    <n v="300"/>
    <n v="25.8"/>
    <n v="1113"/>
    <s v="Completed"/>
    <x v="0"/>
    <s v="Electronics"/>
    <s v="SMB"/>
    <n v="30"/>
    <s v="West"/>
    <s v="R024"/>
    <n v="819558.58"/>
    <s v="West"/>
    <s v="Electronics"/>
    <n v="128"/>
  </r>
  <r>
    <s v="ORD-00151"/>
    <d v="2024-01-27T00:00:00"/>
    <s v="CUST-0137"/>
    <s v="PROD-048"/>
    <s v="R011"/>
    <n v="7"/>
    <n v="5100"/>
    <n v="28.8"/>
    <n v="25418.400000000001"/>
    <s v="Completed"/>
    <x v="3"/>
    <s v="Beauty"/>
    <s v="Retail"/>
    <n v="41"/>
    <s v="South"/>
    <s v="R011"/>
    <n v="735207.75999999989"/>
    <s v="South"/>
    <s v="Beauty"/>
    <n v="2237"/>
  </r>
  <r>
    <s v="ORD-00152"/>
    <d v="2024-08-17T00:00:00"/>
    <s v="CUST-0222"/>
    <s v="PROD-038"/>
    <s v="R012"/>
    <n v="2"/>
    <n v="5490"/>
    <n v="5.5"/>
    <n v="10376.1"/>
    <s v="Completed"/>
    <x v="1"/>
    <s v="Home"/>
    <s v="Retail"/>
    <n v="37"/>
    <s v="South"/>
    <s v="R012"/>
    <n v="901394.32000000007"/>
    <s v="South"/>
    <s v="Home"/>
    <n v="2549"/>
  </r>
  <r>
    <s v="ORD-00153"/>
    <d v="2024-10-30T00:00:00"/>
    <s v="CUST-0117"/>
    <s v="PROD-011"/>
    <s v="R015"/>
    <n v="2"/>
    <n v="3450"/>
    <n v="1.2"/>
    <n v="6817.2"/>
    <s v="Completed"/>
    <x v="2"/>
    <s v="Apparel"/>
    <s v="SMB"/>
    <n v="34"/>
    <s v="South"/>
    <s v="R015"/>
    <n v="1091740.1799999997"/>
    <s v="South"/>
    <s v="Apparel"/>
    <n v="1748"/>
  </r>
  <r>
    <s v="ORD-00154"/>
    <d v="2024-08-26T00:00:00"/>
    <s v="CUST-0104"/>
    <s v="PROD-029"/>
    <s v="R002"/>
    <n v="10"/>
    <n v="2210"/>
    <n v="18.8"/>
    <n v="17945.2"/>
    <s v="Completed"/>
    <x v="5"/>
    <s v="Grocery"/>
    <s v="Corporate"/>
    <n v="43"/>
    <s v="North"/>
    <s v="R002"/>
    <n v="980063.65999999968"/>
    <s v="North"/>
    <s v="Grocery"/>
    <n v="1010"/>
  </r>
  <r>
    <s v="ORD-00155"/>
    <d v="2024-12-18T00:00:00"/>
    <s v="CUST-0082"/>
    <s v="PROD-036"/>
    <s v="R013"/>
    <n v="2"/>
    <n v="3250"/>
    <n v="26.2"/>
    <n v="4797"/>
    <s v="Completed"/>
    <x v="5"/>
    <s v="Home"/>
    <s v="SMB"/>
    <n v="36"/>
    <s v="South"/>
    <s v="R013"/>
    <n v="811524.37999999989"/>
    <s v="South"/>
    <s v="Home"/>
    <n v="1556"/>
  </r>
  <r>
    <s v="ORD-00156"/>
    <d v="2024-01-07T00:00:00"/>
    <s v="CUST-0165"/>
    <s v="PROD-012"/>
    <s v="R001"/>
    <n v="5"/>
    <n v="3160"/>
    <n v="0.9"/>
    <n v="15657.8"/>
    <s v="Completed"/>
    <x v="0"/>
    <s v="Apparel"/>
    <s v="Retail"/>
    <n v="29"/>
    <s v="North"/>
    <s v="R001"/>
    <n v="789849.60000000009"/>
    <s v="North"/>
    <s v="Apparel"/>
    <n v="1886"/>
  </r>
  <r>
    <s v="ORD-00157"/>
    <d v="2024-06-04T00:00:00"/>
    <s v="CUST-0150"/>
    <s v="PROD-004"/>
    <s v="R030"/>
    <n v="4"/>
    <n v="3870"/>
    <n v="29.6"/>
    <n v="10897.92"/>
    <s v="Cancelled"/>
    <x v="0"/>
    <s v="Electronics"/>
    <s v="SMB"/>
    <n v="53"/>
    <s v="West"/>
    <s v="R030"/>
    <n v="747624.36999999988"/>
    <s v="West"/>
    <s v="Electronics"/>
    <n v="1559"/>
  </r>
  <r>
    <s v="ORD-00158"/>
    <d v="2024-11-05T00:00:00"/>
    <s v="CUST-0228"/>
    <s v="PROD-059"/>
    <s v="R022"/>
    <n v="4"/>
    <n v="3780"/>
    <n v="3.5"/>
    <n v="14590.8"/>
    <s v="Cancelled"/>
    <x v="0"/>
    <s v="Sports"/>
    <s v="Corporate"/>
    <n v="37"/>
    <s v="East"/>
    <s v="R022"/>
    <n v="1069570.5400000003"/>
    <s v="East"/>
    <s v="Sports"/>
    <n v="1860"/>
  </r>
  <r>
    <s v="ORD-00159"/>
    <d v="2024-05-16T00:00:00"/>
    <s v="CUST-0197"/>
    <s v="PROD-045"/>
    <s v="R021"/>
    <n v="4"/>
    <n v="3020"/>
    <n v="18.899999999999999"/>
    <n v="9796.8799999999992"/>
    <s v="Completed"/>
    <x v="4"/>
    <s v="Beauty"/>
    <s v="Retail"/>
    <n v="55"/>
    <s v="East"/>
    <s v="R021"/>
    <n v="761507.17000000027"/>
    <s v="East"/>
    <s v="Beauty"/>
    <n v="1626"/>
  </r>
  <r>
    <s v="ORD-00160"/>
    <d v="2024-04-27T00:00:00"/>
    <s v="CUST-0009"/>
    <s v="PROD-031"/>
    <s v="R015"/>
    <n v="1"/>
    <n v="3730"/>
    <n v="10.8"/>
    <n v="3327.16"/>
    <s v="Refunded"/>
    <x v="3"/>
    <s v="Home"/>
    <s v="Retail"/>
    <n v="61"/>
    <s v="South"/>
    <s v="R015"/>
    <n v="1091740.1799999997"/>
    <s v="South"/>
    <s v="Home"/>
    <n v="2135"/>
  </r>
  <r>
    <s v="ORD-00161"/>
    <d v="2024-04-12T00:00:00"/>
    <s v="CUST-0139"/>
    <s v="PROD-046"/>
    <s v="R018"/>
    <n v="8"/>
    <n v="4880"/>
    <n v="20.3"/>
    <n v="31114.880000000001"/>
    <s v="Completed"/>
    <x v="5"/>
    <s v="Beauty"/>
    <s v="SMB"/>
    <n v="65"/>
    <s v="East"/>
    <s v="R018"/>
    <n v="1112289.6400000001"/>
    <s v="East"/>
    <s v="Beauty"/>
    <n v="2768"/>
  </r>
  <r>
    <s v="ORD-00162"/>
    <d v="2024-10-14T00:00:00"/>
    <s v="CUST-0184"/>
    <s v="PROD-030"/>
    <s v="R026"/>
    <n v="9"/>
    <n v="970"/>
    <n v="18.2"/>
    <n v="7141.14"/>
    <s v="Completed"/>
    <x v="0"/>
    <s v="Grocery"/>
    <s v="Retail"/>
    <n v="63"/>
    <s v="West"/>
    <s v="R026"/>
    <n v="576305.08000000019"/>
    <s v="West"/>
    <s v="Grocery"/>
    <n v="434"/>
  </r>
  <r>
    <s v="ORD-00163"/>
    <d v="2024-05-30T00:00:00"/>
    <s v="CUST-0119"/>
    <s v="PROD-008"/>
    <s v="R017"/>
    <n v="8"/>
    <n v="2660"/>
    <n v="17.600000000000001"/>
    <n v="17534.72"/>
    <s v="Completed"/>
    <x v="4"/>
    <s v="Electronics"/>
    <s v="SMB"/>
    <n v="43"/>
    <s v="East"/>
    <s v="R017"/>
    <n v="780384.40999999992"/>
    <s v="East"/>
    <s v="Electronics"/>
    <n v="1259"/>
  </r>
  <r>
    <s v="ORD-00164"/>
    <d v="2024-05-02T00:00:00"/>
    <s v="CUST-0280"/>
    <s v="PROD-020"/>
    <s v="R015"/>
    <n v="2"/>
    <n v="820"/>
    <n v="18.100000000000001"/>
    <n v="1343.16"/>
    <s v="Cancelled"/>
    <x v="2"/>
    <s v="Apparel"/>
    <s v="SMB"/>
    <n v="27"/>
    <s v="South"/>
    <s v="R015"/>
    <n v="1091740.1799999997"/>
    <s v="South"/>
    <s v="Apparel"/>
    <n v="391"/>
  </r>
  <r>
    <s v="ORD-00165"/>
    <d v="2024-02-27T00:00:00"/>
    <s v="CUST-0240"/>
    <s v="PROD-033"/>
    <s v="R009"/>
    <n v="7"/>
    <n v="2030"/>
    <n v="23.7"/>
    <n v="10842.23"/>
    <s v="Pending"/>
    <x v="1"/>
    <s v="Home"/>
    <s v="Corporate"/>
    <n v="35"/>
    <s v="South"/>
    <s v="R009"/>
    <n v="914554.71999999986"/>
    <s v="South"/>
    <s v="Home"/>
    <n v="1143"/>
  </r>
  <r>
    <s v="ORD-00166"/>
    <d v="2024-08-29T00:00:00"/>
    <s v="CUST-0067"/>
    <s v="PROD-016"/>
    <s v="R009"/>
    <n v="5"/>
    <n v="620"/>
    <n v="13.8"/>
    <n v="2672.2"/>
    <s v="Completed"/>
    <x v="2"/>
    <s v="Apparel"/>
    <s v="SMB"/>
    <n v="59"/>
    <s v="South"/>
    <s v="R009"/>
    <n v="914554.71999999986"/>
    <s v="South"/>
    <s v="Apparel"/>
    <n v="396"/>
  </r>
  <r>
    <s v="ORD-00167"/>
    <d v="2024-07-16T00:00:00"/>
    <s v="CUST-0117"/>
    <s v="PROD-022"/>
    <s v="R022"/>
    <n v="7"/>
    <n v="2270"/>
    <n v="5.5"/>
    <n v="15016.05"/>
    <s v="Completed"/>
    <x v="2"/>
    <s v="Grocery"/>
    <s v="SMB"/>
    <n v="34"/>
    <s v="East"/>
    <s v="R022"/>
    <n v="1069570.5400000003"/>
    <s v="East"/>
    <s v="Grocery"/>
    <n v="1412"/>
  </r>
  <r>
    <s v="ORD-00168"/>
    <d v="2024-06-14T00:00:00"/>
    <s v="CUST-0101"/>
    <s v="PROD-053"/>
    <s v="R016"/>
    <n v="1"/>
    <n v="470"/>
    <n v="13.7"/>
    <n v="405.61"/>
    <s v="Pending"/>
    <x v="5"/>
    <s v="Sports"/>
    <s v="SMB"/>
    <n v="40"/>
    <s v="South"/>
    <s v="R016"/>
    <n v="814563.7100000002"/>
    <s v="South"/>
    <s v="Sports"/>
    <n v="302"/>
  </r>
  <r>
    <s v="ORD-00169"/>
    <d v="2024-11-05T00:00:00"/>
    <s v="CUST-0184"/>
    <s v="PROD-001"/>
    <s v="R007"/>
    <n v="6"/>
    <n v="5330"/>
    <n v="17.899999999999999"/>
    <n v="26255.58"/>
    <s v="Completed"/>
    <x v="0"/>
    <s v="Electronics"/>
    <s v="Retail"/>
    <n v="63"/>
    <s v="North"/>
    <s v="R007"/>
    <n v="855749.67999999982"/>
    <s v="North"/>
    <s v="Electronics"/>
    <n v="2405"/>
  </r>
  <r>
    <s v="ORD-00170"/>
    <d v="2024-01-03T00:00:00"/>
    <s v="CUST-0087"/>
    <s v="PROD-050"/>
    <s v="R002"/>
    <n v="1"/>
    <n v="6080"/>
    <n v="25.5"/>
    <n v="4529.6000000000004"/>
    <s v="Completed"/>
    <x v="0"/>
    <s v="Beauty"/>
    <s v="SMB"/>
    <n v="49"/>
    <s v="North"/>
    <s v="R002"/>
    <n v="980063.65999999968"/>
    <s v="North"/>
    <s v="Beauty"/>
    <n v="2617"/>
  </r>
  <r>
    <s v="ORD-00171"/>
    <d v="2024-02-23T00:00:00"/>
    <s v="CUST-0261"/>
    <s v="PROD-027"/>
    <s v="R022"/>
    <n v="5"/>
    <n v="3780"/>
    <n v="28.6"/>
    <n v="13494.6"/>
    <s v="Completed"/>
    <x v="2"/>
    <s v="Grocery"/>
    <s v="Retail"/>
    <n v="54"/>
    <s v="East"/>
    <s v="R022"/>
    <n v="1069570.5400000003"/>
    <s v="East"/>
    <s v="Grocery"/>
    <n v="2436"/>
  </r>
  <r>
    <s v="ORD-00172"/>
    <d v="2024-04-09T00:00:00"/>
    <s v="CUST-0027"/>
    <s v="PROD-016"/>
    <s v="R010"/>
    <n v="5"/>
    <n v="620"/>
    <n v="6.9"/>
    <n v="2886.1"/>
    <s v="Cancelled"/>
    <x v="5"/>
    <s v="Apparel"/>
    <s v="Corporate"/>
    <n v="52"/>
    <s v="South"/>
    <s v="R010"/>
    <n v="880345.20000000007"/>
    <s v="South"/>
    <s v="Apparel"/>
    <n v="396"/>
  </r>
  <r>
    <s v="ORD-00173"/>
    <d v="2024-05-07T00:00:00"/>
    <s v="CUST-0210"/>
    <s v="PROD-017"/>
    <s v="R027"/>
    <n v="8"/>
    <n v="2510"/>
    <n v="0.7"/>
    <n v="19939.439999999999"/>
    <s v="Completed"/>
    <x v="0"/>
    <s v="Apparel"/>
    <s v="Corporate"/>
    <n v="48"/>
    <s v="West"/>
    <s v="R027"/>
    <n v="917092.61999999965"/>
    <s v="West"/>
    <s v="Apparel"/>
    <n v="1075"/>
  </r>
  <r>
    <s v="ORD-00174"/>
    <d v="2024-01-15T00:00:00"/>
    <s v="CUST-0163"/>
    <s v="PROD-015"/>
    <s v="R020"/>
    <n v="1"/>
    <n v="2720"/>
    <n v="13.7"/>
    <n v="2347.36"/>
    <s v="Completed"/>
    <x v="0"/>
    <s v="Apparel"/>
    <s v="Retail"/>
    <n v="49"/>
    <s v="East"/>
    <s v="R020"/>
    <n v="906107.71000000008"/>
    <s v="East"/>
    <s v="Apparel"/>
    <n v="1962"/>
  </r>
  <r>
    <s v="ORD-00175"/>
    <d v="2024-09-11T00:00:00"/>
    <s v="CUST-0059"/>
    <s v="PROD-053"/>
    <s v="R018"/>
    <n v="9"/>
    <n v="470"/>
    <n v="23.6"/>
    <n v="3231.72"/>
    <s v="Completed"/>
    <x v="0"/>
    <s v="Sports"/>
    <s v="Corporate"/>
    <n v="29"/>
    <s v="East"/>
    <s v="R018"/>
    <n v="1112289.6400000001"/>
    <s v="East"/>
    <s v="Sports"/>
    <n v="302"/>
  </r>
  <r>
    <s v="ORD-00176"/>
    <d v="2024-12-07T00:00:00"/>
    <s v="CUST-0020"/>
    <s v="PROD-036"/>
    <s v="R018"/>
    <n v="10"/>
    <n v="3250"/>
    <n v="21"/>
    <n v="25675"/>
    <s v="Cancelled"/>
    <x v="5"/>
    <s v="Home"/>
    <s v="Retail"/>
    <n v="46"/>
    <s v="East"/>
    <s v="R018"/>
    <n v="1112289.6400000001"/>
    <s v="East"/>
    <s v="Home"/>
    <n v="1556"/>
  </r>
  <r>
    <s v="ORD-00177"/>
    <d v="2024-12-23T00:00:00"/>
    <s v="CUST-0048"/>
    <s v="PROD-034"/>
    <s v="R028"/>
    <n v="6"/>
    <n v="5080"/>
    <n v="16.8"/>
    <n v="25359.360000000001"/>
    <s v="Pending"/>
    <x v="2"/>
    <s v="Home"/>
    <s v="Retail"/>
    <n v="59"/>
    <s v="West"/>
    <s v="R028"/>
    <n v="880468.05"/>
    <s v="West"/>
    <s v="Home"/>
    <n v="2459"/>
  </r>
  <r>
    <s v="ORD-00178"/>
    <d v="2024-01-21T00:00:00"/>
    <s v="CUST-0172"/>
    <s v="PROD-003"/>
    <s v="R012"/>
    <n v="2"/>
    <n v="3570"/>
    <n v="6.7"/>
    <n v="6661.62"/>
    <s v="Cancelled"/>
    <x v="0"/>
    <s v="Electronics"/>
    <s v="Retail"/>
    <n v="65"/>
    <s v="South"/>
    <s v="R012"/>
    <n v="901394.32000000007"/>
    <s v="South"/>
    <s v="Electronics"/>
    <n v="1665"/>
  </r>
  <r>
    <s v="ORD-00179"/>
    <d v="2024-03-31T00:00:00"/>
    <s v="CUST-0124"/>
    <s v="PROD-013"/>
    <s v="R012"/>
    <n v="4"/>
    <n v="3640"/>
    <n v="18.399999999999999"/>
    <n v="11880.96"/>
    <s v="Completed"/>
    <x v="0"/>
    <s v="Apparel"/>
    <s v="Retail"/>
    <n v="57"/>
    <s v="South"/>
    <s v="R012"/>
    <n v="901394.32000000007"/>
    <s v="South"/>
    <s v="Apparel"/>
    <n v="2611"/>
  </r>
  <r>
    <s v="ORD-00180"/>
    <d v="2024-08-20T00:00:00"/>
    <s v="CUST-0184"/>
    <s v="PROD-026"/>
    <s v="R001"/>
    <n v="8"/>
    <n v="4070"/>
    <n v="6.6"/>
    <n v="30411.040000000001"/>
    <s v="Completed"/>
    <x v="0"/>
    <s v="Grocery"/>
    <s v="Retail"/>
    <n v="63"/>
    <s v="North"/>
    <s v="R001"/>
    <n v="789849.60000000009"/>
    <s v="North"/>
    <s v="Grocery"/>
    <n v="2027"/>
  </r>
  <r>
    <s v="ORD-00181"/>
    <d v="2024-04-10T00:00:00"/>
    <s v="CUST-0259"/>
    <s v="PROD-011"/>
    <s v="R012"/>
    <n v="6"/>
    <n v="3450"/>
    <n v="14.4"/>
    <n v="17719.2"/>
    <s v="Pending"/>
    <x v="3"/>
    <s v="Apparel"/>
    <s v="Retail"/>
    <n v="34"/>
    <s v="South"/>
    <s v="R012"/>
    <n v="901394.32000000007"/>
    <s v="South"/>
    <s v="Apparel"/>
    <n v="1748"/>
  </r>
  <r>
    <s v="ORD-00182"/>
    <d v="2024-05-31T00:00:00"/>
    <s v="CUST-0204"/>
    <s v="PROD-034"/>
    <s v="R029"/>
    <n v="7"/>
    <n v="5080"/>
    <n v="25.4"/>
    <n v="26527.759999999998"/>
    <s v="Pending"/>
    <x v="5"/>
    <s v="Home"/>
    <s v="Retail"/>
    <n v="60"/>
    <s v="West"/>
    <s v="R029"/>
    <n v="1016696.8000000002"/>
    <s v="West"/>
    <s v="Home"/>
    <n v="2459"/>
  </r>
  <r>
    <s v="ORD-00183"/>
    <d v="2024-02-11T00:00:00"/>
    <s v="CUST-0032"/>
    <s v="PROD-021"/>
    <s v="R028"/>
    <n v="10"/>
    <n v="2760"/>
    <n v="20.100000000000001"/>
    <n v="22052.400000000001"/>
    <s v="Completed"/>
    <x v="5"/>
    <s v="Grocery"/>
    <s v="Retail"/>
    <n v="28"/>
    <s v="West"/>
    <s v="R028"/>
    <n v="880468.05"/>
    <s v="West"/>
    <s v="Grocery"/>
    <n v="1435"/>
  </r>
  <r>
    <s v="ORD-00184"/>
    <d v="2024-06-13T00:00:00"/>
    <s v="CUST-0239"/>
    <s v="PROD-044"/>
    <s v="R016"/>
    <n v="6"/>
    <n v="1650"/>
    <n v="11.3"/>
    <n v="8781.2999999999993"/>
    <s v="Pending"/>
    <x v="3"/>
    <s v="Beauty"/>
    <s v="Retail"/>
    <n v="61"/>
    <s v="South"/>
    <s v="R016"/>
    <n v="814563.7100000002"/>
    <s v="South"/>
    <s v="Beauty"/>
    <n v="1222"/>
  </r>
  <r>
    <s v="ORD-00185"/>
    <d v="2024-01-04T00:00:00"/>
    <s v="CUST-0191"/>
    <s v="PROD-004"/>
    <s v="R007"/>
    <n v="9"/>
    <n v="3870"/>
    <n v="27.5"/>
    <n v="25251.75"/>
    <s v="Completed"/>
    <x v="5"/>
    <s v="Electronics"/>
    <s v="SMB"/>
    <n v="43"/>
    <s v="North"/>
    <s v="R007"/>
    <n v="855749.67999999982"/>
    <s v="North"/>
    <s v="Electronics"/>
    <n v="1559"/>
  </r>
  <r>
    <s v="ORD-00186"/>
    <d v="2024-08-28T00:00:00"/>
    <s v="CUST-0284"/>
    <s v="PROD-035"/>
    <s v="R022"/>
    <n v="2"/>
    <n v="1090"/>
    <n v="18.7"/>
    <n v="1772.34"/>
    <s v="Refunded"/>
    <x v="5"/>
    <s v="Home"/>
    <s v="SMB"/>
    <n v="65"/>
    <s v="East"/>
    <s v="R022"/>
    <n v="1069570.5400000003"/>
    <s v="East"/>
    <s v="Home"/>
    <n v="464"/>
  </r>
  <r>
    <s v="ORD-00187"/>
    <d v="2024-09-29T00:00:00"/>
    <s v="CUST-0274"/>
    <s v="PROD-049"/>
    <s v="R025"/>
    <n v="4"/>
    <n v="960"/>
    <n v="23.4"/>
    <n v="2941.44"/>
    <s v="Completed"/>
    <x v="4"/>
    <s v="Beauty"/>
    <s v="Corporate"/>
    <n v="36"/>
    <s v="West"/>
    <s v="R025"/>
    <n v="901298.89"/>
    <s v="West"/>
    <s v="Beauty"/>
    <n v="675"/>
  </r>
  <r>
    <s v="ORD-00188"/>
    <d v="2024-09-04T00:00:00"/>
    <s v="CUST-0234"/>
    <s v="PROD-043"/>
    <s v="R021"/>
    <n v="3"/>
    <n v="3350"/>
    <n v="17.899999999999999"/>
    <n v="8251.0499999999993"/>
    <s v="Completed"/>
    <x v="4"/>
    <s v="Beauty"/>
    <s v="Retail"/>
    <n v="34"/>
    <s v="East"/>
    <s v="R021"/>
    <n v="761507.17000000027"/>
    <s v="East"/>
    <s v="Beauty"/>
    <n v="1728"/>
  </r>
  <r>
    <s v="ORD-00189"/>
    <d v="2024-11-09T00:00:00"/>
    <s v="CUST-0264"/>
    <s v="PROD-022"/>
    <s v="R005"/>
    <n v="4"/>
    <n v="2270"/>
    <n v="29"/>
    <n v="6446.8"/>
    <s v="Completed"/>
    <x v="0"/>
    <s v="Grocery"/>
    <s v="Retail"/>
    <n v="59"/>
    <s v="North"/>
    <s v="R005"/>
    <n v="782445.33"/>
    <s v="North"/>
    <s v="Grocery"/>
    <n v="1412"/>
  </r>
  <r>
    <s v="ORD-00190"/>
    <d v="2024-06-17T00:00:00"/>
    <s v="CUST-0192"/>
    <s v="PROD-039"/>
    <s v="R023"/>
    <n v="9"/>
    <n v="4610"/>
    <n v="28.3"/>
    <n v="29748.33"/>
    <s v="Pending"/>
    <x v="4"/>
    <s v="Home"/>
    <s v="Retail"/>
    <n v="55"/>
    <s v="East"/>
    <s v="R023"/>
    <n v="983787.4800000001"/>
    <s v="East"/>
    <s v="Home"/>
    <n v="1850"/>
  </r>
  <r>
    <s v="ORD-00191"/>
    <d v="2024-09-03T00:00:00"/>
    <s v="CUST-0041"/>
    <s v="PROD-012"/>
    <s v="R009"/>
    <n v="3"/>
    <n v="3160"/>
    <n v="7.3"/>
    <n v="8787.9599999999991"/>
    <s v="Completed"/>
    <x v="4"/>
    <s v="Apparel"/>
    <s v="SMB"/>
    <n v="26"/>
    <s v="South"/>
    <s v="R009"/>
    <n v="914554.71999999986"/>
    <s v="South"/>
    <s v="Apparel"/>
    <n v="1886"/>
  </r>
  <r>
    <s v="ORD-00192"/>
    <d v="2024-10-08T00:00:00"/>
    <s v="CUST-0043"/>
    <s v="PROD-022"/>
    <s v="R004"/>
    <n v="8"/>
    <n v="2270"/>
    <n v="15.6"/>
    <n v="15327.04"/>
    <s v="Completed"/>
    <x v="5"/>
    <s v="Grocery"/>
    <s v="Retail"/>
    <n v="61"/>
    <s v="North"/>
    <s v="R004"/>
    <n v="589026.2899999998"/>
    <s v="North"/>
    <s v="Grocery"/>
    <n v="1412"/>
  </r>
  <r>
    <s v="ORD-00193"/>
    <d v="2024-07-10T00:00:00"/>
    <s v="CUST-0147"/>
    <s v="PROD-045"/>
    <s v="R028"/>
    <n v="8"/>
    <n v="3020"/>
    <n v="16.3"/>
    <n v="20221.919999999998"/>
    <s v="Cancelled"/>
    <x v="0"/>
    <s v="Beauty"/>
    <s v="Retail"/>
    <n v="56"/>
    <s v="West"/>
    <s v="R028"/>
    <n v="880468.05"/>
    <s v="West"/>
    <s v="Beauty"/>
    <n v="1626"/>
  </r>
  <r>
    <s v="ORD-00194"/>
    <d v="2024-11-21T00:00:00"/>
    <s v="CUST-0056"/>
    <s v="PROD-056"/>
    <s v="R030"/>
    <n v="7"/>
    <n v="6940"/>
    <n v="8.5"/>
    <n v="44450.7"/>
    <s v="Completed"/>
    <x v="4"/>
    <s v="Sports"/>
    <s v="SMB"/>
    <n v="46"/>
    <s v="West"/>
    <s v="R030"/>
    <n v="747624.36999999988"/>
    <s v="West"/>
    <s v="Sports"/>
    <n v="2827"/>
  </r>
  <r>
    <s v="ORD-00195"/>
    <d v="2024-09-11T00:00:00"/>
    <s v="CUST-0059"/>
    <s v="PROD-041"/>
    <s v="R012"/>
    <n v="8"/>
    <n v="1540"/>
    <n v="21"/>
    <n v="9732.7999999999993"/>
    <s v="Completed"/>
    <x v="0"/>
    <s v="Beauty"/>
    <s v="Corporate"/>
    <n v="29"/>
    <s v="South"/>
    <s v="R012"/>
    <n v="901394.32000000007"/>
    <s v="South"/>
    <s v="Beauty"/>
    <n v="647"/>
  </r>
  <r>
    <s v="ORD-00196"/>
    <d v="2024-03-29T00:00:00"/>
    <s v="CUST-0047"/>
    <s v="PROD-019"/>
    <s v="R029"/>
    <n v="6"/>
    <n v="2480"/>
    <n v="27.9"/>
    <n v="10728.48"/>
    <s v="Completed"/>
    <x v="0"/>
    <s v="Apparel"/>
    <s v="Retail"/>
    <n v="49"/>
    <s v="West"/>
    <s v="R029"/>
    <n v="1016696.8000000002"/>
    <s v="West"/>
    <s v="Apparel"/>
    <n v="1173"/>
  </r>
  <r>
    <s v="ORD-00197"/>
    <d v="2024-01-29T00:00:00"/>
    <s v="CUST-0162"/>
    <s v="PROD-060"/>
    <s v="R022"/>
    <n v="4"/>
    <n v="190"/>
    <n v="21.5"/>
    <n v="596.6"/>
    <s v="Completed"/>
    <x v="3"/>
    <s v="Sports"/>
    <s v="Corporate"/>
    <n v="35"/>
    <s v="East"/>
    <s v="R022"/>
    <n v="1069570.5400000003"/>
    <s v="East"/>
    <s v="Sports"/>
    <n v="147"/>
  </r>
  <r>
    <s v="ORD-00198"/>
    <d v="2024-03-04T00:00:00"/>
    <s v="CUST-0121"/>
    <s v="PROD-055"/>
    <s v="R014"/>
    <n v="1"/>
    <n v="2860"/>
    <n v="15.3"/>
    <n v="2422.42"/>
    <s v="Completed"/>
    <x v="2"/>
    <s v="Sports"/>
    <s v="SMB"/>
    <n v="55"/>
    <s v="South"/>
    <s v="R014"/>
    <n v="995713.54000000015"/>
    <s v="South"/>
    <s v="Sports"/>
    <n v="2028"/>
  </r>
  <r>
    <s v="ORD-00199"/>
    <d v="2024-02-28T00:00:00"/>
    <s v="CUST-0075"/>
    <s v="PROD-017"/>
    <s v="R015"/>
    <n v="4"/>
    <n v="2510"/>
    <n v="10.1"/>
    <n v="9025.9599999999991"/>
    <s v="Refunded"/>
    <x v="3"/>
    <s v="Apparel"/>
    <s v="Corporate"/>
    <n v="55"/>
    <s v="South"/>
    <s v="R015"/>
    <n v="1091740.1799999997"/>
    <s v="South"/>
    <s v="Apparel"/>
    <n v="1075"/>
  </r>
  <r>
    <s v="ORD-00200"/>
    <d v="2024-10-22T00:00:00"/>
    <s v="CUST-0025"/>
    <s v="PROD-003"/>
    <s v="R003"/>
    <n v="2"/>
    <n v="3570"/>
    <n v="11.6"/>
    <n v="6311.76"/>
    <s v="Pending"/>
    <x v="4"/>
    <s v="Electronics"/>
    <s v="Retail"/>
    <n v="23"/>
    <s v="North"/>
    <s v="R003"/>
    <n v="986692.91"/>
    <s v="North"/>
    <s v="Electronics"/>
    <n v="1665"/>
  </r>
  <r>
    <s v="ORD-00201"/>
    <d v="2024-02-22T00:00:00"/>
    <s v="CUST-0048"/>
    <s v="PROD-031"/>
    <s v="R016"/>
    <n v="7"/>
    <n v="3730"/>
    <n v="2.5"/>
    <n v="25457.25"/>
    <s v="Cancelled"/>
    <x v="2"/>
    <s v="Home"/>
    <s v="Retail"/>
    <n v="59"/>
    <s v="South"/>
    <s v="R016"/>
    <n v="814563.7100000002"/>
    <s v="South"/>
    <s v="Home"/>
    <n v="2135"/>
  </r>
  <r>
    <s v="ORD-00202"/>
    <d v="2024-07-19T00:00:00"/>
    <s v="CUST-0251"/>
    <s v="PROD-032"/>
    <s v="R030"/>
    <n v="6"/>
    <n v="370"/>
    <n v="9.9"/>
    <n v="2000.22"/>
    <s v="Completed"/>
    <x v="3"/>
    <s v="Home"/>
    <s v="Retail"/>
    <n v="44"/>
    <s v="West"/>
    <s v="R030"/>
    <n v="747624.36999999988"/>
    <s v="West"/>
    <s v="Home"/>
    <n v="288"/>
  </r>
  <r>
    <s v="ORD-00203"/>
    <d v="2024-07-17T00:00:00"/>
    <s v="CUST-0125"/>
    <s v="PROD-008"/>
    <s v="R014"/>
    <n v="4"/>
    <n v="2660"/>
    <n v="29.7"/>
    <n v="7479.92"/>
    <s v="Completed"/>
    <x v="2"/>
    <s v="Electronics"/>
    <s v="Retail"/>
    <n v="45"/>
    <s v="South"/>
    <s v="R014"/>
    <n v="995713.54000000015"/>
    <s v="South"/>
    <s v="Electronics"/>
    <n v="1259"/>
  </r>
  <r>
    <s v="ORD-00204"/>
    <d v="2024-09-03T00:00:00"/>
    <s v="CUST-0025"/>
    <s v="PROD-021"/>
    <s v="R015"/>
    <n v="6"/>
    <n v="2760"/>
    <n v="0.9"/>
    <n v="16410.96"/>
    <s v="Completed"/>
    <x v="4"/>
    <s v="Grocery"/>
    <s v="Retail"/>
    <n v="23"/>
    <s v="South"/>
    <s v="R015"/>
    <n v="1091740.1799999997"/>
    <s v="South"/>
    <s v="Grocery"/>
    <n v="1435"/>
  </r>
  <r>
    <s v="ORD-00205"/>
    <d v="2024-10-26T00:00:00"/>
    <s v="CUST-0068"/>
    <s v="PROD-043"/>
    <s v="R009"/>
    <n v="6"/>
    <n v="3350"/>
    <n v="17.899999999999999"/>
    <n v="16502.099999999999"/>
    <s v="Completed"/>
    <x v="2"/>
    <s v="Beauty"/>
    <s v="SMB"/>
    <n v="48"/>
    <s v="South"/>
    <s v="R009"/>
    <n v="914554.71999999986"/>
    <s v="South"/>
    <s v="Beauty"/>
    <n v="1728"/>
  </r>
  <r>
    <s v="ORD-00206"/>
    <d v="2024-01-28T00:00:00"/>
    <s v="CUST-0080"/>
    <s v="PROD-005"/>
    <s v="R017"/>
    <n v="8"/>
    <n v="300"/>
    <n v="20.6"/>
    <n v="1905.6"/>
    <s v="Refunded"/>
    <x v="0"/>
    <s v="Electronics"/>
    <s v="SMB"/>
    <n v="30"/>
    <s v="East"/>
    <s v="R017"/>
    <n v="780384.40999999992"/>
    <s v="East"/>
    <s v="Electronics"/>
    <n v="128"/>
  </r>
  <r>
    <s v="ORD-00207"/>
    <d v="2024-08-23T00:00:00"/>
    <s v="CUST-0251"/>
    <s v="PROD-015"/>
    <s v="R002"/>
    <n v="5"/>
    <n v="2720"/>
    <n v="17.100000000000001"/>
    <n v="11274.4"/>
    <s v="Pending"/>
    <x v="3"/>
    <s v="Apparel"/>
    <s v="Retail"/>
    <n v="44"/>
    <s v="North"/>
    <s v="R002"/>
    <n v="980063.65999999968"/>
    <s v="North"/>
    <s v="Apparel"/>
    <n v="1962"/>
  </r>
  <r>
    <s v="ORD-00208"/>
    <d v="2024-10-07T00:00:00"/>
    <s v="CUST-0077"/>
    <s v="PROD-004"/>
    <s v="R015"/>
    <n v="1"/>
    <n v="3870"/>
    <n v="23.5"/>
    <n v="2960.55"/>
    <s v="Pending"/>
    <x v="5"/>
    <s v="Electronics"/>
    <s v="SMB"/>
    <n v="48"/>
    <s v="South"/>
    <s v="R015"/>
    <n v="1091740.1799999997"/>
    <s v="South"/>
    <s v="Electronics"/>
    <n v="1559"/>
  </r>
  <r>
    <s v="ORD-00209"/>
    <d v="2024-12-11T00:00:00"/>
    <s v="CUST-0232"/>
    <s v="PROD-031"/>
    <s v="R012"/>
    <n v="3"/>
    <n v="3730"/>
    <n v="0.7"/>
    <n v="11111.67"/>
    <s v="Pending"/>
    <x v="5"/>
    <s v="Home"/>
    <s v="Retail"/>
    <n v="38"/>
    <s v="South"/>
    <s v="R012"/>
    <n v="901394.32000000007"/>
    <s v="South"/>
    <s v="Home"/>
    <n v="2135"/>
  </r>
  <r>
    <s v="ORD-00210"/>
    <d v="2024-01-24T00:00:00"/>
    <s v="CUST-0277"/>
    <s v="PROD-019"/>
    <s v="R012"/>
    <n v="8"/>
    <n v="2480"/>
    <n v="18.2"/>
    <n v="16229.12"/>
    <s v="Cancelled"/>
    <x v="1"/>
    <s v="Apparel"/>
    <s v="Corporate"/>
    <n v="34"/>
    <s v="South"/>
    <s v="R012"/>
    <n v="901394.32000000007"/>
    <s v="South"/>
    <s v="Apparel"/>
    <n v="1173"/>
  </r>
  <r>
    <s v="ORD-00211"/>
    <d v="2024-03-23T00:00:00"/>
    <s v="CUST-0149"/>
    <s v="PROD-057"/>
    <s v="R019"/>
    <n v="2"/>
    <n v="960"/>
    <n v="2.2000000000000002"/>
    <n v="1877.76"/>
    <s v="Completed"/>
    <x v="5"/>
    <s v="Sports"/>
    <s v="Retail"/>
    <n v="44"/>
    <s v="East"/>
    <s v="R019"/>
    <n v="971183.52000000014"/>
    <s v="East"/>
    <s v="Sports"/>
    <n v="705"/>
  </r>
  <r>
    <s v="ORD-00212"/>
    <d v="2024-02-13T00:00:00"/>
    <s v="CUST-0178"/>
    <s v="PROD-046"/>
    <s v="R018"/>
    <n v="8"/>
    <n v="4880"/>
    <n v="11.9"/>
    <n v="34394.239999999998"/>
    <s v="Completed"/>
    <x v="5"/>
    <s v="Beauty"/>
    <s v="Retail"/>
    <n v="25"/>
    <s v="East"/>
    <s v="R018"/>
    <n v="1112289.6400000001"/>
    <s v="East"/>
    <s v="Beauty"/>
    <n v="2768"/>
  </r>
  <r>
    <s v="ORD-00213"/>
    <d v="2024-12-30T00:00:00"/>
    <s v="CUST-0246"/>
    <s v="PROD-014"/>
    <s v="R030"/>
    <n v="2"/>
    <n v="3620"/>
    <n v="1.1000000000000001"/>
    <n v="7160.36"/>
    <s v="Pending"/>
    <x v="2"/>
    <s v="Apparel"/>
    <s v="SMB"/>
    <n v="29"/>
    <s v="West"/>
    <s v="R030"/>
    <n v="747624.36999999988"/>
    <s v="West"/>
    <s v="Apparel"/>
    <n v="2509"/>
  </r>
  <r>
    <s v="ORD-00214"/>
    <d v="2024-10-08T00:00:00"/>
    <s v="CUST-0033"/>
    <s v="PROD-006"/>
    <s v="R008"/>
    <n v="8"/>
    <n v="3970"/>
    <n v="18.100000000000001"/>
    <n v="26011.439999999999"/>
    <s v="Completed"/>
    <x v="2"/>
    <s v="Electronics"/>
    <s v="Retail"/>
    <n v="35"/>
    <s v="North"/>
    <s v="R008"/>
    <n v="861553.33"/>
    <s v="North"/>
    <s v="Electronics"/>
    <n v="2865"/>
  </r>
  <r>
    <s v="ORD-00215"/>
    <d v="2024-08-30T00:00:00"/>
    <s v="CUST-0159"/>
    <s v="PROD-022"/>
    <s v="R026"/>
    <n v="8"/>
    <n v="2270"/>
    <n v="19.600000000000001"/>
    <n v="14600.64"/>
    <s v="Completed"/>
    <x v="5"/>
    <s v="Grocery"/>
    <s v="Retail"/>
    <n v="32"/>
    <s v="West"/>
    <s v="R026"/>
    <n v="576305.08000000019"/>
    <s v="West"/>
    <s v="Grocery"/>
    <n v="1412"/>
  </r>
  <r>
    <s v="ORD-00216"/>
    <d v="2024-12-13T00:00:00"/>
    <s v="CUST-0175"/>
    <s v="PROD-027"/>
    <s v="R013"/>
    <n v="1"/>
    <n v="3780"/>
    <n v="22.6"/>
    <n v="2925.72"/>
    <s v="Completed"/>
    <x v="2"/>
    <s v="Grocery"/>
    <s v="Corporate"/>
    <n v="55"/>
    <s v="South"/>
    <s v="R013"/>
    <n v="811524.37999999989"/>
    <s v="South"/>
    <s v="Grocery"/>
    <n v="2436"/>
  </r>
  <r>
    <s v="ORD-00217"/>
    <d v="2024-12-27T00:00:00"/>
    <s v="CUST-0079"/>
    <s v="PROD-026"/>
    <s v="R022"/>
    <n v="9"/>
    <n v="4070"/>
    <n v="28.2"/>
    <n v="26300.34"/>
    <s v="Completed"/>
    <x v="3"/>
    <s v="Grocery"/>
    <s v="Corporate"/>
    <n v="60"/>
    <s v="East"/>
    <s v="R022"/>
    <n v="1069570.5400000003"/>
    <s v="East"/>
    <s v="Grocery"/>
    <n v="2027"/>
  </r>
  <r>
    <s v="ORD-00218"/>
    <d v="2024-05-12T00:00:00"/>
    <s v="CUST-0173"/>
    <s v="PROD-008"/>
    <s v="R006"/>
    <n v="9"/>
    <n v="2660"/>
    <n v="13.1"/>
    <n v="20803.86"/>
    <s v="Pending"/>
    <x v="3"/>
    <s v="Electronics"/>
    <s v="Retail"/>
    <n v="65"/>
    <s v="North"/>
    <s v="R006"/>
    <n v="1138648.73"/>
    <s v="North"/>
    <s v="Electronics"/>
    <n v="1259"/>
  </r>
  <r>
    <s v="ORD-00219"/>
    <d v="2024-04-18T00:00:00"/>
    <s v="CUST-0050"/>
    <s v="PROD-003"/>
    <s v="R004"/>
    <n v="4"/>
    <n v="3570"/>
    <n v="1.5"/>
    <n v="14065.8"/>
    <s v="Cancelled"/>
    <x v="3"/>
    <s v="Electronics"/>
    <s v="Retail"/>
    <n v="37"/>
    <s v="North"/>
    <s v="R004"/>
    <n v="589026.2899999998"/>
    <s v="North"/>
    <s v="Electronics"/>
    <n v="1665"/>
  </r>
  <r>
    <s v="ORD-00220"/>
    <d v="2024-08-27T00:00:00"/>
    <s v="CUST-0097"/>
    <s v="PROD-049"/>
    <s v="R001"/>
    <n v="2"/>
    <n v="960"/>
    <n v="18.600000000000001"/>
    <n v="1562.88"/>
    <s v="Completed"/>
    <x v="3"/>
    <s v="Beauty"/>
    <s v="Retail"/>
    <n v="65"/>
    <s v="North"/>
    <s v="R001"/>
    <n v="789849.60000000009"/>
    <s v="North"/>
    <s v="Beauty"/>
    <n v="675"/>
  </r>
  <r>
    <s v="ORD-00221"/>
    <d v="2024-09-11T00:00:00"/>
    <s v="CUST-0026"/>
    <s v="PROD-047"/>
    <s v="R018"/>
    <n v="2"/>
    <n v="3450"/>
    <n v="3.7"/>
    <n v="6644.7"/>
    <s v="Completed"/>
    <x v="0"/>
    <s v="Beauty"/>
    <s v="Retail"/>
    <n v="62"/>
    <s v="East"/>
    <s v="R018"/>
    <n v="1112289.6400000001"/>
    <s v="East"/>
    <s v="Beauty"/>
    <n v="2420"/>
  </r>
  <r>
    <s v="ORD-00222"/>
    <d v="2024-11-12T00:00:00"/>
    <s v="CUST-0185"/>
    <s v="PROD-048"/>
    <s v="R007"/>
    <n v="6"/>
    <n v="5100"/>
    <n v="1.2"/>
    <n v="30232.799999999999"/>
    <s v="Completed"/>
    <x v="5"/>
    <s v="Beauty"/>
    <s v="SMB"/>
    <n v="43"/>
    <s v="North"/>
    <s v="R007"/>
    <n v="855749.67999999982"/>
    <s v="North"/>
    <s v="Beauty"/>
    <n v="2237"/>
  </r>
  <r>
    <s v="ORD-00223"/>
    <d v="2024-11-18T00:00:00"/>
    <s v="CUST-0135"/>
    <s v="PROD-005"/>
    <s v="R005"/>
    <n v="9"/>
    <n v="300"/>
    <n v="25.4"/>
    <n v="2014.2"/>
    <s v="Cancelled"/>
    <x v="0"/>
    <s v="Electronics"/>
    <s v="SMB"/>
    <n v="24"/>
    <s v="North"/>
    <s v="R005"/>
    <n v="782445.33"/>
    <s v="North"/>
    <s v="Electronics"/>
    <n v="128"/>
  </r>
  <r>
    <s v="ORD-00224"/>
    <d v="2024-04-23T00:00:00"/>
    <s v="CUST-0010"/>
    <s v="PROD-046"/>
    <s v="R020"/>
    <n v="7"/>
    <n v="4880"/>
    <n v="16.899999999999999"/>
    <n v="28386.959999999999"/>
    <s v="Pending"/>
    <x v="3"/>
    <s v="Beauty"/>
    <s v="SMB"/>
    <n v="61"/>
    <s v="East"/>
    <s v="R020"/>
    <n v="906107.71000000008"/>
    <s v="East"/>
    <s v="Beauty"/>
    <n v="2768"/>
  </r>
  <r>
    <s v="ORD-00225"/>
    <d v="2024-07-31T00:00:00"/>
    <s v="CUST-0271"/>
    <s v="PROD-036"/>
    <s v="R023"/>
    <n v="9"/>
    <n v="3250"/>
    <n v="10.8"/>
    <n v="26091"/>
    <s v="Cancelled"/>
    <x v="4"/>
    <s v="Home"/>
    <s v="Corporate"/>
    <n v="41"/>
    <s v="East"/>
    <s v="R023"/>
    <n v="983787.4800000001"/>
    <s v="East"/>
    <s v="Home"/>
    <n v="1556"/>
  </r>
  <r>
    <s v="ORD-00226"/>
    <d v="2024-01-07T00:00:00"/>
    <s v="CUST-0172"/>
    <s v="PROD-047"/>
    <s v="R006"/>
    <n v="3"/>
    <n v="3450"/>
    <n v="5.4"/>
    <n v="9791.1"/>
    <s v="Pending"/>
    <x v="0"/>
    <s v="Beauty"/>
    <s v="Retail"/>
    <n v="65"/>
    <s v="North"/>
    <s v="R006"/>
    <n v="1138648.73"/>
    <s v="North"/>
    <s v="Beauty"/>
    <n v="2420"/>
  </r>
  <r>
    <s v="ORD-00227"/>
    <d v="2024-02-24T00:00:00"/>
    <s v="CUST-0296"/>
    <s v="PROD-050"/>
    <s v="R021"/>
    <n v="5"/>
    <n v="6080"/>
    <n v="18"/>
    <n v="24928"/>
    <s v="Completed"/>
    <x v="2"/>
    <s v="Beauty"/>
    <s v="Corporate"/>
    <n v="47"/>
    <s v="East"/>
    <s v="R021"/>
    <n v="761507.17000000027"/>
    <s v="East"/>
    <s v="Beauty"/>
    <n v="2617"/>
  </r>
  <r>
    <s v="ORD-00228"/>
    <d v="2024-07-14T00:00:00"/>
    <s v="CUST-0080"/>
    <s v="PROD-050"/>
    <s v="R022"/>
    <n v="7"/>
    <n v="6080"/>
    <n v="9.1999999999999993"/>
    <n v="38644.480000000003"/>
    <s v="Completed"/>
    <x v="0"/>
    <s v="Beauty"/>
    <s v="SMB"/>
    <n v="30"/>
    <s v="East"/>
    <s v="R022"/>
    <n v="1069570.5400000003"/>
    <s v="East"/>
    <s v="Beauty"/>
    <n v="2617"/>
  </r>
  <r>
    <s v="ORD-00229"/>
    <d v="2024-10-20T00:00:00"/>
    <s v="CUST-0232"/>
    <s v="PROD-024"/>
    <s v="R014"/>
    <n v="5"/>
    <n v="2270"/>
    <n v="0.4"/>
    <n v="11304.6"/>
    <s v="Cancelled"/>
    <x v="5"/>
    <s v="Grocery"/>
    <s v="Retail"/>
    <n v="38"/>
    <s v="South"/>
    <s v="R014"/>
    <n v="995713.54000000015"/>
    <s v="South"/>
    <s v="Grocery"/>
    <n v="1203"/>
  </r>
  <r>
    <s v="ORD-00230"/>
    <d v="2024-03-22T00:00:00"/>
    <s v="CUST-0070"/>
    <s v="PROD-046"/>
    <s v="R016"/>
    <n v="10"/>
    <n v="4880"/>
    <n v="24.5"/>
    <n v="36844"/>
    <s v="Refunded"/>
    <x v="3"/>
    <s v="Beauty"/>
    <s v="Retail"/>
    <n v="42"/>
    <s v="South"/>
    <s v="R016"/>
    <n v="814563.7100000002"/>
    <s v="South"/>
    <s v="Beauty"/>
    <n v="2768"/>
  </r>
  <r>
    <s v="ORD-00231"/>
    <d v="2024-01-02T00:00:00"/>
    <s v="CUST-0142"/>
    <s v="PROD-023"/>
    <s v="R002"/>
    <n v="2"/>
    <n v="2380"/>
    <n v="2.2999999999999998"/>
    <n v="4650.5200000000004"/>
    <s v="Completed"/>
    <x v="1"/>
    <s v="Grocery"/>
    <s v="Corporate"/>
    <n v="55"/>
    <s v="North"/>
    <s v="R002"/>
    <n v="980063.65999999968"/>
    <s v="North"/>
    <s v="Grocery"/>
    <n v="1182"/>
  </r>
  <r>
    <s v="ORD-00232"/>
    <d v="2024-07-25T00:00:00"/>
    <s v="CUST-0161"/>
    <s v="PROD-054"/>
    <s v="R025"/>
    <n v="1"/>
    <n v="1010"/>
    <n v="29.9"/>
    <n v="708.01"/>
    <s v="Completed"/>
    <x v="1"/>
    <s v="Sports"/>
    <s v="Retail"/>
    <n v="38"/>
    <s v="West"/>
    <s v="R025"/>
    <n v="901298.89"/>
    <s v="West"/>
    <s v="Sports"/>
    <n v="516"/>
  </r>
  <r>
    <s v="ORD-00233"/>
    <d v="2024-12-17T00:00:00"/>
    <s v="CUST-0020"/>
    <s v="PROD-056"/>
    <s v="R029"/>
    <n v="7"/>
    <n v="6940"/>
    <n v="25.8"/>
    <n v="36046.36"/>
    <s v="Completed"/>
    <x v="5"/>
    <s v="Sports"/>
    <s v="Retail"/>
    <n v="46"/>
    <s v="West"/>
    <s v="R029"/>
    <n v="1016696.8000000002"/>
    <s v="West"/>
    <s v="Sports"/>
    <n v="2827"/>
  </r>
  <r>
    <s v="ORD-00234"/>
    <d v="2024-09-07T00:00:00"/>
    <s v="CUST-0173"/>
    <s v="PROD-042"/>
    <s v="R024"/>
    <n v="6"/>
    <n v="2290"/>
    <n v="25.9"/>
    <n v="10181.34"/>
    <s v="Pending"/>
    <x v="3"/>
    <s v="Beauty"/>
    <s v="Retail"/>
    <n v="65"/>
    <s v="West"/>
    <s v="R024"/>
    <n v="819558.58"/>
    <s v="West"/>
    <s v="Beauty"/>
    <n v="1219"/>
  </r>
  <r>
    <s v="ORD-00235"/>
    <d v="2024-08-04T00:00:00"/>
    <s v="CUST-0280"/>
    <s v="PROD-032"/>
    <s v="R014"/>
    <n v="2"/>
    <n v="370"/>
    <n v="3.9"/>
    <n v="711.14"/>
    <s v="Completed"/>
    <x v="2"/>
    <s v="Home"/>
    <s v="SMB"/>
    <n v="27"/>
    <s v="South"/>
    <s v="R014"/>
    <n v="995713.54000000015"/>
    <s v="South"/>
    <s v="Home"/>
    <n v="288"/>
  </r>
  <r>
    <s v="ORD-00236"/>
    <d v="2024-03-02T00:00:00"/>
    <s v="CUST-0073"/>
    <s v="PROD-022"/>
    <s v="R020"/>
    <n v="1"/>
    <n v="2270"/>
    <n v="25.3"/>
    <n v="1695.69"/>
    <s v="Completed"/>
    <x v="0"/>
    <s v="Grocery"/>
    <s v="Corporate"/>
    <n v="40"/>
    <s v="East"/>
    <s v="R020"/>
    <n v="906107.71000000008"/>
    <s v="East"/>
    <s v="Grocery"/>
    <n v="1412"/>
  </r>
  <r>
    <s v="ORD-00237"/>
    <d v="2024-02-22T00:00:00"/>
    <s v="CUST-0242"/>
    <s v="PROD-050"/>
    <s v="R002"/>
    <n v="4"/>
    <n v="6080"/>
    <n v="28.8"/>
    <n v="17315.84"/>
    <s v="Pending"/>
    <x v="1"/>
    <s v="Beauty"/>
    <s v="SMB"/>
    <n v="59"/>
    <s v="North"/>
    <s v="R002"/>
    <n v="980063.65999999968"/>
    <s v="North"/>
    <s v="Beauty"/>
    <n v="2617"/>
  </r>
  <r>
    <s v="ORD-00238"/>
    <d v="2024-04-07T00:00:00"/>
    <s v="CUST-0234"/>
    <s v="PROD-001"/>
    <s v="R018"/>
    <n v="2"/>
    <n v="5330"/>
    <n v="23.8"/>
    <n v="8122.92"/>
    <s v="Pending"/>
    <x v="4"/>
    <s v="Electronics"/>
    <s v="Retail"/>
    <n v="34"/>
    <s v="East"/>
    <s v="R018"/>
    <n v="1112289.6400000001"/>
    <s v="East"/>
    <s v="Electronics"/>
    <n v="2405"/>
  </r>
  <r>
    <s v="ORD-00239"/>
    <d v="2024-02-22T00:00:00"/>
    <s v="CUST-0085"/>
    <s v="PROD-026"/>
    <s v="R024"/>
    <n v="2"/>
    <n v="4070"/>
    <n v="4.3"/>
    <n v="7789.98"/>
    <s v="Completed"/>
    <x v="1"/>
    <s v="Grocery"/>
    <s v="Retail"/>
    <n v="26"/>
    <s v="West"/>
    <s v="R024"/>
    <n v="819558.58"/>
    <s v="West"/>
    <s v="Grocery"/>
    <n v="2027"/>
  </r>
  <r>
    <s v="ORD-00240"/>
    <d v="2024-07-07T00:00:00"/>
    <s v="CUST-0228"/>
    <s v="PROD-005"/>
    <s v="R004"/>
    <n v="6"/>
    <n v="300"/>
    <n v="17.399999999999999"/>
    <n v="1486.8"/>
    <s v="Cancelled"/>
    <x v="0"/>
    <s v="Electronics"/>
    <s v="Corporate"/>
    <n v="37"/>
    <s v="North"/>
    <s v="R004"/>
    <n v="589026.2899999998"/>
    <s v="North"/>
    <s v="Electronics"/>
    <n v="128"/>
  </r>
  <r>
    <s v="ORD-00241"/>
    <d v="2024-07-15T00:00:00"/>
    <s v="CUST-0147"/>
    <s v="PROD-046"/>
    <s v="R014"/>
    <n v="1"/>
    <n v="4880"/>
    <n v="17.5"/>
    <n v="4026"/>
    <s v="Completed"/>
    <x v="0"/>
    <s v="Beauty"/>
    <s v="Retail"/>
    <n v="56"/>
    <s v="South"/>
    <s v="R014"/>
    <n v="995713.54000000015"/>
    <s v="South"/>
    <s v="Beauty"/>
    <n v="2768"/>
  </r>
  <r>
    <s v="ORD-00242"/>
    <d v="2024-02-04T00:00:00"/>
    <s v="CUST-0171"/>
    <s v="PROD-055"/>
    <s v="R027"/>
    <n v="3"/>
    <n v="2860"/>
    <n v="20.100000000000001"/>
    <n v="6855.42"/>
    <s v="Completed"/>
    <x v="1"/>
    <s v="Sports"/>
    <s v="Corporate"/>
    <n v="30"/>
    <s v="West"/>
    <s v="R027"/>
    <n v="917092.61999999965"/>
    <s v="West"/>
    <s v="Sports"/>
    <n v="2028"/>
  </r>
  <r>
    <s v="ORD-00243"/>
    <d v="2024-12-01T00:00:00"/>
    <s v="CUST-0051"/>
    <s v="PROD-041"/>
    <s v="R002"/>
    <n v="3"/>
    <n v="1540"/>
    <n v="20.9"/>
    <n v="3654.42"/>
    <s v="Completed"/>
    <x v="0"/>
    <s v="Beauty"/>
    <s v="SMB"/>
    <n v="54"/>
    <s v="North"/>
    <s v="R002"/>
    <n v="980063.65999999968"/>
    <s v="North"/>
    <s v="Beauty"/>
    <n v="647"/>
  </r>
  <r>
    <s v="ORD-00244"/>
    <d v="2024-10-11T00:00:00"/>
    <s v="CUST-0285"/>
    <s v="PROD-010"/>
    <s v="R010"/>
    <n v="10"/>
    <n v="2640"/>
    <n v="11.2"/>
    <n v="23443.200000000001"/>
    <s v="Pending"/>
    <x v="5"/>
    <s v="Electronics"/>
    <s v="Retail"/>
    <n v="22"/>
    <s v="South"/>
    <s v="R010"/>
    <n v="880345.20000000007"/>
    <s v="South"/>
    <s v="Electronics"/>
    <n v="1149"/>
  </r>
  <r>
    <s v="ORD-00245"/>
    <d v="2024-01-26T00:00:00"/>
    <s v="CUST-0114"/>
    <s v="PROD-012"/>
    <s v="R013"/>
    <n v="1"/>
    <n v="3160"/>
    <n v="11.5"/>
    <n v="2796.6"/>
    <s v="Completed"/>
    <x v="4"/>
    <s v="Apparel"/>
    <s v="Corporate"/>
    <n v="42"/>
    <s v="South"/>
    <s v="R013"/>
    <n v="811524.37999999989"/>
    <s v="South"/>
    <s v="Apparel"/>
    <n v="1886"/>
  </r>
  <r>
    <s v="ORD-00246"/>
    <d v="2024-12-24T00:00:00"/>
    <s v="CUST-0295"/>
    <s v="PROD-040"/>
    <s v="R007"/>
    <n v="4"/>
    <n v="1080"/>
    <n v="20.7"/>
    <n v="3425.76"/>
    <s v="Pending"/>
    <x v="2"/>
    <s v="Home"/>
    <s v="SMB"/>
    <n v="48"/>
    <s v="North"/>
    <s v="R007"/>
    <n v="855749.67999999982"/>
    <s v="North"/>
    <s v="Home"/>
    <n v="519"/>
  </r>
  <r>
    <s v="ORD-00247"/>
    <d v="2024-10-20T00:00:00"/>
    <s v="CUST-0218"/>
    <s v="PROD-054"/>
    <s v="R013"/>
    <n v="4"/>
    <n v="1010"/>
    <n v="29.5"/>
    <n v="2848.2"/>
    <s v="Pending"/>
    <x v="3"/>
    <s v="Sports"/>
    <s v="Retail"/>
    <n v="39"/>
    <s v="South"/>
    <s v="R013"/>
    <n v="811524.37999999989"/>
    <s v="South"/>
    <s v="Sports"/>
    <n v="516"/>
  </r>
  <r>
    <s v="ORD-00248"/>
    <d v="2024-09-10T00:00:00"/>
    <s v="CUST-0090"/>
    <s v="PROD-002"/>
    <s v="R027"/>
    <n v="7"/>
    <n v="2600"/>
    <n v="6.6"/>
    <n v="16998.8"/>
    <s v="Completed"/>
    <x v="4"/>
    <s v="Electronics"/>
    <s v="Corporate"/>
    <n v="26"/>
    <s v="West"/>
    <s v="R027"/>
    <n v="917092.61999999965"/>
    <s v="West"/>
    <s v="Electronics"/>
    <n v="1052"/>
  </r>
  <r>
    <s v="ORD-00249"/>
    <d v="2024-04-13T00:00:00"/>
    <s v="CUST-0194"/>
    <s v="PROD-017"/>
    <s v="R009"/>
    <n v="4"/>
    <n v="2510"/>
    <n v="1"/>
    <n v="9939.6"/>
    <s v="Completed"/>
    <x v="2"/>
    <s v="Apparel"/>
    <s v="SMB"/>
    <n v="55"/>
    <s v="South"/>
    <s v="R009"/>
    <n v="914554.71999999986"/>
    <s v="South"/>
    <s v="Apparel"/>
    <n v="1075"/>
  </r>
  <r>
    <s v="ORD-00250"/>
    <d v="2024-12-10T00:00:00"/>
    <s v="CUST-0231"/>
    <s v="PROD-026"/>
    <s v="R022"/>
    <n v="9"/>
    <n v="4070"/>
    <n v="6.7"/>
    <n v="34175.79"/>
    <s v="Cancelled"/>
    <x v="1"/>
    <s v="Grocery"/>
    <s v="Retail"/>
    <n v="61"/>
    <s v="East"/>
    <s v="R022"/>
    <n v="1069570.5400000003"/>
    <s v="East"/>
    <s v="Grocery"/>
    <n v="2027"/>
  </r>
  <r>
    <s v="ORD-00251"/>
    <d v="2024-11-16T00:00:00"/>
    <s v="CUST-0055"/>
    <s v="PROD-020"/>
    <s v="R010"/>
    <n v="6"/>
    <n v="820"/>
    <n v="14"/>
    <n v="4231.2"/>
    <s v="Completed"/>
    <x v="4"/>
    <s v="Apparel"/>
    <s v="Retail"/>
    <n v="34"/>
    <s v="South"/>
    <s v="R010"/>
    <n v="880345.20000000007"/>
    <s v="South"/>
    <s v="Apparel"/>
    <n v="391"/>
  </r>
  <r>
    <s v="ORD-00252"/>
    <d v="2024-07-22T00:00:00"/>
    <s v="CUST-0262"/>
    <s v="PROD-030"/>
    <s v="R005"/>
    <n v="2"/>
    <n v="970"/>
    <n v="23.8"/>
    <n v="1478.28"/>
    <s v="Completed"/>
    <x v="3"/>
    <s v="Grocery"/>
    <s v="Retail"/>
    <n v="52"/>
    <s v="North"/>
    <s v="R005"/>
    <n v="782445.33"/>
    <s v="North"/>
    <s v="Grocery"/>
    <n v="434"/>
  </r>
  <r>
    <s v="ORD-00253"/>
    <d v="2024-02-15T00:00:00"/>
    <s v="CUST-0155"/>
    <s v="PROD-026"/>
    <s v="R012"/>
    <n v="4"/>
    <n v="4070"/>
    <n v="19"/>
    <n v="13186.8"/>
    <s v="Pending"/>
    <x v="0"/>
    <s v="Grocery"/>
    <s v="Corporate"/>
    <n v="40"/>
    <s v="South"/>
    <s v="R012"/>
    <n v="901394.32000000007"/>
    <s v="South"/>
    <s v="Grocery"/>
    <n v="2027"/>
  </r>
  <r>
    <s v="ORD-00254"/>
    <d v="2024-02-11T00:00:00"/>
    <s v="CUST-0169"/>
    <s v="PROD-047"/>
    <s v="R017"/>
    <n v="3"/>
    <n v="3450"/>
    <n v="4.4000000000000004"/>
    <n v="9894.6"/>
    <s v="Cancelled"/>
    <x v="4"/>
    <s v="Beauty"/>
    <s v="SMB"/>
    <n v="42"/>
    <s v="East"/>
    <s v="R017"/>
    <n v="780384.40999999992"/>
    <s v="East"/>
    <s v="Beauty"/>
    <n v="2420"/>
  </r>
  <r>
    <s v="ORD-00255"/>
    <d v="2024-08-07T00:00:00"/>
    <s v="CUST-0208"/>
    <s v="PROD-027"/>
    <s v="R010"/>
    <n v="5"/>
    <n v="3780"/>
    <n v="13.5"/>
    <n v="16348.5"/>
    <s v="Completed"/>
    <x v="3"/>
    <s v="Grocery"/>
    <s v="Retail"/>
    <n v="49"/>
    <s v="South"/>
    <s v="R010"/>
    <n v="880345.20000000007"/>
    <s v="South"/>
    <s v="Grocery"/>
    <n v="2436"/>
  </r>
  <r>
    <s v="ORD-00256"/>
    <d v="2024-10-30T00:00:00"/>
    <s v="CUST-0249"/>
    <s v="PROD-057"/>
    <s v="R004"/>
    <n v="1"/>
    <n v="960"/>
    <n v="29.2"/>
    <n v="679.68"/>
    <s v="Completed"/>
    <x v="3"/>
    <s v="Sports"/>
    <s v="Retail"/>
    <n v="44"/>
    <s v="North"/>
    <s v="R004"/>
    <n v="589026.2899999998"/>
    <s v="North"/>
    <s v="Sports"/>
    <n v="705"/>
  </r>
  <r>
    <s v="ORD-00257"/>
    <d v="2024-01-30T00:00:00"/>
    <s v="CUST-0151"/>
    <s v="PROD-003"/>
    <s v="R022"/>
    <n v="10"/>
    <n v="3570"/>
    <n v="10.7"/>
    <n v="31880.1"/>
    <s v="Completed"/>
    <x v="3"/>
    <s v="Electronics"/>
    <s v="Retail"/>
    <n v="53"/>
    <s v="East"/>
    <s v="R022"/>
    <n v="1069570.5400000003"/>
    <s v="East"/>
    <s v="Electronics"/>
    <n v="1665"/>
  </r>
  <r>
    <s v="ORD-00258"/>
    <d v="2024-08-07T00:00:00"/>
    <s v="CUST-0115"/>
    <s v="PROD-003"/>
    <s v="R024"/>
    <n v="7"/>
    <n v="3570"/>
    <n v="12.2"/>
    <n v="21941.22"/>
    <s v="Completed"/>
    <x v="3"/>
    <s v="Electronics"/>
    <s v="SMB"/>
    <n v="65"/>
    <s v="West"/>
    <s v="R024"/>
    <n v="819558.58"/>
    <s v="West"/>
    <s v="Electronics"/>
    <n v="1665"/>
  </r>
  <r>
    <s v="ORD-00259"/>
    <d v="2024-10-10T00:00:00"/>
    <s v="CUST-0041"/>
    <s v="PROD-040"/>
    <s v="R014"/>
    <n v="6"/>
    <n v="1080"/>
    <n v="19.8"/>
    <n v="5196.96"/>
    <s v="Completed"/>
    <x v="4"/>
    <s v="Home"/>
    <s v="SMB"/>
    <n v="26"/>
    <s v="South"/>
    <s v="R014"/>
    <n v="995713.54000000015"/>
    <s v="South"/>
    <s v="Home"/>
    <n v="519"/>
  </r>
  <r>
    <s v="ORD-00260"/>
    <d v="2024-12-23T00:00:00"/>
    <s v="CUST-0101"/>
    <s v="PROD-011"/>
    <s v="R010"/>
    <n v="8"/>
    <n v="3450"/>
    <n v="19"/>
    <n v="22356"/>
    <s v="Completed"/>
    <x v="5"/>
    <s v="Apparel"/>
    <s v="SMB"/>
    <n v="40"/>
    <s v="South"/>
    <s v="R010"/>
    <n v="880345.20000000007"/>
    <s v="South"/>
    <s v="Apparel"/>
    <n v="1748"/>
  </r>
  <r>
    <s v="ORD-00261"/>
    <d v="2024-03-20T00:00:00"/>
    <s v="CUST-0198"/>
    <s v="PROD-008"/>
    <s v="R023"/>
    <n v="4"/>
    <n v="2660"/>
    <n v="18.8"/>
    <n v="8639.68"/>
    <s v="Pending"/>
    <x v="1"/>
    <s v="Electronics"/>
    <s v="Corporate"/>
    <n v="22"/>
    <s v="East"/>
    <s v="R023"/>
    <n v="983787.4800000001"/>
    <s v="East"/>
    <s v="Electronics"/>
    <n v="1259"/>
  </r>
  <r>
    <s v="ORD-00262"/>
    <d v="2024-08-18T00:00:00"/>
    <s v="CUST-0200"/>
    <s v="PROD-058"/>
    <s v="R009"/>
    <n v="4"/>
    <n v="2400"/>
    <n v="5.6"/>
    <n v="9062.4"/>
    <s v="Completed"/>
    <x v="5"/>
    <s v="Sports"/>
    <s v="Corporate"/>
    <n v="46"/>
    <s v="South"/>
    <s v="R009"/>
    <n v="914554.71999999986"/>
    <s v="South"/>
    <s v="Sports"/>
    <n v="974"/>
  </r>
  <r>
    <s v="ORD-00263"/>
    <d v="2024-08-09T00:00:00"/>
    <s v="CUST-0110"/>
    <s v="PROD-002"/>
    <s v="R003"/>
    <n v="10"/>
    <n v="2600"/>
    <n v="24.7"/>
    <n v="19578"/>
    <s v="Completed"/>
    <x v="0"/>
    <s v="Electronics"/>
    <s v="Corporate"/>
    <n v="31"/>
    <s v="North"/>
    <s v="R003"/>
    <n v="986692.91"/>
    <s v="North"/>
    <s v="Electronics"/>
    <n v="1052"/>
  </r>
  <r>
    <s v="ORD-00264"/>
    <d v="2024-08-09T00:00:00"/>
    <s v="CUST-0134"/>
    <s v="PROD-025"/>
    <s v="R004"/>
    <n v="3"/>
    <n v="4060"/>
    <n v="6.9"/>
    <n v="11339.58"/>
    <s v="Completed"/>
    <x v="2"/>
    <s v="Grocery"/>
    <s v="Retail"/>
    <n v="40"/>
    <s v="North"/>
    <s v="R004"/>
    <n v="589026.2899999998"/>
    <s v="North"/>
    <s v="Grocery"/>
    <n v="2911"/>
  </r>
  <r>
    <s v="ORD-00265"/>
    <d v="2024-06-22T00:00:00"/>
    <s v="CUST-0141"/>
    <s v="PROD-038"/>
    <s v="R023"/>
    <n v="6"/>
    <n v="5490"/>
    <n v="8.4"/>
    <n v="30173.040000000001"/>
    <s v="Completed"/>
    <x v="5"/>
    <s v="Home"/>
    <s v="Corporate"/>
    <n v="22"/>
    <s v="East"/>
    <s v="R023"/>
    <n v="983787.4800000001"/>
    <s v="East"/>
    <s v="Home"/>
    <n v="2549"/>
  </r>
  <r>
    <s v="ORD-00266"/>
    <d v="2024-04-25T00:00:00"/>
    <s v="CUST-0163"/>
    <s v="PROD-032"/>
    <s v="R018"/>
    <n v="6"/>
    <n v="370"/>
    <n v="15.1"/>
    <n v="1884.78"/>
    <s v="Completed"/>
    <x v="0"/>
    <s v="Home"/>
    <s v="Retail"/>
    <n v="49"/>
    <s v="East"/>
    <s v="R018"/>
    <n v="1112289.6400000001"/>
    <s v="East"/>
    <s v="Home"/>
    <n v="288"/>
  </r>
  <r>
    <s v="ORD-00267"/>
    <d v="2024-04-23T00:00:00"/>
    <s v="CUST-0181"/>
    <s v="PROD-016"/>
    <s v="R023"/>
    <n v="5"/>
    <n v="620"/>
    <n v="13.1"/>
    <n v="2693.9"/>
    <s v="Cancelled"/>
    <x v="2"/>
    <s v="Apparel"/>
    <s v="SMB"/>
    <n v="38"/>
    <s v="East"/>
    <s v="R023"/>
    <n v="983787.4800000001"/>
    <s v="East"/>
    <s v="Apparel"/>
    <n v="396"/>
  </r>
  <r>
    <s v="ORD-00268"/>
    <d v="2024-02-10T00:00:00"/>
    <s v="CUST-0133"/>
    <s v="PROD-036"/>
    <s v="R029"/>
    <n v="9"/>
    <n v="3250"/>
    <n v="16.5"/>
    <n v="24423.75"/>
    <s v="Completed"/>
    <x v="1"/>
    <s v="Home"/>
    <s v="Retail"/>
    <n v="26"/>
    <s v="West"/>
    <s v="R029"/>
    <n v="1016696.8000000002"/>
    <s v="West"/>
    <s v="Home"/>
    <n v="1556"/>
  </r>
  <r>
    <s v="ORD-00269"/>
    <d v="2024-01-08T00:00:00"/>
    <s v="CUST-0095"/>
    <s v="PROD-050"/>
    <s v="R011"/>
    <n v="1"/>
    <n v="6080"/>
    <n v="0.1"/>
    <n v="6073.92"/>
    <s v="Completed"/>
    <x v="3"/>
    <s v="Beauty"/>
    <s v="SMB"/>
    <n v="54"/>
    <s v="South"/>
    <s v="R011"/>
    <n v="735207.75999999989"/>
    <s v="South"/>
    <s v="Beauty"/>
    <n v="2617"/>
  </r>
  <r>
    <s v="ORD-00270"/>
    <d v="2024-04-04T00:00:00"/>
    <s v="CUST-0171"/>
    <s v="PROD-013"/>
    <s v="R014"/>
    <n v="8"/>
    <n v="3640"/>
    <n v="13.5"/>
    <n v="25188.799999999999"/>
    <s v="Completed"/>
    <x v="1"/>
    <s v="Apparel"/>
    <s v="Corporate"/>
    <n v="30"/>
    <s v="South"/>
    <s v="R014"/>
    <n v="995713.54000000015"/>
    <s v="South"/>
    <s v="Apparel"/>
    <n v="2611"/>
  </r>
  <r>
    <s v="ORD-00271"/>
    <d v="2024-06-29T00:00:00"/>
    <s v="CUST-0238"/>
    <s v="PROD-012"/>
    <s v="R005"/>
    <n v="9"/>
    <n v="3160"/>
    <n v="29.7"/>
    <n v="19993.32"/>
    <s v="Completed"/>
    <x v="2"/>
    <s v="Apparel"/>
    <s v="Retail"/>
    <n v="49"/>
    <s v="North"/>
    <s v="R005"/>
    <n v="782445.33"/>
    <s v="North"/>
    <s v="Apparel"/>
    <n v="1886"/>
  </r>
  <r>
    <s v="ORD-00272"/>
    <d v="2024-05-16T00:00:00"/>
    <s v="CUST-0185"/>
    <s v="PROD-004"/>
    <s v="R007"/>
    <n v="2"/>
    <n v="3870"/>
    <n v="18.100000000000001"/>
    <n v="6339.06"/>
    <s v="Cancelled"/>
    <x v="5"/>
    <s v="Electronics"/>
    <s v="SMB"/>
    <n v="43"/>
    <s v="North"/>
    <s v="R007"/>
    <n v="855749.67999999982"/>
    <s v="North"/>
    <s v="Electronics"/>
    <n v="1559"/>
  </r>
  <r>
    <s v="ORD-00273"/>
    <d v="2024-05-18T00:00:00"/>
    <s v="CUST-0167"/>
    <s v="PROD-037"/>
    <s v="R030"/>
    <n v="3"/>
    <n v="660"/>
    <n v="9.1999999999999993"/>
    <n v="1797.84"/>
    <s v="Completed"/>
    <x v="2"/>
    <s v="Home"/>
    <s v="Retail"/>
    <n v="43"/>
    <s v="West"/>
    <s v="R030"/>
    <n v="747624.36999999988"/>
    <s v="West"/>
    <s v="Home"/>
    <n v="329"/>
  </r>
  <r>
    <s v="ORD-00274"/>
    <d v="2024-05-06T00:00:00"/>
    <s v="CUST-0224"/>
    <s v="PROD-025"/>
    <s v="R013"/>
    <n v="4"/>
    <n v="4060"/>
    <n v="28"/>
    <n v="11692.8"/>
    <s v="Completed"/>
    <x v="1"/>
    <s v="Grocery"/>
    <s v="Corporate"/>
    <n v="24"/>
    <s v="South"/>
    <s v="R013"/>
    <n v="811524.37999999989"/>
    <s v="South"/>
    <s v="Grocery"/>
    <n v="2911"/>
  </r>
  <r>
    <s v="ORD-00275"/>
    <d v="2024-03-09T00:00:00"/>
    <s v="CUST-0181"/>
    <s v="PROD-034"/>
    <s v="R016"/>
    <n v="2"/>
    <n v="5080"/>
    <n v="7.7"/>
    <n v="9377.68"/>
    <s v="Refunded"/>
    <x v="2"/>
    <s v="Home"/>
    <s v="SMB"/>
    <n v="38"/>
    <s v="South"/>
    <s v="R016"/>
    <n v="814563.7100000002"/>
    <s v="South"/>
    <s v="Home"/>
    <n v="2459"/>
  </r>
  <r>
    <s v="ORD-00276"/>
    <d v="2024-01-05T00:00:00"/>
    <s v="CUST-0020"/>
    <s v="PROD-003"/>
    <s v="R005"/>
    <n v="3"/>
    <n v="3570"/>
    <n v="9.5"/>
    <n v="9692.5499999999993"/>
    <s v="Completed"/>
    <x v="5"/>
    <s v="Electronics"/>
    <s v="Retail"/>
    <n v="46"/>
    <s v="North"/>
    <s v="R005"/>
    <n v="782445.33"/>
    <s v="North"/>
    <s v="Electronics"/>
    <n v="1665"/>
  </r>
  <r>
    <s v="ORD-00277"/>
    <d v="2024-06-17T00:00:00"/>
    <s v="CUST-0183"/>
    <s v="PROD-016"/>
    <s v="R020"/>
    <n v="2"/>
    <n v="620"/>
    <n v="29.5"/>
    <n v="874.2"/>
    <s v="Completed"/>
    <x v="3"/>
    <s v="Apparel"/>
    <s v="SMB"/>
    <n v="27"/>
    <s v="East"/>
    <s v="R020"/>
    <n v="906107.71000000008"/>
    <s v="East"/>
    <s v="Apparel"/>
    <n v="396"/>
  </r>
  <r>
    <s v="ORD-00278"/>
    <d v="2024-12-12T00:00:00"/>
    <s v="CUST-0028"/>
    <s v="PROD-011"/>
    <s v="R013"/>
    <n v="3"/>
    <n v="3450"/>
    <n v="3"/>
    <n v="10039.5"/>
    <s v="Completed"/>
    <x v="4"/>
    <s v="Apparel"/>
    <s v="Retail"/>
    <n v="59"/>
    <s v="South"/>
    <s v="R013"/>
    <n v="811524.37999999989"/>
    <s v="South"/>
    <s v="Apparel"/>
    <n v="1748"/>
  </r>
  <r>
    <s v="ORD-00279"/>
    <d v="2024-04-26T00:00:00"/>
    <s v="CUST-0121"/>
    <s v="PROD-048"/>
    <s v="R006"/>
    <n v="7"/>
    <n v="5100"/>
    <n v="4.3"/>
    <n v="34164.9"/>
    <s v="Completed"/>
    <x v="2"/>
    <s v="Beauty"/>
    <s v="SMB"/>
    <n v="55"/>
    <s v="North"/>
    <s v="R006"/>
    <n v="1138648.73"/>
    <s v="North"/>
    <s v="Beauty"/>
    <n v="2237"/>
  </r>
  <r>
    <s v="ORD-00280"/>
    <d v="2024-09-06T00:00:00"/>
    <s v="CUST-0192"/>
    <s v="PROD-004"/>
    <s v="R003"/>
    <n v="9"/>
    <n v="3870"/>
    <n v="4.8"/>
    <n v="33158.160000000003"/>
    <s v="Completed"/>
    <x v="4"/>
    <s v="Electronics"/>
    <s v="Retail"/>
    <n v="55"/>
    <s v="North"/>
    <s v="R003"/>
    <n v="986692.91"/>
    <s v="North"/>
    <s v="Electronics"/>
    <n v="1559"/>
  </r>
  <r>
    <s v="ORD-00281"/>
    <d v="2024-12-07T00:00:00"/>
    <s v="CUST-0155"/>
    <s v="PROD-009"/>
    <s v="R029"/>
    <n v="5"/>
    <n v="1220"/>
    <n v="4"/>
    <n v="5856"/>
    <s v="Cancelled"/>
    <x v="0"/>
    <s v="Electronics"/>
    <s v="Corporate"/>
    <n v="40"/>
    <s v="West"/>
    <s v="R029"/>
    <n v="1016696.8000000002"/>
    <s v="West"/>
    <s v="Electronics"/>
    <n v="517"/>
  </r>
  <r>
    <s v="ORD-00282"/>
    <d v="2024-02-16T00:00:00"/>
    <s v="CUST-0159"/>
    <s v="PROD-038"/>
    <s v="R023"/>
    <n v="5"/>
    <n v="5490"/>
    <n v="19.8"/>
    <n v="22014.9"/>
    <s v="Completed"/>
    <x v="5"/>
    <s v="Home"/>
    <s v="Retail"/>
    <n v="32"/>
    <s v="East"/>
    <s v="R023"/>
    <n v="983787.4800000001"/>
    <s v="East"/>
    <s v="Home"/>
    <n v="2549"/>
  </r>
  <r>
    <s v="ORD-00283"/>
    <d v="2024-08-25T00:00:00"/>
    <s v="CUST-0025"/>
    <s v="PROD-044"/>
    <s v="R001"/>
    <n v="1"/>
    <n v="1650"/>
    <n v="26.2"/>
    <n v="1217.7"/>
    <s v="Completed"/>
    <x v="4"/>
    <s v="Beauty"/>
    <s v="Retail"/>
    <n v="23"/>
    <s v="North"/>
    <s v="R001"/>
    <n v="789849.60000000009"/>
    <s v="North"/>
    <s v="Beauty"/>
    <n v="1222"/>
  </r>
  <r>
    <s v="ORD-00284"/>
    <d v="2024-06-17T00:00:00"/>
    <s v="CUST-0297"/>
    <s v="PROD-008"/>
    <s v="R003"/>
    <n v="1"/>
    <n v="2660"/>
    <n v="21"/>
    <n v="2101.4"/>
    <s v="Completed"/>
    <x v="5"/>
    <s v="Electronics"/>
    <s v="Retail"/>
    <n v="50"/>
    <s v="North"/>
    <s v="R003"/>
    <n v="986692.91"/>
    <s v="North"/>
    <s v="Electronics"/>
    <n v="1259"/>
  </r>
  <r>
    <s v="ORD-00285"/>
    <d v="2024-03-24T00:00:00"/>
    <s v="CUST-0108"/>
    <s v="PROD-029"/>
    <s v="R003"/>
    <n v="6"/>
    <n v="2210"/>
    <n v="9.8000000000000007"/>
    <n v="11960.52"/>
    <s v="Pending"/>
    <x v="4"/>
    <s v="Grocery"/>
    <s v="Corporate"/>
    <n v="59"/>
    <s v="North"/>
    <s v="R003"/>
    <n v="986692.91"/>
    <s v="North"/>
    <s v="Grocery"/>
    <n v="1010"/>
  </r>
  <r>
    <s v="ORD-00286"/>
    <d v="2024-01-19T00:00:00"/>
    <s v="CUST-0121"/>
    <s v="PROD-002"/>
    <s v="R001"/>
    <n v="9"/>
    <n v="2600"/>
    <n v="15.7"/>
    <n v="19726.2"/>
    <s v="Completed"/>
    <x v="2"/>
    <s v="Electronics"/>
    <s v="SMB"/>
    <n v="55"/>
    <s v="North"/>
    <s v="R001"/>
    <n v="789849.60000000009"/>
    <s v="North"/>
    <s v="Electronics"/>
    <n v="1052"/>
  </r>
  <r>
    <s v="ORD-00287"/>
    <d v="2024-01-23T00:00:00"/>
    <s v="CUST-0160"/>
    <s v="PROD-045"/>
    <s v="R025"/>
    <n v="3"/>
    <n v="3020"/>
    <n v="22.6"/>
    <n v="7012.44"/>
    <s v="Completed"/>
    <x v="5"/>
    <s v="Beauty"/>
    <s v="Retail"/>
    <n v="27"/>
    <s v="West"/>
    <s v="R025"/>
    <n v="901298.89"/>
    <s v="West"/>
    <s v="Beauty"/>
    <n v="1626"/>
  </r>
  <r>
    <s v="ORD-00288"/>
    <d v="2024-06-16T00:00:00"/>
    <s v="CUST-0230"/>
    <s v="PROD-032"/>
    <s v="R005"/>
    <n v="6"/>
    <n v="370"/>
    <n v="12.4"/>
    <n v="1944.72"/>
    <s v="Completed"/>
    <x v="0"/>
    <s v="Home"/>
    <s v="Corporate"/>
    <n v="33"/>
    <s v="North"/>
    <s v="R005"/>
    <n v="782445.33"/>
    <s v="North"/>
    <s v="Home"/>
    <n v="288"/>
  </r>
  <r>
    <s v="ORD-00289"/>
    <d v="2024-01-21T00:00:00"/>
    <s v="CUST-0151"/>
    <s v="PROD-001"/>
    <s v="R006"/>
    <n v="8"/>
    <n v="5330"/>
    <n v="16.2"/>
    <n v="35732.32"/>
    <s v="Completed"/>
    <x v="3"/>
    <s v="Electronics"/>
    <s v="Retail"/>
    <n v="53"/>
    <s v="North"/>
    <s v="R006"/>
    <n v="1138648.73"/>
    <s v="North"/>
    <s v="Electronics"/>
    <n v="2405"/>
  </r>
  <r>
    <s v="ORD-00290"/>
    <d v="2024-07-27T00:00:00"/>
    <s v="CUST-0222"/>
    <s v="PROD-018"/>
    <s v="R030"/>
    <n v="4"/>
    <n v="3560"/>
    <n v="10.5"/>
    <n v="12744.8"/>
    <s v="Completed"/>
    <x v="1"/>
    <s v="Apparel"/>
    <s v="Retail"/>
    <n v="37"/>
    <s v="West"/>
    <s v="R030"/>
    <n v="747624.36999999988"/>
    <s v="West"/>
    <s v="Apparel"/>
    <n v="2629"/>
  </r>
  <r>
    <s v="ORD-00291"/>
    <d v="2024-04-07T00:00:00"/>
    <s v="CUST-0055"/>
    <s v="PROD-054"/>
    <s v="R030"/>
    <n v="10"/>
    <n v="1010"/>
    <n v="10.8"/>
    <n v="9009.2000000000007"/>
    <s v="Completed"/>
    <x v="4"/>
    <s v="Sports"/>
    <s v="Retail"/>
    <n v="34"/>
    <s v="West"/>
    <s v="R030"/>
    <n v="747624.36999999988"/>
    <s v="West"/>
    <s v="Sports"/>
    <n v="516"/>
  </r>
  <r>
    <s v="ORD-00292"/>
    <d v="2024-11-23T00:00:00"/>
    <s v="CUST-0011"/>
    <s v="PROD-056"/>
    <s v="R006"/>
    <n v="8"/>
    <n v="6940"/>
    <n v="3.2"/>
    <n v="53743.360000000001"/>
    <s v="Cancelled"/>
    <x v="1"/>
    <s v="Sports"/>
    <s v="Corporate"/>
    <n v="41"/>
    <s v="North"/>
    <s v="R006"/>
    <n v="1138648.73"/>
    <s v="North"/>
    <s v="Sports"/>
    <n v="2827"/>
  </r>
  <r>
    <s v="ORD-00335"/>
    <d v="2024-11-21T00:00:00"/>
    <s v="CUST-0020"/>
    <s v="PROD-012"/>
    <s v="R015"/>
    <n v="7"/>
    <n v="3160"/>
    <n v="3.6"/>
    <n v="21323.68"/>
    <s v="Completed"/>
    <x v="5"/>
    <s v="Apparel"/>
    <s v="Retail"/>
    <n v="46"/>
    <s v="South"/>
    <s v="R015"/>
    <n v="1091740.1799999997"/>
    <s v="South"/>
    <s v="Apparel"/>
    <n v="1886"/>
  </r>
  <r>
    <s v="ORD-00294"/>
    <d v="2024-12-14T00:00:00"/>
    <s v="CUST-0163"/>
    <s v="PROD-028"/>
    <s v="R008"/>
    <n v="2"/>
    <n v="3660"/>
    <n v="30"/>
    <n v="5124"/>
    <s v="Pending"/>
    <x v="0"/>
    <s v="Grocery"/>
    <s v="Retail"/>
    <n v="49"/>
    <s v="North"/>
    <s v="R008"/>
    <n v="861553.33"/>
    <s v="North"/>
    <s v="Grocery"/>
    <n v="2214"/>
  </r>
  <r>
    <s v="ORD-00295"/>
    <d v="2024-04-19T00:00:00"/>
    <s v="CUST-0081"/>
    <s v="PROD-024"/>
    <s v="R005"/>
    <n v="1"/>
    <n v="2270"/>
    <n v="4.8"/>
    <n v="2161.04"/>
    <s v="Cancelled"/>
    <x v="3"/>
    <s v="Grocery"/>
    <s v="Retail"/>
    <n v="25"/>
    <s v="North"/>
    <s v="R005"/>
    <n v="782445.33"/>
    <s v="North"/>
    <s v="Grocery"/>
    <n v="1203"/>
  </r>
  <r>
    <s v="ORD-00296"/>
    <d v="2024-04-23T00:00:00"/>
    <s v="CUST-0053"/>
    <s v="PROD-059"/>
    <s v="R025"/>
    <n v="8"/>
    <n v="3780"/>
    <n v="13"/>
    <n v="26308.799999999999"/>
    <s v="Completed"/>
    <x v="2"/>
    <s v="Sports"/>
    <s v="Retail"/>
    <n v="53"/>
    <s v="West"/>
    <s v="R025"/>
    <n v="901298.89"/>
    <s v="West"/>
    <s v="Sports"/>
    <n v="1860"/>
  </r>
  <r>
    <s v="ORD-01770"/>
    <d v="2024-09-02T00:00:00"/>
    <s v="CUST-0115"/>
    <s v="PROD-013"/>
    <s v="R012"/>
    <n v="1"/>
    <n v="3640"/>
    <n v="15.3"/>
    <n v="3083.08"/>
    <s v="Pending"/>
    <x v="3"/>
    <s v="Apparel"/>
    <s v="SMB"/>
    <n v="65"/>
    <s v="South"/>
    <s v="R012"/>
    <n v="901394.32000000007"/>
    <s v="South"/>
    <s v="Apparel"/>
    <n v="2611"/>
  </r>
  <r>
    <s v="ORD-00298"/>
    <d v="2024-07-02T00:00:00"/>
    <s v="CUST-0166"/>
    <s v="PROD-009"/>
    <s v="R009"/>
    <n v="8"/>
    <n v="1220"/>
    <n v="28.2"/>
    <n v="7007.68"/>
    <s v="Completed"/>
    <x v="5"/>
    <s v="Electronics"/>
    <s v="Retail"/>
    <n v="31"/>
    <s v="South"/>
    <s v="R009"/>
    <n v="914554.71999999986"/>
    <s v="South"/>
    <s v="Electronics"/>
    <n v="517"/>
  </r>
  <r>
    <s v="ORD-00299"/>
    <d v="2024-11-28T00:00:00"/>
    <s v="CUST-0263"/>
    <s v="PROD-017"/>
    <s v="R030"/>
    <n v="3"/>
    <n v="2510"/>
    <n v="17.399999999999999"/>
    <n v="6219.78"/>
    <s v="Completed"/>
    <x v="3"/>
    <s v="Apparel"/>
    <s v="Retail"/>
    <n v="40"/>
    <s v="West"/>
    <s v="R030"/>
    <n v="747624.36999999988"/>
    <s v="West"/>
    <s v="Apparel"/>
    <n v="1075"/>
  </r>
  <r>
    <s v="ORD-00300"/>
    <d v="2024-12-09T00:00:00"/>
    <s v="CUST-0010"/>
    <s v="PROD-040"/>
    <s v="R004"/>
    <n v="1"/>
    <n v="1080"/>
    <n v="13.9"/>
    <n v="929.88"/>
    <s v="Completed"/>
    <x v="3"/>
    <s v="Home"/>
    <s v="SMB"/>
    <n v="61"/>
    <s v="North"/>
    <s v="R004"/>
    <n v="589026.2899999998"/>
    <s v="North"/>
    <s v="Home"/>
    <n v="519"/>
  </r>
  <r>
    <s v="ORD-00301"/>
    <d v="2024-04-13T00:00:00"/>
    <s v="CUST-0036"/>
    <s v="PROD-033"/>
    <s v="R016"/>
    <n v="7"/>
    <n v="2030"/>
    <n v="29.2"/>
    <n v="10060.68"/>
    <s v="Completed"/>
    <x v="3"/>
    <s v="Home"/>
    <s v="Retail"/>
    <n v="35"/>
    <s v="South"/>
    <s v="R016"/>
    <n v="814563.7100000002"/>
    <s v="South"/>
    <s v="Home"/>
    <n v="1143"/>
  </r>
  <r>
    <s v="ORD-00302"/>
    <d v="2024-05-03T00:00:00"/>
    <s v="CUST-0259"/>
    <s v="PROD-059"/>
    <s v="R020"/>
    <n v="6"/>
    <n v="3780"/>
    <n v="20.9"/>
    <n v="17939.88"/>
    <s v="Refunded"/>
    <x v="3"/>
    <s v="Sports"/>
    <s v="Retail"/>
    <n v="34"/>
    <s v="East"/>
    <s v="R020"/>
    <n v="906107.71000000008"/>
    <s v="East"/>
    <s v="Sports"/>
    <n v="1860"/>
  </r>
  <r>
    <s v="ORD-00303"/>
    <d v="2024-12-27T00:00:00"/>
    <s v="CUST-0247"/>
    <s v="PROD-012"/>
    <s v="R016"/>
    <n v="1"/>
    <n v="3160"/>
    <n v="10.7"/>
    <n v="2821.88"/>
    <s v="Completed"/>
    <x v="0"/>
    <s v="Apparel"/>
    <s v="SMB"/>
    <n v="35"/>
    <s v="South"/>
    <s v="R016"/>
    <n v="814563.7100000002"/>
    <s v="South"/>
    <s v="Apparel"/>
    <n v="1886"/>
  </r>
  <r>
    <s v="ORD-00881"/>
    <d v="2024-09-29T00:00:00"/>
    <s v="CUST-0191"/>
    <s v="PROD-046"/>
    <s v="R010"/>
    <n v="5"/>
    <n v="4880"/>
    <n v="11.4"/>
    <n v="21618.400000000001"/>
    <s v="Completed"/>
    <x v="5"/>
    <s v="Beauty"/>
    <s v="SMB"/>
    <n v="43"/>
    <s v="South"/>
    <s v="R010"/>
    <n v="880345.20000000007"/>
    <s v="South"/>
    <s v="Beauty"/>
    <n v="2768"/>
  </r>
  <r>
    <s v="ORD-00305"/>
    <d v="2024-12-07T00:00:00"/>
    <s v="CUST-0167"/>
    <s v="PROD-031"/>
    <s v="R009"/>
    <n v="9"/>
    <n v="3730"/>
    <n v="10"/>
    <n v="30213"/>
    <s v="Completed"/>
    <x v="2"/>
    <s v="Home"/>
    <s v="Retail"/>
    <n v="43"/>
    <s v="South"/>
    <s v="R009"/>
    <n v="914554.71999999986"/>
    <s v="South"/>
    <s v="Home"/>
    <n v="2135"/>
  </r>
  <r>
    <s v="ORD-00306"/>
    <d v="2024-01-18T00:00:00"/>
    <s v="CUST-0196"/>
    <s v="PROD-034"/>
    <s v="R004"/>
    <n v="5"/>
    <n v="5080"/>
    <n v="15.3"/>
    <n v="21513.8"/>
    <s v="Completed"/>
    <x v="1"/>
    <s v="Home"/>
    <s v="Retail"/>
    <n v="26"/>
    <s v="North"/>
    <s v="R004"/>
    <n v="589026.2899999998"/>
    <s v="North"/>
    <s v="Home"/>
    <n v="2459"/>
  </r>
  <r>
    <s v="ORD-00307"/>
    <d v="2024-04-21T00:00:00"/>
    <s v="CUST-0182"/>
    <s v="PROD-042"/>
    <s v="R013"/>
    <n v="9"/>
    <n v="2290"/>
    <n v="3.3"/>
    <n v="19929.87"/>
    <s v="Pending"/>
    <x v="3"/>
    <s v="Beauty"/>
    <s v="Retail"/>
    <n v="54"/>
    <s v="South"/>
    <s v="R013"/>
    <n v="811524.37999999989"/>
    <s v="South"/>
    <s v="Beauty"/>
    <n v="1219"/>
  </r>
  <r>
    <s v="ORD-00308"/>
    <d v="2024-09-19T00:00:00"/>
    <s v="CUST-0246"/>
    <s v="PROD-008"/>
    <s v="R010"/>
    <n v="5"/>
    <n v="2660"/>
    <n v="8.3000000000000007"/>
    <n v="12196.1"/>
    <s v="Completed"/>
    <x v="2"/>
    <s v="Electronics"/>
    <s v="SMB"/>
    <n v="29"/>
    <s v="South"/>
    <s v="R010"/>
    <n v="880345.20000000007"/>
    <s v="South"/>
    <s v="Electronics"/>
    <n v="1259"/>
  </r>
  <r>
    <s v="ORD-00309"/>
    <d v="2024-08-25T00:00:00"/>
    <s v="CUST-0132"/>
    <s v="PROD-027"/>
    <s v="R025"/>
    <n v="6"/>
    <n v="3780"/>
    <n v="28.3"/>
    <n v="16261.56"/>
    <s v="Completed"/>
    <x v="2"/>
    <s v="Grocery"/>
    <s v="Retail"/>
    <n v="41"/>
    <s v="West"/>
    <s v="R025"/>
    <n v="901298.89"/>
    <s v="West"/>
    <s v="Grocery"/>
    <n v="2436"/>
  </r>
  <r>
    <s v="ORD-00310"/>
    <d v="2024-01-09T00:00:00"/>
    <s v="CUST-0153"/>
    <s v="PROD-021"/>
    <s v="R028"/>
    <n v="5"/>
    <n v="2760"/>
    <n v="4.9000000000000004"/>
    <n v="13123.8"/>
    <s v="Completed"/>
    <x v="3"/>
    <s v="Grocery"/>
    <s v="Retail"/>
    <n v="35"/>
    <s v="West"/>
    <s v="R028"/>
    <n v="880468.05"/>
    <s v="West"/>
    <s v="Grocery"/>
    <n v="1435"/>
  </r>
  <r>
    <s v="ORD-00311"/>
    <d v="2024-03-17T00:00:00"/>
    <s v="CUST-0139"/>
    <s v="PROD-041"/>
    <s v="R006"/>
    <n v="8"/>
    <n v="1540"/>
    <n v="29.4"/>
    <n v="8697.92"/>
    <s v="Cancelled"/>
    <x v="5"/>
    <s v="Beauty"/>
    <s v="SMB"/>
    <n v="65"/>
    <s v="North"/>
    <s v="R006"/>
    <n v="1138648.73"/>
    <s v="North"/>
    <s v="Beauty"/>
    <n v="647"/>
  </r>
  <r>
    <s v="ORD-00312"/>
    <d v="2024-03-23T00:00:00"/>
    <s v="CUST-0256"/>
    <s v="PROD-046"/>
    <s v="R022"/>
    <n v="1"/>
    <n v="4880"/>
    <n v="18.100000000000001"/>
    <n v="3996.72"/>
    <s v="Completed"/>
    <x v="5"/>
    <s v="Beauty"/>
    <s v="Retail"/>
    <n v="28"/>
    <s v="East"/>
    <s v="R022"/>
    <n v="1069570.5400000003"/>
    <s v="East"/>
    <s v="Beauty"/>
    <n v="2768"/>
  </r>
  <r>
    <s v="ORD-00313"/>
    <d v="2024-10-27T00:00:00"/>
    <s v="CUST-0027"/>
    <s v="PROD-024"/>
    <s v="R015"/>
    <n v="8"/>
    <n v="2270"/>
    <n v="19.8"/>
    <n v="14564.32"/>
    <s v="Pending"/>
    <x v="5"/>
    <s v="Grocery"/>
    <s v="Corporate"/>
    <n v="52"/>
    <s v="South"/>
    <s v="R015"/>
    <n v="1091740.1799999997"/>
    <s v="South"/>
    <s v="Grocery"/>
    <n v="1203"/>
  </r>
  <r>
    <s v="ORD-00314"/>
    <d v="2024-08-04T00:00:00"/>
    <s v="CUST-0151"/>
    <s v="PROD-019"/>
    <s v="R010"/>
    <n v="10"/>
    <n v="2480"/>
    <n v="24.4"/>
    <n v="18748.8"/>
    <s v="Pending"/>
    <x v="3"/>
    <s v="Apparel"/>
    <s v="Retail"/>
    <n v="53"/>
    <s v="South"/>
    <s v="R010"/>
    <n v="880345.20000000007"/>
    <s v="South"/>
    <s v="Apparel"/>
    <n v="1173"/>
  </r>
  <r>
    <s v="ORD-00315"/>
    <d v="2024-07-08T00:00:00"/>
    <s v="CUST-0204"/>
    <s v="PROD-045"/>
    <s v="R014"/>
    <n v="8"/>
    <n v="3020"/>
    <n v="15.2"/>
    <n v="20487.68"/>
    <s v="Pending"/>
    <x v="5"/>
    <s v="Beauty"/>
    <s v="Retail"/>
    <n v="60"/>
    <s v="South"/>
    <s v="R014"/>
    <n v="995713.54000000015"/>
    <s v="South"/>
    <s v="Beauty"/>
    <n v="1626"/>
  </r>
  <r>
    <s v="ORD-00316"/>
    <d v="2024-08-13T00:00:00"/>
    <s v="CUST-0084"/>
    <s v="PROD-041"/>
    <s v="R019"/>
    <n v="10"/>
    <n v="1540"/>
    <n v="0.6"/>
    <n v="15307.6"/>
    <s v="Completed"/>
    <x v="1"/>
    <s v="Beauty"/>
    <s v="Retail"/>
    <n v="28"/>
    <s v="East"/>
    <s v="R019"/>
    <n v="971183.52000000014"/>
    <s v="East"/>
    <s v="Beauty"/>
    <n v="647"/>
  </r>
  <r>
    <s v="ORD-00317"/>
    <d v="2024-12-06T00:00:00"/>
    <s v="CUST-0048"/>
    <s v="PROD-012"/>
    <s v="R001"/>
    <n v="7"/>
    <n v="3160"/>
    <n v="8.9"/>
    <n v="20151.32"/>
    <s v="Completed"/>
    <x v="2"/>
    <s v="Apparel"/>
    <s v="Retail"/>
    <n v="59"/>
    <s v="North"/>
    <s v="R001"/>
    <n v="789849.60000000009"/>
    <s v="North"/>
    <s v="Apparel"/>
    <n v="1886"/>
  </r>
  <r>
    <s v="ORD-00318"/>
    <d v="2024-10-27T00:00:00"/>
    <s v="CUST-0013"/>
    <s v="PROD-054"/>
    <s v="R013"/>
    <n v="6"/>
    <n v="1010"/>
    <n v="12.9"/>
    <n v="5278.26"/>
    <s v="Completed"/>
    <x v="2"/>
    <s v="Sports"/>
    <s v="Retail"/>
    <n v="41"/>
    <s v="South"/>
    <s v="R013"/>
    <n v="811524.37999999989"/>
    <s v="South"/>
    <s v="Sports"/>
    <n v="516"/>
  </r>
  <r>
    <s v="ORD-00319"/>
    <d v="2024-06-07T00:00:00"/>
    <s v="CUST-0245"/>
    <s v="PROD-039"/>
    <s v="R020"/>
    <n v="4"/>
    <n v="4610"/>
    <n v="18.2"/>
    <n v="15083.92"/>
    <s v="Completed"/>
    <x v="5"/>
    <s v="Home"/>
    <s v="Retail"/>
    <n v="65"/>
    <s v="East"/>
    <s v="R020"/>
    <n v="906107.71000000008"/>
    <s v="East"/>
    <s v="Home"/>
    <n v="1850"/>
  </r>
  <r>
    <s v="ORD-00320"/>
    <d v="2024-02-21T00:00:00"/>
    <s v="CUST-0031"/>
    <s v="PROD-025"/>
    <s v="R029"/>
    <n v="6"/>
    <n v="4060"/>
    <n v="24.3"/>
    <n v="18440.52"/>
    <s v="Completed"/>
    <x v="5"/>
    <s v="Grocery"/>
    <s v="Retail"/>
    <n v="53"/>
    <s v="West"/>
    <s v="R029"/>
    <n v="1016696.8000000002"/>
    <s v="West"/>
    <s v="Grocery"/>
    <n v="2911"/>
  </r>
  <r>
    <s v="ORD-00321"/>
    <d v="2024-08-05T00:00:00"/>
    <s v="CUST-0212"/>
    <s v="PROD-016"/>
    <s v="R001"/>
    <n v="5"/>
    <n v="620"/>
    <n v="10.7"/>
    <n v="2768.3"/>
    <s v="Refunded"/>
    <x v="1"/>
    <s v="Apparel"/>
    <s v="SMB"/>
    <n v="46"/>
    <s v="North"/>
    <s v="R001"/>
    <n v="789849.60000000009"/>
    <s v="North"/>
    <s v="Apparel"/>
    <n v="396"/>
  </r>
  <r>
    <s v="ORD-00322"/>
    <d v="2024-08-09T00:00:00"/>
    <s v="CUST-0104"/>
    <s v="PROD-018"/>
    <s v="R003"/>
    <n v="3"/>
    <n v="3560"/>
    <n v="4.0999999999999996"/>
    <n v="10242.120000000001"/>
    <s v="Completed"/>
    <x v="5"/>
    <s v="Apparel"/>
    <s v="Corporate"/>
    <n v="43"/>
    <s v="North"/>
    <s v="R003"/>
    <n v="986692.91"/>
    <s v="North"/>
    <s v="Apparel"/>
    <n v="2629"/>
  </r>
  <r>
    <s v="ORD-00323"/>
    <d v="2024-07-27T00:00:00"/>
    <s v="CUST-0157"/>
    <s v="PROD-058"/>
    <s v="R012"/>
    <n v="2"/>
    <n v="2400"/>
    <n v="13"/>
    <n v="4176"/>
    <s v="Completed"/>
    <x v="0"/>
    <s v="Sports"/>
    <s v="Corporate"/>
    <n v="52"/>
    <s v="South"/>
    <s v="R012"/>
    <n v="901394.32000000007"/>
    <s v="South"/>
    <s v="Sports"/>
    <n v="974"/>
  </r>
  <r>
    <s v="ORD-00324"/>
    <d v="2024-04-25T00:00:00"/>
    <s v="CUST-0004"/>
    <s v="PROD-056"/>
    <s v="R006"/>
    <n v="9"/>
    <n v="6940"/>
    <n v="26.2"/>
    <n v="46095.48"/>
    <s v="Completed"/>
    <x v="2"/>
    <s v="Sports"/>
    <s v="Retail"/>
    <n v="53"/>
    <s v="North"/>
    <s v="R006"/>
    <n v="1138648.73"/>
    <s v="North"/>
    <s v="Sports"/>
    <n v="2827"/>
  </r>
  <r>
    <s v="ORD-00325"/>
    <d v="2024-04-03T00:00:00"/>
    <s v="CUST-0003"/>
    <s v="PROD-023"/>
    <s v="R025"/>
    <n v="9"/>
    <n v="2380"/>
    <n v="22.7"/>
    <n v="16557.66"/>
    <s v="Completed"/>
    <x v="3"/>
    <s v="Grocery"/>
    <s v="Retail"/>
    <n v="33"/>
    <s v="West"/>
    <s v="R025"/>
    <n v="901298.89"/>
    <s v="West"/>
    <s v="Grocery"/>
    <n v="1182"/>
  </r>
  <r>
    <s v="ORD-00326"/>
    <d v="2024-09-07T00:00:00"/>
    <s v="CUST-0175"/>
    <s v="PROD-014"/>
    <s v="R028"/>
    <n v="6"/>
    <n v="3620"/>
    <n v="9.1999999999999993"/>
    <n v="19721.759999999998"/>
    <s v="Completed"/>
    <x v="2"/>
    <s v="Apparel"/>
    <s v="Corporate"/>
    <n v="55"/>
    <s v="West"/>
    <s v="R028"/>
    <n v="880468.05"/>
    <s v="West"/>
    <s v="Apparel"/>
    <n v="2509"/>
  </r>
  <r>
    <s v="ORD-00327"/>
    <d v="2024-05-10T00:00:00"/>
    <s v="CUST-0104"/>
    <s v="PROD-050"/>
    <s v="R004"/>
    <n v="1"/>
    <n v="6080"/>
    <n v="29.4"/>
    <n v="4292.4799999999996"/>
    <s v="Cancelled"/>
    <x v="5"/>
    <s v="Beauty"/>
    <s v="Corporate"/>
    <n v="43"/>
    <s v="North"/>
    <s v="R004"/>
    <n v="589026.2899999998"/>
    <s v="North"/>
    <s v="Beauty"/>
    <n v="2617"/>
  </r>
  <r>
    <s v="ORD-00328"/>
    <d v="2024-02-21T00:00:00"/>
    <s v="CUST-0196"/>
    <s v="PROD-020"/>
    <s v="R018"/>
    <n v="6"/>
    <n v="820"/>
    <n v="29.1"/>
    <n v="3488.28"/>
    <s v="Completed"/>
    <x v="1"/>
    <s v="Apparel"/>
    <s v="Retail"/>
    <n v="26"/>
    <s v="East"/>
    <s v="R018"/>
    <n v="1112289.6400000001"/>
    <s v="East"/>
    <s v="Apparel"/>
    <n v="391"/>
  </r>
  <r>
    <s v="ORD-00329"/>
    <d v="2024-12-20T00:00:00"/>
    <s v="CUST-0299"/>
    <s v="PROD-045"/>
    <s v="R024"/>
    <n v="9"/>
    <n v="3020"/>
    <n v="7.9"/>
    <n v="25032.78"/>
    <s v="Completed"/>
    <x v="3"/>
    <s v="Beauty"/>
    <s v="Corporate"/>
    <n v="51"/>
    <s v="West"/>
    <s v="R024"/>
    <n v="819558.58"/>
    <s v="West"/>
    <s v="Beauty"/>
    <n v="1626"/>
  </r>
  <r>
    <s v="ORD-00330"/>
    <d v="2024-12-19T00:00:00"/>
    <s v="CUST-0066"/>
    <s v="PROD-004"/>
    <s v="R029"/>
    <n v="8"/>
    <n v="3870"/>
    <n v="11.9"/>
    <n v="27275.759999999998"/>
    <s v="Completed"/>
    <x v="2"/>
    <s v="Electronics"/>
    <s v="Retail"/>
    <n v="24"/>
    <s v="West"/>
    <s v="R029"/>
    <n v="1016696.8000000002"/>
    <s v="West"/>
    <s v="Electronics"/>
    <n v="1559"/>
  </r>
  <r>
    <s v="ORD-00331"/>
    <d v="2024-08-24T00:00:00"/>
    <s v="CUST-0080"/>
    <s v="PROD-047"/>
    <s v="R030"/>
    <n v="6"/>
    <n v="3450"/>
    <n v="13.9"/>
    <n v="17822.7"/>
    <s v="Completed"/>
    <x v="0"/>
    <s v="Beauty"/>
    <s v="SMB"/>
    <n v="30"/>
    <s v="West"/>
    <s v="R030"/>
    <n v="747624.36999999988"/>
    <s v="West"/>
    <s v="Beauty"/>
    <n v="2420"/>
  </r>
  <r>
    <s v="ORD-00332"/>
    <d v="2024-12-29T00:00:00"/>
    <s v="CUST-0138"/>
    <s v="PROD-048"/>
    <s v="R008"/>
    <n v="9"/>
    <n v="5100"/>
    <n v="2.1"/>
    <n v="44936.1"/>
    <s v="Completed"/>
    <x v="1"/>
    <s v="Beauty"/>
    <s v="Retail"/>
    <n v="24"/>
    <s v="North"/>
    <s v="R008"/>
    <n v="861553.33"/>
    <s v="North"/>
    <s v="Beauty"/>
    <n v="2237"/>
  </r>
  <r>
    <s v="ORD-00333"/>
    <d v="2024-08-14T00:00:00"/>
    <s v="CUST-0253"/>
    <s v="PROD-026"/>
    <s v="R008"/>
    <n v="2"/>
    <n v="4070"/>
    <n v="28.6"/>
    <n v="5811.96"/>
    <s v="Completed"/>
    <x v="2"/>
    <s v="Grocery"/>
    <s v="SMB"/>
    <n v="53"/>
    <s v="North"/>
    <s v="R008"/>
    <n v="861553.33"/>
    <s v="North"/>
    <s v="Grocery"/>
    <n v="2027"/>
  </r>
  <r>
    <s v="ORD-00334"/>
    <d v="2024-02-17T00:00:00"/>
    <s v="CUST-0247"/>
    <s v="PROD-001"/>
    <s v="R007"/>
    <n v="9"/>
    <n v="5330"/>
    <n v="6.2"/>
    <n v="44995.86"/>
    <s v="Completed"/>
    <x v="0"/>
    <s v="Electronics"/>
    <s v="SMB"/>
    <n v="35"/>
    <s v="North"/>
    <s v="R007"/>
    <n v="855749.67999999982"/>
    <s v="North"/>
    <s v="Electronics"/>
    <n v="2405"/>
  </r>
  <r>
    <s v="ORD-00335"/>
    <d v="2024-01-28T00:00:00"/>
    <s v="CUST-0269"/>
    <s v="PROD-024"/>
    <s v="R020"/>
    <n v="6"/>
    <n v="2270"/>
    <n v="23.7"/>
    <n v="10392.06"/>
    <s v="Completed"/>
    <x v="0"/>
    <s v="Grocery"/>
    <s v="Retail"/>
    <n v="48"/>
    <s v="East"/>
    <s v="R020"/>
    <n v="906107.71000000008"/>
    <s v="East"/>
    <s v="Grocery"/>
    <n v="1203"/>
  </r>
  <r>
    <s v="ORD-00336"/>
    <d v="2024-11-22T00:00:00"/>
    <s v="CUST-0008"/>
    <s v="PROD-017"/>
    <s v="R024"/>
    <n v="5"/>
    <n v="2510"/>
    <n v="25"/>
    <n v="9412.5"/>
    <s v="Completed"/>
    <x v="0"/>
    <s v="Apparel"/>
    <s v="SMB"/>
    <n v="39"/>
    <s v="West"/>
    <s v="R024"/>
    <n v="819558.58"/>
    <s v="West"/>
    <s v="Apparel"/>
    <n v="1075"/>
  </r>
  <r>
    <s v="ORD-00337"/>
    <d v="2024-02-13T00:00:00"/>
    <s v="CUST-0134"/>
    <s v="PROD-023"/>
    <s v="R019"/>
    <n v="9"/>
    <n v="2380"/>
    <n v="16.8"/>
    <n v="17821.439999999999"/>
    <s v="Completed"/>
    <x v="2"/>
    <s v="Grocery"/>
    <s v="Retail"/>
    <n v="40"/>
    <s v="East"/>
    <s v="R019"/>
    <n v="971183.52000000014"/>
    <s v="East"/>
    <s v="Grocery"/>
    <n v="1182"/>
  </r>
  <r>
    <s v="ORD-00338"/>
    <d v="2024-05-08T00:00:00"/>
    <s v="CUST-0016"/>
    <s v="PROD-011"/>
    <s v="R008"/>
    <n v="1"/>
    <n v="3450"/>
    <n v="1.5"/>
    <n v="3398.25"/>
    <s v="Refunded"/>
    <x v="2"/>
    <s v="Apparel"/>
    <s v="SMB"/>
    <n v="26"/>
    <s v="North"/>
    <s v="R008"/>
    <n v="861553.33"/>
    <s v="North"/>
    <s v="Apparel"/>
    <n v="1748"/>
  </r>
  <r>
    <s v="ORD-00339"/>
    <d v="2024-01-04T00:00:00"/>
    <s v="CUST-0281"/>
    <s v="PROD-003"/>
    <s v="R002"/>
    <n v="5"/>
    <n v="3570"/>
    <n v="12.8"/>
    <n v="15565.2"/>
    <s v="Completed"/>
    <x v="4"/>
    <s v="Electronics"/>
    <s v="Corporate"/>
    <n v="57"/>
    <s v="North"/>
    <s v="R002"/>
    <n v="980063.65999999968"/>
    <s v="North"/>
    <s v="Electronics"/>
    <n v="1665"/>
  </r>
  <r>
    <s v="ORD-00340"/>
    <d v="2024-10-25T00:00:00"/>
    <s v="CUST-0267"/>
    <s v="PROD-001"/>
    <s v="R029"/>
    <n v="3"/>
    <n v="5330"/>
    <n v="16.2"/>
    <n v="13399.62"/>
    <s v="Completed"/>
    <x v="5"/>
    <s v="Electronics"/>
    <s v="Retail"/>
    <n v="27"/>
    <s v="West"/>
    <s v="R029"/>
    <n v="1016696.8000000002"/>
    <s v="West"/>
    <s v="Electronics"/>
    <n v="2405"/>
  </r>
  <r>
    <s v="ORD-00341"/>
    <d v="2024-02-19T00:00:00"/>
    <s v="CUST-0279"/>
    <s v="PROD-028"/>
    <s v="R027"/>
    <n v="3"/>
    <n v="3660"/>
    <n v="25.3"/>
    <n v="8202.06"/>
    <s v="Completed"/>
    <x v="3"/>
    <s v="Grocery"/>
    <s v="Retail"/>
    <n v="56"/>
    <s v="West"/>
    <s v="R027"/>
    <n v="917092.61999999965"/>
    <s v="West"/>
    <s v="Grocery"/>
    <n v="2214"/>
  </r>
  <r>
    <s v="ORD-00342"/>
    <d v="2024-11-04T00:00:00"/>
    <s v="CUST-0036"/>
    <s v="PROD-054"/>
    <s v="R015"/>
    <n v="2"/>
    <n v="1010"/>
    <n v="29.2"/>
    <n v="1430.16"/>
    <s v="Completed"/>
    <x v="3"/>
    <s v="Sports"/>
    <s v="Retail"/>
    <n v="35"/>
    <s v="South"/>
    <s v="R015"/>
    <n v="1091740.1799999997"/>
    <s v="South"/>
    <s v="Sports"/>
    <n v="516"/>
  </r>
  <r>
    <s v="ORD-00343"/>
    <d v="2024-08-02T00:00:00"/>
    <s v="CUST-0295"/>
    <s v="PROD-040"/>
    <s v="R015"/>
    <n v="1"/>
    <n v="1080"/>
    <n v="1.8"/>
    <n v="1060.56"/>
    <s v="Completed"/>
    <x v="2"/>
    <s v="Home"/>
    <s v="SMB"/>
    <n v="48"/>
    <s v="South"/>
    <s v="R015"/>
    <n v="1091740.1799999997"/>
    <s v="South"/>
    <s v="Home"/>
    <n v="519"/>
  </r>
  <r>
    <s v="ORD-00344"/>
    <d v="2024-05-02T00:00:00"/>
    <s v="CUST-0106"/>
    <s v="PROD-051"/>
    <s v="R010"/>
    <n v="8"/>
    <n v="3450"/>
    <n v="20.399999999999999"/>
    <n v="21969.599999999999"/>
    <s v="Completed"/>
    <x v="0"/>
    <s v="Sports"/>
    <s v="Retail"/>
    <n v="22"/>
    <s v="South"/>
    <s v="R010"/>
    <n v="880345.20000000007"/>
    <s v="South"/>
    <s v="Sports"/>
    <n v="2467"/>
  </r>
  <r>
    <s v="ORD-00593"/>
    <d v="2024-09-18T00:00:00"/>
    <s v="CUST-0070"/>
    <s v="PROD-056"/>
    <s v="R015"/>
    <n v="8"/>
    <n v="6940"/>
    <n v="19.399999999999999"/>
    <n v="44749.120000000003"/>
    <s v="Completed"/>
    <x v="3"/>
    <s v="Sports"/>
    <s v="Retail"/>
    <n v="42"/>
    <s v="South"/>
    <s v="R015"/>
    <n v="1091740.1799999997"/>
    <s v="South"/>
    <s v="Sports"/>
    <n v="2827"/>
  </r>
  <r>
    <s v="ORD-00346"/>
    <d v="2024-05-22T00:00:00"/>
    <s v="CUST-0062"/>
    <s v="PROD-041"/>
    <s v="R003"/>
    <n v="2"/>
    <n v="1540"/>
    <n v="9.3000000000000007"/>
    <n v="2793.56"/>
    <s v="Completed"/>
    <x v="0"/>
    <s v="Beauty"/>
    <s v="Retail"/>
    <n v="54"/>
    <s v="North"/>
    <s v="R003"/>
    <n v="986692.91"/>
    <s v="North"/>
    <s v="Beauty"/>
    <n v="647"/>
  </r>
  <r>
    <s v="ORD-00347"/>
    <d v="2024-06-03T00:00:00"/>
    <s v="CUST-0241"/>
    <s v="PROD-010"/>
    <s v="R015"/>
    <n v="4"/>
    <n v="2640"/>
    <n v="23.2"/>
    <n v="8110.08"/>
    <s v="Refunded"/>
    <x v="0"/>
    <s v="Electronics"/>
    <s v="Corporate"/>
    <n v="47"/>
    <s v="South"/>
    <s v="R015"/>
    <n v="1091740.1799999997"/>
    <s v="South"/>
    <s v="Electronics"/>
    <n v="1149"/>
  </r>
  <r>
    <s v="ORD-00348"/>
    <d v="2024-11-30T00:00:00"/>
    <s v="CUST-0001"/>
    <s v="PROD-052"/>
    <s v="R024"/>
    <n v="6"/>
    <n v="5410"/>
    <n v="29.4"/>
    <n v="22916.76"/>
    <s v="Completed"/>
    <x v="0"/>
    <s v="Sports"/>
    <s v="Retail"/>
    <n v="36"/>
    <s v="West"/>
    <s v="R024"/>
    <n v="819558.58"/>
    <s v="West"/>
    <s v="Sports"/>
    <n v="2265"/>
  </r>
  <r>
    <s v="ORD-00349"/>
    <d v="2024-06-16T00:00:00"/>
    <s v="CUST-0181"/>
    <s v="PROD-003"/>
    <s v="R027"/>
    <n v="1"/>
    <n v="3570"/>
    <n v="4.3"/>
    <n v="3416.49"/>
    <s v="Completed"/>
    <x v="2"/>
    <s v="Electronics"/>
    <s v="SMB"/>
    <n v="38"/>
    <s v="West"/>
    <s v="R027"/>
    <n v="917092.61999999965"/>
    <s v="West"/>
    <s v="Electronics"/>
    <n v="1665"/>
  </r>
  <r>
    <s v="ORD-00350"/>
    <d v="2024-08-16T00:00:00"/>
    <s v="CUST-0044"/>
    <s v="PROD-032"/>
    <s v="R028"/>
    <n v="2"/>
    <n v="370"/>
    <n v="7.2"/>
    <n v="686.72"/>
    <s v="Completed"/>
    <x v="5"/>
    <s v="Home"/>
    <s v="SMB"/>
    <n v="29"/>
    <s v="West"/>
    <s v="R028"/>
    <n v="880468.05"/>
    <s v="West"/>
    <s v="Home"/>
    <n v="288"/>
  </r>
  <r>
    <s v="ORD-00351"/>
    <d v="2024-01-23T00:00:00"/>
    <s v="CUST-0218"/>
    <s v="PROD-017"/>
    <s v="R017"/>
    <n v="1"/>
    <n v="2510"/>
    <n v="2.4"/>
    <n v="2449.7600000000002"/>
    <s v="Completed"/>
    <x v="3"/>
    <s v="Apparel"/>
    <s v="Retail"/>
    <n v="39"/>
    <s v="East"/>
    <s v="R017"/>
    <n v="780384.40999999992"/>
    <s v="East"/>
    <s v="Apparel"/>
    <n v="1075"/>
  </r>
  <r>
    <s v="ORD-00352"/>
    <d v="2024-07-07T00:00:00"/>
    <s v="CUST-0061"/>
    <s v="PROD-013"/>
    <s v="R022"/>
    <n v="8"/>
    <n v="3640"/>
    <n v="28.7"/>
    <n v="20762.560000000001"/>
    <s v="Pending"/>
    <x v="5"/>
    <s v="Apparel"/>
    <s v="Retail"/>
    <n v="64"/>
    <s v="East"/>
    <s v="R022"/>
    <n v="1069570.5400000003"/>
    <s v="East"/>
    <s v="Apparel"/>
    <n v="2611"/>
  </r>
  <r>
    <s v="ORD-00353"/>
    <d v="2024-08-16T00:00:00"/>
    <s v="CUST-0143"/>
    <s v="PROD-044"/>
    <s v="R029"/>
    <n v="5"/>
    <n v="1650"/>
    <n v="13.4"/>
    <n v="7144.5"/>
    <s v="Pending"/>
    <x v="1"/>
    <s v="Beauty"/>
    <s v="SMB"/>
    <n v="52"/>
    <s v="West"/>
    <s v="R029"/>
    <n v="1016696.8000000002"/>
    <s v="West"/>
    <s v="Beauty"/>
    <n v="1222"/>
  </r>
  <r>
    <s v="ORD-00354"/>
    <d v="2024-03-09T00:00:00"/>
    <s v="CUST-0164"/>
    <s v="PROD-049"/>
    <s v="R024"/>
    <n v="9"/>
    <n v="960"/>
    <n v="28.6"/>
    <n v="6168.96"/>
    <s v="Pending"/>
    <x v="1"/>
    <s v="Beauty"/>
    <s v="Retail"/>
    <n v="60"/>
    <s v="West"/>
    <s v="R024"/>
    <n v="819558.58"/>
    <s v="West"/>
    <s v="Beauty"/>
    <n v="675"/>
  </r>
  <r>
    <s v="ORD-00355"/>
    <d v="2024-07-13T00:00:00"/>
    <s v="CUST-0152"/>
    <s v="PROD-027"/>
    <s v="R021"/>
    <n v="4"/>
    <n v="3780"/>
    <n v="25.3"/>
    <n v="11294.64"/>
    <s v="Completed"/>
    <x v="4"/>
    <s v="Grocery"/>
    <s v="SMB"/>
    <n v="64"/>
    <s v="East"/>
    <s v="R021"/>
    <n v="761507.17000000027"/>
    <s v="East"/>
    <s v="Grocery"/>
    <n v="2436"/>
  </r>
  <r>
    <s v="ORD-00356"/>
    <d v="2024-09-09T00:00:00"/>
    <s v="CUST-0143"/>
    <s v="PROD-044"/>
    <s v="R014"/>
    <n v="4"/>
    <n v="1650"/>
    <n v="13.7"/>
    <n v="5695.8"/>
    <s v="Cancelled"/>
    <x v="1"/>
    <s v="Beauty"/>
    <s v="SMB"/>
    <n v="52"/>
    <s v="South"/>
    <s v="R014"/>
    <n v="995713.54000000015"/>
    <s v="South"/>
    <s v="Beauty"/>
    <n v="1222"/>
  </r>
  <r>
    <s v="ORD-00357"/>
    <d v="2024-10-15T00:00:00"/>
    <s v="CUST-0232"/>
    <s v="PROD-014"/>
    <s v="R012"/>
    <n v="6"/>
    <n v="3620"/>
    <n v="21.3"/>
    <n v="17093.64"/>
    <s v="Pending"/>
    <x v="5"/>
    <s v="Apparel"/>
    <s v="Retail"/>
    <n v="38"/>
    <s v="South"/>
    <s v="R012"/>
    <n v="901394.32000000007"/>
    <s v="South"/>
    <s v="Apparel"/>
    <n v="2509"/>
  </r>
  <r>
    <s v="ORD-00358"/>
    <d v="2024-01-21T00:00:00"/>
    <s v="CUST-0067"/>
    <s v="PROD-022"/>
    <s v="R030"/>
    <n v="10"/>
    <n v="2270"/>
    <n v="17.7"/>
    <n v="18682.099999999999"/>
    <s v="Completed"/>
    <x v="2"/>
    <s v="Grocery"/>
    <s v="SMB"/>
    <n v="59"/>
    <s v="West"/>
    <s v="R030"/>
    <n v="747624.36999999988"/>
    <s v="West"/>
    <s v="Grocery"/>
    <n v="1412"/>
  </r>
  <r>
    <s v="ORD-00359"/>
    <d v="2024-06-04T00:00:00"/>
    <s v="CUST-0292"/>
    <s v="PROD-041"/>
    <s v="R013"/>
    <n v="9"/>
    <n v="1540"/>
    <n v="10.7"/>
    <n v="12376.98"/>
    <s v="Completed"/>
    <x v="4"/>
    <s v="Beauty"/>
    <s v="Retail"/>
    <n v="32"/>
    <s v="South"/>
    <s v="R013"/>
    <n v="811524.37999999989"/>
    <s v="South"/>
    <s v="Beauty"/>
    <n v="647"/>
  </r>
  <r>
    <s v="ORD-00360"/>
    <d v="2024-11-11T00:00:00"/>
    <s v="CUST-0118"/>
    <s v="PROD-055"/>
    <s v="R021"/>
    <n v="9"/>
    <n v="2860"/>
    <n v="12.9"/>
    <n v="22419.54"/>
    <s v="Completed"/>
    <x v="5"/>
    <s v="Sports"/>
    <s v="Retail"/>
    <n v="26"/>
    <s v="East"/>
    <s v="R021"/>
    <n v="761507.17000000027"/>
    <s v="East"/>
    <s v="Sports"/>
    <n v="2028"/>
  </r>
  <r>
    <s v="ORD-00361"/>
    <d v="2024-03-28T00:00:00"/>
    <s v="CUST-0212"/>
    <s v="PROD-029"/>
    <s v="R016"/>
    <n v="5"/>
    <n v="2210"/>
    <n v="5.0999999999999996"/>
    <n v="10486.45"/>
    <s v="Completed"/>
    <x v="1"/>
    <s v="Grocery"/>
    <s v="SMB"/>
    <n v="46"/>
    <s v="South"/>
    <s v="R016"/>
    <n v="814563.7100000002"/>
    <s v="South"/>
    <s v="Grocery"/>
    <n v="1010"/>
  </r>
  <r>
    <s v="ORD-00362"/>
    <d v="2024-10-26T00:00:00"/>
    <s v="CUST-0287"/>
    <s v="PROD-009"/>
    <s v="R029"/>
    <n v="1"/>
    <n v="1220"/>
    <n v="16.100000000000001"/>
    <n v="1023.58"/>
    <s v="Completed"/>
    <x v="1"/>
    <s v="Electronics"/>
    <s v="SMB"/>
    <n v="53"/>
    <s v="West"/>
    <s v="R029"/>
    <n v="1016696.8000000002"/>
    <s v="West"/>
    <s v="Electronics"/>
    <n v="517"/>
  </r>
  <r>
    <s v="ORD-00363"/>
    <d v="2024-09-26T00:00:00"/>
    <s v="CUST-0030"/>
    <s v="PROD-003"/>
    <s v="R006"/>
    <n v="2"/>
    <n v="3570"/>
    <n v="1.1000000000000001"/>
    <n v="7061.46"/>
    <s v="Completed"/>
    <x v="4"/>
    <s v="Electronics"/>
    <s v="Corporate"/>
    <n v="43"/>
    <s v="North"/>
    <s v="R006"/>
    <n v="1138648.73"/>
    <s v="North"/>
    <s v="Electronics"/>
    <n v="1665"/>
  </r>
  <r>
    <s v="ORD-00364"/>
    <d v="2024-01-17T00:00:00"/>
    <s v="CUST-0270"/>
    <s v="PROD-011"/>
    <s v="R016"/>
    <n v="10"/>
    <n v="3450"/>
    <n v="12.6"/>
    <n v="30153"/>
    <s v="Completed"/>
    <x v="4"/>
    <s v="Apparel"/>
    <s v="Retail"/>
    <n v="29"/>
    <s v="South"/>
    <s v="R016"/>
    <n v="814563.7100000002"/>
    <s v="South"/>
    <s v="Apparel"/>
    <n v="1748"/>
  </r>
  <r>
    <s v="ORD-00365"/>
    <d v="2024-09-28T00:00:00"/>
    <s v="CUST-0001"/>
    <s v="PROD-029"/>
    <s v="R021"/>
    <n v="4"/>
    <n v="2210"/>
    <n v="5.4"/>
    <n v="8362.64"/>
    <s v="Completed"/>
    <x v="0"/>
    <s v="Grocery"/>
    <s v="Retail"/>
    <n v="36"/>
    <s v="East"/>
    <s v="R021"/>
    <n v="761507.17000000027"/>
    <s v="East"/>
    <s v="Grocery"/>
    <n v="1010"/>
  </r>
  <r>
    <s v="ORD-00366"/>
    <d v="2024-07-03T00:00:00"/>
    <s v="CUST-0215"/>
    <s v="PROD-035"/>
    <s v="R014"/>
    <n v="6"/>
    <n v="1090"/>
    <n v="2.9"/>
    <n v="6350.34"/>
    <s v="Cancelled"/>
    <x v="5"/>
    <s v="Home"/>
    <s v="Retail"/>
    <n v="52"/>
    <s v="South"/>
    <s v="R014"/>
    <n v="995713.54000000015"/>
    <s v="South"/>
    <s v="Home"/>
    <n v="464"/>
  </r>
  <r>
    <s v="ORD-00367"/>
    <d v="2024-03-13T00:00:00"/>
    <s v="CUST-0225"/>
    <s v="PROD-041"/>
    <s v="R017"/>
    <n v="8"/>
    <n v="1540"/>
    <n v="17.899999999999999"/>
    <n v="10114.719999999999"/>
    <s v="Pending"/>
    <x v="1"/>
    <s v="Beauty"/>
    <s v="SMB"/>
    <n v="26"/>
    <s v="East"/>
    <s v="R017"/>
    <n v="780384.40999999992"/>
    <s v="East"/>
    <s v="Beauty"/>
    <n v="647"/>
  </r>
  <r>
    <s v="ORD-00368"/>
    <d v="2024-03-20T00:00:00"/>
    <s v="CUST-0163"/>
    <s v="PROD-002"/>
    <s v="R028"/>
    <n v="9"/>
    <n v="2600"/>
    <n v="4.0999999999999996"/>
    <n v="22440.6"/>
    <s v="Completed"/>
    <x v="0"/>
    <s v="Electronics"/>
    <s v="Retail"/>
    <n v="49"/>
    <s v="West"/>
    <s v="R028"/>
    <n v="880468.05"/>
    <s v="West"/>
    <s v="Electronics"/>
    <n v="1052"/>
  </r>
  <r>
    <s v="ORD-00369"/>
    <d v="2024-11-27T00:00:00"/>
    <s v="CUST-0196"/>
    <s v="PROD-060"/>
    <s v="R007"/>
    <n v="2"/>
    <n v="190"/>
    <n v="4.8"/>
    <n v="361.76"/>
    <s v="Completed"/>
    <x v="1"/>
    <s v="Sports"/>
    <s v="Retail"/>
    <n v="26"/>
    <s v="North"/>
    <s v="R007"/>
    <n v="855749.67999999982"/>
    <s v="North"/>
    <s v="Sports"/>
    <n v="147"/>
  </r>
  <r>
    <s v="ORD-00370"/>
    <d v="2024-05-29T00:00:00"/>
    <s v="CUST-0002"/>
    <s v="PROD-019"/>
    <s v="R014"/>
    <n v="9"/>
    <n v="2480"/>
    <n v="28.3"/>
    <n v="16003.44"/>
    <s v="Completed"/>
    <x v="0"/>
    <s v="Apparel"/>
    <s v="Corporate"/>
    <n v="42"/>
    <s v="South"/>
    <s v="R014"/>
    <n v="995713.54000000015"/>
    <s v="South"/>
    <s v="Apparel"/>
    <n v="1173"/>
  </r>
  <r>
    <s v="ORD-00371"/>
    <d v="2024-05-30T00:00:00"/>
    <s v="CUST-0057"/>
    <s v="PROD-042"/>
    <s v="R006"/>
    <n v="7"/>
    <n v="2290"/>
    <n v="25"/>
    <n v="12022.5"/>
    <s v="Cancelled"/>
    <x v="0"/>
    <s v="Beauty"/>
    <s v="Retail"/>
    <n v="35"/>
    <s v="North"/>
    <s v="R006"/>
    <n v="1138648.73"/>
    <s v="North"/>
    <s v="Beauty"/>
    <n v="1219"/>
  </r>
  <r>
    <s v="ORD-00372"/>
    <d v="2024-10-02T00:00:00"/>
    <s v="CUST-0112"/>
    <s v="PROD-041"/>
    <s v="R015"/>
    <n v="9"/>
    <n v="1540"/>
    <n v="23.3"/>
    <n v="10630.62"/>
    <s v="Completed"/>
    <x v="5"/>
    <s v="Beauty"/>
    <s v="Retail"/>
    <n v="64"/>
    <s v="South"/>
    <s v="R015"/>
    <n v="1091740.1799999997"/>
    <s v="South"/>
    <s v="Beauty"/>
    <n v="647"/>
  </r>
  <r>
    <s v="ORD-00373"/>
    <d v="2024-12-27T00:00:00"/>
    <s v="CUST-0131"/>
    <s v="PROD-034"/>
    <s v="R025"/>
    <n v="2"/>
    <n v="5080"/>
    <n v="2.5"/>
    <n v="9906"/>
    <s v="Cancelled"/>
    <x v="2"/>
    <s v="Home"/>
    <s v="SMB"/>
    <n v="28"/>
    <s v="West"/>
    <s v="R025"/>
    <n v="901298.89"/>
    <s v="West"/>
    <s v="Home"/>
    <n v="2459"/>
  </r>
  <r>
    <s v="ORD-00374"/>
    <d v="2024-02-09T00:00:00"/>
    <s v="CUST-0124"/>
    <s v="PROD-017"/>
    <s v="R016"/>
    <n v="4"/>
    <n v="2510"/>
    <n v="23.6"/>
    <n v="7670.56"/>
    <s v="Completed"/>
    <x v="0"/>
    <s v="Apparel"/>
    <s v="Retail"/>
    <n v="57"/>
    <s v="South"/>
    <s v="R016"/>
    <n v="814563.7100000002"/>
    <s v="South"/>
    <s v="Apparel"/>
    <n v="1075"/>
  </r>
  <r>
    <s v="ORD-00375"/>
    <d v="2024-02-10T00:00:00"/>
    <s v="CUST-0131"/>
    <s v="PROD-042"/>
    <s v="R011"/>
    <n v="5"/>
    <n v="2290"/>
    <n v="17"/>
    <n v="9503.5"/>
    <s v="Completed"/>
    <x v="2"/>
    <s v="Beauty"/>
    <s v="SMB"/>
    <n v="28"/>
    <s v="South"/>
    <s v="R011"/>
    <n v="735207.75999999989"/>
    <s v="South"/>
    <s v="Beauty"/>
    <n v="1219"/>
  </r>
  <r>
    <s v="ORD-00376"/>
    <d v="2024-02-18T00:00:00"/>
    <s v="CUST-0084"/>
    <s v="PROD-053"/>
    <s v="R006"/>
    <n v="8"/>
    <n v="470"/>
    <n v="9.3000000000000007"/>
    <n v="3410.32"/>
    <s v="Completed"/>
    <x v="1"/>
    <s v="Sports"/>
    <s v="Retail"/>
    <n v="28"/>
    <s v="North"/>
    <s v="R006"/>
    <n v="1138648.73"/>
    <s v="North"/>
    <s v="Sports"/>
    <n v="302"/>
  </r>
  <r>
    <s v="ORD-00377"/>
    <d v="2024-09-29T00:00:00"/>
    <s v="CUST-0082"/>
    <s v="PROD-048"/>
    <s v="R009"/>
    <n v="8"/>
    <n v="5100"/>
    <n v="4.5999999999999996"/>
    <n v="38923.199999999997"/>
    <s v="Completed"/>
    <x v="5"/>
    <s v="Beauty"/>
    <s v="SMB"/>
    <n v="36"/>
    <s v="South"/>
    <s v="R009"/>
    <n v="914554.71999999986"/>
    <s v="South"/>
    <s v="Beauty"/>
    <n v="2237"/>
  </r>
  <r>
    <s v="ORD-00378"/>
    <d v="2024-01-05T00:00:00"/>
    <s v="CUST-0242"/>
    <s v="PROD-001"/>
    <s v="R010"/>
    <n v="7"/>
    <n v="5330"/>
    <n v="2.5"/>
    <n v="36377.25"/>
    <s v="Completed"/>
    <x v="1"/>
    <s v="Electronics"/>
    <s v="SMB"/>
    <n v="59"/>
    <s v="South"/>
    <s v="R010"/>
    <n v="880345.20000000007"/>
    <s v="South"/>
    <s v="Electronics"/>
    <n v="2405"/>
  </r>
  <r>
    <s v="ORD-00379"/>
    <d v="2024-03-13T00:00:00"/>
    <s v="CUST-0074"/>
    <s v="PROD-033"/>
    <s v="R028"/>
    <n v="10"/>
    <n v="2030"/>
    <n v="8.5"/>
    <n v="18574.5"/>
    <s v="Completed"/>
    <x v="4"/>
    <s v="Home"/>
    <s v="Retail"/>
    <n v="27"/>
    <s v="West"/>
    <s v="R028"/>
    <n v="880468.05"/>
    <s v="West"/>
    <s v="Home"/>
    <n v="1143"/>
  </r>
  <r>
    <s v="ORD-00380"/>
    <d v="2024-09-25T00:00:00"/>
    <s v="CUST-0221"/>
    <s v="PROD-034"/>
    <s v="R003"/>
    <n v="8"/>
    <n v="5080"/>
    <n v="9.6"/>
    <n v="36738.559999999998"/>
    <s v="Cancelled"/>
    <x v="2"/>
    <s v="Home"/>
    <s v="SMB"/>
    <n v="29"/>
    <s v="North"/>
    <s v="R003"/>
    <n v="986692.91"/>
    <s v="North"/>
    <s v="Home"/>
    <n v="2459"/>
  </r>
  <r>
    <s v="ORD-00381"/>
    <d v="2024-03-27T00:00:00"/>
    <s v="CUST-0101"/>
    <s v="PROD-023"/>
    <s v="R014"/>
    <n v="1"/>
    <n v="2380"/>
    <n v="11.6"/>
    <n v="2103.92"/>
    <s v="Pending"/>
    <x v="5"/>
    <s v="Grocery"/>
    <s v="SMB"/>
    <n v="40"/>
    <s v="South"/>
    <s v="R014"/>
    <n v="995713.54000000015"/>
    <s v="South"/>
    <s v="Grocery"/>
    <n v="1182"/>
  </r>
  <r>
    <s v="ORD-00382"/>
    <d v="2024-10-25T00:00:00"/>
    <s v="CUST-0203"/>
    <s v="PROD-041"/>
    <s v="R027"/>
    <n v="8"/>
    <n v="1540"/>
    <n v="27.8"/>
    <n v="8895.0400000000009"/>
    <s v="Completed"/>
    <x v="1"/>
    <s v="Beauty"/>
    <s v="SMB"/>
    <n v="55"/>
    <s v="West"/>
    <s v="R027"/>
    <n v="917092.61999999965"/>
    <s v="West"/>
    <s v="Beauty"/>
    <n v="647"/>
  </r>
  <r>
    <s v="ORD-00383"/>
    <d v="2024-10-26T00:00:00"/>
    <s v="CUST-0209"/>
    <s v="PROD-024"/>
    <s v="R024"/>
    <n v="1"/>
    <n v="2270"/>
    <n v="6.5"/>
    <n v="2122.4499999999998"/>
    <s v="Pending"/>
    <x v="0"/>
    <s v="Grocery"/>
    <s v="Retail"/>
    <n v="31"/>
    <s v="West"/>
    <s v="R024"/>
    <n v="819558.58"/>
    <s v="West"/>
    <s v="Grocery"/>
    <n v="1203"/>
  </r>
  <r>
    <s v="ORD-00384"/>
    <d v="2024-07-30T00:00:00"/>
    <s v="CUST-0094"/>
    <s v="PROD-019"/>
    <s v="R028"/>
    <n v="6"/>
    <n v="2480"/>
    <n v="25.9"/>
    <n v="11026.08"/>
    <s v="Completed"/>
    <x v="0"/>
    <s v="Apparel"/>
    <s v="SMB"/>
    <n v="60"/>
    <s v="West"/>
    <s v="R028"/>
    <n v="880468.05"/>
    <s v="West"/>
    <s v="Apparel"/>
    <n v="1173"/>
  </r>
  <r>
    <s v="ORD-00385"/>
    <d v="2024-11-12T00:00:00"/>
    <s v="CUST-0248"/>
    <s v="PROD-018"/>
    <s v="R019"/>
    <n v="3"/>
    <n v="3560"/>
    <n v="0.4"/>
    <n v="10637.28"/>
    <s v="Refunded"/>
    <x v="1"/>
    <s v="Apparel"/>
    <s v="SMB"/>
    <n v="57"/>
    <s v="East"/>
    <s v="R019"/>
    <n v="971183.52000000014"/>
    <s v="East"/>
    <s v="Apparel"/>
    <n v="2629"/>
  </r>
  <r>
    <s v="ORD-00386"/>
    <d v="2024-05-10T00:00:00"/>
    <s v="CUST-0297"/>
    <s v="PROD-008"/>
    <s v="R006"/>
    <n v="4"/>
    <n v="2660"/>
    <n v="19.7"/>
    <n v="8543.92"/>
    <s v="Cancelled"/>
    <x v="5"/>
    <s v="Electronics"/>
    <s v="Retail"/>
    <n v="50"/>
    <s v="North"/>
    <s v="R006"/>
    <n v="1138648.73"/>
    <s v="North"/>
    <s v="Electronics"/>
    <n v="1259"/>
  </r>
  <r>
    <s v="ORD-00387"/>
    <d v="2024-04-04T00:00:00"/>
    <s v="CUST-0107"/>
    <s v="PROD-009"/>
    <s v="R013"/>
    <n v="10"/>
    <n v="1220"/>
    <n v="10.1"/>
    <n v="10967.8"/>
    <s v="Cancelled"/>
    <x v="0"/>
    <s v="Electronics"/>
    <s v="Retail"/>
    <n v="50"/>
    <s v="South"/>
    <s v="R013"/>
    <n v="811524.37999999989"/>
    <s v="South"/>
    <s v="Electronics"/>
    <n v="517"/>
  </r>
  <r>
    <s v="ORD-00388"/>
    <d v="2024-10-19T00:00:00"/>
    <s v="CUST-0247"/>
    <s v="PROD-002"/>
    <s v="R014"/>
    <n v="8"/>
    <n v="2600"/>
    <n v="26.7"/>
    <n v="15246.4"/>
    <s v="Completed"/>
    <x v="0"/>
    <s v="Electronics"/>
    <s v="SMB"/>
    <n v="35"/>
    <s v="South"/>
    <s v="R014"/>
    <n v="995713.54000000015"/>
    <s v="South"/>
    <s v="Electronics"/>
    <n v="1052"/>
  </r>
  <r>
    <s v="ORD-00389"/>
    <d v="2024-05-28T00:00:00"/>
    <s v="CUST-0047"/>
    <s v="PROD-011"/>
    <s v="R020"/>
    <n v="10"/>
    <n v="3450"/>
    <n v="20.399999999999999"/>
    <n v="27462"/>
    <s v="Completed"/>
    <x v="0"/>
    <s v="Apparel"/>
    <s v="Retail"/>
    <n v="49"/>
    <s v="East"/>
    <s v="R020"/>
    <n v="906107.71000000008"/>
    <s v="East"/>
    <s v="Apparel"/>
    <n v="1748"/>
  </r>
  <r>
    <s v="ORD-00390"/>
    <d v="2024-05-28T00:00:00"/>
    <s v="CUST-0118"/>
    <s v="PROD-056"/>
    <s v="R019"/>
    <n v="1"/>
    <n v="6940"/>
    <n v="9.6999999999999993"/>
    <n v="6266.82"/>
    <s v="Completed"/>
    <x v="5"/>
    <s v="Sports"/>
    <s v="Retail"/>
    <n v="26"/>
    <s v="East"/>
    <s v="R019"/>
    <n v="971183.52000000014"/>
    <s v="East"/>
    <s v="Sports"/>
    <n v="2827"/>
  </r>
  <r>
    <s v="ORD-00391"/>
    <d v="2024-03-07T00:00:00"/>
    <s v="CUST-0019"/>
    <s v="PROD-043"/>
    <s v="R006"/>
    <n v="10"/>
    <n v="3350"/>
    <n v="3.2"/>
    <n v="32428"/>
    <s v="Completed"/>
    <x v="1"/>
    <s v="Beauty"/>
    <s v="Retail"/>
    <n v="22"/>
    <s v="North"/>
    <s v="R006"/>
    <n v="1138648.73"/>
    <s v="North"/>
    <s v="Beauty"/>
    <n v="1728"/>
  </r>
  <r>
    <s v="ORD-00392"/>
    <d v="2024-04-05T00:00:00"/>
    <s v="CUST-0290"/>
    <s v="PROD-041"/>
    <s v="R026"/>
    <n v="7"/>
    <n v="1540"/>
    <n v="0.5"/>
    <n v="10726.1"/>
    <s v="Completed"/>
    <x v="2"/>
    <s v="Beauty"/>
    <s v="Retail"/>
    <n v="63"/>
    <s v="West"/>
    <s v="R026"/>
    <n v="576305.08000000019"/>
    <s v="West"/>
    <s v="Beauty"/>
    <n v="647"/>
  </r>
  <r>
    <s v="ORD-00393"/>
    <d v="2024-12-29T00:00:00"/>
    <s v="CUST-9557"/>
    <s v="PROD-014"/>
    <s v="R026"/>
    <n v="10"/>
    <n v="3620"/>
    <n v="22"/>
    <n v="28236"/>
    <s v="Completed"/>
    <x v="0"/>
    <s v="Apparel"/>
    <e v="#N/A"/>
    <e v="#N/A"/>
    <s v="West"/>
    <s v="R026"/>
    <n v="576305.08000000019"/>
    <s v="West"/>
    <s v="Apparel"/>
    <n v="2509"/>
  </r>
  <r>
    <s v="ORD-00394"/>
    <d v="2024-12-03T00:00:00"/>
    <s v="CUST-0291"/>
    <s v="PROD-053"/>
    <s v="R026"/>
    <n v="2"/>
    <n v="470"/>
    <n v="26.5"/>
    <n v="690.9"/>
    <s v="Pending"/>
    <x v="0"/>
    <s v="Sports"/>
    <s v="SMB"/>
    <n v="29"/>
    <s v="West"/>
    <s v="R026"/>
    <n v="576305.08000000019"/>
    <s v="West"/>
    <s v="Sports"/>
    <n v="302"/>
  </r>
  <r>
    <s v="ORD-00395"/>
    <d v="2024-02-01T00:00:00"/>
    <s v="CUST-0045"/>
    <s v="PROD-028"/>
    <s v="R010"/>
    <n v="6"/>
    <n v="3660"/>
    <n v="1.5"/>
    <n v="21630.6"/>
    <s v="Completed"/>
    <x v="1"/>
    <s v="Grocery"/>
    <s v="SMB"/>
    <n v="39"/>
    <s v="South"/>
    <s v="R010"/>
    <n v="880345.20000000007"/>
    <s v="South"/>
    <s v="Grocery"/>
    <n v="2214"/>
  </r>
  <r>
    <s v="ORD-00396"/>
    <d v="2024-05-20T00:00:00"/>
    <s v="CUST-0281"/>
    <s v="PROD-056"/>
    <s v="R017"/>
    <n v="10"/>
    <n v="6940"/>
    <n v="1.9"/>
    <n v="68081.399999999994"/>
    <s v="Completed"/>
    <x v="4"/>
    <s v="Sports"/>
    <s v="Corporate"/>
    <n v="57"/>
    <s v="East"/>
    <s v="R017"/>
    <n v="780384.40999999992"/>
    <s v="East"/>
    <s v="Sports"/>
    <n v="2827"/>
  </r>
  <r>
    <s v="ORD-00397"/>
    <d v="2024-04-15T00:00:00"/>
    <s v="CUST-0073"/>
    <s v="PROD-042"/>
    <s v="R005"/>
    <n v="8"/>
    <n v="2290"/>
    <n v="27.9"/>
    <n v="13208.72"/>
    <s v="Completed"/>
    <x v="0"/>
    <s v="Beauty"/>
    <s v="Corporate"/>
    <n v="40"/>
    <s v="North"/>
    <s v="R005"/>
    <n v="782445.33"/>
    <s v="North"/>
    <s v="Beauty"/>
    <n v="1219"/>
  </r>
  <r>
    <s v="ORD-00398"/>
    <d v="2024-10-08T00:00:00"/>
    <s v="CUST-0043"/>
    <s v="PROD-012"/>
    <s v="R024"/>
    <n v="9"/>
    <n v="3160"/>
    <n v="10.199999999999999"/>
    <n v="25539.119999999999"/>
    <s v="Completed"/>
    <x v="5"/>
    <s v="Apparel"/>
    <s v="Retail"/>
    <n v="61"/>
    <s v="West"/>
    <s v="R024"/>
    <n v="819558.58"/>
    <s v="West"/>
    <s v="Apparel"/>
    <n v="1886"/>
  </r>
  <r>
    <s v="ORD-00399"/>
    <d v="2024-01-16T00:00:00"/>
    <s v="CUST-0154"/>
    <s v="PROD-034"/>
    <s v="R028"/>
    <n v="6"/>
    <n v="5080"/>
    <n v="25.4"/>
    <n v="22738.080000000002"/>
    <s v="Completed"/>
    <x v="0"/>
    <s v="Home"/>
    <s v="Retail"/>
    <n v="36"/>
    <s v="West"/>
    <s v="R028"/>
    <n v="880468.05"/>
    <s v="West"/>
    <s v="Home"/>
    <n v="2459"/>
  </r>
  <r>
    <s v="ORD-00400"/>
    <d v="2024-11-24T00:00:00"/>
    <s v="CUST-0061"/>
    <s v="PROD-021"/>
    <s v="R012"/>
    <n v="6"/>
    <n v="2760"/>
    <n v="21.3"/>
    <n v="13032.72"/>
    <s v="Completed"/>
    <x v="5"/>
    <s v="Grocery"/>
    <s v="Retail"/>
    <n v="64"/>
    <s v="South"/>
    <s v="R012"/>
    <n v="901394.32000000007"/>
    <s v="South"/>
    <s v="Grocery"/>
    <n v="1435"/>
  </r>
  <r>
    <s v="ORD-00401"/>
    <d v="2024-06-19T00:00:00"/>
    <s v="CUST-9654"/>
    <s v="PROD-009"/>
    <s v="R012"/>
    <n v="5"/>
    <n v="1220"/>
    <n v="7.6"/>
    <n v="5636.4"/>
    <s v="Completed"/>
    <x v="3"/>
    <s v="Electronics"/>
    <e v="#N/A"/>
    <e v="#N/A"/>
    <s v="South"/>
    <s v="R012"/>
    <n v="901394.32000000007"/>
    <s v="South"/>
    <s v="Electronics"/>
    <n v="517"/>
  </r>
  <r>
    <s v="ORD-00402"/>
    <d v="2024-11-26T00:00:00"/>
    <s v="CUST-0189"/>
    <s v="PROD-046"/>
    <s v="R028"/>
    <n v="5"/>
    <n v="4880"/>
    <n v="8.5"/>
    <n v="22326"/>
    <s v="Completed"/>
    <x v="1"/>
    <s v="Beauty"/>
    <s v="Retail"/>
    <n v="41"/>
    <s v="West"/>
    <s v="R028"/>
    <n v="880468.05"/>
    <s v="West"/>
    <s v="Beauty"/>
    <n v="2768"/>
  </r>
  <r>
    <s v="ORD-00403"/>
    <d v="2024-10-31T00:00:00"/>
    <s v="CUST-0152"/>
    <s v="PROD-026"/>
    <s v="R022"/>
    <n v="7"/>
    <n v="4070"/>
    <n v="28"/>
    <n v="20512.8"/>
    <s v="Completed"/>
    <x v="4"/>
    <s v="Grocery"/>
    <s v="SMB"/>
    <n v="64"/>
    <s v="East"/>
    <s v="R022"/>
    <n v="1069570.5400000003"/>
    <s v="East"/>
    <s v="Grocery"/>
    <n v="2027"/>
  </r>
  <r>
    <s v="ORD-00404"/>
    <d v="2024-08-02T00:00:00"/>
    <s v="CUST-0284"/>
    <s v="PROD-006"/>
    <s v="R028"/>
    <n v="2"/>
    <n v="3970"/>
    <n v="14"/>
    <n v="6828.4"/>
    <s v="Completed"/>
    <x v="5"/>
    <s v="Electronics"/>
    <s v="SMB"/>
    <n v="65"/>
    <s v="West"/>
    <s v="R028"/>
    <n v="880468.05"/>
    <s v="West"/>
    <s v="Electronics"/>
    <n v="2865"/>
  </r>
  <r>
    <s v="ORD-00405"/>
    <d v="2024-02-27T00:00:00"/>
    <s v="CUST-0175"/>
    <s v="PROD-008"/>
    <s v="R018"/>
    <n v="9"/>
    <n v="2660"/>
    <n v="10.1"/>
    <n v="21522.06"/>
    <s v="Completed"/>
    <x v="2"/>
    <s v="Electronics"/>
    <s v="Corporate"/>
    <n v="55"/>
    <s v="East"/>
    <s v="R018"/>
    <n v="1112289.6400000001"/>
    <s v="East"/>
    <s v="Electronics"/>
    <n v="1259"/>
  </r>
  <r>
    <s v="ORD-00406"/>
    <d v="2024-04-25T00:00:00"/>
    <s v="CUST-0093"/>
    <s v="PROD-055"/>
    <s v="R022"/>
    <n v="9"/>
    <n v="2860"/>
    <n v="10.1"/>
    <n v="23140.26"/>
    <s v="Refunded"/>
    <x v="0"/>
    <s v="Sports"/>
    <s v="Retail"/>
    <n v="36"/>
    <s v="East"/>
    <s v="R022"/>
    <n v="1069570.5400000003"/>
    <s v="East"/>
    <s v="Sports"/>
    <n v="2028"/>
  </r>
  <r>
    <s v="ORD-00407"/>
    <d v="2024-10-26T00:00:00"/>
    <s v="CUST-0033"/>
    <s v="PROD-009"/>
    <s v="R007"/>
    <n v="7"/>
    <n v="1220"/>
    <n v="23.5"/>
    <n v="6533.1"/>
    <s v="Refunded"/>
    <x v="2"/>
    <s v="Electronics"/>
    <s v="Retail"/>
    <n v="35"/>
    <s v="North"/>
    <s v="R007"/>
    <n v="855749.67999999982"/>
    <s v="North"/>
    <s v="Electronics"/>
    <n v="517"/>
  </r>
  <r>
    <s v="ORD-00408"/>
    <d v="2024-10-19T00:00:00"/>
    <s v="CUST-0294"/>
    <s v="PROD-022"/>
    <s v="R026"/>
    <n v="1"/>
    <n v="2270"/>
    <n v="5.8"/>
    <n v="2138.34"/>
    <s v="Cancelled"/>
    <x v="2"/>
    <s v="Grocery"/>
    <s v="Corporate"/>
    <n v="31"/>
    <s v="West"/>
    <s v="R026"/>
    <n v="576305.08000000019"/>
    <s v="West"/>
    <s v="Grocery"/>
    <n v="1412"/>
  </r>
  <r>
    <s v="ORD-00409"/>
    <d v="2024-10-16T00:00:00"/>
    <s v="CUST-0115"/>
    <s v="PROD-037"/>
    <s v="R002"/>
    <n v="2"/>
    <n v="660"/>
    <n v="2.2999999999999998"/>
    <n v="1289.6400000000001"/>
    <s v="Completed"/>
    <x v="3"/>
    <s v="Home"/>
    <s v="SMB"/>
    <n v="65"/>
    <s v="North"/>
    <s v="R002"/>
    <n v="980063.65999999968"/>
    <s v="North"/>
    <s v="Home"/>
    <n v="329"/>
  </r>
  <r>
    <s v="ORD-00410"/>
    <d v="2024-05-29T00:00:00"/>
    <s v="CUST-0219"/>
    <s v="PROD-012"/>
    <s v="R014"/>
    <n v="1"/>
    <n v="3160"/>
    <n v="5.6"/>
    <n v="2983.04"/>
    <s v="Completed"/>
    <x v="1"/>
    <s v="Apparel"/>
    <s v="Corporate"/>
    <n v="38"/>
    <s v="South"/>
    <s v="R014"/>
    <n v="995713.54000000015"/>
    <s v="South"/>
    <s v="Apparel"/>
    <n v="1886"/>
  </r>
  <r>
    <s v="ORD-00411"/>
    <d v="2024-04-26T00:00:00"/>
    <s v="CUST-0180"/>
    <s v="PROD-002"/>
    <s v="R013"/>
    <n v="1"/>
    <n v="2600"/>
    <n v="1"/>
    <n v="2574"/>
    <s v="Completed"/>
    <x v="1"/>
    <s v="Electronics"/>
    <s v="Retail"/>
    <n v="36"/>
    <s v="South"/>
    <s v="R013"/>
    <n v="811524.37999999989"/>
    <s v="South"/>
    <s v="Electronics"/>
    <n v="1052"/>
  </r>
  <r>
    <s v="ORD-00412"/>
    <d v="2024-08-11T00:00:00"/>
    <s v="CUST-0148"/>
    <s v="PROD-039"/>
    <s v="R014"/>
    <n v="4"/>
    <n v="4610"/>
    <n v="18.7"/>
    <n v="14991.72"/>
    <s v="Completed"/>
    <x v="1"/>
    <s v="Home"/>
    <s v="Retail"/>
    <n v="32"/>
    <s v="South"/>
    <s v="R014"/>
    <n v="995713.54000000015"/>
    <s v="South"/>
    <s v="Home"/>
    <n v="1850"/>
  </r>
  <r>
    <s v="ORD-00413"/>
    <d v="2024-04-30T00:00:00"/>
    <s v="CUST-0026"/>
    <s v="PROD-013"/>
    <s v="R018"/>
    <n v="3"/>
    <n v="3640"/>
    <n v="9.6999999999999993"/>
    <n v="9860.76"/>
    <s v="Cancelled"/>
    <x v="0"/>
    <s v="Apparel"/>
    <s v="Retail"/>
    <n v="62"/>
    <s v="East"/>
    <s v="R018"/>
    <n v="1112289.6400000001"/>
    <s v="East"/>
    <s v="Apparel"/>
    <n v="2611"/>
  </r>
  <r>
    <s v="ORD-00414"/>
    <d v="2024-06-05T00:00:00"/>
    <s v="CUST-0246"/>
    <s v="PROD-015"/>
    <s v="R004"/>
    <n v="6"/>
    <n v="2720"/>
    <n v="13"/>
    <n v="14198.4"/>
    <s v="Pending"/>
    <x v="2"/>
    <s v="Apparel"/>
    <s v="SMB"/>
    <n v="29"/>
    <s v="North"/>
    <s v="R004"/>
    <n v="589026.2899999998"/>
    <s v="North"/>
    <s v="Apparel"/>
    <n v="1962"/>
  </r>
  <r>
    <s v="ORD-00415"/>
    <d v="2024-12-18T00:00:00"/>
    <s v="CUST-0125"/>
    <s v="PROD-059"/>
    <s v="R008"/>
    <n v="5"/>
    <n v="3780"/>
    <n v="15.2"/>
    <n v="16027.2"/>
    <s v="Completed"/>
    <x v="2"/>
    <s v="Sports"/>
    <s v="Retail"/>
    <n v="45"/>
    <s v="North"/>
    <s v="R008"/>
    <n v="861553.33"/>
    <s v="North"/>
    <s v="Sports"/>
    <n v="1860"/>
  </r>
  <r>
    <s v="ORD-00416"/>
    <d v="2024-04-25T00:00:00"/>
    <s v="CUST-0190"/>
    <s v="PROD-035"/>
    <s v="R030"/>
    <n v="9"/>
    <n v="1090"/>
    <n v="28.5"/>
    <n v="7014.15"/>
    <s v="Completed"/>
    <x v="5"/>
    <s v="Home"/>
    <s v="Retail"/>
    <n v="52"/>
    <s v="West"/>
    <s v="R030"/>
    <n v="747624.36999999988"/>
    <s v="West"/>
    <s v="Home"/>
    <n v="464"/>
  </r>
  <r>
    <s v="ORD-00417"/>
    <d v="2024-10-16T00:00:00"/>
    <s v="CUST-0085"/>
    <s v="PROD-035"/>
    <s v="R028"/>
    <n v="6"/>
    <n v="1090"/>
    <n v="28.7"/>
    <n v="4663.0200000000004"/>
    <s v="Completed"/>
    <x v="1"/>
    <s v="Home"/>
    <s v="Retail"/>
    <n v="26"/>
    <s v="West"/>
    <s v="R028"/>
    <n v="880468.05"/>
    <s v="West"/>
    <s v="Home"/>
    <n v="464"/>
  </r>
  <r>
    <s v="ORD-00418"/>
    <d v="2024-03-15T00:00:00"/>
    <s v="CUST-0249"/>
    <s v="PROD-017"/>
    <s v="R030"/>
    <n v="5"/>
    <n v="2510"/>
    <n v="25"/>
    <n v="9412.5"/>
    <s v="Completed"/>
    <x v="3"/>
    <s v="Apparel"/>
    <s v="Retail"/>
    <n v="44"/>
    <s v="West"/>
    <s v="R030"/>
    <n v="747624.36999999988"/>
    <s v="West"/>
    <s v="Apparel"/>
    <n v="1075"/>
  </r>
  <r>
    <s v="ORD-00419"/>
    <d v="2024-10-12T00:00:00"/>
    <s v="CUST-0012"/>
    <s v="PROD-006"/>
    <s v="R010"/>
    <n v="5"/>
    <n v="3970"/>
    <n v="26"/>
    <n v="14689"/>
    <s v="Completed"/>
    <x v="0"/>
    <s v="Electronics"/>
    <s v="Retail"/>
    <n v="43"/>
    <s v="South"/>
    <s v="R010"/>
    <n v="880345.20000000007"/>
    <s v="South"/>
    <s v="Electronics"/>
    <n v="2865"/>
  </r>
  <r>
    <s v="ORD-00420"/>
    <d v="2024-02-11T00:00:00"/>
    <s v="CUST-0251"/>
    <s v="PROD-026"/>
    <s v="R001"/>
    <n v="9"/>
    <n v="4070"/>
    <n v="15.7"/>
    <n v="30879.09"/>
    <s v="Completed"/>
    <x v="3"/>
    <s v="Grocery"/>
    <s v="Retail"/>
    <n v="44"/>
    <s v="North"/>
    <s v="R001"/>
    <n v="789849.60000000009"/>
    <s v="North"/>
    <s v="Grocery"/>
    <n v="2027"/>
  </r>
  <r>
    <s v="ORD-00421"/>
    <d v="2024-05-06T00:00:00"/>
    <s v="CUST-0088"/>
    <s v="PROD-038"/>
    <s v="R004"/>
    <n v="6"/>
    <n v="5490"/>
    <n v="8.5"/>
    <n v="30140.1"/>
    <s v="Refunded"/>
    <x v="1"/>
    <s v="Home"/>
    <s v="Retail"/>
    <n v="24"/>
    <s v="North"/>
    <s v="R004"/>
    <n v="589026.2899999998"/>
    <s v="North"/>
    <s v="Home"/>
    <n v="2549"/>
  </r>
  <r>
    <s v="ORD-00422"/>
    <d v="2024-11-19T00:00:00"/>
    <s v="CUST-0037"/>
    <s v="PROD-054"/>
    <s v="R022"/>
    <n v="9"/>
    <n v="1010"/>
    <n v="3.6"/>
    <n v="8762.76"/>
    <s v="Completed"/>
    <x v="4"/>
    <s v="Sports"/>
    <s v="Retail"/>
    <n v="52"/>
    <s v="East"/>
    <s v="R022"/>
    <n v="1069570.5400000003"/>
    <s v="East"/>
    <s v="Sports"/>
    <n v="516"/>
  </r>
  <r>
    <s v="ORD-00423"/>
    <d v="2024-12-05T00:00:00"/>
    <s v="CUST-0039"/>
    <s v="PROD-028"/>
    <s v="R008"/>
    <n v="6"/>
    <n v="3660"/>
    <n v="10.8"/>
    <n v="19588.32"/>
    <s v="Completed"/>
    <x v="4"/>
    <s v="Grocery"/>
    <s v="Retail"/>
    <n v="37"/>
    <s v="North"/>
    <s v="R008"/>
    <n v="861553.33"/>
    <s v="North"/>
    <s v="Grocery"/>
    <n v="2214"/>
  </r>
  <r>
    <s v="ORD-00424"/>
    <d v="2024-08-20T00:00:00"/>
    <s v="CUST-0106"/>
    <s v="PROD-047"/>
    <s v="R016"/>
    <n v="6"/>
    <n v="3450"/>
    <n v="10.7"/>
    <n v="18485.099999999999"/>
    <s v="Completed"/>
    <x v="0"/>
    <s v="Beauty"/>
    <s v="Retail"/>
    <n v="22"/>
    <s v="South"/>
    <s v="R016"/>
    <n v="814563.7100000002"/>
    <s v="South"/>
    <s v="Beauty"/>
    <n v="2420"/>
  </r>
  <r>
    <s v="ORD-00425"/>
    <d v="2024-03-28T00:00:00"/>
    <s v="CUST-0222"/>
    <s v="PROD-026"/>
    <s v="R011"/>
    <n v="10"/>
    <n v="4070"/>
    <n v="23.4"/>
    <n v="31176.2"/>
    <s v="Refunded"/>
    <x v="1"/>
    <s v="Grocery"/>
    <s v="Retail"/>
    <n v="37"/>
    <s v="South"/>
    <s v="R011"/>
    <n v="735207.75999999989"/>
    <s v="South"/>
    <s v="Grocery"/>
    <n v="2027"/>
  </r>
  <r>
    <s v="ORD-00426"/>
    <d v="2024-06-11T00:00:00"/>
    <s v="CUST-0130"/>
    <s v="PROD-003"/>
    <s v="R025"/>
    <n v="9"/>
    <n v="3570"/>
    <n v="15.2"/>
    <n v="27246.240000000002"/>
    <s v="Completed"/>
    <x v="4"/>
    <s v="Electronics"/>
    <s v="Corporate"/>
    <n v="41"/>
    <s v="West"/>
    <s v="R025"/>
    <n v="901298.89"/>
    <s v="West"/>
    <s v="Electronics"/>
    <n v="1665"/>
  </r>
  <r>
    <s v="ORD-00427"/>
    <d v="2024-09-27T00:00:00"/>
    <s v="CUST-0281"/>
    <s v="PROD-056"/>
    <s v="R005"/>
    <n v="10"/>
    <n v="6940"/>
    <n v="21.8"/>
    <n v="54270.8"/>
    <s v="Pending"/>
    <x v="4"/>
    <s v="Sports"/>
    <s v="Corporate"/>
    <n v="57"/>
    <s v="North"/>
    <s v="R005"/>
    <n v="782445.33"/>
    <s v="North"/>
    <s v="Sports"/>
    <n v="2827"/>
  </r>
  <r>
    <s v="ORD-00428"/>
    <d v="2024-07-16T00:00:00"/>
    <s v="CUST-0094"/>
    <s v="PROD-044"/>
    <s v="R014"/>
    <n v="9"/>
    <n v="1650"/>
    <n v="24.3"/>
    <n v="11241.45"/>
    <s v="Completed"/>
    <x v="0"/>
    <s v="Beauty"/>
    <s v="SMB"/>
    <n v="60"/>
    <s v="South"/>
    <s v="R014"/>
    <n v="995713.54000000015"/>
    <s v="South"/>
    <s v="Beauty"/>
    <n v="1222"/>
  </r>
  <r>
    <s v="ORD-00429"/>
    <d v="2024-11-28T00:00:00"/>
    <s v="CUST-0271"/>
    <s v="PROD-007"/>
    <s v="R014"/>
    <n v="10"/>
    <n v="1430"/>
    <n v="25.2"/>
    <n v="10696.4"/>
    <s v="Completed"/>
    <x v="4"/>
    <s v="Electronics"/>
    <s v="Corporate"/>
    <n v="41"/>
    <s v="South"/>
    <s v="R014"/>
    <n v="995713.54000000015"/>
    <s v="South"/>
    <s v="Electronics"/>
    <n v="861"/>
  </r>
  <r>
    <s v="ORD-00430"/>
    <d v="2024-07-07T00:00:00"/>
    <s v="CUST-0110"/>
    <s v="PROD-025"/>
    <s v="R010"/>
    <n v="4"/>
    <n v="4060"/>
    <n v="1.6"/>
    <n v="15980.16"/>
    <s v="Completed"/>
    <x v="0"/>
    <s v="Grocery"/>
    <s v="Corporate"/>
    <n v="31"/>
    <s v="South"/>
    <s v="R010"/>
    <n v="880345.20000000007"/>
    <s v="South"/>
    <s v="Grocery"/>
    <n v="2911"/>
  </r>
  <r>
    <s v="ORD-00431"/>
    <d v="2024-05-08T00:00:00"/>
    <s v="CUST-0262"/>
    <s v="PROD-032"/>
    <s v="R005"/>
    <n v="9"/>
    <n v="370"/>
    <n v="17"/>
    <n v="2763.9"/>
    <s v="Completed"/>
    <x v="3"/>
    <s v="Home"/>
    <s v="Retail"/>
    <n v="52"/>
    <s v="North"/>
    <s v="R005"/>
    <n v="782445.33"/>
    <s v="North"/>
    <s v="Home"/>
    <n v="288"/>
  </r>
  <r>
    <s v="ORD-00432"/>
    <d v="2024-01-31T00:00:00"/>
    <s v="CUST-0157"/>
    <s v="PROD-041"/>
    <s v="R010"/>
    <n v="1"/>
    <n v="1540"/>
    <n v="24"/>
    <n v="1170.4000000000001"/>
    <s v="Cancelled"/>
    <x v="0"/>
    <s v="Beauty"/>
    <s v="Corporate"/>
    <n v="52"/>
    <s v="South"/>
    <s v="R010"/>
    <n v="880345.20000000007"/>
    <s v="South"/>
    <s v="Beauty"/>
    <n v="647"/>
  </r>
  <r>
    <s v="ORD-00433"/>
    <d v="2024-03-31T00:00:00"/>
    <s v="CUST-0135"/>
    <s v="PROD-002"/>
    <s v="R025"/>
    <n v="9"/>
    <n v="2600"/>
    <n v="7.7"/>
    <n v="21598.2"/>
    <s v="Completed"/>
    <x v="0"/>
    <s v="Electronics"/>
    <s v="SMB"/>
    <n v="24"/>
    <s v="West"/>
    <s v="R025"/>
    <n v="901298.89"/>
    <s v="West"/>
    <s v="Electronics"/>
    <n v="1052"/>
  </r>
  <r>
    <s v="ORD-00434"/>
    <d v="2024-07-24T00:00:00"/>
    <s v="CUST-0136"/>
    <s v="PROD-017"/>
    <s v="R015"/>
    <n v="8"/>
    <n v="2510"/>
    <n v="3.7"/>
    <n v="19337.04"/>
    <s v="Completed"/>
    <x v="1"/>
    <s v="Apparel"/>
    <s v="SMB"/>
    <n v="26"/>
    <s v="South"/>
    <s v="R015"/>
    <n v="1091740.1799999997"/>
    <s v="South"/>
    <s v="Apparel"/>
    <n v="1075"/>
  </r>
  <r>
    <s v="ORD-00435"/>
    <d v="2024-08-06T00:00:00"/>
    <s v="CUST-0110"/>
    <s v="PROD-001"/>
    <s v="R003"/>
    <n v="6"/>
    <n v="5330"/>
    <n v="8.4"/>
    <n v="29293.68"/>
    <s v="Completed"/>
    <x v="0"/>
    <s v="Electronics"/>
    <s v="Corporate"/>
    <n v="31"/>
    <s v="North"/>
    <s v="R003"/>
    <n v="986692.91"/>
    <s v="North"/>
    <s v="Electronics"/>
    <n v="2405"/>
  </r>
  <r>
    <s v="ORD-00436"/>
    <d v="2024-08-18T00:00:00"/>
    <s v="CUST-0192"/>
    <s v="PROD-034"/>
    <s v="R014"/>
    <n v="5"/>
    <n v="5080"/>
    <n v="10.3"/>
    <n v="22783.8"/>
    <s v="Completed"/>
    <x v="4"/>
    <s v="Home"/>
    <s v="Retail"/>
    <n v="55"/>
    <s v="South"/>
    <s v="R014"/>
    <n v="995713.54000000015"/>
    <s v="South"/>
    <s v="Home"/>
    <n v="2459"/>
  </r>
  <r>
    <s v="ORD-00437"/>
    <d v="2024-03-30T00:00:00"/>
    <s v="CUST-0169"/>
    <s v="PROD-026"/>
    <s v="R025"/>
    <n v="3"/>
    <n v="4070"/>
    <n v="23.7"/>
    <n v="9316.23"/>
    <s v="Completed"/>
    <x v="4"/>
    <s v="Grocery"/>
    <s v="SMB"/>
    <n v="42"/>
    <s v="West"/>
    <s v="R025"/>
    <n v="901298.89"/>
    <s v="West"/>
    <s v="Grocery"/>
    <n v="2027"/>
  </r>
  <r>
    <s v="ORD-00438"/>
    <d v="2024-08-07T00:00:00"/>
    <s v="CUST-0086"/>
    <s v="PROD-016"/>
    <s v="R013"/>
    <n v="4"/>
    <n v="620"/>
    <n v="18.8"/>
    <n v="2013.76"/>
    <s v="Completed"/>
    <x v="5"/>
    <s v="Apparel"/>
    <s v="Corporate"/>
    <n v="56"/>
    <s v="South"/>
    <s v="R013"/>
    <n v="811524.37999999989"/>
    <s v="South"/>
    <s v="Apparel"/>
    <n v="396"/>
  </r>
  <r>
    <s v="ORD-00439"/>
    <d v="2024-12-02T00:00:00"/>
    <s v="CUST-0217"/>
    <s v="PROD-010"/>
    <s v="R017"/>
    <n v="10"/>
    <n v="2640"/>
    <n v="12.7"/>
    <n v="23047.200000000001"/>
    <s v="Completed"/>
    <x v="0"/>
    <s v="Electronics"/>
    <s v="SMB"/>
    <n v="59"/>
    <s v="East"/>
    <s v="R017"/>
    <n v="780384.40999999992"/>
    <s v="East"/>
    <s v="Electronics"/>
    <n v="1149"/>
  </r>
  <r>
    <s v="ORD-00440"/>
    <d v="2024-02-04T00:00:00"/>
    <s v="CUST-0119"/>
    <s v="PROD-026"/>
    <s v="R030"/>
    <n v="2"/>
    <n v="4070"/>
    <n v="29"/>
    <n v="5779.4"/>
    <s v="Completed"/>
    <x v="4"/>
    <s v="Grocery"/>
    <s v="SMB"/>
    <n v="43"/>
    <s v="West"/>
    <s v="R030"/>
    <n v="747624.36999999988"/>
    <s v="West"/>
    <s v="Grocery"/>
    <n v="2027"/>
  </r>
  <r>
    <s v="ORD-00441"/>
    <d v="2024-09-26T00:00:00"/>
    <s v="CUST-0011"/>
    <s v="PROD-054"/>
    <s v="R007"/>
    <n v="8"/>
    <n v="1010"/>
    <n v="25.4"/>
    <n v="6027.68"/>
    <s v="Completed"/>
    <x v="1"/>
    <s v="Sports"/>
    <s v="Corporate"/>
    <n v="41"/>
    <s v="North"/>
    <s v="R007"/>
    <n v="855749.67999999982"/>
    <s v="North"/>
    <s v="Sports"/>
    <n v="516"/>
  </r>
  <r>
    <s v="ORD-00442"/>
    <d v="2024-12-03T00:00:00"/>
    <s v="CUST-0059"/>
    <s v="PROD-036"/>
    <s v="R005"/>
    <n v="8"/>
    <n v="3250"/>
    <n v="5.4"/>
    <n v="24596"/>
    <s v="Completed"/>
    <x v="0"/>
    <s v="Home"/>
    <s v="Corporate"/>
    <n v="29"/>
    <s v="North"/>
    <s v="R005"/>
    <n v="782445.33"/>
    <s v="North"/>
    <s v="Home"/>
    <n v="1556"/>
  </r>
  <r>
    <s v="ORD-00443"/>
    <d v="2024-06-17T00:00:00"/>
    <s v="CUST-0210"/>
    <s v="PROD-007"/>
    <s v="R009"/>
    <n v="7"/>
    <n v="1430"/>
    <n v="19.3"/>
    <n v="8078.07"/>
    <s v="Completed"/>
    <x v="0"/>
    <s v="Electronics"/>
    <s v="Corporate"/>
    <n v="48"/>
    <s v="South"/>
    <s v="R009"/>
    <n v="914554.71999999986"/>
    <s v="South"/>
    <s v="Electronics"/>
    <n v="861"/>
  </r>
  <r>
    <s v="ORD-00444"/>
    <d v="2024-11-01T00:00:00"/>
    <s v="CUST-0145"/>
    <s v="PROD-045"/>
    <s v="R018"/>
    <n v="9"/>
    <n v="3020"/>
    <n v="15"/>
    <n v="23103"/>
    <s v="Completed"/>
    <x v="4"/>
    <s v="Beauty"/>
    <s v="SMB"/>
    <n v="44"/>
    <s v="East"/>
    <s v="R018"/>
    <n v="1112289.6400000001"/>
    <s v="East"/>
    <s v="Beauty"/>
    <n v="1626"/>
  </r>
  <r>
    <s v="ORD-00445"/>
    <d v="2024-02-02T00:00:00"/>
    <s v="CUST-9626"/>
    <s v="PROD-008"/>
    <s v="R002"/>
    <n v="2"/>
    <n v="2660"/>
    <n v="21.4"/>
    <n v="4181.5200000000004"/>
    <s v="Completed"/>
    <x v="1"/>
    <s v="Electronics"/>
    <e v="#N/A"/>
    <e v="#N/A"/>
    <s v="North"/>
    <s v="R002"/>
    <n v="980063.65999999968"/>
    <s v="North"/>
    <s v="Electronics"/>
    <n v="1259"/>
  </r>
  <r>
    <s v="ORD-00446"/>
    <d v="2024-07-17T00:00:00"/>
    <s v="CUST-0250"/>
    <s v="PROD-003"/>
    <s v="R019"/>
    <n v="10"/>
    <n v="3570"/>
    <n v="20.3"/>
    <n v="28452.9"/>
    <s v="Completed"/>
    <x v="2"/>
    <s v="Electronics"/>
    <s v="Retail"/>
    <n v="31"/>
    <s v="East"/>
    <s v="R019"/>
    <n v="971183.52000000014"/>
    <s v="East"/>
    <s v="Electronics"/>
    <n v="1665"/>
  </r>
  <r>
    <s v="ORD-00447"/>
    <d v="2024-02-08T00:00:00"/>
    <s v="CUST-0241"/>
    <s v="PROD-043"/>
    <s v="R010"/>
    <n v="4"/>
    <n v="3350"/>
    <n v="28.1"/>
    <n v="9634.6"/>
    <s v="Completed"/>
    <x v="0"/>
    <s v="Beauty"/>
    <s v="Corporate"/>
    <n v="47"/>
    <s v="South"/>
    <s v="R010"/>
    <n v="880345.20000000007"/>
    <s v="South"/>
    <s v="Beauty"/>
    <n v="1728"/>
  </r>
  <r>
    <s v="ORD-00448"/>
    <d v="2024-02-14T00:00:00"/>
    <s v="CUST-0071"/>
    <s v="PROD-019"/>
    <s v="R021"/>
    <n v="1"/>
    <n v="2480"/>
    <n v="13.5"/>
    <n v="2145.1999999999998"/>
    <s v="Completed"/>
    <x v="2"/>
    <s v="Apparel"/>
    <s v="Corporate"/>
    <n v="46"/>
    <s v="East"/>
    <s v="R021"/>
    <n v="761507.17000000027"/>
    <s v="East"/>
    <s v="Apparel"/>
    <n v="1173"/>
  </r>
  <r>
    <s v="ORD-00449"/>
    <d v="2024-12-23T00:00:00"/>
    <s v="CUST-0017"/>
    <s v="PROD-052"/>
    <s v="R015"/>
    <n v="10"/>
    <n v="5410"/>
    <n v="26.1"/>
    <n v="39979.9"/>
    <s v="Completed"/>
    <x v="2"/>
    <s v="Sports"/>
    <s v="SMB"/>
    <n v="38"/>
    <s v="South"/>
    <s v="R015"/>
    <n v="1091740.1799999997"/>
    <s v="South"/>
    <s v="Sports"/>
    <n v="2265"/>
  </r>
  <r>
    <s v="ORD-00450"/>
    <d v="2024-10-21T00:00:00"/>
    <s v="CUST-0007"/>
    <s v="PROD-037"/>
    <s v="R023"/>
    <n v="2"/>
    <n v="660"/>
    <n v="5"/>
    <n v="1254"/>
    <s v="Completed"/>
    <x v="4"/>
    <s v="Home"/>
    <s v="Retail"/>
    <n v="47"/>
    <s v="East"/>
    <s v="R023"/>
    <n v="983787.4800000001"/>
    <s v="East"/>
    <s v="Home"/>
    <n v="329"/>
  </r>
  <r>
    <s v="ORD-00451"/>
    <d v="2024-12-21T00:00:00"/>
    <s v="CUST-0054"/>
    <s v="PROD-054"/>
    <s v="R007"/>
    <n v="10"/>
    <n v="1010"/>
    <n v="10"/>
    <n v="9090"/>
    <s v="Completed"/>
    <x v="3"/>
    <s v="Sports"/>
    <s v="Corporate"/>
    <n v="62"/>
    <s v="North"/>
    <s v="R007"/>
    <n v="855749.67999999982"/>
    <s v="North"/>
    <s v="Sports"/>
    <n v="516"/>
  </r>
  <r>
    <s v="ORD-00452"/>
    <d v="2024-07-23T00:00:00"/>
    <s v="CUST-0038"/>
    <s v="PROD-042"/>
    <s v="R001"/>
    <n v="3"/>
    <n v="2290"/>
    <n v="8.9"/>
    <n v="6258.57"/>
    <s v="Completed"/>
    <x v="3"/>
    <s v="Beauty"/>
    <s v="Retail"/>
    <n v="57"/>
    <s v="North"/>
    <s v="R001"/>
    <n v="789849.60000000009"/>
    <s v="North"/>
    <s v="Beauty"/>
    <n v="1219"/>
  </r>
  <r>
    <s v="ORD-00453"/>
    <d v="2024-03-18T00:00:00"/>
    <s v="CUST-0066"/>
    <s v="PROD-047"/>
    <s v="R001"/>
    <n v="9"/>
    <n v="3450"/>
    <n v="24.3"/>
    <n v="23504.85"/>
    <s v="Completed"/>
    <x v="2"/>
    <s v="Beauty"/>
    <s v="Retail"/>
    <n v="24"/>
    <s v="North"/>
    <s v="R001"/>
    <n v="789849.60000000009"/>
    <s v="North"/>
    <s v="Beauty"/>
    <n v="2420"/>
  </r>
  <r>
    <s v="ORD-00454"/>
    <d v="2024-04-07T00:00:00"/>
    <s v="CUST-0161"/>
    <s v="PROD-013"/>
    <s v="R003"/>
    <n v="10"/>
    <n v="3640"/>
    <n v="21.4"/>
    <n v="28610.400000000001"/>
    <s v="Cancelled"/>
    <x v="1"/>
    <s v="Apparel"/>
    <s v="Retail"/>
    <n v="38"/>
    <s v="North"/>
    <s v="R003"/>
    <n v="986692.91"/>
    <s v="North"/>
    <s v="Apparel"/>
    <n v="2611"/>
  </r>
  <r>
    <s v="ORD-00455"/>
    <d v="2024-02-14T00:00:00"/>
    <s v="CUST-0072"/>
    <s v="PROD-023"/>
    <s v="R015"/>
    <n v="5"/>
    <n v="2380"/>
    <n v="12.2"/>
    <n v="10448.200000000001"/>
    <s v="Completed"/>
    <x v="3"/>
    <s v="Grocery"/>
    <s v="Corporate"/>
    <n v="62"/>
    <s v="South"/>
    <s v="R015"/>
    <n v="1091740.1799999997"/>
    <s v="South"/>
    <s v="Grocery"/>
    <n v="1182"/>
  </r>
  <r>
    <s v="ORD-00456"/>
    <d v="2024-08-01T00:00:00"/>
    <s v="CUST-0232"/>
    <s v="PROD-052"/>
    <s v="R017"/>
    <n v="10"/>
    <n v="5410"/>
    <n v="29.8"/>
    <n v="37978.199999999997"/>
    <s v="Completed"/>
    <x v="5"/>
    <s v="Sports"/>
    <s v="Retail"/>
    <n v="38"/>
    <s v="East"/>
    <s v="R017"/>
    <n v="780384.40999999992"/>
    <s v="East"/>
    <s v="Sports"/>
    <n v="2265"/>
  </r>
  <r>
    <s v="ORD-00457"/>
    <d v="2024-03-24T00:00:00"/>
    <s v="CUST-0054"/>
    <s v="PROD-044"/>
    <s v="R021"/>
    <n v="3"/>
    <n v="1650"/>
    <n v="9.4"/>
    <n v="4484.7"/>
    <s v="Cancelled"/>
    <x v="3"/>
    <s v="Beauty"/>
    <s v="Corporate"/>
    <n v="62"/>
    <s v="East"/>
    <s v="R021"/>
    <n v="761507.17000000027"/>
    <s v="East"/>
    <s v="Beauty"/>
    <n v="1222"/>
  </r>
  <r>
    <s v="ORD-00458"/>
    <d v="2024-04-01T00:00:00"/>
    <s v="CUST-0214"/>
    <s v="PROD-002"/>
    <s v="R022"/>
    <n v="7"/>
    <n v="2600"/>
    <n v="19.899999999999999"/>
    <n v="14578.2"/>
    <s v="Pending"/>
    <x v="3"/>
    <s v="Electronics"/>
    <s v="Retail"/>
    <n v="22"/>
    <s v="East"/>
    <s v="R022"/>
    <n v="1069570.5400000003"/>
    <s v="East"/>
    <s v="Electronics"/>
    <n v="1052"/>
  </r>
  <r>
    <s v="ORD-00135"/>
    <d v="2024-07-01T00:00:00"/>
    <s v="CUST-0236"/>
    <s v="PROD-039"/>
    <s v="R002"/>
    <n v="4"/>
    <n v="4610"/>
    <n v="13.2"/>
    <n v="16005.92"/>
    <s v="Completed"/>
    <x v="5"/>
    <s v="Home"/>
    <s v="SMB"/>
    <n v="28"/>
    <s v="North"/>
    <s v="R002"/>
    <n v="980063.65999999968"/>
    <s v="North"/>
    <s v="Home"/>
    <n v="1850"/>
  </r>
  <r>
    <s v="ORD-00460"/>
    <d v="2024-03-10T00:00:00"/>
    <s v="CUST-0031"/>
    <s v="PROD-039"/>
    <s v="R021"/>
    <n v="9"/>
    <n v="4610"/>
    <n v="25.8"/>
    <n v="30785.58"/>
    <s v="Completed"/>
    <x v="5"/>
    <s v="Home"/>
    <s v="Retail"/>
    <n v="53"/>
    <s v="East"/>
    <s v="R021"/>
    <n v="761507.17000000027"/>
    <s v="East"/>
    <s v="Home"/>
    <n v="1850"/>
  </r>
  <r>
    <s v="ORD-00461"/>
    <d v="2024-09-15T00:00:00"/>
    <s v="CUST-0123"/>
    <s v="PROD-005"/>
    <s v="R014"/>
    <n v="5"/>
    <n v="300"/>
    <n v="11.8"/>
    <n v="1323"/>
    <s v="Completed"/>
    <x v="1"/>
    <s v="Electronics"/>
    <s v="Corporate"/>
    <n v="44"/>
    <s v="South"/>
    <s v="R014"/>
    <n v="995713.54000000015"/>
    <s v="South"/>
    <s v="Electronics"/>
    <n v="128"/>
  </r>
  <r>
    <s v="ORD-00462"/>
    <d v="2024-07-12T00:00:00"/>
    <s v="CUST-0019"/>
    <s v="PROD-011"/>
    <s v="R020"/>
    <n v="3"/>
    <n v="3450"/>
    <n v="14.2"/>
    <n v="8880.2999999999993"/>
    <s v="Completed"/>
    <x v="1"/>
    <s v="Apparel"/>
    <s v="Retail"/>
    <n v="22"/>
    <s v="East"/>
    <s v="R020"/>
    <n v="906107.71000000008"/>
    <s v="East"/>
    <s v="Apparel"/>
    <n v="1748"/>
  </r>
  <r>
    <s v="ORD-00463"/>
    <d v="2024-08-19T00:00:00"/>
    <s v="CUST-0171"/>
    <s v="PROD-015"/>
    <s v="R028"/>
    <n v="2"/>
    <n v="2720"/>
    <n v="14.6"/>
    <n v="4645.76"/>
    <s v="Cancelled"/>
    <x v="1"/>
    <s v="Apparel"/>
    <s v="Corporate"/>
    <n v="30"/>
    <s v="West"/>
    <s v="R028"/>
    <n v="880468.05"/>
    <s v="West"/>
    <s v="Apparel"/>
    <n v="1962"/>
  </r>
  <r>
    <s v="ORD-00464"/>
    <d v="2024-11-30T00:00:00"/>
    <s v="CUST-0166"/>
    <s v="PROD-008"/>
    <s v="R017"/>
    <n v="7"/>
    <n v="2660"/>
    <n v="27.4"/>
    <n v="13518.12"/>
    <s v="Cancelled"/>
    <x v="5"/>
    <s v="Electronics"/>
    <s v="Retail"/>
    <n v="31"/>
    <s v="East"/>
    <s v="R017"/>
    <n v="780384.40999999992"/>
    <s v="East"/>
    <s v="Electronics"/>
    <n v="1259"/>
  </r>
  <r>
    <s v="ORD-00465"/>
    <d v="2024-01-11T00:00:00"/>
    <s v="CUST-0151"/>
    <s v="PROD-051"/>
    <s v="R005"/>
    <n v="8"/>
    <n v="3450"/>
    <n v="20.399999999999999"/>
    <n v="21969.599999999999"/>
    <s v="Completed"/>
    <x v="3"/>
    <s v="Sports"/>
    <s v="Retail"/>
    <n v="53"/>
    <s v="North"/>
    <s v="R005"/>
    <n v="782445.33"/>
    <s v="North"/>
    <s v="Sports"/>
    <n v="2467"/>
  </r>
  <r>
    <s v="ORD-00466"/>
    <d v="2024-05-15T00:00:00"/>
    <s v="CUST-0027"/>
    <s v="PROD-052"/>
    <s v="R016"/>
    <n v="2"/>
    <n v="5410"/>
    <n v="7.2"/>
    <n v="10040.959999999999"/>
    <s v="Completed"/>
    <x v="5"/>
    <s v="Sports"/>
    <s v="Corporate"/>
    <n v="52"/>
    <s v="South"/>
    <s v="R016"/>
    <n v="814563.7100000002"/>
    <s v="South"/>
    <s v="Sports"/>
    <n v="2265"/>
  </r>
  <r>
    <s v="ORD-00467"/>
    <d v="2024-01-24T00:00:00"/>
    <s v="CUST-0171"/>
    <s v="PROD-004"/>
    <s v="R013"/>
    <n v="3"/>
    <n v="3870"/>
    <n v="4.2"/>
    <n v="11122.38"/>
    <s v="Completed"/>
    <x v="1"/>
    <s v="Electronics"/>
    <s v="Corporate"/>
    <n v="30"/>
    <s v="South"/>
    <s v="R013"/>
    <n v="811524.37999999989"/>
    <s v="South"/>
    <s v="Electronics"/>
    <n v="1559"/>
  </r>
  <r>
    <s v="ORD-00468"/>
    <d v="2024-02-06T00:00:00"/>
    <s v="CUST-0094"/>
    <s v="PROD-024"/>
    <s v="R005"/>
    <n v="10"/>
    <n v="2270"/>
    <n v="17.3"/>
    <n v="18772.900000000001"/>
    <s v="Completed"/>
    <x v="0"/>
    <s v="Grocery"/>
    <s v="SMB"/>
    <n v="60"/>
    <s v="North"/>
    <s v="R005"/>
    <n v="782445.33"/>
    <s v="North"/>
    <s v="Grocery"/>
    <n v="1203"/>
  </r>
  <r>
    <s v="ORD-00469"/>
    <d v="2024-04-12T00:00:00"/>
    <s v="CUST-0223"/>
    <s v="PROD-001"/>
    <s v="R025"/>
    <n v="1"/>
    <n v="5330"/>
    <n v="24.2"/>
    <n v="4040.14"/>
    <s v="Completed"/>
    <x v="4"/>
    <s v="Electronics"/>
    <s v="Retail"/>
    <n v="46"/>
    <s v="West"/>
    <s v="R025"/>
    <n v="901298.89"/>
    <s v="West"/>
    <s v="Electronics"/>
    <n v="2405"/>
  </r>
  <r>
    <s v="ORD-00470"/>
    <d v="2024-05-02T00:00:00"/>
    <s v="CUST-0281"/>
    <s v="PROD-043"/>
    <s v="R015"/>
    <n v="2"/>
    <n v="3350"/>
    <n v="23.4"/>
    <n v="5132.2"/>
    <s v="Completed"/>
    <x v="4"/>
    <s v="Beauty"/>
    <s v="Corporate"/>
    <n v="57"/>
    <s v="South"/>
    <s v="R015"/>
    <n v="1091740.1799999997"/>
    <s v="South"/>
    <s v="Beauty"/>
    <n v="1728"/>
  </r>
  <r>
    <s v="ORD-00471"/>
    <d v="2024-04-11T00:00:00"/>
    <s v="CUST-0148"/>
    <s v="PROD-045"/>
    <s v="R006"/>
    <n v="7"/>
    <n v="3020"/>
    <n v="23.7"/>
    <n v="16129.82"/>
    <s v="Completed"/>
    <x v="1"/>
    <s v="Beauty"/>
    <s v="Retail"/>
    <n v="32"/>
    <s v="North"/>
    <s v="R006"/>
    <n v="1138648.73"/>
    <s v="North"/>
    <s v="Beauty"/>
    <n v="1626"/>
  </r>
  <r>
    <s v="ORD-00472"/>
    <d v="2024-08-31T00:00:00"/>
    <s v="CUST-0010"/>
    <s v="PROD-012"/>
    <s v="R020"/>
    <n v="7"/>
    <n v="3160"/>
    <n v="22.8"/>
    <n v="17076.64"/>
    <s v="Completed"/>
    <x v="3"/>
    <s v="Apparel"/>
    <s v="SMB"/>
    <n v="61"/>
    <s v="East"/>
    <s v="R020"/>
    <n v="906107.71000000008"/>
    <s v="East"/>
    <s v="Apparel"/>
    <n v="1886"/>
  </r>
  <r>
    <s v="ORD-00473"/>
    <d v="2024-09-06T00:00:00"/>
    <s v="CUST-0254"/>
    <s v="PROD-053"/>
    <s v="R020"/>
    <n v="2"/>
    <n v="470"/>
    <n v="28.8"/>
    <n v="669.28"/>
    <s v="Cancelled"/>
    <x v="4"/>
    <s v="Sports"/>
    <s v="Retail"/>
    <n v="35"/>
    <s v="East"/>
    <s v="R020"/>
    <n v="906107.71000000008"/>
    <s v="East"/>
    <s v="Sports"/>
    <n v="302"/>
  </r>
  <r>
    <s v="ORD-00474"/>
    <d v="2024-06-11T00:00:00"/>
    <s v="CUST-0126"/>
    <s v="PROD-036"/>
    <s v="R021"/>
    <n v="2"/>
    <n v="3250"/>
    <n v="24.7"/>
    <n v="4894.5"/>
    <s v="Completed"/>
    <x v="3"/>
    <s v="Home"/>
    <s v="Retail"/>
    <n v="37"/>
    <s v="East"/>
    <s v="R021"/>
    <n v="761507.17000000027"/>
    <s v="East"/>
    <s v="Home"/>
    <n v="1556"/>
  </r>
  <r>
    <s v="ORD-00475"/>
    <d v="2024-12-05T00:00:00"/>
    <s v="CUST-0018"/>
    <s v="PROD-054"/>
    <s v="R023"/>
    <n v="2"/>
    <n v="1010"/>
    <n v="5.2"/>
    <n v="1914.96"/>
    <s v="Cancelled"/>
    <x v="0"/>
    <s v="Sports"/>
    <s v="SMB"/>
    <n v="54"/>
    <s v="East"/>
    <s v="R023"/>
    <n v="983787.4800000001"/>
    <s v="East"/>
    <s v="Sports"/>
    <n v="516"/>
  </r>
  <r>
    <s v="ORD-00476"/>
    <d v="2024-10-23T00:00:00"/>
    <s v="CUST-0089"/>
    <s v="PROD-005"/>
    <s v="R001"/>
    <n v="9"/>
    <n v="300"/>
    <n v="7.9"/>
    <n v="2486.6999999999998"/>
    <s v="Completed"/>
    <x v="3"/>
    <s v="Electronics"/>
    <s v="SMB"/>
    <n v="43"/>
    <s v="North"/>
    <s v="R001"/>
    <n v="789849.60000000009"/>
    <s v="North"/>
    <s v="Electronics"/>
    <n v="128"/>
  </r>
  <r>
    <s v="ORD-00477"/>
    <d v="2024-06-26T00:00:00"/>
    <s v="CUST-0157"/>
    <s v="PROD-048"/>
    <s v="R006"/>
    <n v="10"/>
    <n v="5100"/>
    <n v="26.3"/>
    <n v="37587"/>
    <s v="Pending"/>
    <x v="0"/>
    <s v="Beauty"/>
    <s v="Corporate"/>
    <n v="52"/>
    <s v="North"/>
    <s v="R006"/>
    <n v="1138648.73"/>
    <s v="North"/>
    <s v="Beauty"/>
    <n v="2237"/>
  </r>
  <r>
    <s v="ORD-00478"/>
    <d v="2024-09-17T00:00:00"/>
    <s v="CUST-0201"/>
    <s v="PROD-043"/>
    <s v="R028"/>
    <n v="1"/>
    <n v="3350"/>
    <n v="8.5"/>
    <n v="3065.25"/>
    <s v="Cancelled"/>
    <x v="5"/>
    <s v="Beauty"/>
    <s v="Retail"/>
    <n v="31"/>
    <s v="West"/>
    <s v="R028"/>
    <n v="880468.05"/>
    <s v="West"/>
    <s v="Beauty"/>
    <n v="1728"/>
  </r>
  <r>
    <s v="ORD-01195"/>
    <d v="2024-09-19T00:00:00"/>
    <s v="CUST-0091"/>
    <s v="PROD-036"/>
    <s v="R022"/>
    <n v="2"/>
    <n v="3250"/>
    <n v="25.7"/>
    <n v="4829.5"/>
    <s v="Refunded"/>
    <x v="2"/>
    <s v="Home"/>
    <s v="Retail"/>
    <n v="55"/>
    <s v="East"/>
    <s v="R022"/>
    <n v="1069570.5400000003"/>
    <s v="East"/>
    <s v="Home"/>
    <n v="1556"/>
  </r>
  <r>
    <s v="ORD-00480"/>
    <d v="2024-03-01T00:00:00"/>
    <s v="CUST-0052"/>
    <s v="PROD-028"/>
    <s v="R008"/>
    <n v="10"/>
    <n v="3660"/>
    <n v="12"/>
    <n v="32208"/>
    <s v="Completed"/>
    <x v="0"/>
    <s v="Grocery"/>
    <s v="Retail"/>
    <n v="38"/>
    <s v="North"/>
    <s v="R008"/>
    <n v="861553.33"/>
    <s v="North"/>
    <s v="Grocery"/>
    <n v="2214"/>
  </r>
  <r>
    <s v="ORD-00481"/>
    <d v="2024-08-17T00:00:00"/>
    <s v="CUST-0069"/>
    <s v="PROD-058"/>
    <s v="R009"/>
    <n v="1"/>
    <n v="2400"/>
    <n v="24.5"/>
    <n v="1812"/>
    <s v="Completed"/>
    <x v="1"/>
    <s v="Sports"/>
    <s v="Retail"/>
    <n v="51"/>
    <s v="South"/>
    <s v="R009"/>
    <n v="914554.71999999986"/>
    <s v="South"/>
    <s v="Sports"/>
    <n v="974"/>
  </r>
  <r>
    <s v="ORD-00482"/>
    <d v="2024-07-23T00:00:00"/>
    <s v="CUST-0294"/>
    <s v="PROD-035"/>
    <s v="R010"/>
    <n v="1"/>
    <n v="1090"/>
    <n v="18.399999999999999"/>
    <n v="889.44"/>
    <s v="Completed"/>
    <x v="2"/>
    <s v="Home"/>
    <s v="Corporate"/>
    <n v="31"/>
    <s v="South"/>
    <s v="R010"/>
    <n v="880345.20000000007"/>
    <s v="South"/>
    <s v="Home"/>
    <n v="464"/>
  </r>
  <r>
    <s v="ORD-00483"/>
    <d v="2024-04-22T00:00:00"/>
    <s v="CUST-0019"/>
    <s v="PROD-059"/>
    <s v="R015"/>
    <n v="6"/>
    <n v="3780"/>
    <n v="15.9"/>
    <n v="19073.88"/>
    <s v="Completed"/>
    <x v="1"/>
    <s v="Sports"/>
    <s v="Retail"/>
    <n v="22"/>
    <s v="South"/>
    <s v="R015"/>
    <n v="1091740.1799999997"/>
    <s v="South"/>
    <s v="Sports"/>
    <n v="1860"/>
  </r>
  <r>
    <s v="ORD-00484"/>
    <d v="2024-02-08T00:00:00"/>
    <s v="CUST-0087"/>
    <s v="PROD-043"/>
    <s v="R019"/>
    <n v="3"/>
    <n v="3350"/>
    <n v="18.8"/>
    <n v="8160.6"/>
    <s v="Refunded"/>
    <x v="0"/>
    <s v="Beauty"/>
    <s v="SMB"/>
    <n v="49"/>
    <s v="East"/>
    <s v="R019"/>
    <n v="971183.52000000014"/>
    <s v="East"/>
    <s v="Beauty"/>
    <n v="1728"/>
  </r>
  <r>
    <s v="ORD-00485"/>
    <d v="2024-02-01T00:00:00"/>
    <s v="CUST-0281"/>
    <s v="PROD-040"/>
    <s v="R030"/>
    <n v="3"/>
    <n v="1080"/>
    <n v="3.4"/>
    <n v="3129.84"/>
    <s v="Completed"/>
    <x v="4"/>
    <s v="Home"/>
    <s v="Corporate"/>
    <n v="57"/>
    <s v="West"/>
    <s v="R030"/>
    <n v="747624.36999999988"/>
    <s v="West"/>
    <s v="Home"/>
    <n v="519"/>
  </r>
  <r>
    <s v="ORD-00486"/>
    <d v="2024-08-15T00:00:00"/>
    <s v="CUST-0248"/>
    <s v="PROD-026"/>
    <s v="R022"/>
    <n v="6"/>
    <n v="4070"/>
    <n v="27.7"/>
    <n v="17655.66"/>
    <s v="Pending"/>
    <x v="1"/>
    <s v="Grocery"/>
    <s v="SMB"/>
    <n v="57"/>
    <s v="East"/>
    <s v="R022"/>
    <n v="1069570.5400000003"/>
    <s v="East"/>
    <s v="Grocery"/>
    <n v="2027"/>
  </r>
  <r>
    <s v="ORD-00487"/>
    <d v="2024-08-10T00:00:00"/>
    <s v="CUST-0019"/>
    <s v="PROD-041"/>
    <s v="R026"/>
    <n v="5"/>
    <n v="1540"/>
    <n v="24.9"/>
    <n v="5782.7"/>
    <s v="Completed"/>
    <x v="1"/>
    <s v="Beauty"/>
    <s v="Retail"/>
    <n v="22"/>
    <s v="West"/>
    <s v="R026"/>
    <n v="576305.08000000019"/>
    <s v="West"/>
    <s v="Beauty"/>
    <n v="647"/>
  </r>
  <r>
    <s v="ORD-00488"/>
    <d v="2024-07-24T00:00:00"/>
    <s v="CUST-0092"/>
    <s v="PROD-021"/>
    <s v="R028"/>
    <n v="6"/>
    <n v="2760"/>
    <n v="29.9"/>
    <n v="11608.56"/>
    <s v="Completed"/>
    <x v="4"/>
    <s v="Grocery"/>
    <s v="SMB"/>
    <n v="28"/>
    <s v="West"/>
    <s v="R028"/>
    <n v="880468.05"/>
    <s v="West"/>
    <s v="Grocery"/>
    <n v="1435"/>
  </r>
  <r>
    <s v="ORD-00489"/>
    <d v="2024-12-13T00:00:00"/>
    <s v="CUST-0195"/>
    <s v="PROD-006"/>
    <s v="R022"/>
    <n v="8"/>
    <n v="3970"/>
    <n v="23.7"/>
    <n v="24232.880000000001"/>
    <s v="Completed"/>
    <x v="4"/>
    <s v="Electronics"/>
    <s v="Retail"/>
    <n v="28"/>
    <s v="East"/>
    <s v="R022"/>
    <n v="1069570.5400000003"/>
    <s v="East"/>
    <s v="Electronics"/>
    <n v="2865"/>
  </r>
  <r>
    <s v="ORD-00490"/>
    <d v="2024-09-27T00:00:00"/>
    <s v="CUST-0126"/>
    <s v="PROD-011"/>
    <s v="R021"/>
    <n v="1"/>
    <n v="3450"/>
    <n v="7.4"/>
    <n v="3194.7"/>
    <s v="Completed"/>
    <x v="3"/>
    <s v="Apparel"/>
    <s v="Retail"/>
    <n v="37"/>
    <s v="East"/>
    <s v="R021"/>
    <n v="761507.17000000027"/>
    <s v="East"/>
    <s v="Apparel"/>
    <n v="1748"/>
  </r>
  <r>
    <s v="ORD-00491"/>
    <d v="2024-01-17T00:00:00"/>
    <s v="CUST-0274"/>
    <s v="PROD-018"/>
    <s v="R005"/>
    <n v="3"/>
    <n v="3560"/>
    <n v="15.2"/>
    <n v="9056.64"/>
    <s v="Completed"/>
    <x v="4"/>
    <s v="Apparel"/>
    <s v="Corporate"/>
    <n v="36"/>
    <s v="North"/>
    <s v="R005"/>
    <n v="782445.33"/>
    <s v="North"/>
    <s v="Apparel"/>
    <n v="2629"/>
  </r>
  <r>
    <s v="ORD-00492"/>
    <d v="2024-05-16T00:00:00"/>
    <s v="CUST-0059"/>
    <s v="PROD-003"/>
    <s v="R030"/>
    <n v="4"/>
    <n v="3570"/>
    <n v="18.899999999999999"/>
    <n v="11581.08"/>
    <s v="Completed"/>
    <x v="0"/>
    <s v="Electronics"/>
    <s v="Corporate"/>
    <n v="29"/>
    <s v="West"/>
    <s v="R030"/>
    <n v="747624.36999999988"/>
    <s v="West"/>
    <s v="Electronics"/>
    <n v="1665"/>
  </r>
  <r>
    <s v="ORD-00493"/>
    <d v="2024-06-29T00:00:00"/>
    <s v="CUST-0264"/>
    <s v="PROD-057"/>
    <s v="R025"/>
    <n v="9"/>
    <n v="960"/>
    <n v="14"/>
    <n v="7430.4"/>
    <s v="Refunded"/>
    <x v="0"/>
    <s v="Sports"/>
    <s v="Retail"/>
    <n v="59"/>
    <s v="West"/>
    <s v="R025"/>
    <n v="901298.89"/>
    <s v="West"/>
    <s v="Sports"/>
    <n v="705"/>
  </r>
  <r>
    <s v="ORD-00494"/>
    <d v="2024-04-24T00:00:00"/>
    <s v="CUST-0157"/>
    <s v="PROD-047"/>
    <s v="R016"/>
    <n v="9"/>
    <n v="3450"/>
    <n v="6"/>
    <n v="29187"/>
    <s v="Cancelled"/>
    <x v="0"/>
    <s v="Beauty"/>
    <s v="Corporate"/>
    <n v="52"/>
    <s v="South"/>
    <s v="R016"/>
    <n v="814563.7100000002"/>
    <s v="South"/>
    <s v="Beauty"/>
    <n v="2420"/>
  </r>
  <r>
    <s v="ORD-00495"/>
    <d v="2024-06-14T00:00:00"/>
    <s v="CUST-0028"/>
    <s v="PROD-043"/>
    <s v="R012"/>
    <n v="7"/>
    <n v="3350"/>
    <n v="14"/>
    <n v="20167"/>
    <s v="Cancelled"/>
    <x v="4"/>
    <s v="Beauty"/>
    <s v="Retail"/>
    <n v="59"/>
    <s v="South"/>
    <s v="R012"/>
    <n v="901394.32000000007"/>
    <s v="South"/>
    <s v="Beauty"/>
    <n v="1728"/>
  </r>
  <r>
    <s v="ORD-00496"/>
    <d v="2024-01-07T00:00:00"/>
    <s v="CUST-0033"/>
    <s v="PROD-049"/>
    <s v="R004"/>
    <n v="6"/>
    <n v="960"/>
    <n v="10.1"/>
    <n v="5178.24"/>
    <s v="Completed"/>
    <x v="2"/>
    <s v="Beauty"/>
    <s v="Retail"/>
    <n v="35"/>
    <s v="North"/>
    <s v="R004"/>
    <n v="589026.2899999998"/>
    <s v="North"/>
    <s v="Beauty"/>
    <n v="675"/>
  </r>
  <r>
    <s v="ORD-00497"/>
    <d v="2024-02-15T00:00:00"/>
    <s v="CUST-0280"/>
    <s v="PROD-005"/>
    <s v="R016"/>
    <n v="7"/>
    <n v="300"/>
    <n v="21.9"/>
    <n v="1640.1"/>
    <s v="Completed"/>
    <x v="2"/>
    <s v="Electronics"/>
    <s v="SMB"/>
    <n v="27"/>
    <s v="South"/>
    <s v="R016"/>
    <n v="814563.7100000002"/>
    <s v="South"/>
    <s v="Electronics"/>
    <n v="128"/>
  </r>
  <r>
    <s v="ORD-00498"/>
    <d v="2024-04-07T00:00:00"/>
    <s v="CUST-0232"/>
    <s v="PROD-023"/>
    <s v="R019"/>
    <n v="2"/>
    <n v="2380"/>
    <n v="6.8"/>
    <n v="4436.32"/>
    <s v="Completed"/>
    <x v="5"/>
    <s v="Grocery"/>
    <s v="Retail"/>
    <n v="38"/>
    <s v="East"/>
    <s v="R019"/>
    <n v="971183.52000000014"/>
    <s v="East"/>
    <s v="Grocery"/>
    <n v="1182"/>
  </r>
  <r>
    <s v="ORD-00499"/>
    <d v="2024-01-07T00:00:00"/>
    <s v="CUST-0270"/>
    <s v="PROD-057"/>
    <s v="R024"/>
    <n v="5"/>
    <n v="960"/>
    <n v="15"/>
    <n v="4080"/>
    <s v="Cancelled"/>
    <x v="4"/>
    <s v="Sports"/>
    <s v="Retail"/>
    <n v="29"/>
    <s v="West"/>
    <s v="R024"/>
    <n v="819558.58"/>
    <s v="West"/>
    <s v="Sports"/>
    <n v="705"/>
  </r>
  <r>
    <s v="ORD-00500"/>
    <d v="2024-10-12T00:00:00"/>
    <s v="CUST-0203"/>
    <s v="PROD-059"/>
    <s v="R012"/>
    <n v="10"/>
    <n v="3780"/>
    <n v="24.1"/>
    <n v="28690.2"/>
    <s v="Refunded"/>
    <x v="1"/>
    <s v="Sports"/>
    <s v="SMB"/>
    <n v="55"/>
    <s v="South"/>
    <s v="R012"/>
    <n v="901394.32000000007"/>
    <s v="South"/>
    <s v="Sports"/>
    <n v="1860"/>
  </r>
  <r>
    <s v="ORD-00501"/>
    <d v="2024-03-04T00:00:00"/>
    <s v="CUST-0069"/>
    <s v="PROD-041"/>
    <s v="R020"/>
    <n v="4"/>
    <n v="1540"/>
    <n v="14.2"/>
    <n v="5285.28"/>
    <s v="Cancelled"/>
    <x v="1"/>
    <s v="Beauty"/>
    <s v="Retail"/>
    <n v="51"/>
    <s v="East"/>
    <s v="R020"/>
    <n v="906107.71000000008"/>
    <s v="East"/>
    <s v="Beauty"/>
    <n v="647"/>
  </r>
  <r>
    <s v="ORD-00502"/>
    <d v="2024-06-20T00:00:00"/>
    <s v="CUST-0037"/>
    <s v="PROD-017"/>
    <s v="R005"/>
    <n v="10"/>
    <n v="2510"/>
    <n v="20.8"/>
    <n v="19879.2"/>
    <s v="Completed"/>
    <x v="4"/>
    <s v="Apparel"/>
    <s v="Retail"/>
    <n v="52"/>
    <s v="North"/>
    <s v="R005"/>
    <n v="782445.33"/>
    <s v="North"/>
    <s v="Apparel"/>
    <n v="1075"/>
  </r>
  <r>
    <s v="ORD-00503"/>
    <d v="2024-03-23T00:00:00"/>
    <s v="CUST-0149"/>
    <s v="PROD-025"/>
    <s v="R014"/>
    <n v="9"/>
    <n v="4060"/>
    <n v="27.1"/>
    <n v="26637.66"/>
    <s v="Completed"/>
    <x v="5"/>
    <s v="Grocery"/>
    <s v="Retail"/>
    <n v="44"/>
    <s v="South"/>
    <s v="R014"/>
    <n v="995713.54000000015"/>
    <s v="South"/>
    <s v="Grocery"/>
    <n v="2911"/>
  </r>
  <r>
    <s v="ORD-00504"/>
    <d v="2024-12-12T00:00:00"/>
    <s v="CUST-0131"/>
    <s v="PROD-058"/>
    <s v="R025"/>
    <n v="4"/>
    <n v="2400"/>
    <n v="19.100000000000001"/>
    <n v="7766.4"/>
    <s v="Completed"/>
    <x v="2"/>
    <s v="Sports"/>
    <s v="SMB"/>
    <n v="28"/>
    <s v="West"/>
    <s v="R025"/>
    <n v="901298.89"/>
    <s v="West"/>
    <s v="Sports"/>
    <n v="974"/>
  </r>
  <r>
    <s v="ORD-00505"/>
    <d v="2024-08-21T00:00:00"/>
    <s v="CUST-0071"/>
    <s v="PROD-046"/>
    <s v="R022"/>
    <n v="8"/>
    <n v="4880"/>
    <n v="9.1999999999999993"/>
    <n v="35448.32"/>
    <s v="Cancelled"/>
    <x v="2"/>
    <s v="Beauty"/>
    <s v="Corporate"/>
    <n v="46"/>
    <s v="East"/>
    <s v="R022"/>
    <n v="1069570.5400000003"/>
    <s v="East"/>
    <s v="Beauty"/>
    <n v="2768"/>
  </r>
  <r>
    <s v="ORD-00506"/>
    <d v="2024-10-21T00:00:00"/>
    <s v="CUST-0249"/>
    <s v="PROD-048"/>
    <s v="R019"/>
    <n v="9"/>
    <n v="5100"/>
    <n v="11.1"/>
    <n v="40805.1"/>
    <s v="Cancelled"/>
    <x v="3"/>
    <s v="Beauty"/>
    <s v="Retail"/>
    <n v="44"/>
    <s v="East"/>
    <s v="R019"/>
    <n v="971183.52000000014"/>
    <s v="East"/>
    <s v="Beauty"/>
    <n v="2237"/>
  </r>
  <r>
    <s v="ORD-00507"/>
    <d v="2024-12-11T00:00:00"/>
    <s v="CUST-0181"/>
    <s v="PROD-005"/>
    <s v="R028"/>
    <n v="4"/>
    <n v="300"/>
    <n v="16.7"/>
    <n v="999.6"/>
    <s v="Completed"/>
    <x v="2"/>
    <s v="Electronics"/>
    <s v="SMB"/>
    <n v="38"/>
    <s v="West"/>
    <s v="R028"/>
    <n v="880468.05"/>
    <s v="West"/>
    <s v="Electronics"/>
    <n v="128"/>
  </r>
  <r>
    <s v="ORD-00508"/>
    <d v="2024-05-31T00:00:00"/>
    <s v="CUST-0085"/>
    <s v="PROD-019"/>
    <s v="R014"/>
    <n v="6"/>
    <n v="2480"/>
    <n v="3.3"/>
    <n v="14388.96"/>
    <s v="Completed"/>
    <x v="1"/>
    <s v="Apparel"/>
    <s v="Retail"/>
    <n v="26"/>
    <s v="South"/>
    <s v="R014"/>
    <n v="995713.54000000015"/>
    <s v="South"/>
    <s v="Apparel"/>
    <n v="1173"/>
  </r>
  <r>
    <s v="ORD-00509"/>
    <d v="2024-10-04T00:00:00"/>
    <s v="CUST-0180"/>
    <s v="PROD-044"/>
    <s v="R023"/>
    <n v="10"/>
    <n v="1650"/>
    <n v="22.9"/>
    <n v="12721.5"/>
    <s v="Refunded"/>
    <x v="1"/>
    <s v="Beauty"/>
    <s v="Retail"/>
    <n v="36"/>
    <s v="East"/>
    <s v="R023"/>
    <n v="983787.4800000001"/>
    <s v="East"/>
    <s v="Beauty"/>
    <n v="1222"/>
  </r>
  <r>
    <s v="ORD-00510"/>
    <d v="2024-01-28T00:00:00"/>
    <s v="CUST-0103"/>
    <s v="PROD-029"/>
    <s v="R012"/>
    <n v="3"/>
    <n v="2210"/>
    <n v="11.1"/>
    <n v="5894.07"/>
    <s v="Completed"/>
    <x v="5"/>
    <s v="Grocery"/>
    <s v="Corporate"/>
    <n v="54"/>
    <s v="South"/>
    <s v="R012"/>
    <n v="901394.32000000007"/>
    <s v="South"/>
    <s v="Grocery"/>
    <n v="1010"/>
  </r>
  <r>
    <s v="ORD-00511"/>
    <d v="2024-04-24T00:00:00"/>
    <s v="CUST-0174"/>
    <s v="PROD-019"/>
    <s v="R005"/>
    <n v="10"/>
    <n v="2480"/>
    <n v="13"/>
    <n v="21576"/>
    <s v="Pending"/>
    <x v="0"/>
    <s v="Apparel"/>
    <s v="Retail"/>
    <n v="54"/>
    <s v="North"/>
    <s v="R005"/>
    <n v="782445.33"/>
    <s v="North"/>
    <s v="Apparel"/>
    <n v="1173"/>
  </r>
  <r>
    <s v="ORD-00512"/>
    <d v="2024-12-03T00:00:00"/>
    <s v="CUST-0071"/>
    <s v="PROD-001"/>
    <s v="R023"/>
    <n v="10"/>
    <n v="5330"/>
    <n v="0.7"/>
    <n v="52926.9"/>
    <s v="Completed"/>
    <x v="2"/>
    <s v="Electronics"/>
    <s v="Corporate"/>
    <n v="46"/>
    <s v="East"/>
    <s v="R023"/>
    <n v="983787.4800000001"/>
    <s v="East"/>
    <s v="Electronics"/>
    <n v="2405"/>
  </r>
  <r>
    <s v="ORD-00513"/>
    <d v="2024-11-16T00:00:00"/>
    <s v="CUST-0266"/>
    <s v="PROD-026"/>
    <s v="R012"/>
    <n v="9"/>
    <n v="4070"/>
    <n v="15.6"/>
    <n v="30915.72"/>
    <s v="Completed"/>
    <x v="0"/>
    <s v="Grocery"/>
    <s v="Retail"/>
    <n v="65"/>
    <s v="South"/>
    <s v="R012"/>
    <n v="901394.32000000007"/>
    <s v="South"/>
    <s v="Grocery"/>
    <n v="2027"/>
  </r>
  <r>
    <s v="ORD-00514"/>
    <d v="2024-11-17T00:00:00"/>
    <s v="CUST-0148"/>
    <s v="PROD-015"/>
    <s v="R001"/>
    <n v="5"/>
    <n v="2720"/>
    <n v="10.3"/>
    <n v="12199.2"/>
    <s v="Cancelled"/>
    <x v="1"/>
    <s v="Apparel"/>
    <s v="Retail"/>
    <n v="32"/>
    <s v="North"/>
    <s v="R001"/>
    <n v="789849.60000000009"/>
    <s v="North"/>
    <s v="Apparel"/>
    <n v="1962"/>
  </r>
  <r>
    <s v="ORD-00515"/>
    <d v="2024-07-11T00:00:00"/>
    <s v="CUST-0030"/>
    <s v="PROD-055"/>
    <s v="R029"/>
    <n v="6"/>
    <n v="2860"/>
    <n v="28.9"/>
    <n v="12200.76"/>
    <s v="Completed"/>
    <x v="4"/>
    <s v="Sports"/>
    <s v="Corporate"/>
    <n v="43"/>
    <s v="West"/>
    <s v="R029"/>
    <n v="1016696.8000000002"/>
    <s v="West"/>
    <s v="Sports"/>
    <n v="2028"/>
  </r>
  <r>
    <s v="ORD-00516"/>
    <d v="2024-12-30T00:00:00"/>
    <s v="CUST-0128"/>
    <s v="PROD-014"/>
    <s v="R012"/>
    <n v="5"/>
    <n v="3620"/>
    <n v="18.2"/>
    <n v="14805.8"/>
    <s v="Completed"/>
    <x v="5"/>
    <s v="Apparel"/>
    <s v="Retail"/>
    <n v="35"/>
    <s v="South"/>
    <s v="R012"/>
    <n v="901394.32000000007"/>
    <s v="South"/>
    <s v="Apparel"/>
    <n v="2509"/>
  </r>
  <r>
    <s v="ORD-00517"/>
    <d v="2024-05-20T00:00:00"/>
    <s v="CUST-0056"/>
    <s v="PROD-044"/>
    <s v="R018"/>
    <n v="3"/>
    <n v="1650"/>
    <n v="10.7"/>
    <n v="4420.3500000000004"/>
    <s v="Completed"/>
    <x v="4"/>
    <s v="Beauty"/>
    <s v="SMB"/>
    <n v="46"/>
    <s v="East"/>
    <s v="R018"/>
    <n v="1112289.6400000001"/>
    <s v="East"/>
    <s v="Beauty"/>
    <n v="1222"/>
  </r>
  <r>
    <s v="ORD-00518"/>
    <d v="2024-07-22T00:00:00"/>
    <s v="CUST-0178"/>
    <s v="PROD-060"/>
    <s v="R029"/>
    <n v="8"/>
    <n v="190"/>
    <n v="18"/>
    <n v="1246.4000000000001"/>
    <s v="Pending"/>
    <x v="5"/>
    <s v="Sports"/>
    <s v="Retail"/>
    <n v="25"/>
    <s v="West"/>
    <s v="R029"/>
    <n v="1016696.8000000002"/>
    <s v="West"/>
    <s v="Sports"/>
    <n v="147"/>
  </r>
  <r>
    <s v="ORD-00519"/>
    <d v="2024-05-31T00:00:00"/>
    <s v="CUST-0237"/>
    <s v="PROD-042"/>
    <s v="R029"/>
    <n v="7"/>
    <n v="2290"/>
    <n v="12.5"/>
    <n v="14026.25"/>
    <s v="Completed"/>
    <x v="3"/>
    <s v="Beauty"/>
    <s v="Retail"/>
    <n v="49"/>
    <s v="West"/>
    <s v="R029"/>
    <n v="1016696.8000000002"/>
    <s v="West"/>
    <s v="Beauty"/>
    <n v="1219"/>
  </r>
  <r>
    <s v="ORD-00520"/>
    <d v="2024-12-12T00:00:00"/>
    <s v="CUST-0143"/>
    <s v="PROD-001"/>
    <s v="R017"/>
    <n v="2"/>
    <n v="5330"/>
    <n v="26.5"/>
    <n v="7835.1"/>
    <s v="Completed"/>
    <x v="1"/>
    <s v="Electronics"/>
    <s v="SMB"/>
    <n v="52"/>
    <s v="East"/>
    <s v="R017"/>
    <n v="780384.40999999992"/>
    <s v="East"/>
    <s v="Electronics"/>
    <n v="2405"/>
  </r>
  <r>
    <s v="ORD-00521"/>
    <d v="2024-07-03T00:00:00"/>
    <s v="CUST-0233"/>
    <s v="PROD-001"/>
    <s v="R015"/>
    <n v="4"/>
    <n v="5330"/>
    <n v="25.6"/>
    <n v="15862.08"/>
    <s v="Completed"/>
    <x v="3"/>
    <s v="Electronics"/>
    <s v="SMB"/>
    <n v="65"/>
    <s v="South"/>
    <s v="R015"/>
    <n v="1091740.1799999997"/>
    <s v="South"/>
    <s v="Electronics"/>
    <n v="2405"/>
  </r>
  <r>
    <s v="ORD-00522"/>
    <d v="2024-10-01T00:00:00"/>
    <s v="CUST-0161"/>
    <s v="PROD-034"/>
    <s v="R006"/>
    <n v="4"/>
    <n v="5080"/>
    <n v="28.6"/>
    <n v="14508.48"/>
    <s v="Completed"/>
    <x v="1"/>
    <s v="Home"/>
    <s v="Retail"/>
    <n v="38"/>
    <s v="North"/>
    <s v="R006"/>
    <n v="1138648.73"/>
    <s v="North"/>
    <s v="Home"/>
    <n v="2459"/>
  </r>
  <r>
    <s v="ORD-00523"/>
    <d v="2024-04-10T00:00:00"/>
    <s v="CUST-0087"/>
    <s v="PROD-032"/>
    <s v="R002"/>
    <n v="4"/>
    <n v="370"/>
    <n v="12.6"/>
    <n v="1293.52"/>
    <s v="Pending"/>
    <x v="0"/>
    <s v="Home"/>
    <s v="SMB"/>
    <n v="49"/>
    <s v="North"/>
    <s v="R002"/>
    <n v="980063.65999999968"/>
    <s v="North"/>
    <s v="Home"/>
    <n v="288"/>
  </r>
  <r>
    <s v="ORD-00524"/>
    <d v="2024-09-26T00:00:00"/>
    <s v="CUST-0235"/>
    <s v="PROD-053"/>
    <s v="R013"/>
    <n v="9"/>
    <n v="470"/>
    <n v="3.6"/>
    <n v="4077.72"/>
    <s v="Completed"/>
    <x v="1"/>
    <s v="Sports"/>
    <s v="Retail"/>
    <n v="31"/>
    <s v="South"/>
    <s v="R013"/>
    <n v="811524.37999999989"/>
    <s v="South"/>
    <s v="Sports"/>
    <n v="302"/>
  </r>
  <r>
    <s v="ORD-00525"/>
    <d v="2024-12-08T00:00:00"/>
    <s v="CUST-0183"/>
    <s v="PROD-052"/>
    <s v="R027"/>
    <n v="4"/>
    <n v="5410"/>
    <n v="11.3"/>
    <n v="19194.68"/>
    <s v="Refunded"/>
    <x v="3"/>
    <s v="Sports"/>
    <s v="SMB"/>
    <n v="27"/>
    <s v="West"/>
    <s v="R027"/>
    <n v="917092.61999999965"/>
    <s v="West"/>
    <s v="Sports"/>
    <n v="2265"/>
  </r>
  <r>
    <s v="ORD-00526"/>
    <d v="2024-01-20T00:00:00"/>
    <s v="CUST-0199"/>
    <s v="PROD-014"/>
    <s v="R007"/>
    <n v="10"/>
    <n v="3620"/>
    <n v="2.5"/>
    <n v="35295"/>
    <s v="Completed"/>
    <x v="5"/>
    <s v="Apparel"/>
    <s v="SMB"/>
    <n v="31"/>
    <s v="North"/>
    <s v="R007"/>
    <n v="855749.67999999982"/>
    <s v="North"/>
    <s v="Apparel"/>
    <n v="2509"/>
  </r>
  <r>
    <s v="ORD-00527"/>
    <d v="2024-03-29T00:00:00"/>
    <s v="CUST-0034"/>
    <s v="PROD-021"/>
    <s v="R030"/>
    <n v="1"/>
    <n v="2760"/>
    <n v="22.2"/>
    <n v="2147.2800000000002"/>
    <s v="Completed"/>
    <x v="2"/>
    <s v="Grocery"/>
    <s v="Retail"/>
    <n v="47"/>
    <s v="West"/>
    <s v="R030"/>
    <n v="747624.36999999988"/>
    <s v="West"/>
    <s v="Grocery"/>
    <n v="1435"/>
  </r>
  <r>
    <s v="ORD-00528"/>
    <d v="2024-09-14T00:00:00"/>
    <s v="CUST-0206"/>
    <s v="PROD-047"/>
    <s v="R001"/>
    <n v="7"/>
    <n v="3450"/>
    <n v="8.6"/>
    <n v="22073.1"/>
    <s v="Completed"/>
    <x v="3"/>
    <s v="Beauty"/>
    <s v="Retail"/>
    <n v="40"/>
    <s v="North"/>
    <s v="R001"/>
    <n v="789849.60000000009"/>
    <s v="North"/>
    <s v="Beauty"/>
    <n v="2420"/>
  </r>
  <r>
    <s v="ORD-00529"/>
    <d v="2024-05-06T00:00:00"/>
    <s v="CUST-0246"/>
    <s v="PROD-028"/>
    <s v="R028"/>
    <n v="6"/>
    <n v="3660"/>
    <n v="10.6"/>
    <n v="19632.240000000002"/>
    <s v="Completed"/>
    <x v="2"/>
    <s v="Grocery"/>
    <s v="SMB"/>
    <n v="29"/>
    <s v="West"/>
    <s v="R028"/>
    <n v="880468.05"/>
    <s v="West"/>
    <s v="Grocery"/>
    <n v="2214"/>
  </r>
  <r>
    <s v="ORD-00530"/>
    <d v="2024-08-28T00:00:00"/>
    <s v="CUST-0075"/>
    <s v="PROD-003"/>
    <s v="R028"/>
    <n v="10"/>
    <n v="3570"/>
    <n v="1.2"/>
    <n v="35271.599999999999"/>
    <s v="Completed"/>
    <x v="3"/>
    <s v="Electronics"/>
    <s v="Corporate"/>
    <n v="55"/>
    <s v="West"/>
    <s v="R028"/>
    <n v="880468.05"/>
    <s v="West"/>
    <s v="Electronics"/>
    <n v="1665"/>
  </r>
  <r>
    <s v="ORD-00531"/>
    <d v="2024-09-07T00:00:00"/>
    <s v="CUST-0298"/>
    <s v="PROD-035"/>
    <s v="R009"/>
    <n v="8"/>
    <n v="1090"/>
    <n v="13.2"/>
    <n v="7568.96"/>
    <s v="Refunded"/>
    <x v="2"/>
    <s v="Home"/>
    <s v="Retail"/>
    <n v="44"/>
    <s v="South"/>
    <s v="R009"/>
    <n v="914554.71999999986"/>
    <s v="South"/>
    <s v="Home"/>
    <n v="464"/>
  </r>
  <r>
    <s v="ORD-00532"/>
    <d v="2024-01-29T00:00:00"/>
    <s v="CUST-0165"/>
    <s v="PROD-014"/>
    <s v="R018"/>
    <n v="8"/>
    <n v="3620"/>
    <n v="29"/>
    <n v="20561.599999999999"/>
    <s v="Completed"/>
    <x v="0"/>
    <s v="Apparel"/>
    <s v="Retail"/>
    <n v="29"/>
    <s v="East"/>
    <s v="R018"/>
    <n v="1112289.6400000001"/>
    <s v="East"/>
    <s v="Apparel"/>
    <n v="2509"/>
  </r>
  <r>
    <s v="ORD-00533"/>
    <d v="2024-09-13T00:00:00"/>
    <s v="CUST-0033"/>
    <s v="PROD-046"/>
    <s v="R010"/>
    <n v="7"/>
    <n v="4880"/>
    <n v="25.6"/>
    <n v="25415.040000000001"/>
    <s v="Refunded"/>
    <x v="2"/>
    <s v="Beauty"/>
    <s v="Retail"/>
    <n v="35"/>
    <s v="South"/>
    <s v="R010"/>
    <n v="880345.20000000007"/>
    <s v="South"/>
    <s v="Beauty"/>
    <n v="2768"/>
  </r>
  <r>
    <s v="ORD-00534"/>
    <d v="2024-05-22T00:00:00"/>
    <s v="CUST-0205"/>
    <s v="PROD-053"/>
    <s v="R028"/>
    <n v="2"/>
    <n v="470"/>
    <n v="9.6999999999999993"/>
    <n v="848.82"/>
    <s v="Completed"/>
    <x v="0"/>
    <s v="Sports"/>
    <s v="Corporate"/>
    <n v="29"/>
    <s v="West"/>
    <s v="R028"/>
    <n v="880468.05"/>
    <s v="West"/>
    <s v="Sports"/>
    <n v="302"/>
  </r>
  <r>
    <s v="ORD-00535"/>
    <d v="2024-09-04T00:00:00"/>
    <s v="CUST-0037"/>
    <s v="PROD-042"/>
    <s v="R022"/>
    <n v="6"/>
    <n v="2290"/>
    <n v="8.9"/>
    <n v="12517.14"/>
    <s v="Completed"/>
    <x v="4"/>
    <s v="Beauty"/>
    <s v="Retail"/>
    <n v="52"/>
    <s v="East"/>
    <s v="R022"/>
    <n v="1069570.5400000003"/>
    <s v="East"/>
    <s v="Beauty"/>
    <n v="1219"/>
  </r>
  <r>
    <s v="ORD-00536"/>
    <d v="2024-06-25T00:00:00"/>
    <s v="CUST-0228"/>
    <s v="PROD-023"/>
    <s v="R010"/>
    <n v="3"/>
    <n v="2380"/>
    <n v="2.7"/>
    <n v="6947.22"/>
    <s v="Pending"/>
    <x v="0"/>
    <s v="Grocery"/>
    <s v="Corporate"/>
    <n v="37"/>
    <s v="South"/>
    <s v="R010"/>
    <n v="880345.20000000007"/>
    <s v="South"/>
    <s v="Grocery"/>
    <n v="1182"/>
  </r>
  <r>
    <s v="ORD-00537"/>
    <d v="2024-07-12T00:00:00"/>
    <s v="CUST-0279"/>
    <s v="PROD-023"/>
    <s v="R008"/>
    <n v="9"/>
    <n v="2380"/>
    <n v="20.100000000000001"/>
    <n v="17114.580000000002"/>
    <s v="Completed"/>
    <x v="3"/>
    <s v="Grocery"/>
    <s v="Retail"/>
    <n v="56"/>
    <s v="North"/>
    <s v="R008"/>
    <n v="861553.33"/>
    <s v="North"/>
    <s v="Grocery"/>
    <n v="1182"/>
  </r>
  <r>
    <s v="ORD-00538"/>
    <d v="2024-01-12T00:00:00"/>
    <s v="CUST-0271"/>
    <s v="PROD-052"/>
    <s v="R014"/>
    <n v="8"/>
    <n v="5410"/>
    <n v="11.2"/>
    <n v="38432.639999999999"/>
    <s v="Completed"/>
    <x v="4"/>
    <s v="Sports"/>
    <s v="Corporate"/>
    <n v="41"/>
    <s v="South"/>
    <s v="R014"/>
    <n v="995713.54000000015"/>
    <s v="South"/>
    <s v="Sports"/>
    <n v="2265"/>
  </r>
  <r>
    <s v="ORD-00539"/>
    <d v="2024-11-09T00:00:00"/>
    <s v="CUST-0127"/>
    <s v="PROD-007"/>
    <s v="R008"/>
    <n v="1"/>
    <n v="1430"/>
    <n v="19.600000000000001"/>
    <n v="1149.72"/>
    <s v="Completed"/>
    <x v="4"/>
    <s v="Electronics"/>
    <s v="SMB"/>
    <n v="36"/>
    <s v="North"/>
    <s v="R008"/>
    <n v="861553.33"/>
    <s v="North"/>
    <s v="Electronics"/>
    <n v="861"/>
  </r>
  <r>
    <s v="ORD-00540"/>
    <d v="2024-05-09T00:00:00"/>
    <s v="CUST-0007"/>
    <s v="PROD-058"/>
    <s v="R027"/>
    <n v="9"/>
    <n v="2400"/>
    <n v="5"/>
    <n v="20520"/>
    <s v="Completed"/>
    <x v="4"/>
    <s v="Sports"/>
    <s v="Retail"/>
    <n v="47"/>
    <s v="West"/>
    <s v="R027"/>
    <n v="917092.61999999965"/>
    <s v="West"/>
    <s v="Sports"/>
    <n v="974"/>
  </r>
  <r>
    <s v="ORD-00541"/>
    <d v="2024-07-20T00:00:00"/>
    <s v="CUST-0005"/>
    <s v="PROD-027"/>
    <s v="R001"/>
    <n v="1"/>
    <n v="3780"/>
    <n v="4.7"/>
    <n v="3602.34"/>
    <s v="Completed"/>
    <x v="1"/>
    <s v="Grocery"/>
    <s v="Corporate"/>
    <n v="52"/>
    <s v="North"/>
    <s v="R001"/>
    <n v="789849.60000000009"/>
    <s v="North"/>
    <s v="Grocery"/>
    <n v="2436"/>
  </r>
  <r>
    <s v="ORD-00542"/>
    <d v="2024-10-27T00:00:00"/>
    <s v="CUST-0072"/>
    <s v="PROD-016"/>
    <s v="R019"/>
    <n v="2"/>
    <n v="620"/>
    <n v="8"/>
    <n v="1140.8"/>
    <s v="Completed"/>
    <x v="3"/>
    <s v="Apparel"/>
    <s v="Corporate"/>
    <n v="62"/>
    <s v="East"/>
    <s v="R019"/>
    <n v="971183.52000000014"/>
    <s v="East"/>
    <s v="Apparel"/>
    <n v="396"/>
  </r>
  <r>
    <s v="ORD-00543"/>
    <d v="2024-03-28T00:00:00"/>
    <s v="CUST-0167"/>
    <s v="PROD-060"/>
    <s v="R007"/>
    <n v="3"/>
    <n v="190"/>
    <n v="17.899999999999999"/>
    <n v="467.97"/>
    <s v="Pending"/>
    <x v="2"/>
    <s v="Sports"/>
    <s v="Retail"/>
    <n v="43"/>
    <s v="North"/>
    <s v="R007"/>
    <n v="855749.67999999982"/>
    <s v="North"/>
    <s v="Sports"/>
    <n v="147"/>
  </r>
  <r>
    <s v="ORD-00544"/>
    <d v="2024-02-10T00:00:00"/>
    <s v="CUST-0244"/>
    <s v="PROD-014"/>
    <s v="R019"/>
    <n v="2"/>
    <n v="3620"/>
    <n v="15.5"/>
    <n v="6117.8"/>
    <s v="Completed"/>
    <x v="4"/>
    <s v="Apparel"/>
    <s v="Retail"/>
    <n v="61"/>
    <s v="East"/>
    <s v="R019"/>
    <n v="971183.52000000014"/>
    <s v="East"/>
    <s v="Apparel"/>
    <n v="2509"/>
  </r>
  <r>
    <s v="ORD-00545"/>
    <d v="2024-11-14T00:00:00"/>
    <s v="CUST-0086"/>
    <s v="PROD-055"/>
    <s v="R018"/>
    <n v="5"/>
    <n v="2860"/>
    <n v="26.8"/>
    <n v="10467.6"/>
    <s v="Completed"/>
    <x v="5"/>
    <s v="Sports"/>
    <s v="Corporate"/>
    <n v="56"/>
    <s v="East"/>
    <s v="R018"/>
    <n v="1112289.6400000001"/>
    <s v="East"/>
    <s v="Sports"/>
    <n v="2028"/>
  </r>
  <r>
    <s v="ORD-00546"/>
    <d v="2024-12-12T00:00:00"/>
    <s v="CUST-0091"/>
    <s v="PROD-058"/>
    <s v="R023"/>
    <n v="6"/>
    <n v="2400"/>
    <n v="19.2"/>
    <n v="11635.2"/>
    <s v="Cancelled"/>
    <x v="2"/>
    <s v="Sports"/>
    <s v="Retail"/>
    <n v="55"/>
    <s v="East"/>
    <s v="R023"/>
    <n v="983787.4800000001"/>
    <s v="East"/>
    <s v="Sports"/>
    <n v="974"/>
  </r>
  <r>
    <s v="ORD-00547"/>
    <d v="2024-09-11T00:00:00"/>
    <s v="CUST-0169"/>
    <s v="PROD-034"/>
    <s v="R009"/>
    <n v="7"/>
    <n v="5080"/>
    <n v="16.600000000000001"/>
    <n v="29657.040000000001"/>
    <s v="Pending"/>
    <x v="4"/>
    <s v="Home"/>
    <s v="SMB"/>
    <n v="42"/>
    <s v="South"/>
    <s v="R009"/>
    <n v="914554.71999999986"/>
    <s v="South"/>
    <s v="Home"/>
    <n v="2459"/>
  </r>
  <r>
    <s v="ORD-00548"/>
    <d v="2024-05-24T00:00:00"/>
    <s v="CUST-0273"/>
    <s v="PROD-034"/>
    <s v="R015"/>
    <n v="10"/>
    <n v="5080"/>
    <n v="24.6"/>
    <n v="38303.199999999997"/>
    <s v="Completed"/>
    <x v="5"/>
    <s v="Home"/>
    <s v="Corporate"/>
    <n v="32"/>
    <s v="South"/>
    <s v="R015"/>
    <n v="1091740.1799999997"/>
    <s v="South"/>
    <s v="Home"/>
    <n v="2459"/>
  </r>
  <r>
    <s v="ORD-00549"/>
    <d v="2024-08-28T00:00:00"/>
    <s v="CUST-0233"/>
    <s v="PROD-057"/>
    <s v="R008"/>
    <n v="7"/>
    <n v="960"/>
    <n v="16.600000000000001"/>
    <n v="5604.48"/>
    <s v="Completed"/>
    <x v="3"/>
    <s v="Sports"/>
    <s v="SMB"/>
    <n v="65"/>
    <s v="North"/>
    <s v="R008"/>
    <n v="861553.33"/>
    <s v="North"/>
    <s v="Sports"/>
    <n v="705"/>
  </r>
  <r>
    <s v="ORD-00550"/>
    <d v="2024-10-03T00:00:00"/>
    <s v="CUST-0175"/>
    <s v="PROD-028"/>
    <s v="R028"/>
    <n v="3"/>
    <n v="3660"/>
    <n v="3.2"/>
    <n v="10628.64"/>
    <s v="Pending"/>
    <x v="2"/>
    <s v="Grocery"/>
    <s v="Corporate"/>
    <n v="55"/>
    <s v="West"/>
    <s v="R028"/>
    <n v="880468.05"/>
    <s v="West"/>
    <s v="Grocery"/>
    <n v="2214"/>
  </r>
  <r>
    <s v="ORD-00551"/>
    <d v="2024-10-07T00:00:00"/>
    <s v="CUST-0241"/>
    <s v="PROD-010"/>
    <s v="R009"/>
    <n v="6"/>
    <n v="2640"/>
    <n v="26.3"/>
    <n v="11674.08"/>
    <s v="Completed"/>
    <x v="0"/>
    <s v="Electronics"/>
    <s v="Corporate"/>
    <n v="47"/>
    <s v="South"/>
    <s v="R009"/>
    <n v="914554.71999999986"/>
    <s v="South"/>
    <s v="Electronics"/>
    <n v="1149"/>
  </r>
  <r>
    <s v="ORD-00552"/>
    <d v="2024-09-27T00:00:00"/>
    <s v="CUST-0024"/>
    <s v="PROD-009"/>
    <s v="R009"/>
    <n v="6"/>
    <n v="1220"/>
    <n v="22.3"/>
    <n v="5687.64"/>
    <s v="Cancelled"/>
    <x v="1"/>
    <s v="Electronics"/>
    <s v="SMB"/>
    <n v="64"/>
    <s v="South"/>
    <s v="R009"/>
    <n v="914554.71999999986"/>
    <s v="South"/>
    <s v="Electronics"/>
    <n v="517"/>
  </r>
  <r>
    <s v="ORD-00553"/>
    <d v="2024-02-23T00:00:00"/>
    <s v="CUST-0252"/>
    <s v="PROD-005"/>
    <s v="R013"/>
    <n v="1"/>
    <n v="300"/>
    <n v="0.7"/>
    <n v="297.89999999999998"/>
    <s v="Completed"/>
    <x v="4"/>
    <s v="Electronics"/>
    <s v="Retail"/>
    <n v="27"/>
    <s v="South"/>
    <s v="R013"/>
    <n v="811524.37999999989"/>
    <s v="South"/>
    <s v="Electronics"/>
    <n v="128"/>
  </r>
  <r>
    <s v="ORD-00554"/>
    <d v="2024-03-19T00:00:00"/>
    <s v="CUST-0245"/>
    <s v="PROD-054"/>
    <s v="R020"/>
    <n v="2"/>
    <n v="1010"/>
    <n v="28"/>
    <n v="1454.4"/>
    <s v="Completed"/>
    <x v="5"/>
    <s v="Sports"/>
    <s v="Retail"/>
    <n v="65"/>
    <s v="East"/>
    <s v="R020"/>
    <n v="906107.71000000008"/>
    <s v="East"/>
    <s v="Sports"/>
    <n v="516"/>
  </r>
  <r>
    <s v="ORD-00555"/>
    <d v="2024-04-25T00:00:00"/>
    <s v="CUST-0046"/>
    <s v="PROD-002"/>
    <s v="R011"/>
    <n v="5"/>
    <n v="2600"/>
    <n v="0.8"/>
    <n v="12896"/>
    <s v="Cancelled"/>
    <x v="2"/>
    <s v="Electronics"/>
    <s v="SMB"/>
    <n v="45"/>
    <s v="South"/>
    <s v="R011"/>
    <n v="735207.75999999989"/>
    <s v="South"/>
    <s v="Electronics"/>
    <n v="1052"/>
  </r>
  <r>
    <s v="ORD-00556"/>
    <d v="2024-02-15T00:00:00"/>
    <s v="CUST-0050"/>
    <s v="PROD-056"/>
    <s v="R026"/>
    <n v="3"/>
    <n v="6940"/>
    <n v="10.7"/>
    <n v="18592.259999999998"/>
    <s v="Cancelled"/>
    <x v="3"/>
    <s v="Sports"/>
    <s v="Retail"/>
    <n v="37"/>
    <s v="West"/>
    <s v="R026"/>
    <n v="576305.08000000019"/>
    <s v="West"/>
    <s v="Sports"/>
    <n v="2827"/>
  </r>
  <r>
    <s v="ORD-00557"/>
    <d v="2024-10-06T00:00:00"/>
    <s v="CUST-0227"/>
    <s v="PROD-032"/>
    <s v="R011"/>
    <n v="1"/>
    <n v="370"/>
    <n v="10.3"/>
    <n v="331.89"/>
    <s v="Refunded"/>
    <x v="4"/>
    <s v="Home"/>
    <s v="SMB"/>
    <n v="44"/>
    <s v="South"/>
    <s v="R011"/>
    <n v="735207.75999999989"/>
    <s v="South"/>
    <s v="Home"/>
    <n v="288"/>
  </r>
  <r>
    <s v="ORD-00558"/>
    <d v="2024-03-06T00:00:00"/>
    <s v="CUST-0218"/>
    <s v="PROD-027"/>
    <s v="R029"/>
    <n v="2"/>
    <n v="3780"/>
    <n v="29.4"/>
    <n v="5337.36"/>
    <s v="Completed"/>
    <x v="3"/>
    <s v="Grocery"/>
    <s v="Retail"/>
    <n v="39"/>
    <s v="West"/>
    <s v="R029"/>
    <n v="1016696.8000000002"/>
    <s v="West"/>
    <s v="Grocery"/>
    <n v="2436"/>
  </r>
  <r>
    <s v="ORD-00559"/>
    <d v="2024-05-20T00:00:00"/>
    <s v="CUST-0087"/>
    <s v="PROD-030"/>
    <s v="R022"/>
    <n v="5"/>
    <n v="970"/>
    <n v="14.6"/>
    <n v="4141.8999999999996"/>
    <s v="Completed"/>
    <x v="0"/>
    <s v="Grocery"/>
    <s v="SMB"/>
    <n v="49"/>
    <s v="East"/>
    <s v="R022"/>
    <n v="1069570.5400000003"/>
    <s v="East"/>
    <s v="Grocery"/>
    <n v="434"/>
  </r>
  <r>
    <s v="ORD-00560"/>
    <d v="2024-11-08T00:00:00"/>
    <s v="CUST-0209"/>
    <s v="PROD-022"/>
    <s v="R002"/>
    <n v="3"/>
    <n v="2270"/>
    <n v="6.5"/>
    <n v="6367.35"/>
    <s v="Completed"/>
    <x v="0"/>
    <s v="Grocery"/>
    <s v="Retail"/>
    <n v="31"/>
    <s v="North"/>
    <s v="R002"/>
    <n v="980063.65999999968"/>
    <s v="North"/>
    <s v="Grocery"/>
    <n v="1412"/>
  </r>
  <r>
    <s v="ORD-00561"/>
    <d v="2024-06-24T00:00:00"/>
    <s v="CUST-0212"/>
    <s v="PROD-041"/>
    <s v="R029"/>
    <n v="10"/>
    <n v="1540"/>
    <n v="16.5"/>
    <n v="12859"/>
    <s v="Completed"/>
    <x v="1"/>
    <s v="Beauty"/>
    <s v="SMB"/>
    <n v="46"/>
    <s v="West"/>
    <s v="R029"/>
    <n v="1016696.8000000002"/>
    <s v="West"/>
    <s v="Beauty"/>
    <n v="647"/>
  </r>
  <r>
    <s v="ORD-00562"/>
    <d v="2024-12-23T00:00:00"/>
    <s v="CUST-0180"/>
    <s v="PROD-021"/>
    <s v="R017"/>
    <n v="4"/>
    <n v="2760"/>
    <n v="19.8"/>
    <n v="8854.08"/>
    <s v="Completed"/>
    <x v="1"/>
    <s v="Grocery"/>
    <s v="Retail"/>
    <n v="36"/>
    <s v="East"/>
    <s v="R017"/>
    <n v="780384.40999999992"/>
    <s v="East"/>
    <s v="Grocery"/>
    <n v="1435"/>
  </r>
  <r>
    <s v="ORD-00563"/>
    <d v="2024-02-10T00:00:00"/>
    <s v="CUST-0025"/>
    <s v="PROD-024"/>
    <s v="R030"/>
    <n v="3"/>
    <n v="2270"/>
    <n v="29.5"/>
    <n v="4801.05"/>
    <s v="Refunded"/>
    <x v="4"/>
    <s v="Grocery"/>
    <s v="Retail"/>
    <n v="23"/>
    <s v="West"/>
    <s v="R030"/>
    <n v="747624.36999999988"/>
    <s v="West"/>
    <s v="Grocery"/>
    <n v="1203"/>
  </r>
  <r>
    <s v="ORD-00564"/>
    <d v="2024-05-06T00:00:00"/>
    <s v="CUST-0271"/>
    <s v="PROD-045"/>
    <s v="R015"/>
    <n v="8"/>
    <n v="3020"/>
    <n v="1.2"/>
    <n v="23870.080000000002"/>
    <s v="Completed"/>
    <x v="4"/>
    <s v="Beauty"/>
    <s v="Corporate"/>
    <n v="41"/>
    <s v="South"/>
    <s v="R015"/>
    <n v="1091740.1799999997"/>
    <s v="South"/>
    <s v="Beauty"/>
    <n v="1626"/>
  </r>
  <r>
    <s v="ORD-00565"/>
    <d v="2024-07-17T00:00:00"/>
    <s v="CUST-0026"/>
    <s v="PROD-023"/>
    <s v="R018"/>
    <n v="6"/>
    <n v="2380"/>
    <n v="20.399999999999999"/>
    <n v="11366.88"/>
    <s v="Completed"/>
    <x v="0"/>
    <s v="Grocery"/>
    <s v="Retail"/>
    <n v="62"/>
    <s v="East"/>
    <s v="R018"/>
    <n v="1112289.6400000001"/>
    <s v="East"/>
    <s v="Grocery"/>
    <n v="1182"/>
  </r>
  <r>
    <s v="ORD-00566"/>
    <d v="2024-06-27T00:00:00"/>
    <s v="CUST-0058"/>
    <s v="PROD-056"/>
    <s v="R028"/>
    <n v="1"/>
    <n v="6940"/>
    <n v="15"/>
    <n v="5899"/>
    <s v="Cancelled"/>
    <x v="4"/>
    <s v="Sports"/>
    <s v="SMB"/>
    <n v="49"/>
    <s v="West"/>
    <s v="R028"/>
    <n v="880468.05"/>
    <s v="West"/>
    <s v="Sports"/>
    <n v="2827"/>
  </r>
  <r>
    <s v="ORD-00567"/>
    <d v="2024-12-28T00:00:00"/>
    <s v="CUST-0033"/>
    <s v="PROD-008"/>
    <s v="R010"/>
    <n v="1"/>
    <n v="2660"/>
    <n v="11.6"/>
    <n v="2351.44"/>
    <s v="Completed"/>
    <x v="2"/>
    <s v="Electronics"/>
    <s v="Retail"/>
    <n v="35"/>
    <s v="South"/>
    <s v="R010"/>
    <n v="880345.20000000007"/>
    <s v="South"/>
    <s v="Electronics"/>
    <n v="1259"/>
  </r>
  <r>
    <s v="ORD-00568"/>
    <d v="2024-09-13T00:00:00"/>
    <s v="CUST-0057"/>
    <s v="PROD-030"/>
    <s v="R013"/>
    <n v="4"/>
    <n v="970"/>
    <n v="11.6"/>
    <n v="3429.92"/>
    <s v="Completed"/>
    <x v="0"/>
    <s v="Grocery"/>
    <s v="Retail"/>
    <n v="35"/>
    <s v="South"/>
    <s v="R013"/>
    <n v="811524.37999999989"/>
    <s v="South"/>
    <s v="Grocery"/>
    <n v="434"/>
  </r>
  <r>
    <s v="ORD-00569"/>
    <d v="2024-12-06T00:00:00"/>
    <s v="CUST-0231"/>
    <s v="PROD-022"/>
    <s v="R002"/>
    <n v="7"/>
    <n v="2270"/>
    <n v="27.9"/>
    <n v="11456.69"/>
    <s v="Completed"/>
    <x v="1"/>
    <s v="Grocery"/>
    <s v="Retail"/>
    <n v="61"/>
    <s v="North"/>
    <s v="R002"/>
    <n v="980063.65999999968"/>
    <s v="North"/>
    <s v="Grocery"/>
    <n v="1412"/>
  </r>
  <r>
    <s v="ORD-00570"/>
    <d v="2024-01-13T00:00:00"/>
    <s v="CUST-0031"/>
    <s v="PROD-054"/>
    <s v="R016"/>
    <n v="8"/>
    <n v="1010"/>
    <n v="13.7"/>
    <n v="6973.04"/>
    <s v="Cancelled"/>
    <x v="5"/>
    <s v="Sports"/>
    <s v="Retail"/>
    <n v="53"/>
    <s v="South"/>
    <s v="R016"/>
    <n v="814563.7100000002"/>
    <s v="South"/>
    <s v="Sports"/>
    <n v="516"/>
  </r>
  <r>
    <s v="ORD-00571"/>
    <d v="2024-02-08T00:00:00"/>
    <s v="CUST-0228"/>
    <s v="PROD-023"/>
    <s v="R001"/>
    <n v="8"/>
    <n v="2380"/>
    <n v="15.3"/>
    <n v="16126.88"/>
    <s v="Cancelled"/>
    <x v="0"/>
    <s v="Grocery"/>
    <s v="Corporate"/>
    <n v="37"/>
    <s v="North"/>
    <s v="R001"/>
    <n v="789849.60000000009"/>
    <s v="North"/>
    <s v="Grocery"/>
    <n v="1182"/>
  </r>
  <r>
    <s v="ORD-00572"/>
    <d v="2024-12-07T00:00:00"/>
    <s v="CUST-0127"/>
    <s v="PROD-053"/>
    <s v="R018"/>
    <n v="10"/>
    <n v="470"/>
    <n v="2.1"/>
    <n v="4601.3"/>
    <s v="Completed"/>
    <x v="4"/>
    <s v="Sports"/>
    <s v="SMB"/>
    <n v="36"/>
    <s v="East"/>
    <s v="R018"/>
    <n v="1112289.6400000001"/>
    <s v="East"/>
    <s v="Sports"/>
    <n v="302"/>
  </r>
  <r>
    <s v="ORD-00573"/>
    <d v="2024-07-07T00:00:00"/>
    <s v="CUST-0117"/>
    <s v="PROD-048"/>
    <s v="R025"/>
    <n v="5"/>
    <n v="5100"/>
    <n v="9.6999999999999993"/>
    <n v="23026.5"/>
    <s v="Completed"/>
    <x v="2"/>
    <s v="Beauty"/>
    <s v="SMB"/>
    <n v="34"/>
    <s v="West"/>
    <s v="R025"/>
    <n v="901298.89"/>
    <s v="West"/>
    <s v="Beauty"/>
    <n v="2237"/>
  </r>
  <r>
    <s v="ORD-00574"/>
    <d v="2024-04-20T00:00:00"/>
    <s v="CUST-0159"/>
    <s v="PROD-049"/>
    <s v="R026"/>
    <n v="9"/>
    <n v="960"/>
    <n v="17.7"/>
    <n v="7110.72"/>
    <s v="Completed"/>
    <x v="5"/>
    <s v="Beauty"/>
    <s v="Retail"/>
    <n v="32"/>
    <s v="West"/>
    <s v="R026"/>
    <n v="576305.08000000019"/>
    <s v="West"/>
    <s v="Beauty"/>
    <n v="675"/>
  </r>
  <r>
    <s v="ORD-00575"/>
    <d v="2024-07-05T00:00:00"/>
    <s v="CUST-0064"/>
    <s v="PROD-026"/>
    <s v="R007"/>
    <n v="2"/>
    <n v="4070"/>
    <n v="2.1"/>
    <n v="7969.06"/>
    <s v="Completed"/>
    <x v="5"/>
    <s v="Grocery"/>
    <s v="SMB"/>
    <n v="40"/>
    <s v="North"/>
    <s v="R007"/>
    <n v="855749.67999999982"/>
    <s v="North"/>
    <s v="Grocery"/>
    <n v="2027"/>
  </r>
  <r>
    <s v="ORD-00576"/>
    <d v="2024-03-07T00:00:00"/>
    <s v="CUST-0272"/>
    <s v="PROD-031"/>
    <s v="R021"/>
    <n v="5"/>
    <n v="3730"/>
    <n v="16.5"/>
    <n v="15572.75"/>
    <s v="Completed"/>
    <x v="3"/>
    <s v="Home"/>
    <s v="SMB"/>
    <n v="47"/>
    <s v="East"/>
    <s v="R021"/>
    <n v="761507.17000000027"/>
    <s v="East"/>
    <s v="Home"/>
    <n v="2135"/>
  </r>
  <r>
    <s v="ORD-00577"/>
    <d v="2024-10-24T00:00:00"/>
    <s v="CUST-0071"/>
    <s v="PROD-055"/>
    <s v="R022"/>
    <n v="1"/>
    <n v="2860"/>
    <n v="10.4"/>
    <n v="2562.56"/>
    <s v="Cancelled"/>
    <x v="2"/>
    <s v="Sports"/>
    <s v="Corporate"/>
    <n v="46"/>
    <s v="East"/>
    <s v="R022"/>
    <n v="1069570.5400000003"/>
    <s v="East"/>
    <s v="Sports"/>
    <n v="2028"/>
  </r>
  <r>
    <s v="ORD-00578"/>
    <d v="2024-08-03T00:00:00"/>
    <s v="CUST-0045"/>
    <s v="PROD-046"/>
    <s v="R018"/>
    <n v="4"/>
    <n v="4880"/>
    <n v="27.5"/>
    <n v="14152"/>
    <s v="Pending"/>
    <x v="1"/>
    <s v="Beauty"/>
    <s v="SMB"/>
    <n v="39"/>
    <s v="East"/>
    <s v="R018"/>
    <n v="1112289.6400000001"/>
    <s v="East"/>
    <s v="Beauty"/>
    <n v="2768"/>
  </r>
  <r>
    <s v="ORD-00579"/>
    <d v="2024-06-27T00:00:00"/>
    <s v="CUST-0148"/>
    <s v="PROD-022"/>
    <s v="R022"/>
    <n v="3"/>
    <n v="2270"/>
    <n v="6.7"/>
    <n v="6353.73"/>
    <s v="Completed"/>
    <x v="1"/>
    <s v="Grocery"/>
    <s v="Retail"/>
    <n v="32"/>
    <s v="East"/>
    <s v="R022"/>
    <n v="1069570.5400000003"/>
    <s v="East"/>
    <s v="Grocery"/>
    <n v="1412"/>
  </r>
  <r>
    <s v="ORD-00580"/>
    <d v="2024-10-24T00:00:00"/>
    <s v="CUST-0097"/>
    <s v="PROD-025"/>
    <s v="R007"/>
    <n v="10"/>
    <n v="4060"/>
    <n v="3.6"/>
    <n v="39138.400000000001"/>
    <s v="Pending"/>
    <x v="3"/>
    <s v="Grocery"/>
    <s v="Retail"/>
    <n v="65"/>
    <s v="North"/>
    <s v="R007"/>
    <n v="855749.67999999982"/>
    <s v="North"/>
    <s v="Grocery"/>
    <n v="2911"/>
  </r>
  <r>
    <s v="ORD-00581"/>
    <d v="2024-05-21T00:00:00"/>
    <s v="CUST-0151"/>
    <s v="PROD-010"/>
    <s v="R004"/>
    <n v="8"/>
    <n v="2640"/>
    <n v="28.8"/>
    <n v="15037.44"/>
    <s v="Completed"/>
    <x v="3"/>
    <s v="Electronics"/>
    <s v="Retail"/>
    <n v="53"/>
    <s v="North"/>
    <s v="R004"/>
    <n v="589026.2899999998"/>
    <s v="North"/>
    <s v="Electronics"/>
    <n v="1149"/>
  </r>
  <r>
    <s v="ORD-00582"/>
    <d v="2024-07-04T00:00:00"/>
    <s v="CUST-0048"/>
    <s v="PROD-031"/>
    <s v="R012"/>
    <n v="6"/>
    <n v="3730"/>
    <n v="21.9"/>
    <n v="17478.78"/>
    <s v="Completed"/>
    <x v="2"/>
    <s v="Home"/>
    <s v="Retail"/>
    <n v="59"/>
    <s v="South"/>
    <s v="R012"/>
    <n v="901394.32000000007"/>
    <s v="South"/>
    <s v="Home"/>
    <n v="2135"/>
  </r>
  <r>
    <s v="ORD-00583"/>
    <d v="2024-05-31T00:00:00"/>
    <s v="CUST-0048"/>
    <s v="PROD-001"/>
    <s v="R006"/>
    <n v="9"/>
    <n v="5330"/>
    <n v="29.4"/>
    <n v="33866.82"/>
    <s v="Cancelled"/>
    <x v="2"/>
    <s v="Electronics"/>
    <s v="Retail"/>
    <n v="59"/>
    <s v="North"/>
    <s v="R006"/>
    <n v="1138648.73"/>
    <s v="North"/>
    <s v="Electronics"/>
    <n v="2405"/>
  </r>
  <r>
    <s v="ORD-00584"/>
    <d v="2024-01-31T00:00:00"/>
    <s v="CUST-0156"/>
    <s v="PROD-011"/>
    <s v="R027"/>
    <n v="1"/>
    <n v="3450"/>
    <n v="23.3"/>
    <n v="2646.15"/>
    <s v="Completed"/>
    <x v="3"/>
    <s v="Apparel"/>
    <s v="Retail"/>
    <n v="33"/>
    <s v="West"/>
    <s v="R027"/>
    <n v="917092.61999999965"/>
    <s v="West"/>
    <s v="Apparel"/>
    <n v="1748"/>
  </r>
  <r>
    <s v="ORD-00585"/>
    <d v="2024-09-09T00:00:00"/>
    <s v="CUST-0022"/>
    <s v="PROD-050"/>
    <s v="R017"/>
    <n v="3"/>
    <n v="6080"/>
    <n v="14.5"/>
    <n v="15595.2"/>
    <s v="Completed"/>
    <x v="4"/>
    <s v="Beauty"/>
    <s v="Corporate"/>
    <n v="55"/>
    <s v="East"/>
    <s v="R017"/>
    <n v="780384.40999999992"/>
    <s v="East"/>
    <s v="Beauty"/>
    <n v="2617"/>
  </r>
  <r>
    <s v="ORD-00586"/>
    <d v="2024-11-13T00:00:00"/>
    <s v="CUST-0193"/>
    <s v="PROD-031"/>
    <s v="R002"/>
    <n v="4"/>
    <n v="3730"/>
    <n v="3.4"/>
    <n v="14412.72"/>
    <s v="Cancelled"/>
    <x v="4"/>
    <s v="Home"/>
    <s v="Retail"/>
    <n v="42"/>
    <s v="North"/>
    <s v="R002"/>
    <n v="980063.65999999968"/>
    <s v="North"/>
    <s v="Home"/>
    <n v="2135"/>
  </r>
  <r>
    <s v="ORD-00587"/>
    <d v="2024-07-18T00:00:00"/>
    <s v="CUST-0189"/>
    <s v="PROD-008"/>
    <s v="R022"/>
    <n v="10"/>
    <n v="2660"/>
    <n v="2.1"/>
    <n v="26041.4"/>
    <s v="Completed"/>
    <x v="1"/>
    <s v="Electronics"/>
    <s v="Retail"/>
    <n v="41"/>
    <s v="East"/>
    <s v="R022"/>
    <n v="1069570.5400000003"/>
    <s v="East"/>
    <s v="Electronics"/>
    <n v="1259"/>
  </r>
  <r>
    <s v="ORD-00588"/>
    <d v="2024-03-22T00:00:00"/>
    <s v="CUST-0101"/>
    <s v="PROD-029"/>
    <s v="R021"/>
    <n v="7"/>
    <n v="2210"/>
    <n v="17.100000000000001"/>
    <n v="12824.63"/>
    <s v="Completed"/>
    <x v="5"/>
    <s v="Grocery"/>
    <s v="SMB"/>
    <n v="40"/>
    <s v="East"/>
    <s v="R021"/>
    <n v="761507.17000000027"/>
    <s v="East"/>
    <s v="Grocery"/>
    <n v="1010"/>
  </r>
  <r>
    <s v="ORD-00589"/>
    <d v="2024-11-11T00:00:00"/>
    <s v="CUST-0006"/>
    <s v="PROD-059"/>
    <s v="R013"/>
    <n v="6"/>
    <n v="3780"/>
    <n v="12.7"/>
    <n v="19799.64"/>
    <s v="Completed"/>
    <x v="0"/>
    <s v="Sports"/>
    <s v="SMB"/>
    <n v="44"/>
    <s v="South"/>
    <s v="R013"/>
    <n v="811524.37999999989"/>
    <s v="South"/>
    <s v="Sports"/>
    <n v="1860"/>
  </r>
  <r>
    <s v="ORD-00590"/>
    <d v="2024-04-30T00:00:00"/>
    <s v="CUST-0235"/>
    <s v="PROD-038"/>
    <s v="R029"/>
    <n v="4"/>
    <n v="5490"/>
    <n v="26.9"/>
    <n v="16052.76"/>
    <s v="Completed"/>
    <x v="1"/>
    <s v="Home"/>
    <s v="Retail"/>
    <n v="31"/>
    <s v="West"/>
    <s v="R029"/>
    <n v="1016696.8000000002"/>
    <s v="West"/>
    <s v="Home"/>
    <n v="2549"/>
  </r>
  <r>
    <s v="ORD-00591"/>
    <d v="2024-02-29T00:00:00"/>
    <s v="CUST-0045"/>
    <s v="PROD-008"/>
    <s v="R013"/>
    <n v="9"/>
    <n v="2660"/>
    <n v="21.9"/>
    <n v="18697.14"/>
    <s v="Completed"/>
    <x v="1"/>
    <s v="Electronics"/>
    <s v="SMB"/>
    <n v="39"/>
    <s v="South"/>
    <s v="R013"/>
    <n v="811524.37999999989"/>
    <s v="South"/>
    <s v="Electronics"/>
    <n v="1259"/>
  </r>
  <r>
    <s v="ORD-00592"/>
    <d v="2024-10-07T00:00:00"/>
    <s v="CUST-0028"/>
    <s v="PROD-056"/>
    <s v="R028"/>
    <n v="9"/>
    <n v="6940"/>
    <n v="8"/>
    <n v="57463.199999999997"/>
    <s v="Completed"/>
    <x v="4"/>
    <s v="Sports"/>
    <s v="Retail"/>
    <n v="59"/>
    <s v="West"/>
    <s v="R028"/>
    <n v="880468.05"/>
    <s v="West"/>
    <s v="Sports"/>
    <n v="2827"/>
  </r>
  <r>
    <s v="ORD-00593"/>
    <d v="2024-04-20T00:00:00"/>
    <s v="CUST-0241"/>
    <s v="PROD-004"/>
    <s v="R006"/>
    <n v="1"/>
    <n v="3870"/>
    <n v="22.6"/>
    <n v="2995.38"/>
    <s v="Completed"/>
    <x v="0"/>
    <s v="Electronics"/>
    <s v="Corporate"/>
    <n v="47"/>
    <s v="North"/>
    <s v="R006"/>
    <n v="1138648.73"/>
    <s v="North"/>
    <s v="Electronics"/>
    <n v="1559"/>
  </r>
  <r>
    <s v="ORD-00594"/>
    <d v="2024-07-30T00:00:00"/>
    <s v="CUST-0278"/>
    <s v="PROD-035"/>
    <s v="R008"/>
    <n v="3"/>
    <n v="1090"/>
    <n v="28.1"/>
    <n v="2351.13"/>
    <s v="Completed"/>
    <x v="5"/>
    <s v="Home"/>
    <s v="Retail"/>
    <n v="41"/>
    <s v="North"/>
    <s v="R008"/>
    <n v="861553.33"/>
    <s v="North"/>
    <s v="Home"/>
    <n v="464"/>
  </r>
  <r>
    <s v="ORD-00595"/>
    <d v="2024-08-20T00:00:00"/>
    <s v="CUST-0009"/>
    <s v="PROD-002"/>
    <s v="R001"/>
    <n v="2"/>
    <n v="2600"/>
    <n v="5.6"/>
    <n v="4908.8"/>
    <s v="Completed"/>
    <x v="3"/>
    <s v="Electronics"/>
    <s v="Retail"/>
    <n v="61"/>
    <s v="North"/>
    <s v="R001"/>
    <n v="789849.60000000009"/>
    <s v="North"/>
    <s v="Electronics"/>
    <n v="1052"/>
  </r>
  <r>
    <s v="ORD-00596"/>
    <d v="2024-05-13T00:00:00"/>
    <s v="CUST-0217"/>
    <s v="PROD-057"/>
    <s v="R020"/>
    <n v="4"/>
    <n v="960"/>
    <n v="21.7"/>
    <n v="3006.72"/>
    <s v="Completed"/>
    <x v="0"/>
    <s v="Sports"/>
    <s v="SMB"/>
    <n v="59"/>
    <s v="East"/>
    <s v="R020"/>
    <n v="906107.71000000008"/>
    <s v="East"/>
    <s v="Sports"/>
    <n v="705"/>
  </r>
  <r>
    <s v="ORD-00597"/>
    <d v="2024-08-29T00:00:00"/>
    <s v="CUST-0289"/>
    <s v="PROD-032"/>
    <s v="R026"/>
    <n v="6"/>
    <n v="370"/>
    <n v="22.5"/>
    <n v="1720.5"/>
    <s v="Completed"/>
    <x v="3"/>
    <s v="Home"/>
    <s v="Retail"/>
    <n v="54"/>
    <s v="West"/>
    <s v="R026"/>
    <n v="576305.08000000019"/>
    <s v="West"/>
    <s v="Home"/>
    <n v="288"/>
  </r>
  <r>
    <s v="ORD-00598"/>
    <d v="2024-12-23T00:00:00"/>
    <s v="CUST-0176"/>
    <s v="PROD-034"/>
    <s v="R006"/>
    <n v="5"/>
    <n v="5080"/>
    <n v="23.8"/>
    <n v="19354.8"/>
    <s v="Completed"/>
    <x v="4"/>
    <s v="Home"/>
    <s v="SMB"/>
    <n v="34"/>
    <s v="North"/>
    <s v="R006"/>
    <n v="1138648.73"/>
    <s v="North"/>
    <s v="Home"/>
    <n v="2459"/>
  </r>
  <r>
    <s v="ORD-00599"/>
    <d v="2024-03-24T00:00:00"/>
    <s v="CUST-0026"/>
    <s v="PROD-041"/>
    <s v="R003"/>
    <n v="5"/>
    <n v="1540"/>
    <n v="6.1"/>
    <n v="7230.3"/>
    <s v="Completed"/>
    <x v="0"/>
    <s v="Beauty"/>
    <s v="Retail"/>
    <n v="62"/>
    <s v="North"/>
    <s v="R003"/>
    <n v="986692.91"/>
    <s v="North"/>
    <s v="Beauty"/>
    <n v="647"/>
  </r>
  <r>
    <s v="ORD-00600"/>
    <d v="2024-02-20T00:00:00"/>
    <s v="CUST-0213"/>
    <s v="PROD-024"/>
    <s v="R015"/>
    <n v="7"/>
    <n v="2270"/>
    <n v="0.4"/>
    <n v="15826.44"/>
    <s v="Completed"/>
    <x v="3"/>
    <s v="Grocery"/>
    <s v="Retail"/>
    <n v="37"/>
    <s v="South"/>
    <s v="R015"/>
    <n v="1091740.1799999997"/>
    <s v="South"/>
    <s v="Grocery"/>
    <n v="1203"/>
  </r>
  <r>
    <s v="ORD-00601"/>
    <d v="2024-05-29T00:00:00"/>
    <s v="CUST-0190"/>
    <s v="PROD-057"/>
    <s v="R015"/>
    <n v="2"/>
    <n v="960"/>
    <n v="3.7"/>
    <n v="1848.96"/>
    <s v="Completed"/>
    <x v="5"/>
    <s v="Sports"/>
    <s v="Retail"/>
    <n v="52"/>
    <s v="South"/>
    <s v="R015"/>
    <n v="1091740.1799999997"/>
    <s v="South"/>
    <s v="Sports"/>
    <n v="705"/>
  </r>
  <r>
    <s v="ORD-00602"/>
    <d v="2024-04-28T00:00:00"/>
    <s v="CUST-0150"/>
    <s v="PROD-007"/>
    <s v="R027"/>
    <n v="6"/>
    <n v="1430"/>
    <n v="2"/>
    <n v="8408.4"/>
    <s v="Pending"/>
    <x v="0"/>
    <s v="Electronics"/>
    <s v="SMB"/>
    <n v="53"/>
    <s v="West"/>
    <s v="R027"/>
    <n v="917092.61999999965"/>
    <s v="West"/>
    <s v="Electronics"/>
    <n v="861"/>
  </r>
  <r>
    <s v="ORD-00603"/>
    <d v="2024-10-23T00:00:00"/>
    <s v="CUST-0129"/>
    <s v="PROD-047"/>
    <s v="R006"/>
    <n v="10"/>
    <n v="3450"/>
    <n v="19.100000000000001"/>
    <n v="27910.5"/>
    <s v="Completed"/>
    <x v="5"/>
    <s v="Beauty"/>
    <s v="Retail"/>
    <n v="29"/>
    <s v="North"/>
    <s v="R006"/>
    <n v="1138648.73"/>
    <s v="North"/>
    <s v="Beauty"/>
    <n v="2420"/>
  </r>
  <r>
    <s v="ORD-00604"/>
    <d v="2024-04-30T00:00:00"/>
    <s v="CUST-0080"/>
    <s v="PROD-009"/>
    <s v="R026"/>
    <n v="8"/>
    <n v="1220"/>
    <n v="16.899999999999999"/>
    <n v="8110.56"/>
    <s v="Completed"/>
    <x v="0"/>
    <s v="Electronics"/>
    <s v="SMB"/>
    <n v="30"/>
    <s v="West"/>
    <s v="R026"/>
    <n v="576305.08000000019"/>
    <s v="West"/>
    <s v="Electronics"/>
    <n v="517"/>
  </r>
  <r>
    <s v="ORD-00605"/>
    <d v="2024-05-27T00:00:00"/>
    <s v="CUST-0034"/>
    <s v="PROD-021"/>
    <s v="R020"/>
    <n v="9"/>
    <n v="2760"/>
    <n v="16.899999999999999"/>
    <n v="20642.04"/>
    <s v="Completed"/>
    <x v="2"/>
    <s v="Grocery"/>
    <s v="Retail"/>
    <n v="47"/>
    <s v="East"/>
    <s v="R020"/>
    <n v="906107.71000000008"/>
    <s v="East"/>
    <s v="Grocery"/>
    <n v="1435"/>
  </r>
  <r>
    <s v="ORD-00606"/>
    <d v="2024-10-28T00:00:00"/>
    <s v="CUST-0179"/>
    <s v="PROD-043"/>
    <s v="R017"/>
    <n v="6"/>
    <n v="3350"/>
    <n v="11.8"/>
    <n v="17728.2"/>
    <s v="Pending"/>
    <x v="3"/>
    <s v="Beauty"/>
    <s v="SMB"/>
    <n v="54"/>
    <s v="East"/>
    <s v="R017"/>
    <n v="780384.40999999992"/>
    <s v="East"/>
    <s v="Beauty"/>
    <n v="1728"/>
  </r>
  <r>
    <s v="ORD-00607"/>
    <d v="2024-10-05T00:00:00"/>
    <s v="CUST-0176"/>
    <s v="PROD-048"/>
    <s v="R013"/>
    <n v="6"/>
    <n v="5100"/>
    <n v="13.2"/>
    <n v="26560.799999999999"/>
    <s v="Completed"/>
    <x v="4"/>
    <s v="Beauty"/>
    <s v="SMB"/>
    <n v="34"/>
    <s v="South"/>
    <s v="R013"/>
    <n v="811524.37999999989"/>
    <s v="South"/>
    <s v="Beauty"/>
    <n v="2237"/>
  </r>
  <r>
    <s v="ORD-00608"/>
    <d v="2024-07-01T00:00:00"/>
    <s v="CUST-0144"/>
    <s v="PROD-010"/>
    <s v="R027"/>
    <n v="6"/>
    <n v="2640"/>
    <n v="26.2"/>
    <n v="11689.92"/>
    <s v="Completed"/>
    <x v="1"/>
    <s v="Electronics"/>
    <s v="Retail"/>
    <n v="49"/>
    <s v="West"/>
    <s v="R027"/>
    <n v="917092.61999999965"/>
    <s v="West"/>
    <s v="Electronics"/>
    <n v="1149"/>
  </r>
  <r>
    <s v="ORD-00609"/>
    <d v="2024-08-20T00:00:00"/>
    <s v="CUST-0218"/>
    <s v="PROD-028"/>
    <s v="R016"/>
    <n v="1"/>
    <n v="3660"/>
    <n v="19.7"/>
    <n v="2938.98"/>
    <s v="Completed"/>
    <x v="3"/>
    <s v="Grocery"/>
    <s v="Retail"/>
    <n v="39"/>
    <s v="South"/>
    <s v="R016"/>
    <n v="814563.7100000002"/>
    <s v="South"/>
    <s v="Grocery"/>
    <n v="2214"/>
  </r>
  <r>
    <s v="ORD-00610"/>
    <d v="2024-06-25T00:00:00"/>
    <s v="CUST-0249"/>
    <s v="PROD-032"/>
    <s v="R027"/>
    <n v="5"/>
    <n v="370"/>
    <n v="21.7"/>
    <n v="1448.55"/>
    <s v="Completed"/>
    <x v="3"/>
    <s v="Home"/>
    <s v="Retail"/>
    <n v="44"/>
    <s v="West"/>
    <s v="R027"/>
    <n v="917092.61999999965"/>
    <s v="West"/>
    <s v="Home"/>
    <n v="288"/>
  </r>
  <r>
    <s v="ORD-00611"/>
    <d v="2024-02-14T00:00:00"/>
    <s v="CUST-0092"/>
    <s v="PROD-016"/>
    <s v="R025"/>
    <n v="5"/>
    <n v="620"/>
    <n v="10.199999999999999"/>
    <n v="2783.8"/>
    <s v="Completed"/>
    <x v="4"/>
    <s v="Apparel"/>
    <s v="SMB"/>
    <n v="28"/>
    <s v="West"/>
    <s v="R025"/>
    <n v="901298.89"/>
    <s v="West"/>
    <s v="Apparel"/>
    <n v="396"/>
  </r>
  <r>
    <s v="ORD-00612"/>
    <d v="2024-04-10T00:00:00"/>
    <s v="CUST-0245"/>
    <s v="PROD-053"/>
    <s v="R018"/>
    <n v="8"/>
    <n v="470"/>
    <n v="2.4"/>
    <n v="3669.76"/>
    <s v="Completed"/>
    <x v="5"/>
    <s v="Sports"/>
    <s v="Retail"/>
    <n v="65"/>
    <s v="East"/>
    <s v="R018"/>
    <n v="1112289.6400000001"/>
    <s v="East"/>
    <s v="Sports"/>
    <n v="302"/>
  </r>
  <r>
    <s v="ORD-00613"/>
    <d v="2024-11-14T00:00:00"/>
    <s v="CUST-0134"/>
    <s v="PROD-042"/>
    <s v="R005"/>
    <n v="3"/>
    <n v="2290"/>
    <n v="20.8"/>
    <n v="5441.04"/>
    <s v="Completed"/>
    <x v="2"/>
    <s v="Beauty"/>
    <s v="Retail"/>
    <n v="40"/>
    <s v="North"/>
    <s v="R005"/>
    <n v="782445.33"/>
    <s v="North"/>
    <s v="Beauty"/>
    <n v="1219"/>
  </r>
  <r>
    <s v="ORD-00614"/>
    <d v="2024-01-06T00:00:00"/>
    <s v="CUST-0063"/>
    <s v="PROD-057"/>
    <s v="R024"/>
    <n v="4"/>
    <n v="960"/>
    <n v="28.8"/>
    <n v="2734.08"/>
    <s v="Pending"/>
    <x v="3"/>
    <s v="Sports"/>
    <s v="SMB"/>
    <n v="53"/>
    <s v="West"/>
    <s v="R024"/>
    <n v="819558.58"/>
    <s v="West"/>
    <s v="Sports"/>
    <n v="705"/>
  </r>
  <r>
    <s v="ORD-00615"/>
    <d v="2024-09-23T00:00:00"/>
    <s v="CUST-0172"/>
    <s v="PROD-028"/>
    <s v="R010"/>
    <n v="5"/>
    <n v="3660"/>
    <n v="11.9"/>
    <n v="16122.3"/>
    <s v="Pending"/>
    <x v="0"/>
    <s v="Grocery"/>
    <s v="Retail"/>
    <n v="65"/>
    <s v="South"/>
    <s v="R010"/>
    <n v="880345.20000000007"/>
    <s v="South"/>
    <s v="Grocery"/>
    <n v="2214"/>
  </r>
  <r>
    <s v="ORD-00616"/>
    <d v="2024-07-14T00:00:00"/>
    <s v="CUST-0139"/>
    <s v="PROD-003"/>
    <s v="R019"/>
    <n v="5"/>
    <n v="3570"/>
    <n v="12.4"/>
    <n v="15636.6"/>
    <s v="Completed"/>
    <x v="5"/>
    <s v="Electronics"/>
    <s v="SMB"/>
    <n v="65"/>
    <s v="East"/>
    <s v="R019"/>
    <n v="971183.52000000014"/>
    <s v="East"/>
    <s v="Electronics"/>
    <n v="1665"/>
  </r>
  <r>
    <s v="ORD-00617"/>
    <d v="2024-01-16T00:00:00"/>
    <s v="CUST-0275"/>
    <s v="PROD-033"/>
    <s v="R017"/>
    <n v="9"/>
    <n v="2030"/>
    <n v="23.4"/>
    <n v="13994.82"/>
    <s v="Completed"/>
    <x v="3"/>
    <s v="Home"/>
    <s v="Retail"/>
    <n v="36"/>
    <s v="East"/>
    <s v="R017"/>
    <n v="780384.40999999992"/>
    <s v="East"/>
    <s v="Home"/>
    <n v="1143"/>
  </r>
  <r>
    <s v="ORD-00618"/>
    <d v="2024-02-06T00:00:00"/>
    <s v="CUST-0006"/>
    <s v="PROD-015"/>
    <s v="R024"/>
    <n v="7"/>
    <n v="2720"/>
    <n v="11.2"/>
    <n v="16907.52"/>
    <s v="Refunded"/>
    <x v="0"/>
    <s v="Apparel"/>
    <s v="SMB"/>
    <n v="44"/>
    <s v="West"/>
    <s v="R024"/>
    <n v="819558.58"/>
    <s v="West"/>
    <s v="Apparel"/>
    <n v="1962"/>
  </r>
  <r>
    <s v="ORD-00619"/>
    <d v="2024-12-01T00:00:00"/>
    <s v="CUST-0279"/>
    <s v="PROD-003"/>
    <s v="R008"/>
    <n v="2"/>
    <n v="3570"/>
    <n v="6.1"/>
    <n v="6704.46"/>
    <s v="Cancelled"/>
    <x v="3"/>
    <s v="Electronics"/>
    <s v="Retail"/>
    <n v="56"/>
    <s v="North"/>
    <s v="R008"/>
    <n v="861553.33"/>
    <s v="North"/>
    <s v="Electronics"/>
    <n v="1665"/>
  </r>
  <r>
    <s v="ORD-00620"/>
    <d v="2024-10-09T00:00:00"/>
    <s v="CUST-0093"/>
    <s v="PROD-058"/>
    <s v="R001"/>
    <n v="5"/>
    <n v="2400"/>
    <n v="16.100000000000001"/>
    <n v="10068"/>
    <s v="Completed"/>
    <x v="0"/>
    <s v="Sports"/>
    <s v="Retail"/>
    <n v="36"/>
    <s v="North"/>
    <s v="R001"/>
    <n v="789849.60000000009"/>
    <s v="North"/>
    <s v="Sports"/>
    <n v="974"/>
  </r>
  <r>
    <s v="ORD-00621"/>
    <d v="2024-10-27T00:00:00"/>
    <s v="CUST-0063"/>
    <s v="PROD-024"/>
    <s v="R002"/>
    <n v="4"/>
    <n v="2270"/>
    <n v="27.5"/>
    <n v="6583"/>
    <s v="Pending"/>
    <x v="3"/>
    <s v="Grocery"/>
    <s v="SMB"/>
    <n v="53"/>
    <s v="North"/>
    <s v="R002"/>
    <n v="980063.65999999968"/>
    <s v="North"/>
    <s v="Grocery"/>
    <n v="1203"/>
  </r>
  <r>
    <s v="ORD-00622"/>
    <d v="2024-08-05T00:00:00"/>
    <s v="CUST-0071"/>
    <s v="PROD-030"/>
    <s v="R012"/>
    <n v="1"/>
    <n v="970"/>
    <n v="12.7"/>
    <n v="846.81"/>
    <s v="Completed"/>
    <x v="2"/>
    <s v="Grocery"/>
    <s v="Corporate"/>
    <n v="46"/>
    <s v="South"/>
    <s v="R012"/>
    <n v="901394.32000000007"/>
    <s v="South"/>
    <s v="Grocery"/>
    <n v="434"/>
  </r>
  <r>
    <s v="ORD-00623"/>
    <d v="2024-01-16T00:00:00"/>
    <s v="CUST-0119"/>
    <s v="PROD-056"/>
    <s v="R018"/>
    <n v="5"/>
    <n v="6940"/>
    <n v="16.2"/>
    <n v="29078.6"/>
    <s v="Completed"/>
    <x v="4"/>
    <s v="Sports"/>
    <s v="SMB"/>
    <n v="43"/>
    <s v="East"/>
    <s v="R018"/>
    <n v="1112289.6400000001"/>
    <s v="East"/>
    <s v="Sports"/>
    <n v="2827"/>
  </r>
  <r>
    <s v="ORD-00624"/>
    <d v="2024-10-21T00:00:00"/>
    <s v="CUST-0035"/>
    <s v="PROD-056"/>
    <s v="R009"/>
    <n v="4"/>
    <n v="6940"/>
    <n v="15.1"/>
    <n v="23568.240000000002"/>
    <s v="Completed"/>
    <x v="5"/>
    <s v="Sports"/>
    <s v="Retail"/>
    <n v="53"/>
    <s v="South"/>
    <s v="R009"/>
    <n v="914554.71999999986"/>
    <s v="South"/>
    <s v="Sports"/>
    <n v="2827"/>
  </r>
  <r>
    <s v="ORD-00625"/>
    <d v="2024-10-22T00:00:00"/>
    <s v="CUST-0042"/>
    <s v="PROD-054"/>
    <s v="R006"/>
    <n v="1"/>
    <n v="1010"/>
    <n v="1.7"/>
    <n v="992.83"/>
    <s v="Completed"/>
    <x v="0"/>
    <s v="Sports"/>
    <s v="Retail"/>
    <n v="25"/>
    <s v="North"/>
    <s v="R006"/>
    <n v="1138648.73"/>
    <s v="North"/>
    <s v="Sports"/>
    <n v="516"/>
  </r>
  <r>
    <s v="ORD-00626"/>
    <d v="2024-11-13T00:00:00"/>
    <s v="CUST-0033"/>
    <s v="PROD-004"/>
    <s v="R007"/>
    <n v="6"/>
    <n v="3870"/>
    <n v="12.2"/>
    <n v="20387.16"/>
    <s v="Completed"/>
    <x v="2"/>
    <s v="Electronics"/>
    <s v="Retail"/>
    <n v="35"/>
    <s v="North"/>
    <s v="R007"/>
    <n v="855749.67999999982"/>
    <s v="North"/>
    <s v="Electronics"/>
    <n v="1559"/>
  </r>
  <r>
    <s v="ORD-00627"/>
    <d v="2024-01-25T00:00:00"/>
    <s v="CUST-0077"/>
    <s v="PROD-048"/>
    <s v="R011"/>
    <n v="9"/>
    <n v="5100"/>
    <n v="26.4"/>
    <n v="33782.400000000001"/>
    <s v="Completed"/>
    <x v="5"/>
    <s v="Beauty"/>
    <s v="SMB"/>
    <n v="48"/>
    <s v="South"/>
    <s v="R011"/>
    <n v="735207.75999999989"/>
    <s v="South"/>
    <s v="Beauty"/>
    <n v="2237"/>
  </r>
  <r>
    <s v="ORD-00628"/>
    <d v="2024-06-08T00:00:00"/>
    <s v="CUST-0266"/>
    <s v="PROD-012"/>
    <s v="R008"/>
    <n v="2"/>
    <n v="3160"/>
    <n v="13.4"/>
    <n v="5473.12"/>
    <s v="Refunded"/>
    <x v="0"/>
    <s v="Apparel"/>
    <s v="Retail"/>
    <n v="65"/>
    <s v="North"/>
    <s v="R008"/>
    <n v="861553.33"/>
    <s v="North"/>
    <s v="Apparel"/>
    <n v="1886"/>
  </r>
  <r>
    <s v="ORD-00629"/>
    <d v="2024-09-19T00:00:00"/>
    <s v="CUST-0272"/>
    <s v="PROD-029"/>
    <s v="R011"/>
    <n v="8"/>
    <n v="2210"/>
    <n v="26"/>
    <n v="13083.2"/>
    <s v="Completed"/>
    <x v="3"/>
    <s v="Grocery"/>
    <s v="SMB"/>
    <n v="47"/>
    <s v="South"/>
    <s v="R011"/>
    <n v="735207.75999999989"/>
    <s v="South"/>
    <s v="Grocery"/>
    <n v="1010"/>
  </r>
  <r>
    <s v="ORD-00630"/>
    <d v="2024-10-02T00:00:00"/>
    <s v="CUST-0253"/>
    <s v="PROD-018"/>
    <s v="R026"/>
    <n v="5"/>
    <n v="3560"/>
    <n v="15"/>
    <n v="15130"/>
    <s v="Completed"/>
    <x v="2"/>
    <s v="Apparel"/>
    <s v="SMB"/>
    <n v="53"/>
    <s v="West"/>
    <s v="R026"/>
    <n v="576305.08000000019"/>
    <s v="West"/>
    <s v="Apparel"/>
    <n v="2629"/>
  </r>
  <r>
    <s v="ORD-00631"/>
    <d v="2024-12-07T00:00:00"/>
    <s v="CUST-0252"/>
    <s v="PROD-016"/>
    <s v="R010"/>
    <n v="10"/>
    <n v="620"/>
    <n v="15.8"/>
    <n v="5220.3999999999996"/>
    <s v="Refunded"/>
    <x v="4"/>
    <s v="Apparel"/>
    <s v="Retail"/>
    <n v="27"/>
    <s v="South"/>
    <s v="R010"/>
    <n v="880345.20000000007"/>
    <s v="South"/>
    <s v="Apparel"/>
    <n v="396"/>
  </r>
  <r>
    <s v="ORD-00632"/>
    <d v="2024-10-23T00:00:00"/>
    <s v="CUST-0097"/>
    <s v="PROD-021"/>
    <s v="R002"/>
    <n v="3"/>
    <n v="2760"/>
    <n v="1.9"/>
    <n v="8122.68"/>
    <s v="Cancelled"/>
    <x v="3"/>
    <s v="Grocery"/>
    <s v="Retail"/>
    <n v="65"/>
    <s v="North"/>
    <s v="R002"/>
    <n v="980063.65999999968"/>
    <s v="North"/>
    <s v="Grocery"/>
    <n v="1435"/>
  </r>
  <r>
    <s v="ORD-00633"/>
    <d v="2024-12-08T00:00:00"/>
    <s v="CUST-0283"/>
    <s v="PROD-054"/>
    <s v="R005"/>
    <n v="10"/>
    <n v="1010"/>
    <n v="28.9"/>
    <n v="7181.1"/>
    <s v="Completed"/>
    <x v="2"/>
    <s v="Sports"/>
    <s v="SMB"/>
    <n v="50"/>
    <s v="North"/>
    <s v="R005"/>
    <n v="782445.33"/>
    <s v="North"/>
    <s v="Sports"/>
    <n v="516"/>
  </r>
  <r>
    <s v="ORD-00634"/>
    <d v="2024-03-01T00:00:00"/>
    <s v="CUST-0064"/>
    <s v="PROD-013"/>
    <s v="R002"/>
    <n v="1"/>
    <n v="3640"/>
    <n v="9.6999999999999993"/>
    <n v="3286.92"/>
    <s v="Completed"/>
    <x v="5"/>
    <s v="Apparel"/>
    <s v="SMB"/>
    <n v="40"/>
    <s v="North"/>
    <s v="R002"/>
    <n v="980063.65999999968"/>
    <s v="North"/>
    <s v="Apparel"/>
    <n v="2611"/>
  </r>
  <r>
    <s v="ORD-00635"/>
    <d v="2024-07-16T00:00:00"/>
    <s v="CUST-0143"/>
    <s v="PROD-020"/>
    <s v="R010"/>
    <n v="1"/>
    <n v="820"/>
    <n v="15"/>
    <n v="697"/>
    <s v="Completed"/>
    <x v="1"/>
    <s v="Apparel"/>
    <s v="SMB"/>
    <n v="52"/>
    <s v="South"/>
    <s v="R010"/>
    <n v="880345.20000000007"/>
    <s v="South"/>
    <s v="Apparel"/>
    <n v="391"/>
  </r>
  <r>
    <s v="ORD-00636"/>
    <d v="2024-02-20T00:00:00"/>
    <s v="CUST-0265"/>
    <s v="PROD-013"/>
    <s v="R011"/>
    <n v="4"/>
    <n v="3640"/>
    <n v="17"/>
    <n v="12084.8"/>
    <s v="Completed"/>
    <x v="1"/>
    <s v="Apparel"/>
    <s v="Retail"/>
    <n v="49"/>
    <s v="South"/>
    <s v="R011"/>
    <n v="735207.75999999989"/>
    <s v="South"/>
    <s v="Apparel"/>
    <n v="2611"/>
  </r>
  <r>
    <s v="ORD-00637"/>
    <d v="2024-05-13T00:00:00"/>
    <s v="CUST-0158"/>
    <s v="PROD-023"/>
    <s v="R002"/>
    <n v="7"/>
    <n v="2380"/>
    <n v="25.5"/>
    <n v="12411.7"/>
    <s v="Completed"/>
    <x v="0"/>
    <s v="Grocery"/>
    <s v="Corporate"/>
    <n v="42"/>
    <s v="North"/>
    <s v="R002"/>
    <n v="980063.65999999968"/>
    <s v="North"/>
    <s v="Grocery"/>
    <n v="1182"/>
  </r>
  <r>
    <s v="ORD-00638"/>
    <d v="2024-11-02T00:00:00"/>
    <s v="CUST-0154"/>
    <s v="PROD-037"/>
    <s v="R008"/>
    <n v="1"/>
    <n v="660"/>
    <n v="2.5"/>
    <n v="643.5"/>
    <s v="Completed"/>
    <x v="0"/>
    <s v="Home"/>
    <s v="Retail"/>
    <n v="36"/>
    <s v="North"/>
    <s v="R008"/>
    <n v="861553.33"/>
    <s v="North"/>
    <s v="Home"/>
    <n v="329"/>
  </r>
  <r>
    <s v="ORD-00639"/>
    <d v="2024-03-02T00:00:00"/>
    <s v="CUST-0057"/>
    <s v="PROD-004"/>
    <s v="R020"/>
    <n v="7"/>
    <n v="3870"/>
    <n v="20.3"/>
    <n v="21590.73"/>
    <s v="Pending"/>
    <x v="0"/>
    <s v="Electronics"/>
    <s v="Retail"/>
    <n v="35"/>
    <s v="East"/>
    <s v="R020"/>
    <n v="906107.71000000008"/>
    <s v="East"/>
    <s v="Electronics"/>
    <n v="1559"/>
  </r>
  <r>
    <s v="ORD-00640"/>
    <d v="2024-09-07T00:00:00"/>
    <s v="CUST-0088"/>
    <s v="PROD-032"/>
    <s v="R016"/>
    <n v="10"/>
    <n v="370"/>
    <n v="1.3"/>
    <n v="3651.9"/>
    <s v="Refunded"/>
    <x v="1"/>
    <s v="Home"/>
    <s v="Retail"/>
    <n v="24"/>
    <s v="South"/>
    <s v="R016"/>
    <n v="814563.7100000002"/>
    <s v="South"/>
    <s v="Home"/>
    <n v="288"/>
  </r>
  <r>
    <s v="ORD-00641"/>
    <d v="2024-03-14T00:00:00"/>
    <s v="CUST-0064"/>
    <s v="PROD-014"/>
    <s v="R018"/>
    <n v="1"/>
    <n v="3620"/>
    <n v="1.4"/>
    <n v="3569.32"/>
    <s v="Completed"/>
    <x v="5"/>
    <s v="Apparel"/>
    <s v="SMB"/>
    <n v="40"/>
    <s v="East"/>
    <s v="R018"/>
    <n v="1112289.6400000001"/>
    <s v="East"/>
    <s v="Apparel"/>
    <n v="2509"/>
  </r>
  <r>
    <s v="ORD-00642"/>
    <d v="2024-10-09T00:00:00"/>
    <s v="CUST-0192"/>
    <s v="PROD-008"/>
    <s v="R005"/>
    <n v="10"/>
    <n v="2660"/>
    <n v="20.2"/>
    <n v="21226.799999999999"/>
    <s v="Completed"/>
    <x v="4"/>
    <s v="Electronics"/>
    <s v="Retail"/>
    <n v="55"/>
    <s v="North"/>
    <s v="R005"/>
    <n v="782445.33"/>
    <s v="North"/>
    <s v="Electronics"/>
    <n v="1259"/>
  </r>
  <r>
    <s v="ORD-00643"/>
    <d v="2024-11-18T00:00:00"/>
    <s v="CUST-0175"/>
    <s v="PROD-051"/>
    <s v="R015"/>
    <n v="10"/>
    <n v="3450"/>
    <n v="25.1"/>
    <n v="25840.5"/>
    <s v="Completed"/>
    <x v="2"/>
    <s v="Sports"/>
    <s v="Corporate"/>
    <n v="55"/>
    <s v="South"/>
    <s v="R015"/>
    <n v="1091740.1799999997"/>
    <s v="South"/>
    <s v="Sports"/>
    <n v="2467"/>
  </r>
  <r>
    <s v="ORD-00644"/>
    <d v="2024-12-03T00:00:00"/>
    <s v="CUST-0083"/>
    <s v="PROD-025"/>
    <s v="R013"/>
    <n v="3"/>
    <n v="4060"/>
    <n v="2.5"/>
    <n v="11875.5"/>
    <s v="Refunded"/>
    <x v="4"/>
    <s v="Grocery"/>
    <s v="Corporate"/>
    <n v="31"/>
    <s v="South"/>
    <s v="R013"/>
    <n v="811524.37999999989"/>
    <s v="South"/>
    <s v="Grocery"/>
    <n v="2911"/>
  </r>
  <r>
    <s v="ORD-00645"/>
    <d v="2024-01-03T00:00:00"/>
    <s v="CUST-0142"/>
    <s v="PROD-057"/>
    <s v="R021"/>
    <n v="3"/>
    <n v="960"/>
    <n v="6.6"/>
    <n v="2689.92"/>
    <s v="Cancelled"/>
    <x v="1"/>
    <s v="Sports"/>
    <s v="Corporate"/>
    <n v="55"/>
    <s v="East"/>
    <s v="R021"/>
    <n v="761507.17000000027"/>
    <s v="East"/>
    <s v="Sports"/>
    <n v="705"/>
  </r>
  <r>
    <s v="ORD-00646"/>
    <d v="2024-05-06T00:00:00"/>
    <s v="CUST-0185"/>
    <s v="PROD-008"/>
    <s v="R008"/>
    <n v="4"/>
    <n v="2660"/>
    <n v="16.899999999999999"/>
    <n v="8841.84"/>
    <s v="Completed"/>
    <x v="5"/>
    <s v="Electronics"/>
    <s v="SMB"/>
    <n v="43"/>
    <s v="North"/>
    <s v="R008"/>
    <n v="861553.33"/>
    <s v="North"/>
    <s v="Electronics"/>
    <n v="1259"/>
  </r>
  <r>
    <s v="ORD-00647"/>
    <d v="2024-03-18T00:00:00"/>
    <s v="CUST-0284"/>
    <s v="PROD-024"/>
    <s v="R018"/>
    <n v="6"/>
    <n v="2270"/>
    <n v="16.7"/>
    <n v="11345.46"/>
    <s v="Completed"/>
    <x v="5"/>
    <s v="Grocery"/>
    <s v="SMB"/>
    <n v="65"/>
    <s v="East"/>
    <s v="R018"/>
    <n v="1112289.6400000001"/>
    <s v="East"/>
    <s v="Grocery"/>
    <n v="1203"/>
  </r>
  <r>
    <s v="ORD-00648"/>
    <d v="2024-09-14T00:00:00"/>
    <s v="CUST-0092"/>
    <s v="PROD-027"/>
    <s v="R025"/>
    <n v="5"/>
    <n v="3780"/>
    <n v="21.5"/>
    <n v="14836.5"/>
    <s v="Completed"/>
    <x v="4"/>
    <s v="Grocery"/>
    <s v="SMB"/>
    <n v="28"/>
    <s v="West"/>
    <s v="R025"/>
    <n v="901298.89"/>
    <s v="West"/>
    <s v="Grocery"/>
    <n v="2436"/>
  </r>
  <r>
    <s v="ORD-00649"/>
    <d v="2024-08-01T00:00:00"/>
    <s v="CUST-0091"/>
    <s v="PROD-037"/>
    <s v="R019"/>
    <n v="10"/>
    <n v="660"/>
    <n v="18.8"/>
    <n v="5359.2"/>
    <s v="Completed"/>
    <x v="2"/>
    <s v="Home"/>
    <s v="Retail"/>
    <n v="55"/>
    <s v="East"/>
    <s v="R019"/>
    <n v="971183.52000000014"/>
    <s v="East"/>
    <s v="Home"/>
    <n v="329"/>
  </r>
  <r>
    <s v="ORD-00650"/>
    <d v="2024-05-01T00:00:00"/>
    <s v="CUST-0155"/>
    <s v="PROD-031"/>
    <s v="R024"/>
    <n v="10"/>
    <n v="3730"/>
    <n v="15.1"/>
    <n v="31667.7"/>
    <s v="Completed"/>
    <x v="0"/>
    <s v="Home"/>
    <s v="Corporate"/>
    <n v="40"/>
    <s v="West"/>
    <s v="R024"/>
    <n v="819558.58"/>
    <s v="West"/>
    <s v="Home"/>
    <n v="2135"/>
  </r>
  <r>
    <s v="ORD-00651"/>
    <d v="2024-09-24T00:00:00"/>
    <s v="CUST-0280"/>
    <s v="PROD-025"/>
    <s v="R021"/>
    <n v="6"/>
    <n v="4060"/>
    <n v="20.100000000000001"/>
    <n v="19463.64"/>
    <s v="Pending"/>
    <x v="2"/>
    <s v="Grocery"/>
    <s v="SMB"/>
    <n v="27"/>
    <s v="East"/>
    <s v="R021"/>
    <n v="761507.17000000027"/>
    <s v="East"/>
    <s v="Grocery"/>
    <n v="2911"/>
  </r>
  <r>
    <s v="ORD-00652"/>
    <d v="2024-08-21T00:00:00"/>
    <s v="CUST-0127"/>
    <s v="PROD-024"/>
    <s v="R003"/>
    <n v="2"/>
    <n v="2270"/>
    <n v="17.7"/>
    <n v="3736.42"/>
    <s v="Completed"/>
    <x v="4"/>
    <s v="Grocery"/>
    <s v="SMB"/>
    <n v="36"/>
    <s v="North"/>
    <s v="R003"/>
    <n v="986692.91"/>
    <s v="North"/>
    <s v="Grocery"/>
    <n v="1203"/>
  </r>
  <r>
    <s v="ORD-00653"/>
    <d v="2024-11-14T00:00:00"/>
    <s v="CUST-0077"/>
    <s v="PROD-003"/>
    <s v="R028"/>
    <n v="9"/>
    <n v="3570"/>
    <n v="29.9"/>
    <n v="22523.13"/>
    <s v="Completed"/>
    <x v="5"/>
    <s v="Electronics"/>
    <s v="SMB"/>
    <n v="48"/>
    <s v="West"/>
    <s v="R028"/>
    <n v="880468.05"/>
    <s v="West"/>
    <s v="Electronics"/>
    <n v="1665"/>
  </r>
  <r>
    <s v="ORD-00654"/>
    <d v="2024-08-17T00:00:00"/>
    <s v="CUST-0190"/>
    <s v="PROD-029"/>
    <s v="R004"/>
    <n v="7"/>
    <n v="2210"/>
    <n v="25"/>
    <n v="11602.5"/>
    <s v="Completed"/>
    <x v="5"/>
    <s v="Grocery"/>
    <s v="Retail"/>
    <n v="52"/>
    <s v="North"/>
    <s v="R004"/>
    <n v="589026.2899999998"/>
    <s v="North"/>
    <s v="Grocery"/>
    <n v="1010"/>
  </r>
  <r>
    <s v="ORD-00655"/>
    <d v="2024-03-30T00:00:00"/>
    <s v="CUST-0089"/>
    <s v="PROD-057"/>
    <s v="R026"/>
    <n v="2"/>
    <n v="960"/>
    <n v="8.1999999999999993"/>
    <n v="1762.56"/>
    <s v="Cancelled"/>
    <x v="3"/>
    <s v="Sports"/>
    <s v="SMB"/>
    <n v="43"/>
    <s v="West"/>
    <s v="R026"/>
    <n v="576305.08000000019"/>
    <s v="West"/>
    <s v="Sports"/>
    <n v="705"/>
  </r>
  <r>
    <s v="ORD-00656"/>
    <d v="2024-04-19T00:00:00"/>
    <s v="CUST-0141"/>
    <s v="PROD-059"/>
    <s v="R026"/>
    <n v="9"/>
    <n v="3780"/>
    <n v="28.4"/>
    <n v="24358.32"/>
    <s v="Pending"/>
    <x v="5"/>
    <s v="Sports"/>
    <s v="Corporate"/>
    <n v="22"/>
    <s v="West"/>
    <s v="R026"/>
    <n v="576305.08000000019"/>
    <s v="West"/>
    <s v="Sports"/>
    <n v="1860"/>
  </r>
  <r>
    <s v="ORD-00657"/>
    <d v="2024-10-16T00:00:00"/>
    <s v="CUST-0123"/>
    <s v="PROD-048"/>
    <s v="R014"/>
    <n v="2"/>
    <n v="5100"/>
    <n v="8.6"/>
    <n v="9322.7999999999993"/>
    <s v="Completed"/>
    <x v="1"/>
    <s v="Beauty"/>
    <s v="Corporate"/>
    <n v="44"/>
    <s v="South"/>
    <s v="R014"/>
    <n v="995713.54000000015"/>
    <s v="South"/>
    <s v="Beauty"/>
    <n v="2237"/>
  </r>
  <r>
    <s v="ORD-00658"/>
    <d v="2024-05-02T00:00:00"/>
    <s v="CUST-0041"/>
    <s v="PROD-019"/>
    <s v="R021"/>
    <n v="4"/>
    <n v="2480"/>
    <n v="16.600000000000001"/>
    <n v="8273.2800000000007"/>
    <s v="Completed"/>
    <x v="4"/>
    <s v="Apparel"/>
    <s v="SMB"/>
    <n v="26"/>
    <s v="East"/>
    <s v="R021"/>
    <n v="761507.17000000027"/>
    <s v="East"/>
    <s v="Apparel"/>
    <n v="1173"/>
  </r>
  <r>
    <s v="ORD-00659"/>
    <d v="2024-05-31T00:00:00"/>
    <s v="CUST-0257"/>
    <s v="PROD-040"/>
    <s v="R018"/>
    <n v="10"/>
    <n v="1080"/>
    <n v="14.5"/>
    <n v="9234"/>
    <s v="Completed"/>
    <x v="3"/>
    <s v="Home"/>
    <s v="Corporate"/>
    <n v="46"/>
    <s v="East"/>
    <s v="R018"/>
    <n v="1112289.6400000001"/>
    <s v="East"/>
    <s v="Home"/>
    <n v="519"/>
  </r>
  <r>
    <s v="ORD-00660"/>
    <d v="2024-03-26T00:00:00"/>
    <s v="CUST-0134"/>
    <s v="PROD-002"/>
    <s v="R029"/>
    <n v="7"/>
    <n v="2600"/>
    <n v="21"/>
    <n v="14378"/>
    <s v="Completed"/>
    <x v="2"/>
    <s v="Electronics"/>
    <s v="Retail"/>
    <n v="40"/>
    <s v="West"/>
    <s v="R029"/>
    <n v="1016696.8000000002"/>
    <s v="West"/>
    <s v="Electronics"/>
    <n v="1052"/>
  </r>
  <r>
    <s v="ORD-00661"/>
    <d v="2024-11-26T00:00:00"/>
    <s v="CUST-0180"/>
    <s v="PROD-002"/>
    <s v="R015"/>
    <n v="7"/>
    <n v="2600"/>
    <n v="6.7"/>
    <n v="16980.599999999999"/>
    <s v="Pending"/>
    <x v="1"/>
    <s v="Electronics"/>
    <s v="Retail"/>
    <n v="36"/>
    <s v="South"/>
    <s v="R015"/>
    <n v="1091740.1799999997"/>
    <s v="South"/>
    <s v="Electronics"/>
    <n v="1052"/>
  </r>
  <r>
    <s v="ORD-00662"/>
    <d v="2024-04-21T00:00:00"/>
    <s v="CUST-0283"/>
    <s v="PROD-020"/>
    <s v="R023"/>
    <n v="8"/>
    <n v="820"/>
    <n v="17.8"/>
    <n v="5392.32"/>
    <s v="Pending"/>
    <x v="2"/>
    <s v="Apparel"/>
    <s v="SMB"/>
    <n v="50"/>
    <s v="East"/>
    <s v="R023"/>
    <n v="983787.4800000001"/>
    <s v="East"/>
    <s v="Apparel"/>
    <n v="391"/>
  </r>
  <r>
    <s v="ORD-00663"/>
    <d v="2024-08-28T00:00:00"/>
    <s v="CUST-0047"/>
    <s v="PROD-057"/>
    <s v="R009"/>
    <n v="3"/>
    <n v="960"/>
    <n v="17.8"/>
    <n v="2367.36"/>
    <s v="Completed"/>
    <x v="0"/>
    <s v="Sports"/>
    <s v="Retail"/>
    <n v="49"/>
    <s v="South"/>
    <s v="R009"/>
    <n v="914554.71999999986"/>
    <s v="South"/>
    <s v="Sports"/>
    <n v="705"/>
  </r>
  <r>
    <s v="ORD-00664"/>
    <d v="2024-01-10T00:00:00"/>
    <s v="CUST-0175"/>
    <s v="PROD-041"/>
    <s v="R023"/>
    <n v="2"/>
    <n v="1540"/>
    <n v="1.8"/>
    <n v="3024.56"/>
    <s v="Cancelled"/>
    <x v="2"/>
    <s v="Beauty"/>
    <s v="Corporate"/>
    <n v="55"/>
    <s v="East"/>
    <s v="R023"/>
    <n v="983787.4800000001"/>
    <s v="East"/>
    <s v="Beauty"/>
    <n v="647"/>
  </r>
  <r>
    <s v="ORD-00665"/>
    <d v="2024-11-26T00:00:00"/>
    <s v="CUST-0227"/>
    <s v="PROD-056"/>
    <s v="R030"/>
    <n v="5"/>
    <n v="6940"/>
    <n v="2.9"/>
    <n v="33693.699999999997"/>
    <s v="Completed"/>
    <x v="4"/>
    <s v="Sports"/>
    <s v="SMB"/>
    <n v="44"/>
    <s v="West"/>
    <s v="R030"/>
    <n v="747624.36999999988"/>
    <s v="West"/>
    <s v="Sports"/>
    <n v="2827"/>
  </r>
  <r>
    <s v="ORD-00666"/>
    <d v="2024-08-27T00:00:00"/>
    <s v="CUST-0287"/>
    <s v="PROD-041"/>
    <s v="R013"/>
    <n v="5"/>
    <n v="1540"/>
    <n v="28.8"/>
    <n v="5482.4"/>
    <s v="Completed"/>
    <x v="1"/>
    <s v="Beauty"/>
    <s v="SMB"/>
    <n v="53"/>
    <s v="South"/>
    <s v="R013"/>
    <n v="811524.37999999989"/>
    <s v="South"/>
    <s v="Beauty"/>
    <n v="647"/>
  </r>
  <r>
    <s v="ORD-00667"/>
    <d v="2024-02-04T00:00:00"/>
    <s v="CUST-0004"/>
    <s v="PROD-031"/>
    <s v="R012"/>
    <n v="8"/>
    <n v="3730"/>
    <n v="21.1"/>
    <n v="23543.759999999998"/>
    <s v="Completed"/>
    <x v="2"/>
    <s v="Home"/>
    <s v="Retail"/>
    <n v="53"/>
    <s v="South"/>
    <s v="R012"/>
    <n v="901394.32000000007"/>
    <s v="South"/>
    <s v="Home"/>
    <n v="2135"/>
  </r>
  <r>
    <s v="ORD-00668"/>
    <d v="2024-12-09T00:00:00"/>
    <s v="CUST-0234"/>
    <s v="PROD-021"/>
    <s v="R023"/>
    <n v="7"/>
    <n v="2760"/>
    <n v="1.2"/>
    <n v="19088.16"/>
    <s v="Cancelled"/>
    <x v="4"/>
    <s v="Grocery"/>
    <s v="Retail"/>
    <n v="34"/>
    <s v="East"/>
    <s v="R023"/>
    <n v="983787.4800000001"/>
    <s v="East"/>
    <s v="Grocery"/>
    <n v="1435"/>
  </r>
  <r>
    <s v="ORD-00669"/>
    <d v="2024-05-19T00:00:00"/>
    <s v="CUST-0255"/>
    <s v="PROD-006"/>
    <s v="R020"/>
    <n v="3"/>
    <n v="3970"/>
    <n v="18.3"/>
    <n v="9730.4699999999993"/>
    <s v="Completed"/>
    <x v="1"/>
    <s v="Electronics"/>
    <s v="Corporate"/>
    <n v="51"/>
    <s v="East"/>
    <s v="R020"/>
    <n v="906107.71000000008"/>
    <s v="East"/>
    <s v="Electronics"/>
    <n v="2865"/>
  </r>
  <r>
    <s v="ORD-00670"/>
    <d v="2024-04-11T00:00:00"/>
    <s v="CUST-0092"/>
    <s v="PROD-027"/>
    <s v="R023"/>
    <n v="4"/>
    <n v="3780"/>
    <n v="24.6"/>
    <n v="11400.48"/>
    <s v="Completed"/>
    <x v="4"/>
    <s v="Grocery"/>
    <s v="SMB"/>
    <n v="28"/>
    <s v="East"/>
    <s v="R023"/>
    <n v="983787.4800000001"/>
    <s v="East"/>
    <s v="Grocery"/>
    <n v="2436"/>
  </r>
  <r>
    <s v="ORD-00671"/>
    <d v="2024-01-04T00:00:00"/>
    <s v="CUST-0037"/>
    <s v="PROD-015"/>
    <s v="R008"/>
    <n v="10"/>
    <n v="2720"/>
    <n v="12.8"/>
    <n v="23718.400000000001"/>
    <s v="Completed"/>
    <x v="4"/>
    <s v="Apparel"/>
    <s v="Retail"/>
    <n v="52"/>
    <s v="North"/>
    <s v="R008"/>
    <n v="861553.33"/>
    <s v="North"/>
    <s v="Apparel"/>
    <n v="1962"/>
  </r>
  <r>
    <s v="ORD-00672"/>
    <d v="2024-03-20T00:00:00"/>
    <s v="CUST-0208"/>
    <s v="PROD-006"/>
    <s v="R017"/>
    <n v="5"/>
    <n v="3970"/>
    <n v="5.9"/>
    <n v="18678.849999999999"/>
    <s v="Completed"/>
    <x v="3"/>
    <s v="Electronics"/>
    <s v="Retail"/>
    <n v="49"/>
    <s v="East"/>
    <s v="R017"/>
    <n v="780384.40999999992"/>
    <s v="East"/>
    <s v="Electronics"/>
    <n v="2865"/>
  </r>
  <r>
    <s v="ORD-00673"/>
    <d v="2024-11-05T00:00:00"/>
    <s v="CUST-0008"/>
    <s v="PROD-020"/>
    <s v="R011"/>
    <n v="3"/>
    <n v="820"/>
    <n v="19.399999999999999"/>
    <n v="1982.76"/>
    <s v="Completed"/>
    <x v="0"/>
    <s v="Apparel"/>
    <s v="SMB"/>
    <n v="39"/>
    <s v="South"/>
    <s v="R011"/>
    <n v="735207.75999999989"/>
    <s v="South"/>
    <s v="Apparel"/>
    <n v="391"/>
  </r>
  <r>
    <s v="ORD-00674"/>
    <d v="2024-06-28T00:00:00"/>
    <s v="CUST-0050"/>
    <s v="PROD-016"/>
    <s v="R010"/>
    <n v="7"/>
    <n v="620"/>
    <n v="9.9"/>
    <n v="3910.34"/>
    <s v="Completed"/>
    <x v="3"/>
    <s v="Apparel"/>
    <s v="Retail"/>
    <n v="37"/>
    <s v="South"/>
    <s v="R010"/>
    <n v="880345.20000000007"/>
    <s v="South"/>
    <s v="Apparel"/>
    <n v="396"/>
  </r>
  <r>
    <s v="ORD-00675"/>
    <d v="2024-01-27T00:00:00"/>
    <s v="CUST-0166"/>
    <s v="PROD-042"/>
    <s v="R027"/>
    <n v="8"/>
    <n v="2290"/>
    <n v="18.3"/>
    <n v="14967.44"/>
    <s v="Completed"/>
    <x v="5"/>
    <s v="Beauty"/>
    <s v="Retail"/>
    <n v="31"/>
    <s v="West"/>
    <s v="R027"/>
    <n v="917092.61999999965"/>
    <s v="West"/>
    <s v="Beauty"/>
    <n v="1219"/>
  </r>
  <r>
    <s v="ORD-00676"/>
    <d v="2024-03-13T00:00:00"/>
    <s v="CUST-0271"/>
    <s v="PROD-030"/>
    <s v="R025"/>
    <n v="3"/>
    <n v="970"/>
    <n v="18.399999999999999"/>
    <n v="2374.56"/>
    <s v="Completed"/>
    <x v="4"/>
    <s v="Grocery"/>
    <s v="Corporate"/>
    <n v="41"/>
    <s v="West"/>
    <s v="R025"/>
    <n v="901298.89"/>
    <s v="West"/>
    <s v="Grocery"/>
    <n v="434"/>
  </r>
  <r>
    <s v="ORD-00677"/>
    <d v="2024-05-07T00:00:00"/>
    <s v="CUST-0034"/>
    <s v="PROD-032"/>
    <s v="R014"/>
    <n v="2"/>
    <n v="370"/>
    <n v="8.9"/>
    <n v="674.14"/>
    <s v="Completed"/>
    <x v="2"/>
    <s v="Home"/>
    <s v="Retail"/>
    <n v="47"/>
    <s v="South"/>
    <s v="R014"/>
    <n v="995713.54000000015"/>
    <s v="South"/>
    <s v="Home"/>
    <n v="288"/>
  </r>
  <r>
    <s v="ORD-00678"/>
    <d v="2024-12-06T00:00:00"/>
    <s v="CUST-0016"/>
    <s v="PROD-007"/>
    <s v="R007"/>
    <n v="1"/>
    <n v="1430"/>
    <n v="5.9"/>
    <n v="1345.63"/>
    <s v="Cancelled"/>
    <x v="2"/>
    <s v="Electronics"/>
    <s v="SMB"/>
    <n v="26"/>
    <s v="North"/>
    <s v="R007"/>
    <n v="855749.67999999982"/>
    <s v="North"/>
    <s v="Electronics"/>
    <n v="861"/>
  </r>
  <r>
    <s v="ORD-00679"/>
    <d v="2024-07-21T00:00:00"/>
    <s v="CUST-0039"/>
    <s v="PROD-058"/>
    <s v="R030"/>
    <n v="2"/>
    <n v="2400"/>
    <n v="29.1"/>
    <n v="3403.2"/>
    <s v="Completed"/>
    <x v="4"/>
    <s v="Sports"/>
    <s v="Retail"/>
    <n v="37"/>
    <s v="West"/>
    <s v="R030"/>
    <n v="747624.36999999988"/>
    <s v="West"/>
    <s v="Sports"/>
    <n v="974"/>
  </r>
  <r>
    <s v="ORD-00680"/>
    <d v="2024-02-15T00:00:00"/>
    <s v="CUST-0253"/>
    <s v="PROD-007"/>
    <s v="R011"/>
    <n v="9"/>
    <n v="1430"/>
    <n v="6"/>
    <n v="12097.8"/>
    <s v="Completed"/>
    <x v="2"/>
    <s v="Electronics"/>
    <s v="SMB"/>
    <n v="53"/>
    <s v="South"/>
    <s v="R011"/>
    <n v="735207.75999999989"/>
    <s v="South"/>
    <s v="Electronics"/>
    <n v="861"/>
  </r>
  <r>
    <s v="ORD-00681"/>
    <d v="2024-08-06T00:00:00"/>
    <s v="CUST-0295"/>
    <s v="PROD-015"/>
    <s v="R007"/>
    <n v="8"/>
    <n v="2720"/>
    <n v="25.7"/>
    <n v="16167.68"/>
    <s v="Completed"/>
    <x v="2"/>
    <s v="Apparel"/>
    <s v="SMB"/>
    <n v="48"/>
    <s v="North"/>
    <s v="R007"/>
    <n v="855749.67999999982"/>
    <s v="North"/>
    <s v="Apparel"/>
    <n v="1962"/>
  </r>
  <r>
    <s v="ORD-00682"/>
    <d v="2024-10-07T00:00:00"/>
    <s v="CUST-0138"/>
    <s v="PROD-056"/>
    <s v="R027"/>
    <n v="6"/>
    <n v="6940"/>
    <n v="25.7"/>
    <n v="30938.52"/>
    <s v="Completed"/>
    <x v="1"/>
    <s v="Sports"/>
    <s v="Retail"/>
    <n v="24"/>
    <s v="West"/>
    <s v="R027"/>
    <n v="917092.61999999965"/>
    <s v="West"/>
    <s v="Sports"/>
    <n v="2827"/>
  </r>
  <r>
    <s v="ORD-00683"/>
    <d v="2024-06-29T00:00:00"/>
    <s v="CUST-0002"/>
    <s v="PROD-014"/>
    <s v="R007"/>
    <n v="3"/>
    <n v="3620"/>
    <n v="29.7"/>
    <n v="7634.58"/>
    <s v="Completed"/>
    <x v="0"/>
    <s v="Apparel"/>
    <s v="Corporate"/>
    <n v="42"/>
    <s v="North"/>
    <s v="R007"/>
    <n v="855749.67999999982"/>
    <s v="North"/>
    <s v="Apparel"/>
    <n v="2509"/>
  </r>
  <r>
    <s v="ORD-00684"/>
    <d v="2024-11-19T00:00:00"/>
    <s v="CUST-0287"/>
    <s v="PROD-010"/>
    <s v="R025"/>
    <n v="8"/>
    <n v="2640"/>
    <n v="24.4"/>
    <n v="15966.72"/>
    <s v="Completed"/>
    <x v="1"/>
    <s v="Electronics"/>
    <s v="SMB"/>
    <n v="53"/>
    <s v="West"/>
    <s v="R025"/>
    <n v="901298.89"/>
    <s v="West"/>
    <s v="Electronics"/>
    <n v="1149"/>
  </r>
  <r>
    <s v="ORD-00685"/>
    <d v="2024-02-27T00:00:00"/>
    <s v="CUST-0279"/>
    <s v="PROD-038"/>
    <s v="R006"/>
    <n v="3"/>
    <n v="5490"/>
    <n v="13.5"/>
    <n v="14246.55"/>
    <s v="Completed"/>
    <x v="3"/>
    <s v="Home"/>
    <s v="Retail"/>
    <n v="56"/>
    <s v="North"/>
    <s v="R006"/>
    <n v="1138648.73"/>
    <s v="North"/>
    <s v="Home"/>
    <n v="2549"/>
  </r>
  <r>
    <s v="ORD-00686"/>
    <d v="2024-05-01T00:00:00"/>
    <s v="CUST-0008"/>
    <s v="PROD-034"/>
    <s v="R017"/>
    <n v="3"/>
    <n v="5080"/>
    <n v="9.3000000000000007"/>
    <n v="13822.68"/>
    <s v="Completed"/>
    <x v="0"/>
    <s v="Home"/>
    <s v="SMB"/>
    <n v="39"/>
    <s v="East"/>
    <s v="R017"/>
    <n v="780384.40999999992"/>
    <s v="East"/>
    <s v="Home"/>
    <n v="2459"/>
  </r>
  <r>
    <s v="ORD-00687"/>
    <d v="2024-08-11T00:00:00"/>
    <s v="CUST-0092"/>
    <s v="PROD-042"/>
    <s v="R030"/>
    <n v="4"/>
    <n v="2290"/>
    <n v="24.4"/>
    <n v="6924.96"/>
    <s v="Completed"/>
    <x v="4"/>
    <s v="Beauty"/>
    <s v="SMB"/>
    <n v="28"/>
    <s v="West"/>
    <s v="R030"/>
    <n v="747624.36999999988"/>
    <s v="West"/>
    <s v="Beauty"/>
    <n v="1219"/>
  </r>
  <r>
    <s v="ORD-00688"/>
    <d v="2024-06-20T00:00:00"/>
    <s v="CUST-0106"/>
    <s v="PROD-033"/>
    <s v="R011"/>
    <n v="10"/>
    <n v="2030"/>
    <n v="13.6"/>
    <n v="17539.2"/>
    <s v="Pending"/>
    <x v="0"/>
    <s v="Home"/>
    <s v="Retail"/>
    <n v="22"/>
    <s v="South"/>
    <s v="R011"/>
    <n v="735207.75999999989"/>
    <s v="South"/>
    <s v="Home"/>
    <n v="1143"/>
  </r>
  <r>
    <s v="ORD-00689"/>
    <d v="2024-11-11T00:00:00"/>
    <s v="CUST-0010"/>
    <s v="PROD-007"/>
    <s v="R012"/>
    <n v="10"/>
    <n v="1430"/>
    <n v="16.100000000000001"/>
    <n v="11997.7"/>
    <s v="Cancelled"/>
    <x v="3"/>
    <s v="Electronics"/>
    <s v="SMB"/>
    <n v="61"/>
    <s v="South"/>
    <s v="R012"/>
    <n v="901394.32000000007"/>
    <s v="South"/>
    <s v="Electronics"/>
    <n v="861"/>
  </r>
  <r>
    <s v="ORD-00690"/>
    <d v="2024-03-06T00:00:00"/>
    <s v="CUST-0179"/>
    <s v="PROD-027"/>
    <s v="R009"/>
    <n v="1"/>
    <n v="3780"/>
    <n v="22.7"/>
    <n v="2921.94"/>
    <s v="Completed"/>
    <x v="3"/>
    <s v="Grocery"/>
    <s v="SMB"/>
    <n v="54"/>
    <s v="South"/>
    <s v="R009"/>
    <n v="914554.71999999986"/>
    <s v="South"/>
    <s v="Grocery"/>
    <n v="2436"/>
  </r>
  <r>
    <s v="ORD-00691"/>
    <d v="2024-05-31T00:00:00"/>
    <s v="CUST-0216"/>
    <s v="PROD-012"/>
    <s v="R021"/>
    <n v="10"/>
    <n v="3160"/>
    <n v="13.4"/>
    <n v="27365.599999999999"/>
    <s v="Completed"/>
    <x v="3"/>
    <s v="Apparel"/>
    <s v="Retail"/>
    <n v="50"/>
    <s v="East"/>
    <s v="R021"/>
    <n v="761507.17000000027"/>
    <s v="East"/>
    <s v="Apparel"/>
    <n v="1886"/>
  </r>
  <r>
    <s v="ORD-00692"/>
    <d v="2024-05-10T00:00:00"/>
    <s v="CUST-0172"/>
    <s v="PROD-007"/>
    <s v="R003"/>
    <n v="2"/>
    <n v="1430"/>
    <n v="7.4"/>
    <n v="2648.36"/>
    <s v="Completed"/>
    <x v="0"/>
    <s v="Electronics"/>
    <s v="Retail"/>
    <n v="65"/>
    <s v="North"/>
    <s v="R003"/>
    <n v="986692.91"/>
    <s v="North"/>
    <s v="Electronics"/>
    <n v="861"/>
  </r>
  <r>
    <s v="ORD-00693"/>
    <d v="2024-12-14T00:00:00"/>
    <s v="CUST-0152"/>
    <s v="PROD-012"/>
    <s v="R006"/>
    <n v="5"/>
    <n v="3160"/>
    <n v="3.6"/>
    <n v="15231.2"/>
    <s v="Pending"/>
    <x v="4"/>
    <s v="Apparel"/>
    <s v="SMB"/>
    <n v="64"/>
    <s v="North"/>
    <s v="R006"/>
    <n v="1138648.73"/>
    <s v="North"/>
    <s v="Apparel"/>
    <n v="1886"/>
  </r>
  <r>
    <s v="ORD-00694"/>
    <d v="2024-08-17T00:00:00"/>
    <s v="CUST-0154"/>
    <s v="PROD-042"/>
    <s v="R004"/>
    <n v="2"/>
    <n v="2290"/>
    <n v="28.2"/>
    <n v="3288.44"/>
    <s v="Completed"/>
    <x v="0"/>
    <s v="Beauty"/>
    <s v="Retail"/>
    <n v="36"/>
    <s v="North"/>
    <s v="R004"/>
    <n v="589026.2899999998"/>
    <s v="North"/>
    <s v="Beauty"/>
    <n v="1219"/>
  </r>
  <r>
    <s v="ORD-00695"/>
    <d v="2024-03-15T00:00:00"/>
    <s v="CUST-0001"/>
    <s v="PROD-011"/>
    <s v="R015"/>
    <n v="5"/>
    <n v="3450"/>
    <n v="18.100000000000001"/>
    <n v="14127.75"/>
    <s v="Cancelled"/>
    <x v="0"/>
    <s v="Apparel"/>
    <s v="Retail"/>
    <n v="36"/>
    <s v="South"/>
    <s v="R015"/>
    <n v="1091740.1799999997"/>
    <s v="South"/>
    <s v="Apparel"/>
    <n v="1748"/>
  </r>
  <r>
    <s v="ORD-00696"/>
    <d v="2024-05-27T00:00:00"/>
    <s v="CUST-0069"/>
    <s v="PROD-018"/>
    <s v="R001"/>
    <n v="1"/>
    <n v="3560"/>
    <n v="18.7"/>
    <n v="2894.28"/>
    <s v="Completed"/>
    <x v="1"/>
    <s v="Apparel"/>
    <s v="Retail"/>
    <n v="51"/>
    <s v="North"/>
    <s v="R001"/>
    <n v="789849.60000000009"/>
    <s v="North"/>
    <s v="Apparel"/>
    <n v="2629"/>
  </r>
  <r>
    <s v="ORD-00697"/>
    <d v="2024-05-14T00:00:00"/>
    <s v="CUST-0200"/>
    <s v="PROD-058"/>
    <s v="R009"/>
    <n v="9"/>
    <n v="2400"/>
    <n v="18.5"/>
    <n v="17604"/>
    <s v="Completed"/>
    <x v="5"/>
    <s v="Sports"/>
    <s v="Corporate"/>
    <n v="46"/>
    <s v="South"/>
    <s v="R009"/>
    <n v="914554.71999999986"/>
    <s v="South"/>
    <s v="Sports"/>
    <n v="974"/>
  </r>
  <r>
    <s v="ORD-00698"/>
    <d v="2024-05-03T00:00:00"/>
    <s v="CUST-0164"/>
    <s v="PROD-004"/>
    <s v="R023"/>
    <n v="9"/>
    <n v="3870"/>
    <n v="6.9"/>
    <n v="32426.73"/>
    <s v="Refunded"/>
    <x v="1"/>
    <s v="Electronics"/>
    <s v="Retail"/>
    <n v="60"/>
    <s v="East"/>
    <s v="R023"/>
    <n v="983787.4800000001"/>
    <s v="East"/>
    <s v="Electronics"/>
    <n v="1559"/>
  </r>
  <r>
    <s v="ORD-00699"/>
    <d v="2024-11-24T00:00:00"/>
    <s v="CUST-0004"/>
    <s v="PROD-028"/>
    <s v="R022"/>
    <n v="5"/>
    <n v="3660"/>
    <n v="11.7"/>
    <n v="16158.9"/>
    <s v="Completed"/>
    <x v="2"/>
    <s v="Grocery"/>
    <s v="Retail"/>
    <n v="53"/>
    <s v="East"/>
    <s v="R022"/>
    <n v="1069570.5400000003"/>
    <s v="East"/>
    <s v="Grocery"/>
    <n v="2214"/>
  </r>
  <r>
    <s v="ORD-00700"/>
    <d v="2024-02-24T00:00:00"/>
    <s v="CUST-0224"/>
    <s v="PROD-040"/>
    <s v="R030"/>
    <n v="4"/>
    <n v="1080"/>
    <n v="17.5"/>
    <n v="3564"/>
    <s v="Completed"/>
    <x v="1"/>
    <s v="Home"/>
    <s v="Corporate"/>
    <n v="24"/>
    <s v="West"/>
    <s v="R030"/>
    <n v="747624.36999999988"/>
    <s v="West"/>
    <s v="Home"/>
    <n v="519"/>
  </r>
  <r>
    <s v="ORD-01185"/>
    <d v="2024-01-06T00:00:00"/>
    <s v="CUST-0037"/>
    <s v="PROD-059"/>
    <s v="R006"/>
    <n v="6"/>
    <n v="3780"/>
    <n v="27.8"/>
    <n v="16374.96"/>
    <s v="Completed"/>
    <x v="4"/>
    <s v="Sports"/>
    <s v="Retail"/>
    <n v="52"/>
    <s v="North"/>
    <s v="R006"/>
    <n v="1138648.73"/>
    <s v="North"/>
    <s v="Sports"/>
    <n v="1860"/>
  </r>
  <r>
    <s v="ORD-00702"/>
    <d v="2024-08-17T00:00:00"/>
    <s v="CUST-0179"/>
    <s v="PROD-019"/>
    <s v="R022"/>
    <n v="8"/>
    <n v="2480"/>
    <n v="15.7"/>
    <n v="16725.12"/>
    <s v="Pending"/>
    <x v="3"/>
    <s v="Apparel"/>
    <s v="SMB"/>
    <n v="54"/>
    <s v="East"/>
    <s v="R022"/>
    <n v="1069570.5400000003"/>
    <s v="East"/>
    <s v="Apparel"/>
    <n v="1173"/>
  </r>
  <r>
    <s v="ORD-00703"/>
    <d v="2024-04-27T00:00:00"/>
    <s v="CUST-0018"/>
    <s v="PROD-054"/>
    <s v="R014"/>
    <n v="10"/>
    <n v="1010"/>
    <n v="0.1"/>
    <n v="10089.9"/>
    <s v="Pending"/>
    <x v="0"/>
    <s v="Sports"/>
    <s v="SMB"/>
    <n v="54"/>
    <s v="South"/>
    <s v="R014"/>
    <n v="995713.54000000015"/>
    <s v="South"/>
    <s v="Sports"/>
    <n v="516"/>
  </r>
  <r>
    <s v="ORD-00704"/>
    <d v="2024-04-24T00:00:00"/>
    <s v="CUST-0184"/>
    <s v="PROD-053"/>
    <s v="R015"/>
    <n v="3"/>
    <n v="470"/>
    <n v="1.1000000000000001"/>
    <n v="1394.49"/>
    <s v="Completed"/>
    <x v="0"/>
    <s v="Sports"/>
    <s v="Retail"/>
    <n v="63"/>
    <s v="South"/>
    <s v="R015"/>
    <n v="1091740.1799999997"/>
    <s v="South"/>
    <s v="Sports"/>
    <n v="302"/>
  </r>
  <r>
    <s v="ORD-00705"/>
    <d v="2024-07-01T00:00:00"/>
    <s v="CUST-0066"/>
    <s v="PROD-024"/>
    <s v="R019"/>
    <n v="4"/>
    <n v="2270"/>
    <n v="17.100000000000001"/>
    <n v="7527.32"/>
    <s v="Completed"/>
    <x v="2"/>
    <s v="Grocery"/>
    <s v="Retail"/>
    <n v="24"/>
    <s v="East"/>
    <s v="R019"/>
    <n v="971183.52000000014"/>
    <s v="East"/>
    <s v="Grocery"/>
    <n v="1203"/>
  </r>
  <r>
    <s v="ORD-00706"/>
    <d v="2024-10-23T00:00:00"/>
    <s v="CUST-0053"/>
    <s v="PROD-021"/>
    <s v="R010"/>
    <n v="7"/>
    <n v="2760"/>
    <n v="17.100000000000001"/>
    <n v="16016.28"/>
    <s v="Completed"/>
    <x v="2"/>
    <s v="Grocery"/>
    <s v="Retail"/>
    <n v="53"/>
    <s v="South"/>
    <s v="R010"/>
    <n v="880345.20000000007"/>
    <s v="South"/>
    <s v="Grocery"/>
    <n v="1435"/>
  </r>
  <r>
    <s v="ORD-00707"/>
    <d v="2024-08-26T00:00:00"/>
    <s v="CUST-0278"/>
    <s v="PROD-051"/>
    <s v="R008"/>
    <n v="6"/>
    <n v="3450"/>
    <n v="6.6"/>
    <n v="19333.8"/>
    <s v="Refunded"/>
    <x v="5"/>
    <s v="Sports"/>
    <s v="Retail"/>
    <n v="41"/>
    <s v="North"/>
    <s v="R008"/>
    <n v="861553.33"/>
    <s v="North"/>
    <s v="Sports"/>
    <n v="2467"/>
  </r>
  <r>
    <s v="ORD-00708"/>
    <d v="2024-12-04T00:00:00"/>
    <s v="CUST-0285"/>
    <s v="PROD-028"/>
    <s v="R007"/>
    <n v="8"/>
    <n v="3660"/>
    <n v="7.2"/>
    <n v="27171.84"/>
    <s v="Completed"/>
    <x v="5"/>
    <s v="Grocery"/>
    <s v="Retail"/>
    <n v="22"/>
    <s v="North"/>
    <s v="R007"/>
    <n v="855749.67999999982"/>
    <s v="North"/>
    <s v="Grocery"/>
    <n v="2214"/>
  </r>
  <r>
    <s v="ORD-00709"/>
    <d v="2024-09-16T00:00:00"/>
    <s v="CUST-0060"/>
    <s v="PROD-009"/>
    <s v="R030"/>
    <n v="4"/>
    <n v="1220"/>
    <n v="24.3"/>
    <n v="3694.16"/>
    <s v="Cancelled"/>
    <x v="0"/>
    <s v="Electronics"/>
    <s v="Retail"/>
    <n v="39"/>
    <s v="West"/>
    <s v="R030"/>
    <n v="747624.36999999988"/>
    <s v="West"/>
    <s v="Electronics"/>
    <n v="517"/>
  </r>
  <r>
    <s v="ORD-00710"/>
    <d v="2024-11-14T00:00:00"/>
    <s v="CUST-0236"/>
    <s v="PROD-052"/>
    <s v="R007"/>
    <n v="2"/>
    <n v="5410"/>
    <n v="0.9"/>
    <n v="10722.62"/>
    <s v="Pending"/>
    <x v="5"/>
    <s v="Sports"/>
    <s v="SMB"/>
    <n v="28"/>
    <s v="North"/>
    <s v="R007"/>
    <n v="855749.67999999982"/>
    <s v="North"/>
    <s v="Sports"/>
    <n v="2265"/>
  </r>
  <r>
    <s v="ORD-00711"/>
    <d v="2024-01-31T00:00:00"/>
    <s v="CUST-0106"/>
    <s v="PROD-033"/>
    <s v="R009"/>
    <n v="5"/>
    <n v="2030"/>
    <n v="25.2"/>
    <n v="7592.2"/>
    <s v="Completed"/>
    <x v="0"/>
    <s v="Home"/>
    <s v="Retail"/>
    <n v="22"/>
    <s v="South"/>
    <s v="R009"/>
    <n v="914554.71999999986"/>
    <s v="South"/>
    <s v="Home"/>
    <n v="1143"/>
  </r>
  <r>
    <s v="ORD-00712"/>
    <d v="2024-03-12T00:00:00"/>
    <s v="CUST-0085"/>
    <s v="PROD-009"/>
    <s v="R012"/>
    <n v="5"/>
    <n v="1220"/>
    <n v="2.6"/>
    <n v="5941.4"/>
    <s v="Completed"/>
    <x v="1"/>
    <s v="Electronics"/>
    <s v="Retail"/>
    <n v="26"/>
    <s v="South"/>
    <s v="R012"/>
    <n v="901394.32000000007"/>
    <s v="South"/>
    <s v="Electronics"/>
    <n v="517"/>
  </r>
  <r>
    <s v="ORD-00713"/>
    <d v="2024-11-04T00:00:00"/>
    <s v="CUST-0075"/>
    <s v="PROD-008"/>
    <s v="R006"/>
    <n v="4"/>
    <n v="2660"/>
    <n v="19.100000000000001"/>
    <n v="8607.76"/>
    <s v="Refunded"/>
    <x v="3"/>
    <s v="Electronics"/>
    <s v="Corporate"/>
    <n v="55"/>
    <s v="North"/>
    <s v="R006"/>
    <n v="1138648.73"/>
    <s v="North"/>
    <s v="Electronics"/>
    <n v="1259"/>
  </r>
  <r>
    <s v="ORD-00714"/>
    <d v="2024-02-29T00:00:00"/>
    <s v="CUST-0169"/>
    <s v="PROD-026"/>
    <s v="R016"/>
    <n v="3"/>
    <n v="4070"/>
    <n v="25.2"/>
    <n v="9133.08"/>
    <s v="Completed"/>
    <x v="4"/>
    <s v="Grocery"/>
    <s v="SMB"/>
    <n v="42"/>
    <s v="South"/>
    <s v="R016"/>
    <n v="814563.7100000002"/>
    <s v="South"/>
    <s v="Grocery"/>
    <n v="2027"/>
  </r>
  <r>
    <s v="ORD-00715"/>
    <d v="2024-06-18T00:00:00"/>
    <s v="CUST-0166"/>
    <s v="PROD-049"/>
    <s v="R014"/>
    <n v="10"/>
    <n v="960"/>
    <n v="0.3"/>
    <n v="9571.2000000000007"/>
    <s v="Completed"/>
    <x v="5"/>
    <s v="Beauty"/>
    <s v="Retail"/>
    <n v="31"/>
    <s v="South"/>
    <s v="R014"/>
    <n v="995713.54000000015"/>
    <s v="South"/>
    <s v="Beauty"/>
    <n v="675"/>
  </r>
  <r>
    <s v="ORD-00716"/>
    <d v="2024-05-19T00:00:00"/>
    <s v="CUST-0065"/>
    <s v="PROD-031"/>
    <s v="R029"/>
    <n v="2"/>
    <n v="3730"/>
    <n v="29.9"/>
    <n v="5229.46"/>
    <s v="Completed"/>
    <x v="1"/>
    <s v="Home"/>
    <s v="Corporate"/>
    <n v="49"/>
    <s v="West"/>
    <s v="R029"/>
    <n v="1016696.8000000002"/>
    <s v="West"/>
    <s v="Home"/>
    <n v="2135"/>
  </r>
  <r>
    <s v="ORD-00717"/>
    <d v="2024-10-27T00:00:00"/>
    <s v="CUST-0102"/>
    <s v="PROD-057"/>
    <s v="R004"/>
    <n v="9"/>
    <n v="960"/>
    <n v="1.9"/>
    <n v="8475.84"/>
    <s v="Completed"/>
    <x v="1"/>
    <s v="Sports"/>
    <s v="SMB"/>
    <n v="62"/>
    <s v="North"/>
    <s v="R004"/>
    <n v="589026.2899999998"/>
    <s v="North"/>
    <s v="Sports"/>
    <n v="705"/>
  </r>
  <r>
    <s v="ORD-00718"/>
    <d v="2024-06-11T00:00:00"/>
    <s v="CUST-0052"/>
    <s v="PROD-011"/>
    <s v="R004"/>
    <n v="2"/>
    <n v="3450"/>
    <n v="22.9"/>
    <n v="5319.9"/>
    <s v="Pending"/>
    <x v="0"/>
    <s v="Apparel"/>
    <s v="Retail"/>
    <n v="38"/>
    <s v="North"/>
    <s v="R004"/>
    <n v="589026.2899999998"/>
    <s v="North"/>
    <s v="Apparel"/>
    <n v="1748"/>
  </r>
  <r>
    <s v="ORD-00719"/>
    <d v="2024-11-20T00:00:00"/>
    <s v="CUST-0130"/>
    <s v="PROD-052"/>
    <s v="R010"/>
    <n v="3"/>
    <n v="5410"/>
    <n v="15.5"/>
    <n v="13714.35"/>
    <s v="Completed"/>
    <x v="4"/>
    <s v="Sports"/>
    <s v="Corporate"/>
    <n v="41"/>
    <s v="South"/>
    <s v="R010"/>
    <n v="880345.20000000007"/>
    <s v="South"/>
    <s v="Sports"/>
    <n v="2265"/>
  </r>
  <r>
    <s v="ORD-00720"/>
    <d v="2024-06-05T00:00:00"/>
    <s v="CUST-0284"/>
    <s v="PROD-043"/>
    <s v="R019"/>
    <n v="8"/>
    <n v="3350"/>
    <n v="18.399999999999999"/>
    <n v="21868.799999999999"/>
    <s v="Completed"/>
    <x v="5"/>
    <s v="Beauty"/>
    <s v="SMB"/>
    <n v="65"/>
    <s v="East"/>
    <s v="R019"/>
    <n v="971183.52000000014"/>
    <s v="East"/>
    <s v="Beauty"/>
    <n v="1728"/>
  </r>
  <r>
    <s v="ORD-00721"/>
    <d v="2024-11-15T00:00:00"/>
    <s v="CUST-0053"/>
    <s v="PROD-015"/>
    <s v="R008"/>
    <n v="5"/>
    <n v="2720"/>
    <n v="17.3"/>
    <n v="11247.2"/>
    <s v="Cancelled"/>
    <x v="2"/>
    <s v="Apparel"/>
    <s v="Retail"/>
    <n v="53"/>
    <s v="North"/>
    <s v="R008"/>
    <n v="861553.33"/>
    <s v="North"/>
    <s v="Apparel"/>
    <n v="1962"/>
  </r>
  <r>
    <s v="ORD-00722"/>
    <d v="2024-04-21T00:00:00"/>
    <s v="CUST-0293"/>
    <s v="PROD-028"/>
    <s v="R017"/>
    <n v="8"/>
    <n v="3660"/>
    <n v="28.8"/>
    <n v="20847.36"/>
    <s v="Completed"/>
    <x v="4"/>
    <s v="Grocery"/>
    <s v="Retail"/>
    <n v="27"/>
    <s v="East"/>
    <s v="R017"/>
    <n v="780384.40999999992"/>
    <s v="East"/>
    <s v="Grocery"/>
    <n v="2214"/>
  </r>
  <r>
    <s v="ORD-00723"/>
    <d v="2024-08-26T00:00:00"/>
    <s v="CUST-0242"/>
    <s v="PROD-005"/>
    <s v="R013"/>
    <n v="6"/>
    <n v="300"/>
    <n v="23.9"/>
    <n v="1369.8"/>
    <s v="Cancelled"/>
    <x v="1"/>
    <s v="Electronics"/>
    <s v="SMB"/>
    <n v="59"/>
    <s v="South"/>
    <s v="R013"/>
    <n v="811524.37999999989"/>
    <s v="South"/>
    <s v="Electronics"/>
    <n v="128"/>
  </r>
  <r>
    <s v="ORD-00724"/>
    <d v="2024-09-13T00:00:00"/>
    <s v="CUST-0226"/>
    <s v="PROD-042"/>
    <s v="R026"/>
    <n v="3"/>
    <n v="2290"/>
    <n v="2.4"/>
    <n v="6705.12"/>
    <s v="Completed"/>
    <x v="1"/>
    <s v="Beauty"/>
    <s v="Corporate"/>
    <n v="52"/>
    <s v="West"/>
    <s v="R026"/>
    <n v="576305.08000000019"/>
    <s v="West"/>
    <s v="Beauty"/>
    <n v="1219"/>
  </r>
  <r>
    <s v="ORD-00725"/>
    <d v="2024-04-21T00:00:00"/>
    <s v="CUST-0005"/>
    <s v="PROD-046"/>
    <s v="R014"/>
    <n v="6"/>
    <n v="4880"/>
    <n v="11.1"/>
    <n v="26029.919999999998"/>
    <s v="Pending"/>
    <x v="1"/>
    <s v="Beauty"/>
    <s v="Corporate"/>
    <n v="52"/>
    <s v="South"/>
    <s v="R014"/>
    <n v="995713.54000000015"/>
    <s v="South"/>
    <s v="Beauty"/>
    <n v="2768"/>
  </r>
  <r>
    <s v="ORD-00726"/>
    <d v="2024-09-27T00:00:00"/>
    <s v="CUST-0211"/>
    <s v="PROD-005"/>
    <s v="R007"/>
    <n v="5"/>
    <n v="300"/>
    <n v="19.399999999999999"/>
    <n v="1209"/>
    <s v="Completed"/>
    <x v="4"/>
    <s v="Electronics"/>
    <s v="Retail"/>
    <n v="36"/>
    <s v="North"/>
    <s v="R007"/>
    <n v="855749.67999999982"/>
    <s v="North"/>
    <s v="Electronics"/>
    <n v="128"/>
  </r>
  <r>
    <s v="ORD-00727"/>
    <d v="2024-12-09T00:00:00"/>
    <s v="CUST-0229"/>
    <s v="PROD-008"/>
    <s v="R030"/>
    <n v="3"/>
    <n v="2660"/>
    <n v="28.5"/>
    <n v="5705.7"/>
    <s v="Pending"/>
    <x v="5"/>
    <s v="Electronics"/>
    <s v="SMB"/>
    <n v="25"/>
    <s v="West"/>
    <s v="R030"/>
    <n v="747624.36999999988"/>
    <s v="West"/>
    <s v="Electronics"/>
    <n v="1259"/>
  </r>
  <r>
    <s v="ORD-00728"/>
    <d v="2024-05-22T00:00:00"/>
    <s v="CUST-0037"/>
    <s v="PROD-035"/>
    <s v="R024"/>
    <n v="7"/>
    <n v="1090"/>
    <n v="10.3"/>
    <n v="6844.11"/>
    <s v="Completed"/>
    <x v="4"/>
    <s v="Home"/>
    <s v="Retail"/>
    <n v="52"/>
    <s v="West"/>
    <s v="R024"/>
    <n v="819558.58"/>
    <s v="West"/>
    <s v="Home"/>
    <n v="464"/>
  </r>
  <r>
    <s v="ORD-00729"/>
    <d v="2024-02-28T00:00:00"/>
    <s v="CUST-0059"/>
    <s v="PROD-007"/>
    <s v="R012"/>
    <n v="9"/>
    <n v="1430"/>
    <n v="12.1"/>
    <n v="11312.73"/>
    <s v="Cancelled"/>
    <x v="0"/>
    <s v="Electronics"/>
    <s v="Corporate"/>
    <n v="29"/>
    <s v="South"/>
    <s v="R012"/>
    <n v="901394.32000000007"/>
    <s v="South"/>
    <s v="Electronics"/>
    <n v="861"/>
  </r>
  <r>
    <s v="ORD-00730"/>
    <d v="2024-02-22T00:00:00"/>
    <s v="CUST-0222"/>
    <s v="PROD-010"/>
    <s v="R005"/>
    <n v="5"/>
    <n v="2640"/>
    <n v="26.8"/>
    <n v="9662.4"/>
    <s v="Completed"/>
    <x v="1"/>
    <s v="Electronics"/>
    <s v="Retail"/>
    <n v="37"/>
    <s v="North"/>
    <s v="R005"/>
    <n v="782445.33"/>
    <s v="North"/>
    <s v="Electronics"/>
    <n v="1149"/>
  </r>
  <r>
    <s v="ORD-00731"/>
    <d v="2024-07-25T00:00:00"/>
    <s v="CUST-0157"/>
    <s v="PROD-015"/>
    <s v="R001"/>
    <n v="8"/>
    <n v="2720"/>
    <n v="17.5"/>
    <n v="17952"/>
    <s v="Completed"/>
    <x v="0"/>
    <s v="Apparel"/>
    <s v="Corporate"/>
    <n v="52"/>
    <s v="North"/>
    <s v="R001"/>
    <n v="789849.60000000009"/>
    <s v="North"/>
    <s v="Apparel"/>
    <n v="1962"/>
  </r>
  <r>
    <s v="ORD-00732"/>
    <d v="2024-08-16T00:00:00"/>
    <s v="CUST-0027"/>
    <s v="PROD-013"/>
    <s v="R016"/>
    <n v="9"/>
    <n v="3640"/>
    <n v="3.6"/>
    <n v="31580.639999999999"/>
    <s v="Completed"/>
    <x v="5"/>
    <s v="Apparel"/>
    <s v="Corporate"/>
    <n v="52"/>
    <s v="South"/>
    <s v="R016"/>
    <n v="814563.7100000002"/>
    <s v="South"/>
    <s v="Apparel"/>
    <n v="2611"/>
  </r>
  <r>
    <s v="ORD-00733"/>
    <d v="2024-09-19T00:00:00"/>
    <s v="CUST-9846"/>
    <s v="PROD-050"/>
    <s v="R021"/>
    <n v="7"/>
    <n v="6080"/>
    <n v="23.6"/>
    <n v="32515.84"/>
    <s v="Completed"/>
    <x v="3"/>
    <s v="Beauty"/>
    <e v="#N/A"/>
    <e v="#N/A"/>
    <s v="East"/>
    <s v="R021"/>
    <n v="761507.17000000027"/>
    <s v="East"/>
    <s v="Beauty"/>
    <n v="2617"/>
  </r>
  <r>
    <s v="ORD-00734"/>
    <d v="2024-10-19T00:00:00"/>
    <s v="CUST-0011"/>
    <s v="PROD-001"/>
    <s v="R015"/>
    <n v="7"/>
    <n v="5330"/>
    <n v="19.7"/>
    <n v="29959.93"/>
    <s v="Cancelled"/>
    <x v="1"/>
    <s v="Electronics"/>
    <s v="Corporate"/>
    <n v="41"/>
    <s v="South"/>
    <s v="R015"/>
    <n v="1091740.1799999997"/>
    <s v="South"/>
    <s v="Electronics"/>
    <n v="2405"/>
  </r>
  <r>
    <s v="ORD-00735"/>
    <d v="2024-10-28T00:00:00"/>
    <s v="CUST-0043"/>
    <s v="PROD-039"/>
    <s v="R024"/>
    <n v="5"/>
    <n v="4610"/>
    <n v="3.6"/>
    <n v="22220.2"/>
    <s v="Completed"/>
    <x v="5"/>
    <s v="Home"/>
    <s v="Retail"/>
    <n v="61"/>
    <s v="West"/>
    <s v="R024"/>
    <n v="819558.58"/>
    <s v="West"/>
    <s v="Home"/>
    <n v="1850"/>
  </r>
  <r>
    <s v="ORD-00736"/>
    <d v="2024-01-11T00:00:00"/>
    <s v="CUST-0154"/>
    <s v="PROD-001"/>
    <s v="R030"/>
    <n v="9"/>
    <n v="5330"/>
    <n v="22.9"/>
    <n v="36984.870000000003"/>
    <s v="Completed"/>
    <x v="0"/>
    <s v="Electronics"/>
    <s v="Retail"/>
    <n v="36"/>
    <s v="West"/>
    <s v="R030"/>
    <n v="747624.36999999988"/>
    <s v="West"/>
    <s v="Electronics"/>
    <n v="2405"/>
  </r>
  <r>
    <s v="ORD-00737"/>
    <d v="2024-05-28T00:00:00"/>
    <s v="CUST-0163"/>
    <s v="PROD-050"/>
    <s v="R018"/>
    <n v="5"/>
    <n v="6080"/>
    <n v="6"/>
    <n v="28576"/>
    <s v="Refunded"/>
    <x v="0"/>
    <s v="Beauty"/>
    <s v="Retail"/>
    <n v="49"/>
    <s v="East"/>
    <s v="R018"/>
    <n v="1112289.6400000001"/>
    <s v="East"/>
    <s v="Beauty"/>
    <n v="2617"/>
  </r>
  <r>
    <s v="ORD-00738"/>
    <d v="2024-01-08T00:00:00"/>
    <s v="CUST-0299"/>
    <s v="PROD-013"/>
    <s v="R017"/>
    <n v="7"/>
    <n v="3640"/>
    <n v="5.5"/>
    <n v="24078.6"/>
    <s v="Completed"/>
    <x v="3"/>
    <s v="Apparel"/>
    <s v="Corporate"/>
    <n v="51"/>
    <s v="East"/>
    <s v="R017"/>
    <n v="780384.40999999992"/>
    <s v="East"/>
    <s v="Apparel"/>
    <n v="2611"/>
  </r>
  <r>
    <s v="ORD-00739"/>
    <d v="2024-02-14T00:00:00"/>
    <s v="CUST-0240"/>
    <s v="PROD-008"/>
    <s v="R013"/>
    <n v="1"/>
    <n v="2660"/>
    <n v="6.1"/>
    <n v="2497.7399999999998"/>
    <s v="Cancelled"/>
    <x v="1"/>
    <s v="Electronics"/>
    <s v="Corporate"/>
    <n v="35"/>
    <s v="South"/>
    <s v="R013"/>
    <n v="811524.37999999989"/>
    <s v="South"/>
    <s v="Electronics"/>
    <n v="1259"/>
  </r>
  <r>
    <s v="ORD-00740"/>
    <d v="2024-01-09T00:00:00"/>
    <s v="CUST-0291"/>
    <s v="PROD-043"/>
    <s v="R015"/>
    <n v="8"/>
    <n v="3350"/>
    <n v="19.5"/>
    <n v="21574"/>
    <s v="Completed"/>
    <x v="0"/>
    <s v="Beauty"/>
    <s v="SMB"/>
    <n v="29"/>
    <s v="South"/>
    <s v="R015"/>
    <n v="1091740.1799999997"/>
    <s v="South"/>
    <s v="Beauty"/>
    <n v="1728"/>
  </r>
  <r>
    <s v="ORD-00741"/>
    <d v="2024-12-22T00:00:00"/>
    <s v="CUST-0243"/>
    <s v="PROD-039"/>
    <s v="R019"/>
    <n v="4"/>
    <n v="4610"/>
    <n v="24"/>
    <n v="14014.4"/>
    <s v="Completed"/>
    <x v="0"/>
    <s v="Home"/>
    <s v="SMB"/>
    <n v="44"/>
    <s v="East"/>
    <s v="R019"/>
    <n v="971183.52000000014"/>
    <s v="East"/>
    <s v="Home"/>
    <n v="1850"/>
  </r>
  <r>
    <s v="ORD-00742"/>
    <d v="2024-01-02T00:00:00"/>
    <s v="CUST-0073"/>
    <s v="PROD-055"/>
    <s v="R014"/>
    <n v="7"/>
    <n v="2860"/>
    <n v="23.2"/>
    <n v="15375.36"/>
    <s v="Completed"/>
    <x v="0"/>
    <s v="Sports"/>
    <s v="Corporate"/>
    <n v="40"/>
    <s v="South"/>
    <s v="R014"/>
    <n v="995713.54000000015"/>
    <s v="South"/>
    <s v="Sports"/>
    <n v="2028"/>
  </r>
  <r>
    <s v="ORD-00743"/>
    <d v="2024-12-18T00:00:00"/>
    <s v="CUST-0154"/>
    <s v="PROD-043"/>
    <s v="R013"/>
    <n v="7"/>
    <n v="3350"/>
    <n v="10.6"/>
    <n v="20964.3"/>
    <s v="Pending"/>
    <x v="0"/>
    <s v="Beauty"/>
    <s v="Retail"/>
    <n v="36"/>
    <s v="South"/>
    <s v="R013"/>
    <n v="811524.37999999989"/>
    <s v="South"/>
    <s v="Beauty"/>
    <n v="1728"/>
  </r>
  <r>
    <s v="ORD-00744"/>
    <d v="2024-10-24T00:00:00"/>
    <s v="CUST-0084"/>
    <s v="PROD-029"/>
    <s v="R028"/>
    <n v="5"/>
    <n v="2210"/>
    <n v="12.1"/>
    <n v="9712.9500000000007"/>
    <s v="Completed"/>
    <x v="1"/>
    <s v="Grocery"/>
    <s v="Retail"/>
    <n v="28"/>
    <s v="West"/>
    <s v="R028"/>
    <n v="880468.05"/>
    <s v="West"/>
    <s v="Grocery"/>
    <n v="1010"/>
  </r>
  <r>
    <s v="ORD-00745"/>
    <d v="2024-02-07T00:00:00"/>
    <s v="CUST-0228"/>
    <s v="PROD-047"/>
    <s v="R013"/>
    <n v="1"/>
    <n v="3450"/>
    <n v="19.100000000000001"/>
    <n v="2791.05"/>
    <s v="Pending"/>
    <x v="0"/>
    <s v="Beauty"/>
    <s v="Corporate"/>
    <n v="37"/>
    <s v="South"/>
    <s v="R013"/>
    <n v="811524.37999999989"/>
    <s v="South"/>
    <s v="Beauty"/>
    <n v="2420"/>
  </r>
  <r>
    <s v="ORD-00746"/>
    <d v="2024-10-22T00:00:00"/>
    <s v="CUST-0232"/>
    <s v="PROD-048"/>
    <s v="R028"/>
    <n v="5"/>
    <n v="5100"/>
    <n v="2.8"/>
    <n v="24786"/>
    <s v="Completed"/>
    <x v="5"/>
    <s v="Beauty"/>
    <s v="Retail"/>
    <n v="38"/>
    <s v="West"/>
    <s v="R028"/>
    <n v="880468.05"/>
    <s v="West"/>
    <s v="Beauty"/>
    <n v="2237"/>
  </r>
  <r>
    <s v="ORD-00747"/>
    <d v="2024-05-11T00:00:00"/>
    <s v="CUST-0129"/>
    <s v="PROD-048"/>
    <s v="R003"/>
    <n v="9"/>
    <n v="5100"/>
    <n v="24.4"/>
    <n v="34700.400000000001"/>
    <s v="Completed"/>
    <x v="5"/>
    <s v="Beauty"/>
    <s v="Retail"/>
    <n v="29"/>
    <s v="North"/>
    <s v="R003"/>
    <n v="986692.91"/>
    <s v="North"/>
    <s v="Beauty"/>
    <n v="2237"/>
  </r>
  <r>
    <s v="ORD-00748"/>
    <d v="2024-10-03T00:00:00"/>
    <s v="CUST-0189"/>
    <s v="PROD-037"/>
    <s v="R006"/>
    <n v="9"/>
    <n v="660"/>
    <n v="19.8"/>
    <n v="4763.88"/>
    <s v="Completed"/>
    <x v="1"/>
    <s v="Home"/>
    <s v="Retail"/>
    <n v="41"/>
    <s v="North"/>
    <s v="R006"/>
    <n v="1138648.73"/>
    <s v="North"/>
    <s v="Home"/>
    <n v="329"/>
  </r>
  <r>
    <s v="ORD-00749"/>
    <d v="2024-09-14T00:00:00"/>
    <s v="CUST-0122"/>
    <s v="PROD-026"/>
    <s v="R006"/>
    <n v="3"/>
    <n v="4070"/>
    <n v="27.1"/>
    <n v="8901.09"/>
    <s v="Completed"/>
    <x v="3"/>
    <s v="Grocery"/>
    <s v="Retail"/>
    <n v="44"/>
    <s v="North"/>
    <s v="R006"/>
    <n v="1138648.73"/>
    <s v="North"/>
    <s v="Grocery"/>
    <n v="2027"/>
  </r>
  <r>
    <s v="ORD-00750"/>
    <d v="2024-07-31T00:00:00"/>
    <s v="CUST-0170"/>
    <s v="PROD-017"/>
    <s v="R007"/>
    <n v="2"/>
    <n v="2510"/>
    <n v="29.1"/>
    <n v="3559.18"/>
    <s v="Completed"/>
    <x v="3"/>
    <s v="Apparel"/>
    <s v="SMB"/>
    <n v="22"/>
    <s v="North"/>
    <s v="R007"/>
    <n v="855749.67999999982"/>
    <s v="North"/>
    <s v="Apparel"/>
    <n v="1075"/>
  </r>
  <r>
    <s v="ORD-00751"/>
    <d v="2024-06-06T00:00:00"/>
    <s v="CUST-0291"/>
    <s v="PROD-036"/>
    <s v="R030"/>
    <n v="4"/>
    <n v="3250"/>
    <n v="21.1"/>
    <n v="10257"/>
    <s v="Completed"/>
    <x v="0"/>
    <s v="Home"/>
    <s v="SMB"/>
    <n v="29"/>
    <s v="West"/>
    <s v="R030"/>
    <n v="747624.36999999988"/>
    <s v="West"/>
    <s v="Home"/>
    <n v="1556"/>
  </r>
  <r>
    <s v="ORD-00752"/>
    <d v="2024-11-04T00:00:00"/>
    <s v="CUST-0090"/>
    <s v="PROD-032"/>
    <s v="R005"/>
    <n v="3"/>
    <n v="370"/>
    <n v="7.7"/>
    <n v="1024.53"/>
    <s v="Completed"/>
    <x v="4"/>
    <s v="Home"/>
    <s v="Corporate"/>
    <n v="26"/>
    <s v="North"/>
    <s v="R005"/>
    <n v="782445.33"/>
    <s v="North"/>
    <s v="Home"/>
    <n v="288"/>
  </r>
  <r>
    <s v="ORD-00753"/>
    <d v="2024-07-06T00:00:00"/>
    <s v="CUST-0205"/>
    <s v="PROD-020"/>
    <s v="R006"/>
    <n v="10"/>
    <n v="820"/>
    <n v="3.5"/>
    <n v="7913"/>
    <s v="Completed"/>
    <x v="0"/>
    <s v="Apparel"/>
    <s v="Corporate"/>
    <n v="29"/>
    <s v="North"/>
    <s v="R006"/>
    <n v="1138648.73"/>
    <s v="North"/>
    <s v="Apparel"/>
    <n v="391"/>
  </r>
  <r>
    <s v="ORD-00754"/>
    <d v="2024-08-27T00:00:00"/>
    <s v="CUST-0192"/>
    <s v="PROD-026"/>
    <s v="R029"/>
    <n v="4"/>
    <n v="4070"/>
    <n v="23.8"/>
    <n v="12405.36"/>
    <s v="Completed"/>
    <x v="4"/>
    <s v="Grocery"/>
    <s v="Retail"/>
    <n v="55"/>
    <s v="West"/>
    <s v="R029"/>
    <n v="1016696.8000000002"/>
    <s v="West"/>
    <s v="Grocery"/>
    <n v="2027"/>
  </r>
  <r>
    <s v="ORD-00755"/>
    <d v="2024-03-05T00:00:00"/>
    <s v="CUST-0270"/>
    <s v="PROD-023"/>
    <s v="R011"/>
    <n v="1"/>
    <n v="2380"/>
    <n v="19.600000000000001"/>
    <n v="1913.52"/>
    <s v="Cancelled"/>
    <x v="4"/>
    <s v="Grocery"/>
    <s v="Retail"/>
    <n v="29"/>
    <s v="South"/>
    <s v="R011"/>
    <n v="735207.75999999989"/>
    <s v="South"/>
    <s v="Grocery"/>
    <n v="1182"/>
  </r>
  <r>
    <s v="ORD-00756"/>
    <d v="2024-09-18T00:00:00"/>
    <s v="CUST-0266"/>
    <s v="PROD-038"/>
    <s v="R030"/>
    <n v="3"/>
    <n v="5490"/>
    <n v="2.5"/>
    <n v="16058.25"/>
    <s v="Completed"/>
    <x v="0"/>
    <s v="Home"/>
    <s v="Retail"/>
    <n v="65"/>
    <s v="West"/>
    <s v="R030"/>
    <n v="747624.36999999988"/>
    <s v="West"/>
    <s v="Home"/>
    <n v="2549"/>
  </r>
  <r>
    <s v="ORD-00757"/>
    <d v="2024-07-19T00:00:00"/>
    <s v="CUST-0208"/>
    <s v="PROD-013"/>
    <s v="R027"/>
    <n v="3"/>
    <n v="3640"/>
    <n v="23.3"/>
    <n v="8375.64"/>
    <s v="Completed"/>
    <x v="3"/>
    <s v="Apparel"/>
    <s v="Retail"/>
    <n v="49"/>
    <s v="West"/>
    <s v="R027"/>
    <n v="917092.61999999965"/>
    <s v="West"/>
    <s v="Apparel"/>
    <n v="2611"/>
  </r>
  <r>
    <s v="ORD-00758"/>
    <d v="2024-04-06T00:00:00"/>
    <s v="CUST-0224"/>
    <s v="PROD-039"/>
    <s v="R018"/>
    <n v="2"/>
    <n v="4610"/>
    <n v="5"/>
    <n v="8759"/>
    <s v="Pending"/>
    <x v="1"/>
    <s v="Home"/>
    <s v="Corporate"/>
    <n v="24"/>
    <s v="East"/>
    <s v="R018"/>
    <n v="1112289.6400000001"/>
    <s v="East"/>
    <s v="Home"/>
    <n v="1850"/>
  </r>
  <r>
    <s v="ORD-00759"/>
    <d v="2024-03-18T00:00:00"/>
    <s v="CUST-0264"/>
    <s v="PROD-058"/>
    <s v="R001"/>
    <n v="8"/>
    <n v="2400"/>
    <n v="10"/>
    <n v="17280"/>
    <s v="Pending"/>
    <x v="0"/>
    <s v="Sports"/>
    <s v="Retail"/>
    <n v="59"/>
    <s v="North"/>
    <s v="R001"/>
    <n v="789849.60000000009"/>
    <s v="North"/>
    <s v="Sports"/>
    <n v="974"/>
  </r>
  <r>
    <s v="ORD-00760"/>
    <d v="2024-11-01T00:00:00"/>
    <s v="CUST-0113"/>
    <s v="PROD-043"/>
    <s v="R002"/>
    <n v="7"/>
    <n v="3350"/>
    <n v="23.7"/>
    <n v="17892.349999999999"/>
    <s v="Completed"/>
    <x v="2"/>
    <s v="Beauty"/>
    <s v="Retail"/>
    <n v="30"/>
    <s v="North"/>
    <s v="R002"/>
    <n v="980063.65999999968"/>
    <s v="North"/>
    <s v="Beauty"/>
    <n v="1728"/>
  </r>
  <r>
    <s v="ORD-00761"/>
    <d v="2024-11-15T00:00:00"/>
    <s v="CUST-0160"/>
    <s v="PROD-013"/>
    <s v="R012"/>
    <n v="4"/>
    <n v="3640"/>
    <n v="9.3000000000000007"/>
    <n v="13205.92"/>
    <s v="Cancelled"/>
    <x v="5"/>
    <s v="Apparel"/>
    <s v="Retail"/>
    <n v="27"/>
    <s v="South"/>
    <s v="R012"/>
    <n v="901394.32000000007"/>
    <s v="South"/>
    <s v="Apparel"/>
    <n v="2611"/>
  </r>
  <r>
    <s v="ORD-00762"/>
    <d v="2024-10-14T00:00:00"/>
    <s v="CUST-0109"/>
    <s v="PROD-013"/>
    <s v="R028"/>
    <n v="9"/>
    <n v="3640"/>
    <n v="13.1"/>
    <n v="28468.44"/>
    <s v="Pending"/>
    <x v="0"/>
    <s v="Apparel"/>
    <s v="Retail"/>
    <n v="42"/>
    <s v="West"/>
    <s v="R028"/>
    <n v="880468.05"/>
    <s v="West"/>
    <s v="Apparel"/>
    <n v="2611"/>
  </r>
  <r>
    <s v="ORD-00763"/>
    <d v="2024-12-08T00:00:00"/>
    <s v="CUST-0107"/>
    <s v="PROD-033"/>
    <s v="R014"/>
    <n v="2"/>
    <n v="2030"/>
    <n v="12.2"/>
    <n v="3564.68"/>
    <s v="Completed"/>
    <x v="0"/>
    <s v="Home"/>
    <s v="Retail"/>
    <n v="50"/>
    <s v="South"/>
    <s v="R014"/>
    <n v="995713.54000000015"/>
    <s v="South"/>
    <s v="Home"/>
    <n v="1143"/>
  </r>
  <r>
    <s v="ORD-00764"/>
    <d v="2024-06-28T00:00:00"/>
    <s v="CUST-0120"/>
    <s v="PROD-012"/>
    <s v="R002"/>
    <n v="4"/>
    <n v="3160"/>
    <n v="7.5"/>
    <n v="11692"/>
    <s v="Completed"/>
    <x v="3"/>
    <s v="Apparel"/>
    <s v="Retail"/>
    <n v="29"/>
    <s v="North"/>
    <s v="R002"/>
    <n v="980063.65999999968"/>
    <s v="North"/>
    <s v="Apparel"/>
    <n v="1886"/>
  </r>
  <r>
    <s v="ORD-00765"/>
    <d v="2024-02-05T00:00:00"/>
    <s v="CUST-0225"/>
    <s v="PROD-026"/>
    <s v="R029"/>
    <n v="10"/>
    <n v="4070"/>
    <n v="8.3000000000000007"/>
    <n v="37321.9"/>
    <s v="Completed"/>
    <x v="1"/>
    <s v="Grocery"/>
    <s v="SMB"/>
    <n v="26"/>
    <s v="West"/>
    <s v="R029"/>
    <n v="1016696.8000000002"/>
    <s v="West"/>
    <s v="Grocery"/>
    <n v="2027"/>
  </r>
  <r>
    <s v="ORD-00766"/>
    <d v="2024-02-21T00:00:00"/>
    <s v="CUST-0134"/>
    <s v="PROD-025"/>
    <s v="R024"/>
    <n v="8"/>
    <n v="4060"/>
    <n v="8.5"/>
    <n v="29719.200000000001"/>
    <s v="Completed"/>
    <x v="2"/>
    <s v="Grocery"/>
    <s v="Retail"/>
    <n v="40"/>
    <s v="West"/>
    <s v="R024"/>
    <n v="819558.58"/>
    <s v="West"/>
    <s v="Grocery"/>
    <n v="2911"/>
  </r>
  <r>
    <s v="ORD-00767"/>
    <d v="2024-02-12T00:00:00"/>
    <s v="CUST-0279"/>
    <s v="PROD-057"/>
    <s v="R018"/>
    <n v="8"/>
    <n v="960"/>
    <n v="8.6999999999999993"/>
    <n v="7011.84"/>
    <s v="Completed"/>
    <x v="3"/>
    <s v="Sports"/>
    <s v="Retail"/>
    <n v="56"/>
    <s v="East"/>
    <s v="R018"/>
    <n v="1112289.6400000001"/>
    <s v="East"/>
    <s v="Sports"/>
    <n v="705"/>
  </r>
  <r>
    <s v="ORD-00768"/>
    <d v="2024-01-15T00:00:00"/>
    <s v="CUST-0247"/>
    <s v="PROD-022"/>
    <s v="R027"/>
    <n v="2"/>
    <n v="2270"/>
    <n v="10.199999999999999"/>
    <n v="4076.92"/>
    <s v="Completed"/>
    <x v="0"/>
    <s v="Grocery"/>
    <s v="SMB"/>
    <n v="35"/>
    <s v="West"/>
    <s v="R027"/>
    <n v="917092.61999999965"/>
    <s v="West"/>
    <s v="Grocery"/>
    <n v="1412"/>
  </r>
  <r>
    <s v="ORD-00769"/>
    <d v="2024-01-05T00:00:00"/>
    <s v="CUST-0129"/>
    <s v="PROD-027"/>
    <s v="R007"/>
    <n v="1"/>
    <n v="3780"/>
    <n v="15.3"/>
    <n v="3201.66"/>
    <s v="Cancelled"/>
    <x v="5"/>
    <s v="Grocery"/>
    <s v="Retail"/>
    <n v="29"/>
    <s v="North"/>
    <s v="R007"/>
    <n v="855749.67999999982"/>
    <s v="North"/>
    <s v="Grocery"/>
    <n v="2436"/>
  </r>
  <r>
    <s v="ORD-00770"/>
    <d v="2024-07-16T00:00:00"/>
    <s v="CUST-0038"/>
    <s v="PROD-042"/>
    <s v="R028"/>
    <n v="10"/>
    <n v="2290"/>
    <n v="2.4"/>
    <n v="22350.400000000001"/>
    <s v="Pending"/>
    <x v="3"/>
    <s v="Beauty"/>
    <s v="Retail"/>
    <n v="57"/>
    <s v="West"/>
    <s v="R028"/>
    <n v="880468.05"/>
    <s v="West"/>
    <s v="Beauty"/>
    <n v="1219"/>
  </r>
  <r>
    <s v="ORD-00771"/>
    <d v="2024-05-04T00:00:00"/>
    <s v="CUST-0109"/>
    <s v="PROD-043"/>
    <s v="R017"/>
    <n v="5"/>
    <n v="3350"/>
    <n v="18.5"/>
    <n v="13651.25"/>
    <s v="Cancelled"/>
    <x v="0"/>
    <s v="Beauty"/>
    <s v="Retail"/>
    <n v="42"/>
    <s v="East"/>
    <s v="R017"/>
    <n v="780384.40999999992"/>
    <s v="East"/>
    <s v="Beauty"/>
    <n v="1728"/>
  </r>
  <r>
    <s v="ORD-00772"/>
    <d v="2024-02-25T00:00:00"/>
    <s v="CUST-0051"/>
    <s v="PROD-017"/>
    <s v="R021"/>
    <n v="7"/>
    <n v="2510"/>
    <n v="4.2"/>
    <n v="16832.060000000001"/>
    <s v="Cancelled"/>
    <x v="0"/>
    <s v="Apparel"/>
    <s v="SMB"/>
    <n v="54"/>
    <s v="East"/>
    <s v="R021"/>
    <n v="761507.17000000027"/>
    <s v="East"/>
    <s v="Apparel"/>
    <n v="1075"/>
  </r>
  <r>
    <s v="ORD-00773"/>
    <d v="2024-12-26T00:00:00"/>
    <s v="CUST-0265"/>
    <s v="PROD-002"/>
    <s v="R018"/>
    <n v="1"/>
    <n v="2600"/>
    <n v="2.2000000000000002"/>
    <n v="2542.8000000000002"/>
    <s v="Completed"/>
    <x v="1"/>
    <s v="Electronics"/>
    <s v="Retail"/>
    <n v="49"/>
    <s v="East"/>
    <s v="R018"/>
    <n v="1112289.6400000001"/>
    <s v="East"/>
    <s v="Electronics"/>
    <n v="1052"/>
  </r>
  <r>
    <s v="ORD-00774"/>
    <d v="2024-06-24T00:00:00"/>
    <s v="CUST-0192"/>
    <s v="PROD-053"/>
    <s v="R003"/>
    <n v="8"/>
    <n v="470"/>
    <n v="25.2"/>
    <n v="2812.48"/>
    <s v="Completed"/>
    <x v="4"/>
    <s v="Sports"/>
    <s v="Retail"/>
    <n v="55"/>
    <s v="North"/>
    <s v="R003"/>
    <n v="986692.91"/>
    <s v="North"/>
    <s v="Sports"/>
    <n v="302"/>
  </r>
  <r>
    <s v="ORD-00775"/>
    <d v="2024-09-23T00:00:00"/>
    <s v="CUST-0241"/>
    <s v="PROD-040"/>
    <s v="R012"/>
    <n v="6"/>
    <n v="1080"/>
    <n v="25"/>
    <n v="4860"/>
    <s v="Completed"/>
    <x v="0"/>
    <s v="Home"/>
    <s v="Corporate"/>
    <n v="47"/>
    <s v="South"/>
    <s v="R012"/>
    <n v="901394.32000000007"/>
    <s v="South"/>
    <s v="Home"/>
    <n v="519"/>
  </r>
  <r>
    <s v="ORD-00776"/>
    <d v="2024-12-19T00:00:00"/>
    <s v="CUST-0243"/>
    <s v="PROD-054"/>
    <s v="R019"/>
    <n v="2"/>
    <n v="1010"/>
    <n v="16.100000000000001"/>
    <n v="1694.78"/>
    <s v="Completed"/>
    <x v="0"/>
    <s v="Sports"/>
    <s v="SMB"/>
    <n v="44"/>
    <s v="East"/>
    <s v="R019"/>
    <n v="971183.52000000014"/>
    <s v="East"/>
    <s v="Sports"/>
    <n v="516"/>
  </r>
  <r>
    <s v="ORD-00777"/>
    <d v="2024-05-06T00:00:00"/>
    <s v="CUST-0016"/>
    <s v="PROD-004"/>
    <s v="R002"/>
    <n v="6"/>
    <n v="3870"/>
    <n v="22.4"/>
    <n v="18018.72"/>
    <s v="Cancelled"/>
    <x v="2"/>
    <s v="Electronics"/>
    <s v="SMB"/>
    <n v="26"/>
    <s v="North"/>
    <s v="R002"/>
    <n v="980063.65999999968"/>
    <s v="North"/>
    <s v="Electronics"/>
    <n v="1559"/>
  </r>
  <r>
    <s v="ORD-00778"/>
    <d v="2024-12-29T00:00:00"/>
    <s v="CUST-0249"/>
    <s v="PROD-033"/>
    <s v="R027"/>
    <n v="3"/>
    <n v="2030"/>
    <n v="18.5"/>
    <n v="4963.3500000000004"/>
    <s v="Completed"/>
    <x v="3"/>
    <s v="Home"/>
    <s v="Retail"/>
    <n v="44"/>
    <s v="West"/>
    <s v="R027"/>
    <n v="917092.61999999965"/>
    <s v="West"/>
    <s v="Home"/>
    <n v="1143"/>
  </r>
  <r>
    <s v="ORD-00779"/>
    <d v="2024-09-05T00:00:00"/>
    <s v="CUST-0021"/>
    <s v="PROD-040"/>
    <s v="R027"/>
    <n v="7"/>
    <n v="1080"/>
    <n v="6.8"/>
    <n v="7045.92"/>
    <s v="Pending"/>
    <x v="0"/>
    <s v="Home"/>
    <s v="Retail"/>
    <n v="44"/>
    <s v="West"/>
    <s v="R027"/>
    <n v="917092.61999999965"/>
    <s v="West"/>
    <s v="Home"/>
    <n v="519"/>
  </r>
  <r>
    <s v="ORD-00780"/>
    <d v="2024-11-13T00:00:00"/>
    <s v="CUST-0255"/>
    <s v="PROD-035"/>
    <s v="R009"/>
    <n v="1"/>
    <n v="1090"/>
    <n v="20.6"/>
    <n v="865.46"/>
    <s v="Completed"/>
    <x v="1"/>
    <s v="Home"/>
    <s v="Corporate"/>
    <n v="51"/>
    <s v="South"/>
    <s v="R009"/>
    <n v="914554.71999999986"/>
    <s v="South"/>
    <s v="Home"/>
    <n v="464"/>
  </r>
  <r>
    <s v="ORD-00781"/>
    <d v="2024-08-24T00:00:00"/>
    <s v="CUST-0084"/>
    <s v="PROD-032"/>
    <s v="R011"/>
    <n v="8"/>
    <n v="370"/>
    <n v="1.7"/>
    <n v="2909.68"/>
    <s v="Completed"/>
    <x v="1"/>
    <s v="Home"/>
    <s v="Retail"/>
    <n v="28"/>
    <s v="South"/>
    <s v="R011"/>
    <n v="735207.75999999989"/>
    <s v="South"/>
    <s v="Home"/>
    <n v="288"/>
  </r>
  <r>
    <s v="ORD-00782"/>
    <d v="2024-11-29T00:00:00"/>
    <s v="CUST-0289"/>
    <s v="PROD-018"/>
    <s v="R018"/>
    <n v="7"/>
    <n v="3560"/>
    <n v="28.7"/>
    <n v="17767.96"/>
    <s v="Completed"/>
    <x v="3"/>
    <s v="Apparel"/>
    <s v="Retail"/>
    <n v="54"/>
    <s v="East"/>
    <s v="R018"/>
    <n v="1112289.6400000001"/>
    <s v="East"/>
    <s v="Apparel"/>
    <n v="2629"/>
  </r>
  <r>
    <s v="ORD-00783"/>
    <d v="2024-06-01T00:00:00"/>
    <s v="CUST-0026"/>
    <s v="PROD-050"/>
    <s v="R016"/>
    <n v="9"/>
    <n v="6080"/>
    <n v="16.3"/>
    <n v="45800.639999999999"/>
    <s v="Cancelled"/>
    <x v="0"/>
    <s v="Beauty"/>
    <s v="Retail"/>
    <n v="62"/>
    <s v="South"/>
    <s v="R016"/>
    <n v="814563.7100000002"/>
    <s v="South"/>
    <s v="Beauty"/>
    <n v="2617"/>
  </r>
  <r>
    <s v="ORD-00784"/>
    <d v="2024-08-01T00:00:00"/>
    <s v="CUST-0273"/>
    <s v="PROD-051"/>
    <s v="R015"/>
    <n v="2"/>
    <n v="3450"/>
    <n v="17.600000000000001"/>
    <n v="5685.6"/>
    <s v="Pending"/>
    <x v="5"/>
    <s v="Sports"/>
    <s v="Corporate"/>
    <n v="32"/>
    <s v="South"/>
    <s v="R015"/>
    <n v="1091740.1799999997"/>
    <s v="South"/>
    <s v="Sports"/>
    <n v="2467"/>
  </r>
  <r>
    <s v="ORD-00785"/>
    <d v="2024-04-19T00:00:00"/>
    <s v="CUST-0069"/>
    <s v="PROD-034"/>
    <s v="R009"/>
    <n v="1"/>
    <n v="5080"/>
    <n v="5.9"/>
    <n v="4780.28"/>
    <s v="Completed"/>
    <x v="1"/>
    <s v="Home"/>
    <s v="Retail"/>
    <n v="51"/>
    <s v="South"/>
    <s v="R009"/>
    <n v="914554.71999999986"/>
    <s v="South"/>
    <s v="Home"/>
    <n v="2459"/>
  </r>
  <r>
    <s v="ORD-00786"/>
    <d v="2024-03-13T00:00:00"/>
    <s v="CUST-0236"/>
    <s v="PROD-011"/>
    <s v="R023"/>
    <n v="7"/>
    <n v="3450"/>
    <n v="17.399999999999999"/>
    <n v="19947.900000000001"/>
    <s v="Completed"/>
    <x v="5"/>
    <s v="Apparel"/>
    <s v="SMB"/>
    <n v="28"/>
    <s v="East"/>
    <s v="R023"/>
    <n v="983787.4800000001"/>
    <s v="East"/>
    <s v="Apparel"/>
    <n v="1748"/>
  </r>
  <r>
    <s v="ORD-00787"/>
    <d v="2024-04-21T00:00:00"/>
    <s v="CUST-0060"/>
    <s v="PROD-024"/>
    <s v="R009"/>
    <n v="8"/>
    <n v="2270"/>
    <n v="24.7"/>
    <n v="13674.48"/>
    <s v="Completed"/>
    <x v="0"/>
    <s v="Grocery"/>
    <s v="Retail"/>
    <n v="39"/>
    <s v="South"/>
    <s v="R009"/>
    <n v="914554.71999999986"/>
    <s v="South"/>
    <s v="Grocery"/>
    <n v="1203"/>
  </r>
  <r>
    <s v="ORD-00788"/>
    <d v="2024-11-03T00:00:00"/>
    <s v="CUST-0243"/>
    <s v="PROD-012"/>
    <s v="R023"/>
    <n v="3"/>
    <n v="3160"/>
    <n v="1.5"/>
    <n v="9337.7999999999993"/>
    <s v="Pending"/>
    <x v="0"/>
    <s v="Apparel"/>
    <s v="SMB"/>
    <n v="44"/>
    <s v="East"/>
    <s v="R023"/>
    <n v="983787.4800000001"/>
    <s v="East"/>
    <s v="Apparel"/>
    <n v="1886"/>
  </r>
  <r>
    <s v="ORD-00789"/>
    <d v="2024-04-07T00:00:00"/>
    <s v="CUST-0188"/>
    <s v="PROD-043"/>
    <s v="R029"/>
    <n v="6"/>
    <n v="3350"/>
    <n v="0.9"/>
    <n v="19919.099999999999"/>
    <s v="Pending"/>
    <x v="4"/>
    <s v="Beauty"/>
    <s v="Retail"/>
    <n v="54"/>
    <s v="West"/>
    <s v="R029"/>
    <n v="1016696.8000000002"/>
    <s v="West"/>
    <s v="Beauty"/>
    <n v="1728"/>
  </r>
  <r>
    <s v="ORD-00790"/>
    <d v="2024-08-02T00:00:00"/>
    <s v="CUST-0174"/>
    <s v="PROD-044"/>
    <s v="R029"/>
    <n v="7"/>
    <n v="1650"/>
    <n v="5.6"/>
    <n v="10903.2"/>
    <s v="Refunded"/>
    <x v="0"/>
    <s v="Beauty"/>
    <s v="Retail"/>
    <n v="54"/>
    <s v="West"/>
    <s v="R029"/>
    <n v="1016696.8000000002"/>
    <s v="West"/>
    <s v="Beauty"/>
    <n v="1222"/>
  </r>
  <r>
    <s v="ORD-00791"/>
    <d v="2024-04-20T00:00:00"/>
    <s v="CUST-0016"/>
    <s v="PROD-038"/>
    <s v="R003"/>
    <n v="1"/>
    <n v="5490"/>
    <n v="5.8"/>
    <n v="5171.58"/>
    <s v="Completed"/>
    <x v="2"/>
    <s v="Home"/>
    <s v="SMB"/>
    <n v="26"/>
    <s v="North"/>
    <s v="R003"/>
    <n v="986692.91"/>
    <s v="North"/>
    <s v="Home"/>
    <n v="2549"/>
  </r>
  <r>
    <s v="ORD-00792"/>
    <d v="2024-04-23T00:00:00"/>
    <s v="CUST-0184"/>
    <s v="PROD-040"/>
    <s v="R024"/>
    <n v="3"/>
    <n v="1080"/>
    <n v="20.9"/>
    <n v="2562.84"/>
    <s v="Completed"/>
    <x v="0"/>
    <s v="Home"/>
    <s v="Retail"/>
    <n v="63"/>
    <s v="West"/>
    <s v="R024"/>
    <n v="819558.58"/>
    <s v="West"/>
    <s v="Home"/>
    <n v="519"/>
  </r>
  <r>
    <s v="ORD-00793"/>
    <d v="2024-05-22T00:00:00"/>
    <s v="CUST-9568"/>
    <s v="PROD-027"/>
    <s v="R018"/>
    <n v="10"/>
    <n v="3780"/>
    <n v="5.5"/>
    <n v="35721"/>
    <s v="Completed"/>
    <x v="5"/>
    <s v="Grocery"/>
    <e v="#N/A"/>
    <e v="#N/A"/>
    <s v="East"/>
    <s v="R018"/>
    <n v="1112289.6400000001"/>
    <s v="East"/>
    <s v="Grocery"/>
    <n v="2436"/>
  </r>
  <r>
    <s v="ORD-00794"/>
    <d v="2024-09-23T00:00:00"/>
    <s v="CUST-0118"/>
    <s v="PROD-033"/>
    <s v="R030"/>
    <n v="2"/>
    <n v="2030"/>
    <n v="2"/>
    <n v="3978.8"/>
    <s v="Pending"/>
    <x v="5"/>
    <s v="Home"/>
    <s v="Retail"/>
    <n v="26"/>
    <s v="West"/>
    <s v="R030"/>
    <n v="747624.36999999988"/>
    <s v="West"/>
    <s v="Home"/>
    <n v="1143"/>
  </r>
  <r>
    <s v="ORD-00795"/>
    <d v="2024-10-17T00:00:00"/>
    <s v="CUST-0271"/>
    <s v="PROD-041"/>
    <s v="R019"/>
    <n v="8"/>
    <n v="1540"/>
    <n v="9"/>
    <n v="11211.2"/>
    <s v="Cancelled"/>
    <x v="4"/>
    <s v="Beauty"/>
    <s v="Corporate"/>
    <n v="41"/>
    <s v="East"/>
    <s v="R019"/>
    <n v="971183.52000000014"/>
    <s v="East"/>
    <s v="Beauty"/>
    <n v="647"/>
  </r>
  <r>
    <s v="ORD-00796"/>
    <d v="2024-11-05T00:00:00"/>
    <s v="CUST-0147"/>
    <s v="PROD-036"/>
    <s v="R015"/>
    <n v="9"/>
    <n v="3250"/>
    <n v="20.5"/>
    <n v="23253.75"/>
    <s v="Completed"/>
    <x v="0"/>
    <s v="Home"/>
    <s v="Retail"/>
    <n v="56"/>
    <s v="South"/>
    <s v="R015"/>
    <n v="1091740.1799999997"/>
    <s v="South"/>
    <s v="Home"/>
    <n v="1556"/>
  </r>
  <r>
    <s v="ORD-00797"/>
    <d v="2024-02-22T00:00:00"/>
    <s v="CUST-0253"/>
    <s v="PROD-047"/>
    <s v="R005"/>
    <n v="3"/>
    <n v="3450"/>
    <n v="17.899999999999999"/>
    <n v="8497.35"/>
    <s v="Completed"/>
    <x v="2"/>
    <s v="Beauty"/>
    <s v="SMB"/>
    <n v="53"/>
    <s v="North"/>
    <s v="R005"/>
    <n v="782445.33"/>
    <s v="North"/>
    <s v="Beauty"/>
    <n v="2420"/>
  </r>
  <r>
    <s v="ORD-00798"/>
    <d v="2024-07-31T00:00:00"/>
    <s v="CUST-0224"/>
    <s v="PROD-038"/>
    <s v="R008"/>
    <n v="5"/>
    <n v="5490"/>
    <n v="7.9"/>
    <n v="25281.45"/>
    <s v="Completed"/>
    <x v="1"/>
    <s v="Home"/>
    <s v="Corporate"/>
    <n v="24"/>
    <s v="North"/>
    <s v="R008"/>
    <n v="861553.33"/>
    <s v="North"/>
    <s v="Home"/>
    <n v="2549"/>
  </r>
  <r>
    <s v="ORD-00799"/>
    <d v="2024-01-15T00:00:00"/>
    <s v="CUST-0134"/>
    <s v="PROD-032"/>
    <s v="R029"/>
    <n v="3"/>
    <n v="370"/>
    <n v="13.4"/>
    <n v="961.26"/>
    <s v="Completed"/>
    <x v="2"/>
    <s v="Home"/>
    <s v="Retail"/>
    <n v="40"/>
    <s v="West"/>
    <s v="R029"/>
    <n v="1016696.8000000002"/>
    <s v="West"/>
    <s v="Home"/>
    <n v="288"/>
  </r>
  <r>
    <s v="ORD-00800"/>
    <d v="2024-05-01T00:00:00"/>
    <s v="CUST-0287"/>
    <s v="PROD-001"/>
    <s v="R009"/>
    <n v="7"/>
    <n v="5330"/>
    <n v="29.7"/>
    <n v="26228.93"/>
    <s v="Pending"/>
    <x v="1"/>
    <s v="Electronics"/>
    <s v="SMB"/>
    <n v="53"/>
    <s v="South"/>
    <s v="R009"/>
    <n v="914554.71999999986"/>
    <s v="South"/>
    <s v="Electronics"/>
    <n v="2405"/>
  </r>
  <r>
    <s v="ORD-00801"/>
    <d v="2024-03-17T00:00:00"/>
    <s v="CUST-0144"/>
    <s v="PROD-051"/>
    <s v="R016"/>
    <n v="8"/>
    <n v="3450"/>
    <n v="23.7"/>
    <n v="21058.799999999999"/>
    <s v="Completed"/>
    <x v="1"/>
    <s v="Sports"/>
    <s v="Retail"/>
    <n v="49"/>
    <s v="South"/>
    <s v="R016"/>
    <n v="814563.7100000002"/>
    <s v="South"/>
    <s v="Sports"/>
    <n v="2467"/>
  </r>
  <r>
    <s v="ORD-00802"/>
    <d v="2024-01-25T00:00:00"/>
    <s v="CUST-0255"/>
    <s v="PROD-011"/>
    <s v="R027"/>
    <n v="8"/>
    <n v="3450"/>
    <n v="5.4"/>
    <n v="26109.599999999999"/>
    <s v="Completed"/>
    <x v="1"/>
    <s v="Apparel"/>
    <s v="Corporate"/>
    <n v="51"/>
    <s v="West"/>
    <s v="R027"/>
    <n v="917092.61999999965"/>
    <s v="West"/>
    <s v="Apparel"/>
    <n v="1748"/>
  </r>
  <r>
    <s v="ORD-00803"/>
    <d v="2024-12-26T00:00:00"/>
    <s v="CUST-0054"/>
    <s v="PROD-050"/>
    <s v="R029"/>
    <n v="1"/>
    <n v="6080"/>
    <n v="22.3"/>
    <n v="4724.16"/>
    <s v="Completed"/>
    <x v="3"/>
    <s v="Beauty"/>
    <s v="Corporate"/>
    <n v="62"/>
    <s v="West"/>
    <s v="R029"/>
    <n v="1016696.8000000002"/>
    <s v="West"/>
    <s v="Beauty"/>
    <n v="2617"/>
  </r>
  <r>
    <s v="ORD-00804"/>
    <d v="2024-11-01T00:00:00"/>
    <s v="CUST-0283"/>
    <s v="PROD-017"/>
    <s v="R011"/>
    <n v="9"/>
    <n v="2510"/>
    <n v="27.4"/>
    <n v="16400.34"/>
    <s v="Completed"/>
    <x v="2"/>
    <s v="Apparel"/>
    <s v="SMB"/>
    <n v="50"/>
    <s v="South"/>
    <s v="R011"/>
    <n v="735207.75999999989"/>
    <s v="South"/>
    <s v="Apparel"/>
    <n v="1075"/>
  </r>
  <r>
    <s v="ORD-00805"/>
    <d v="2024-04-10T00:00:00"/>
    <s v="CUST-0182"/>
    <s v="PROD-054"/>
    <s v="R012"/>
    <n v="10"/>
    <n v="1010"/>
    <n v="28.4"/>
    <n v="7231.6"/>
    <s v="Completed"/>
    <x v="3"/>
    <s v="Sports"/>
    <s v="Retail"/>
    <n v="54"/>
    <s v="South"/>
    <s v="R012"/>
    <n v="901394.32000000007"/>
    <s v="South"/>
    <s v="Sports"/>
    <n v="516"/>
  </r>
  <r>
    <s v="ORD-00806"/>
    <d v="2024-04-19T00:00:00"/>
    <s v="CUST-0289"/>
    <s v="PROD-018"/>
    <s v="R023"/>
    <n v="1"/>
    <n v="3560"/>
    <n v="26"/>
    <n v="2634.4"/>
    <s v="Completed"/>
    <x v="3"/>
    <s v="Apparel"/>
    <s v="Retail"/>
    <n v="54"/>
    <s v="East"/>
    <s v="R023"/>
    <n v="983787.4800000001"/>
    <s v="East"/>
    <s v="Apparel"/>
    <n v="2629"/>
  </r>
  <r>
    <s v="ORD-00807"/>
    <d v="2024-04-15T00:00:00"/>
    <s v="CUST-0104"/>
    <s v="PROD-045"/>
    <s v="R006"/>
    <n v="8"/>
    <n v="3020"/>
    <n v="6.9"/>
    <n v="22492.959999999999"/>
    <s v="Completed"/>
    <x v="5"/>
    <s v="Beauty"/>
    <s v="Corporate"/>
    <n v="43"/>
    <s v="North"/>
    <s v="R006"/>
    <n v="1138648.73"/>
    <s v="North"/>
    <s v="Beauty"/>
    <n v="1626"/>
  </r>
  <r>
    <s v="ORD-00808"/>
    <d v="2024-01-10T00:00:00"/>
    <s v="CUST-0085"/>
    <s v="PROD-026"/>
    <s v="R017"/>
    <n v="1"/>
    <n v="4070"/>
    <n v="8.1999999999999993"/>
    <n v="3736.26"/>
    <s v="Completed"/>
    <x v="1"/>
    <s v="Grocery"/>
    <s v="Retail"/>
    <n v="26"/>
    <s v="East"/>
    <s v="R017"/>
    <n v="780384.40999999992"/>
    <s v="East"/>
    <s v="Grocery"/>
    <n v="2027"/>
  </r>
  <r>
    <s v="ORD-00809"/>
    <d v="2024-02-25T00:00:00"/>
    <s v="CUST-0120"/>
    <s v="PROD-032"/>
    <s v="R020"/>
    <n v="9"/>
    <n v="370"/>
    <n v="19.8"/>
    <n v="2670.66"/>
    <s v="Completed"/>
    <x v="3"/>
    <s v="Home"/>
    <s v="Retail"/>
    <n v="29"/>
    <s v="East"/>
    <s v="R020"/>
    <n v="906107.71000000008"/>
    <s v="East"/>
    <s v="Home"/>
    <n v="288"/>
  </r>
  <r>
    <s v="ORD-00810"/>
    <d v="2024-09-09T00:00:00"/>
    <s v="CUST-0236"/>
    <s v="PROD-030"/>
    <s v="R020"/>
    <n v="6"/>
    <n v="970"/>
    <n v="16.2"/>
    <n v="4877.16"/>
    <s v="Completed"/>
    <x v="5"/>
    <s v="Grocery"/>
    <s v="SMB"/>
    <n v="28"/>
    <s v="East"/>
    <s v="R020"/>
    <n v="906107.71000000008"/>
    <s v="East"/>
    <s v="Grocery"/>
    <n v="434"/>
  </r>
  <r>
    <s v="ORD-00811"/>
    <d v="2024-12-07T00:00:00"/>
    <s v="CUST-0094"/>
    <s v="PROD-015"/>
    <s v="R019"/>
    <n v="10"/>
    <n v="2720"/>
    <n v="3"/>
    <n v="26384"/>
    <s v="Pending"/>
    <x v="0"/>
    <s v="Apparel"/>
    <s v="SMB"/>
    <n v="60"/>
    <s v="East"/>
    <s v="R019"/>
    <n v="971183.52000000014"/>
    <s v="East"/>
    <s v="Apparel"/>
    <n v="1962"/>
  </r>
  <r>
    <s v="ORD-00812"/>
    <d v="2024-01-02T00:00:00"/>
    <s v="CUST-0030"/>
    <s v="PROD-058"/>
    <s v="R014"/>
    <n v="7"/>
    <n v="2400"/>
    <n v="29.4"/>
    <n v="11860.8"/>
    <s v="Completed"/>
    <x v="4"/>
    <s v="Sports"/>
    <s v="Corporate"/>
    <n v="43"/>
    <s v="South"/>
    <s v="R014"/>
    <n v="995713.54000000015"/>
    <s v="South"/>
    <s v="Sports"/>
    <n v="974"/>
  </r>
  <r>
    <s v="ORD-00813"/>
    <d v="2024-09-29T00:00:00"/>
    <s v="CUST-0172"/>
    <s v="PROD-018"/>
    <s v="R012"/>
    <n v="8"/>
    <n v="3560"/>
    <n v="21.7"/>
    <n v="22299.84"/>
    <s v="Completed"/>
    <x v="0"/>
    <s v="Apparel"/>
    <s v="Retail"/>
    <n v="65"/>
    <s v="South"/>
    <s v="R012"/>
    <n v="901394.32000000007"/>
    <s v="South"/>
    <s v="Apparel"/>
    <n v="2629"/>
  </r>
  <r>
    <s v="ORD-00814"/>
    <d v="2024-04-03T00:00:00"/>
    <s v="CUST-0221"/>
    <s v="PROD-026"/>
    <s v="R015"/>
    <n v="7"/>
    <n v="4070"/>
    <n v="10.5"/>
    <n v="25498.55"/>
    <s v="Completed"/>
    <x v="2"/>
    <s v="Grocery"/>
    <s v="SMB"/>
    <n v="29"/>
    <s v="South"/>
    <s v="R015"/>
    <n v="1091740.1799999997"/>
    <s v="South"/>
    <s v="Grocery"/>
    <n v="2027"/>
  </r>
  <r>
    <s v="ORD-01052"/>
    <d v="2024-01-08T00:00:00"/>
    <s v="CUST-0151"/>
    <s v="PROD-052"/>
    <s v="R008"/>
    <n v="3"/>
    <n v="5410"/>
    <n v="0.2"/>
    <n v="16197.54"/>
    <s v="Completed"/>
    <x v="3"/>
    <s v="Sports"/>
    <s v="Retail"/>
    <n v="53"/>
    <s v="North"/>
    <s v="R008"/>
    <n v="861553.33"/>
    <s v="North"/>
    <s v="Sports"/>
    <n v="2265"/>
  </r>
  <r>
    <s v="ORD-00816"/>
    <d v="2024-12-25T00:00:00"/>
    <s v="CUST-0068"/>
    <s v="PROD-021"/>
    <s v="R028"/>
    <n v="4"/>
    <n v="2760"/>
    <n v="27.5"/>
    <n v="8004"/>
    <s v="Cancelled"/>
    <x v="2"/>
    <s v="Grocery"/>
    <s v="SMB"/>
    <n v="48"/>
    <s v="West"/>
    <s v="R028"/>
    <n v="880468.05"/>
    <s v="West"/>
    <s v="Grocery"/>
    <n v="1435"/>
  </r>
  <r>
    <s v="ORD-01136"/>
    <d v="2024-07-01T00:00:00"/>
    <s v="CUST-0165"/>
    <s v="PROD-034"/>
    <s v="R013"/>
    <n v="3"/>
    <n v="5080"/>
    <n v="27.2"/>
    <n v="11094.72"/>
    <s v="Completed"/>
    <x v="0"/>
    <s v="Home"/>
    <s v="Retail"/>
    <n v="29"/>
    <s v="South"/>
    <s v="R013"/>
    <n v="811524.37999999989"/>
    <s v="South"/>
    <s v="Home"/>
    <n v="2459"/>
  </r>
  <r>
    <s v="ORD-00818"/>
    <d v="2024-04-09T00:00:00"/>
    <s v="CUST-0060"/>
    <s v="PROD-035"/>
    <s v="R017"/>
    <n v="5"/>
    <n v="1090"/>
    <n v="3.3"/>
    <n v="5270.15"/>
    <s v="Completed"/>
    <x v="0"/>
    <s v="Home"/>
    <s v="Retail"/>
    <n v="39"/>
    <s v="East"/>
    <s v="R017"/>
    <n v="780384.40999999992"/>
    <s v="East"/>
    <s v="Home"/>
    <n v="464"/>
  </r>
  <r>
    <s v="ORD-00819"/>
    <d v="2024-02-06T00:00:00"/>
    <s v="CUST-0130"/>
    <s v="PROD-023"/>
    <s v="R029"/>
    <n v="10"/>
    <n v="2380"/>
    <n v="7"/>
    <n v="22134"/>
    <s v="Completed"/>
    <x v="4"/>
    <s v="Grocery"/>
    <s v="Corporate"/>
    <n v="41"/>
    <s v="West"/>
    <s v="R029"/>
    <n v="1016696.8000000002"/>
    <s v="West"/>
    <s v="Grocery"/>
    <n v="1182"/>
  </r>
  <r>
    <s v="ORD-00820"/>
    <d v="2024-07-17T00:00:00"/>
    <s v="CUST-0023"/>
    <s v="PROD-012"/>
    <s v="R026"/>
    <n v="5"/>
    <n v="3160"/>
    <n v="25.6"/>
    <n v="11755.2"/>
    <s v="Completed"/>
    <x v="1"/>
    <s v="Apparel"/>
    <s v="SMB"/>
    <n v="43"/>
    <s v="West"/>
    <s v="R026"/>
    <n v="576305.08000000019"/>
    <s v="West"/>
    <s v="Apparel"/>
    <n v="1886"/>
  </r>
  <r>
    <s v="ORD-00821"/>
    <d v="2024-03-11T00:00:00"/>
    <s v="CUST-0089"/>
    <s v="PROD-058"/>
    <s v="R029"/>
    <n v="9"/>
    <n v="2400"/>
    <n v="8.4"/>
    <n v="19785.599999999999"/>
    <s v="Completed"/>
    <x v="3"/>
    <s v="Sports"/>
    <s v="SMB"/>
    <n v="43"/>
    <s v="West"/>
    <s v="R029"/>
    <n v="1016696.8000000002"/>
    <s v="West"/>
    <s v="Sports"/>
    <n v="974"/>
  </r>
  <r>
    <s v="ORD-00822"/>
    <d v="2024-06-06T00:00:00"/>
    <s v="CUST-0300"/>
    <s v="PROD-002"/>
    <s v="R020"/>
    <n v="4"/>
    <n v="2600"/>
    <n v="4.2"/>
    <n v="9963.2000000000007"/>
    <s v="Completed"/>
    <x v="3"/>
    <s v="Electronics"/>
    <s v="Retail"/>
    <n v="38"/>
    <s v="East"/>
    <s v="R020"/>
    <n v="906107.71000000008"/>
    <s v="East"/>
    <s v="Electronics"/>
    <n v="1052"/>
  </r>
  <r>
    <s v="ORD-00823"/>
    <d v="2024-04-27T00:00:00"/>
    <s v="CUST-9578"/>
    <s v="PROD-024"/>
    <s v="R023"/>
    <n v="5"/>
    <n v="2270"/>
    <n v="0.1"/>
    <n v="11338.65"/>
    <s v="Completed"/>
    <x v="3"/>
    <s v="Grocery"/>
    <e v="#N/A"/>
    <e v="#N/A"/>
    <s v="East"/>
    <s v="R023"/>
    <n v="983787.4800000001"/>
    <s v="East"/>
    <s v="Grocery"/>
    <n v="1203"/>
  </r>
  <r>
    <s v="ORD-00824"/>
    <d v="2024-06-22T00:00:00"/>
    <s v="CUST-0130"/>
    <s v="PROD-038"/>
    <s v="R020"/>
    <n v="7"/>
    <n v="5490"/>
    <n v="14.9"/>
    <n v="32703.93"/>
    <s v="Completed"/>
    <x v="4"/>
    <s v="Home"/>
    <s v="Corporate"/>
    <n v="41"/>
    <s v="East"/>
    <s v="R020"/>
    <n v="906107.71000000008"/>
    <s v="East"/>
    <s v="Home"/>
    <n v="2549"/>
  </r>
  <r>
    <s v="ORD-00825"/>
    <d v="2024-05-03T00:00:00"/>
    <s v="CUST-0247"/>
    <s v="PROD-004"/>
    <s v="R009"/>
    <n v="5"/>
    <n v="3870"/>
    <n v="13.3"/>
    <n v="16776.45"/>
    <s v="Cancelled"/>
    <x v="0"/>
    <s v="Electronics"/>
    <s v="SMB"/>
    <n v="35"/>
    <s v="South"/>
    <s v="R009"/>
    <n v="914554.71999999986"/>
    <s v="South"/>
    <s v="Electronics"/>
    <n v="1559"/>
  </r>
  <r>
    <s v="ORD-00826"/>
    <d v="2024-03-21T00:00:00"/>
    <s v="CUST-0256"/>
    <s v="PROD-049"/>
    <s v="R024"/>
    <n v="2"/>
    <n v="960"/>
    <n v="17.5"/>
    <n v="1584"/>
    <s v="Completed"/>
    <x v="5"/>
    <s v="Beauty"/>
    <s v="Retail"/>
    <n v="28"/>
    <s v="West"/>
    <s v="R024"/>
    <n v="819558.58"/>
    <s v="West"/>
    <s v="Beauty"/>
    <n v="675"/>
  </r>
  <r>
    <s v="ORD-00827"/>
    <d v="2024-04-23T00:00:00"/>
    <s v="CUST-0213"/>
    <s v="PROD-046"/>
    <s v="R001"/>
    <n v="4"/>
    <n v="4880"/>
    <n v="12.2"/>
    <n v="17138.560000000001"/>
    <s v="Cancelled"/>
    <x v="3"/>
    <s v="Beauty"/>
    <s v="Retail"/>
    <n v="37"/>
    <s v="North"/>
    <s v="R001"/>
    <n v="789849.60000000009"/>
    <s v="North"/>
    <s v="Beauty"/>
    <n v="2768"/>
  </r>
  <r>
    <s v="ORD-00828"/>
    <d v="2024-05-07T00:00:00"/>
    <s v="CUST-0183"/>
    <s v="PROD-058"/>
    <s v="R008"/>
    <n v="5"/>
    <n v="2400"/>
    <n v="15"/>
    <n v="10200"/>
    <s v="Completed"/>
    <x v="3"/>
    <s v="Sports"/>
    <s v="SMB"/>
    <n v="27"/>
    <s v="North"/>
    <s v="R008"/>
    <n v="861553.33"/>
    <s v="North"/>
    <s v="Sports"/>
    <n v="974"/>
  </r>
  <r>
    <s v="ORD-00829"/>
    <d v="2024-08-18T00:00:00"/>
    <s v="CUST-0051"/>
    <s v="PROD-016"/>
    <s v="R015"/>
    <n v="9"/>
    <n v="620"/>
    <n v="20.399999999999999"/>
    <n v="4441.68"/>
    <s v="Pending"/>
    <x v="0"/>
    <s v="Apparel"/>
    <s v="SMB"/>
    <n v="54"/>
    <s v="South"/>
    <s v="R015"/>
    <n v="1091740.1799999997"/>
    <s v="South"/>
    <s v="Apparel"/>
    <n v="396"/>
  </r>
  <r>
    <s v="ORD-00830"/>
    <d v="2024-08-09T00:00:00"/>
    <s v="CUST-0001"/>
    <s v="PROD-039"/>
    <s v="R013"/>
    <n v="1"/>
    <n v="4610"/>
    <n v="1.8"/>
    <n v="4527.0200000000004"/>
    <s v="Pending"/>
    <x v="0"/>
    <s v="Home"/>
    <s v="Retail"/>
    <n v="36"/>
    <s v="South"/>
    <s v="R013"/>
    <n v="811524.37999999989"/>
    <s v="South"/>
    <s v="Home"/>
    <n v="1850"/>
  </r>
  <r>
    <s v="ORD-00831"/>
    <d v="2024-07-27T00:00:00"/>
    <s v="CUST-0105"/>
    <s v="PROD-039"/>
    <s v="R014"/>
    <n v="7"/>
    <n v="4610"/>
    <n v="27"/>
    <n v="23557.1"/>
    <s v="Completed"/>
    <x v="1"/>
    <s v="Home"/>
    <s v="SMB"/>
    <n v="51"/>
    <s v="South"/>
    <s v="R014"/>
    <n v="995713.54000000015"/>
    <s v="South"/>
    <s v="Home"/>
    <n v="1850"/>
  </r>
  <r>
    <s v="ORD-00832"/>
    <d v="2024-11-12T00:00:00"/>
    <s v="CUST-0199"/>
    <s v="PROD-030"/>
    <s v="R029"/>
    <n v="6"/>
    <n v="970"/>
    <n v="4.7"/>
    <n v="5546.46"/>
    <s v="Cancelled"/>
    <x v="5"/>
    <s v="Grocery"/>
    <s v="SMB"/>
    <n v="31"/>
    <s v="West"/>
    <s v="R029"/>
    <n v="1016696.8000000002"/>
    <s v="West"/>
    <s v="Grocery"/>
    <n v="434"/>
  </r>
  <r>
    <s v="ORD-00833"/>
    <d v="2024-03-11T00:00:00"/>
    <s v="CUST-0240"/>
    <s v="PROD-007"/>
    <s v="R026"/>
    <n v="8"/>
    <n v="1430"/>
    <n v="8.6999999999999993"/>
    <n v="10444.719999999999"/>
    <s v="Completed"/>
    <x v="1"/>
    <s v="Electronics"/>
    <s v="Corporate"/>
    <n v="35"/>
    <s v="West"/>
    <s v="R026"/>
    <n v="576305.08000000019"/>
    <s v="West"/>
    <s v="Electronics"/>
    <n v="861"/>
  </r>
  <r>
    <s v="ORD-00834"/>
    <d v="2024-02-26T00:00:00"/>
    <s v="CUST-0283"/>
    <s v="PROD-027"/>
    <s v="R011"/>
    <n v="5"/>
    <n v="3780"/>
    <n v="2.9"/>
    <n v="18351.900000000001"/>
    <s v="Completed"/>
    <x v="2"/>
    <s v="Grocery"/>
    <s v="SMB"/>
    <n v="50"/>
    <s v="South"/>
    <s v="R011"/>
    <n v="735207.75999999989"/>
    <s v="South"/>
    <s v="Grocery"/>
    <n v="2436"/>
  </r>
  <r>
    <s v="ORD-00835"/>
    <d v="2024-08-28T00:00:00"/>
    <s v="CUST-0284"/>
    <s v="PROD-041"/>
    <s v="R023"/>
    <n v="2"/>
    <n v="1540"/>
    <n v="12.7"/>
    <n v="2688.84"/>
    <s v="Completed"/>
    <x v="5"/>
    <s v="Beauty"/>
    <s v="SMB"/>
    <n v="65"/>
    <s v="East"/>
    <s v="R023"/>
    <n v="983787.4800000001"/>
    <s v="East"/>
    <s v="Beauty"/>
    <n v="647"/>
  </r>
  <r>
    <s v="ORD-00836"/>
    <d v="2024-07-19T00:00:00"/>
    <s v="CUST-0060"/>
    <s v="PROD-040"/>
    <s v="R020"/>
    <n v="9"/>
    <n v="1080"/>
    <n v="11.2"/>
    <n v="8631.36"/>
    <s v="Cancelled"/>
    <x v="0"/>
    <s v="Home"/>
    <s v="Retail"/>
    <n v="39"/>
    <s v="East"/>
    <s v="R020"/>
    <n v="906107.71000000008"/>
    <s v="East"/>
    <s v="Home"/>
    <n v="519"/>
  </r>
  <r>
    <s v="ORD-00837"/>
    <d v="2024-03-17T00:00:00"/>
    <s v="CUST-0266"/>
    <s v="PROD-058"/>
    <s v="R007"/>
    <n v="3"/>
    <n v="2400"/>
    <n v="28.6"/>
    <n v="5140.8"/>
    <s v="Completed"/>
    <x v="0"/>
    <s v="Sports"/>
    <s v="Retail"/>
    <n v="65"/>
    <s v="North"/>
    <s v="R007"/>
    <n v="855749.67999999982"/>
    <s v="North"/>
    <s v="Sports"/>
    <n v="974"/>
  </r>
  <r>
    <s v="ORD-00838"/>
    <d v="2024-06-05T00:00:00"/>
    <s v="CUST-0056"/>
    <s v="PROD-040"/>
    <s v="R018"/>
    <n v="5"/>
    <n v="1080"/>
    <n v="18.3"/>
    <n v="4411.8"/>
    <s v="Completed"/>
    <x v="4"/>
    <s v="Home"/>
    <s v="SMB"/>
    <n v="46"/>
    <s v="East"/>
    <s v="R018"/>
    <n v="1112289.6400000001"/>
    <s v="East"/>
    <s v="Home"/>
    <n v="519"/>
  </r>
  <r>
    <s v="ORD-00839"/>
    <d v="2024-11-14T00:00:00"/>
    <s v="CUST-0187"/>
    <s v="PROD-024"/>
    <s v="R027"/>
    <n v="7"/>
    <n v="2270"/>
    <n v="1.7"/>
    <n v="15619.87"/>
    <s v="Cancelled"/>
    <x v="1"/>
    <s v="Grocery"/>
    <s v="SMB"/>
    <n v="51"/>
    <s v="West"/>
    <s v="R027"/>
    <n v="917092.61999999965"/>
    <s v="West"/>
    <s v="Grocery"/>
    <n v="1203"/>
  </r>
  <r>
    <s v="ORD-00840"/>
    <d v="2024-05-26T00:00:00"/>
    <s v="CUST-0183"/>
    <s v="PROD-028"/>
    <s v="R026"/>
    <n v="8"/>
    <n v="3660"/>
    <n v="19.100000000000001"/>
    <n v="23687.52"/>
    <s v="Cancelled"/>
    <x v="3"/>
    <s v="Grocery"/>
    <s v="SMB"/>
    <n v="27"/>
    <s v="West"/>
    <s v="R026"/>
    <n v="576305.08000000019"/>
    <s v="West"/>
    <s v="Grocery"/>
    <n v="2214"/>
  </r>
  <r>
    <s v="ORD-00841"/>
    <d v="2024-07-04T00:00:00"/>
    <s v="CUST-0068"/>
    <s v="PROD-036"/>
    <s v="R003"/>
    <n v="5"/>
    <n v="3250"/>
    <n v="12.9"/>
    <n v="14153.75"/>
    <s v="Completed"/>
    <x v="2"/>
    <s v="Home"/>
    <s v="SMB"/>
    <n v="48"/>
    <s v="North"/>
    <s v="R003"/>
    <n v="986692.91"/>
    <s v="North"/>
    <s v="Home"/>
    <n v="1556"/>
  </r>
  <r>
    <s v="ORD-00842"/>
    <d v="2024-02-06T00:00:00"/>
    <s v="CUST-0135"/>
    <s v="PROD-044"/>
    <s v="R012"/>
    <n v="4"/>
    <n v="1650"/>
    <n v="4.0999999999999996"/>
    <n v="6329.4"/>
    <s v="Completed"/>
    <x v="0"/>
    <s v="Beauty"/>
    <s v="SMB"/>
    <n v="24"/>
    <s v="South"/>
    <s v="R012"/>
    <n v="901394.32000000007"/>
    <s v="South"/>
    <s v="Beauty"/>
    <n v="1222"/>
  </r>
  <r>
    <s v="ORD-00843"/>
    <d v="2024-11-28T00:00:00"/>
    <s v="CUST-0191"/>
    <s v="PROD-034"/>
    <s v="R003"/>
    <n v="6"/>
    <n v="5080"/>
    <n v="3"/>
    <n v="29565.599999999999"/>
    <s v="Completed"/>
    <x v="5"/>
    <s v="Home"/>
    <s v="SMB"/>
    <n v="43"/>
    <s v="North"/>
    <s v="R003"/>
    <n v="986692.91"/>
    <s v="North"/>
    <s v="Home"/>
    <n v="2459"/>
  </r>
  <r>
    <s v="ORD-00844"/>
    <d v="2024-11-18T00:00:00"/>
    <s v="CUST-0244"/>
    <s v="PROD-051"/>
    <s v="R027"/>
    <n v="8"/>
    <n v="3450"/>
    <n v="20.9"/>
    <n v="21831.599999999999"/>
    <s v="Completed"/>
    <x v="4"/>
    <s v="Sports"/>
    <s v="Retail"/>
    <n v="61"/>
    <s v="West"/>
    <s v="R027"/>
    <n v="917092.61999999965"/>
    <s v="West"/>
    <s v="Sports"/>
    <n v="2467"/>
  </r>
  <r>
    <s v="ORD-00845"/>
    <d v="2024-05-17T00:00:00"/>
    <s v="CUST-0189"/>
    <s v="PROD-043"/>
    <s v="R018"/>
    <n v="6"/>
    <n v="3350"/>
    <n v="24.8"/>
    <n v="15115.2"/>
    <s v="Completed"/>
    <x v="1"/>
    <s v="Beauty"/>
    <s v="Retail"/>
    <n v="41"/>
    <s v="East"/>
    <s v="R018"/>
    <n v="1112289.6400000001"/>
    <s v="East"/>
    <s v="Beauty"/>
    <n v="1728"/>
  </r>
  <r>
    <s v="ORD-00846"/>
    <d v="2024-06-08T00:00:00"/>
    <s v="CUST-0166"/>
    <s v="PROD-029"/>
    <s v="R027"/>
    <n v="10"/>
    <n v="2210"/>
    <n v="4.2"/>
    <n v="21171.8"/>
    <s v="Completed"/>
    <x v="5"/>
    <s v="Grocery"/>
    <s v="Retail"/>
    <n v="31"/>
    <s v="West"/>
    <s v="R027"/>
    <n v="917092.61999999965"/>
    <s v="West"/>
    <s v="Grocery"/>
    <n v="1010"/>
  </r>
  <r>
    <s v="ORD-00847"/>
    <d v="2024-06-01T00:00:00"/>
    <s v="CUST-0167"/>
    <s v="PROD-046"/>
    <s v="R006"/>
    <n v="10"/>
    <n v="4880"/>
    <n v="0.7"/>
    <n v="48458.400000000001"/>
    <s v="Completed"/>
    <x v="2"/>
    <s v="Beauty"/>
    <s v="Retail"/>
    <n v="43"/>
    <s v="North"/>
    <s v="R006"/>
    <n v="1138648.73"/>
    <s v="North"/>
    <s v="Beauty"/>
    <n v="2768"/>
  </r>
  <r>
    <s v="ORD-00848"/>
    <d v="2024-03-18T00:00:00"/>
    <s v="CUST-0265"/>
    <s v="PROD-055"/>
    <s v="R004"/>
    <n v="7"/>
    <n v="2860"/>
    <n v="28.1"/>
    <n v="14394.38"/>
    <s v="Pending"/>
    <x v="1"/>
    <s v="Sports"/>
    <s v="Retail"/>
    <n v="49"/>
    <s v="North"/>
    <s v="R004"/>
    <n v="589026.2899999998"/>
    <s v="North"/>
    <s v="Sports"/>
    <n v="2028"/>
  </r>
  <r>
    <s v="ORD-00849"/>
    <d v="2024-10-16T00:00:00"/>
    <s v="CUST-0172"/>
    <s v="PROD-030"/>
    <s v="R005"/>
    <n v="3"/>
    <n v="970"/>
    <n v="28.3"/>
    <n v="2086.4699999999998"/>
    <s v="Completed"/>
    <x v="0"/>
    <s v="Grocery"/>
    <s v="Retail"/>
    <n v="65"/>
    <s v="North"/>
    <s v="R005"/>
    <n v="782445.33"/>
    <s v="North"/>
    <s v="Grocery"/>
    <n v="434"/>
  </r>
  <r>
    <s v="ORD-00850"/>
    <d v="2024-07-21T00:00:00"/>
    <s v="CUST-0205"/>
    <s v="PROD-022"/>
    <s v="R008"/>
    <n v="1"/>
    <n v="2270"/>
    <n v="15.1"/>
    <n v="1927.23"/>
    <s v="Completed"/>
    <x v="0"/>
    <s v="Grocery"/>
    <s v="Corporate"/>
    <n v="29"/>
    <s v="North"/>
    <s v="R008"/>
    <n v="861553.33"/>
    <s v="North"/>
    <s v="Grocery"/>
    <n v="1412"/>
  </r>
  <r>
    <s v="ORD-00851"/>
    <d v="2024-02-02T00:00:00"/>
    <s v="CUST-0102"/>
    <s v="PROD-018"/>
    <s v="R015"/>
    <n v="5"/>
    <n v="3560"/>
    <n v="11.5"/>
    <n v="15753"/>
    <s v="Completed"/>
    <x v="1"/>
    <s v="Apparel"/>
    <s v="SMB"/>
    <n v="62"/>
    <s v="South"/>
    <s v="R015"/>
    <n v="1091740.1799999997"/>
    <s v="South"/>
    <s v="Apparel"/>
    <n v="2629"/>
  </r>
  <r>
    <s v="ORD-00852"/>
    <d v="2024-05-07T00:00:00"/>
    <s v="CUST-0142"/>
    <s v="PROD-052"/>
    <s v="R010"/>
    <n v="2"/>
    <n v="5410"/>
    <n v="14.8"/>
    <n v="9218.64"/>
    <s v="Pending"/>
    <x v="1"/>
    <s v="Sports"/>
    <s v="Corporate"/>
    <n v="55"/>
    <s v="South"/>
    <s v="R010"/>
    <n v="880345.20000000007"/>
    <s v="South"/>
    <s v="Sports"/>
    <n v="2265"/>
  </r>
  <r>
    <s v="ORD-00853"/>
    <d v="2024-12-30T00:00:00"/>
    <s v="CUST-0195"/>
    <s v="PROD-019"/>
    <s v="R006"/>
    <n v="2"/>
    <n v="2480"/>
    <n v="27.2"/>
    <n v="3610.88"/>
    <s v="Completed"/>
    <x v="4"/>
    <s v="Apparel"/>
    <s v="Retail"/>
    <n v="28"/>
    <s v="North"/>
    <s v="R006"/>
    <n v="1138648.73"/>
    <s v="North"/>
    <s v="Apparel"/>
    <n v="1173"/>
  </r>
  <r>
    <s v="ORD-00854"/>
    <d v="2024-02-28T00:00:00"/>
    <s v="CUST-0125"/>
    <s v="PROD-020"/>
    <s v="R014"/>
    <n v="6"/>
    <n v="820"/>
    <n v="6.6"/>
    <n v="4595.28"/>
    <s v="Completed"/>
    <x v="2"/>
    <s v="Apparel"/>
    <s v="Retail"/>
    <n v="45"/>
    <s v="South"/>
    <s v="R014"/>
    <n v="995713.54000000015"/>
    <s v="South"/>
    <s v="Apparel"/>
    <n v="391"/>
  </r>
  <r>
    <s v="ORD-00855"/>
    <d v="2024-05-22T00:00:00"/>
    <s v="CUST-0234"/>
    <s v="PROD-001"/>
    <s v="R015"/>
    <n v="10"/>
    <n v="5330"/>
    <n v="16.100000000000001"/>
    <n v="44718.7"/>
    <s v="Completed"/>
    <x v="4"/>
    <s v="Electronics"/>
    <s v="Retail"/>
    <n v="34"/>
    <s v="South"/>
    <s v="R015"/>
    <n v="1091740.1799999997"/>
    <s v="South"/>
    <s v="Electronics"/>
    <n v="2405"/>
  </r>
  <r>
    <s v="ORD-00856"/>
    <d v="2024-05-26T00:00:00"/>
    <s v="CUST-0061"/>
    <s v="PROD-047"/>
    <s v="R004"/>
    <n v="2"/>
    <n v="3450"/>
    <n v="11.3"/>
    <n v="6120.3"/>
    <s v="Pending"/>
    <x v="5"/>
    <s v="Beauty"/>
    <s v="Retail"/>
    <n v="64"/>
    <s v="North"/>
    <s v="R004"/>
    <n v="589026.2899999998"/>
    <s v="North"/>
    <s v="Beauty"/>
    <n v="2420"/>
  </r>
  <r>
    <s v="ORD-00857"/>
    <d v="2024-07-13T00:00:00"/>
    <s v="CUST-0189"/>
    <s v="PROD-049"/>
    <s v="R023"/>
    <n v="7"/>
    <n v="960"/>
    <n v="17.100000000000001"/>
    <n v="5570.88"/>
    <s v="Completed"/>
    <x v="1"/>
    <s v="Beauty"/>
    <s v="Retail"/>
    <n v="41"/>
    <s v="East"/>
    <s v="R023"/>
    <n v="983787.4800000001"/>
    <s v="East"/>
    <s v="Beauty"/>
    <n v="675"/>
  </r>
  <r>
    <s v="ORD-00858"/>
    <d v="2024-11-27T00:00:00"/>
    <s v="CUST-0191"/>
    <s v="PROD-011"/>
    <s v="R003"/>
    <n v="5"/>
    <n v="3450"/>
    <n v="22.9"/>
    <n v="13299.75"/>
    <s v="Completed"/>
    <x v="5"/>
    <s v="Apparel"/>
    <s v="SMB"/>
    <n v="43"/>
    <s v="North"/>
    <s v="R003"/>
    <n v="986692.91"/>
    <s v="North"/>
    <s v="Apparel"/>
    <n v="1748"/>
  </r>
  <r>
    <s v="ORD-00859"/>
    <d v="2024-12-08T00:00:00"/>
    <s v="CUST-0217"/>
    <s v="PROD-009"/>
    <s v="R008"/>
    <n v="5"/>
    <n v="1220"/>
    <n v="0.3"/>
    <n v="6081.7"/>
    <s v="Completed"/>
    <x v="0"/>
    <s v="Electronics"/>
    <s v="SMB"/>
    <n v="59"/>
    <s v="North"/>
    <s v="R008"/>
    <n v="861553.33"/>
    <s v="North"/>
    <s v="Electronics"/>
    <n v="517"/>
  </r>
  <r>
    <s v="ORD-00860"/>
    <d v="2024-01-17T00:00:00"/>
    <s v="CUST-0060"/>
    <s v="PROD-001"/>
    <s v="R007"/>
    <n v="5"/>
    <n v="5330"/>
    <n v="29"/>
    <n v="18921.5"/>
    <s v="Completed"/>
    <x v="0"/>
    <s v="Electronics"/>
    <s v="Retail"/>
    <n v="39"/>
    <s v="North"/>
    <s v="R007"/>
    <n v="855749.67999999982"/>
    <s v="North"/>
    <s v="Electronics"/>
    <n v="2405"/>
  </r>
  <r>
    <s v="ORD-00861"/>
    <d v="2024-12-15T00:00:00"/>
    <s v="CUST-0270"/>
    <s v="PROD-003"/>
    <s v="R028"/>
    <n v="3"/>
    <n v="3570"/>
    <n v="20"/>
    <n v="8568"/>
    <s v="Cancelled"/>
    <x v="4"/>
    <s v="Electronics"/>
    <s v="Retail"/>
    <n v="29"/>
    <s v="West"/>
    <s v="R028"/>
    <n v="880468.05"/>
    <s v="West"/>
    <s v="Electronics"/>
    <n v="1665"/>
  </r>
  <r>
    <s v="ORD-00862"/>
    <d v="2024-04-14T00:00:00"/>
    <s v="CUST-0279"/>
    <s v="PROD-029"/>
    <s v="R026"/>
    <n v="9"/>
    <n v="2210"/>
    <n v="12.4"/>
    <n v="17423.64"/>
    <s v="Completed"/>
    <x v="3"/>
    <s v="Grocery"/>
    <s v="Retail"/>
    <n v="56"/>
    <s v="West"/>
    <s v="R026"/>
    <n v="576305.08000000019"/>
    <s v="West"/>
    <s v="Grocery"/>
    <n v="1010"/>
  </r>
  <r>
    <s v="ORD-00863"/>
    <d v="2024-01-11T00:00:00"/>
    <s v="CUST-0008"/>
    <s v="PROD-059"/>
    <s v="R029"/>
    <n v="5"/>
    <n v="3780"/>
    <n v="3.9"/>
    <n v="18162.900000000001"/>
    <s v="Completed"/>
    <x v="0"/>
    <s v="Sports"/>
    <s v="SMB"/>
    <n v="39"/>
    <s v="West"/>
    <s v="R029"/>
    <n v="1016696.8000000002"/>
    <s v="West"/>
    <s v="Sports"/>
    <n v="1860"/>
  </r>
  <r>
    <s v="ORD-00864"/>
    <d v="2024-11-30T00:00:00"/>
    <s v="CUST-0259"/>
    <s v="PROD-010"/>
    <s v="R008"/>
    <n v="10"/>
    <n v="2640"/>
    <n v="17.8"/>
    <n v="21700.799999999999"/>
    <s v="Refunded"/>
    <x v="3"/>
    <s v="Electronics"/>
    <s v="Retail"/>
    <n v="34"/>
    <s v="North"/>
    <s v="R008"/>
    <n v="861553.33"/>
    <s v="North"/>
    <s v="Electronics"/>
    <n v="1149"/>
  </r>
  <r>
    <s v="ORD-00865"/>
    <d v="2024-03-01T00:00:00"/>
    <s v="CUST-0169"/>
    <s v="PROD-005"/>
    <s v="R024"/>
    <n v="5"/>
    <n v="300"/>
    <n v="12.9"/>
    <n v="1306.5"/>
    <s v="Completed"/>
    <x v="4"/>
    <s v="Electronics"/>
    <s v="SMB"/>
    <n v="42"/>
    <s v="West"/>
    <s v="R024"/>
    <n v="819558.58"/>
    <s v="West"/>
    <s v="Electronics"/>
    <n v="128"/>
  </r>
  <r>
    <s v="ORD-00866"/>
    <d v="2024-10-23T00:00:00"/>
    <s v="CUST-0191"/>
    <s v="PROD-058"/>
    <s v="R013"/>
    <n v="2"/>
    <n v="2400"/>
    <n v="17.100000000000001"/>
    <n v="3979.2"/>
    <s v="Pending"/>
    <x v="5"/>
    <s v="Sports"/>
    <s v="SMB"/>
    <n v="43"/>
    <s v="South"/>
    <s v="R013"/>
    <n v="811524.37999999989"/>
    <s v="South"/>
    <s v="Sports"/>
    <n v="974"/>
  </r>
  <r>
    <s v="ORD-00867"/>
    <d v="2024-10-18T00:00:00"/>
    <s v="CUST-0129"/>
    <s v="PROD-040"/>
    <s v="R026"/>
    <n v="5"/>
    <n v="1080"/>
    <n v="15.7"/>
    <n v="4552.2"/>
    <s v="Pending"/>
    <x v="5"/>
    <s v="Home"/>
    <s v="Retail"/>
    <n v="29"/>
    <s v="West"/>
    <s v="R026"/>
    <n v="576305.08000000019"/>
    <s v="West"/>
    <s v="Home"/>
    <n v="519"/>
  </r>
  <r>
    <s v="ORD-00868"/>
    <d v="2024-08-24T00:00:00"/>
    <s v="CUST-0066"/>
    <s v="PROD-036"/>
    <s v="R003"/>
    <n v="1"/>
    <n v="3250"/>
    <n v="14.7"/>
    <n v="2772.25"/>
    <s v="Completed"/>
    <x v="2"/>
    <s v="Home"/>
    <s v="Retail"/>
    <n v="24"/>
    <s v="North"/>
    <s v="R003"/>
    <n v="986692.91"/>
    <s v="North"/>
    <s v="Home"/>
    <n v="1556"/>
  </r>
  <r>
    <s v="ORD-00869"/>
    <d v="2024-04-18T00:00:00"/>
    <s v="CUST-0114"/>
    <s v="PROD-032"/>
    <s v="R021"/>
    <n v="7"/>
    <n v="370"/>
    <n v="6"/>
    <n v="2434.6"/>
    <s v="Cancelled"/>
    <x v="4"/>
    <s v="Home"/>
    <s v="Corporate"/>
    <n v="42"/>
    <s v="East"/>
    <s v="R021"/>
    <n v="761507.17000000027"/>
    <s v="East"/>
    <s v="Home"/>
    <n v="288"/>
  </r>
  <r>
    <s v="ORD-00870"/>
    <d v="2024-02-15T00:00:00"/>
    <s v="CUST-9833"/>
    <s v="PROD-038"/>
    <s v="R029"/>
    <n v="7"/>
    <n v="5490"/>
    <n v="10.199999999999999"/>
    <n v="34510.14"/>
    <s v="Completed"/>
    <x v="0"/>
    <s v="Home"/>
    <e v="#N/A"/>
    <e v="#N/A"/>
    <s v="West"/>
    <s v="R029"/>
    <n v="1016696.8000000002"/>
    <s v="West"/>
    <s v="Home"/>
    <n v="2549"/>
  </r>
  <r>
    <s v="ORD-00871"/>
    <d v="2024-07-09T00:00:00"/>
    <s v="CUST-0076"/>
    <s v="PROD-006"/>
    <s v="R028"/>
    <n v="3"/>
    <n v="3970"/>
    <n v="2.4"/>
    <n v="11624.16"/>
    <s v="Completed"/>
    <x v="3"/>
    <s v="Electronics"/>
    <s v="Retail"/>
    <n v="38"/>
    <s v="West"/>
    <s v="R028"/>
    <n v="880468.05"/>
    <s v="West"/>
    <s v="Electronics"/>
    <n v="2865"/>
  </r>
  <r>
    <s v="ORD-00872"/>
    <d v="2024-10-18T00:00:00"/>
    <s v="CUST-0215"/>
    <s v="PROD-009"/>
    <s v="R007"/>
    <n v="4"/>
    <n v="1220"/>
    <n v="25.3"/>
    <n v="3645.36"/>
    <s v="Completed"/>
    <x v="5"/>
    <s v="Electronics"/>
    <s v="Retail"/>
    <n v="52"/>
    <s v="North"/>
    <s v="R007"/>
    <n v="855749.67999999982"/>
    <s v="North"/>
    <s v="Electronics"/>
    <n v="517"/>
  </r>
  <r>
    <s v="ORD-00873"/>
    <d v="2024-04-27T00:00:00"/>
    <s v="CUST-0061"/>
    <s v="PROD-012"/>
    <s v="R026"/>
    <n v="3"/>
    <n v="3160"/>
    <n v="19.8"/>
    <n v="7602.96"/>
    <s v="Completed"/>
    <x v="5"/>
    <s v="Apparel"/>
    <s v="Retail"/>
    <n v="64"/>
    <s v="West"/>
    <s v="R026"/>
    <n v="576305.08000000019"/>
    <s v="West"/>
    <s v="Apparel"/>
    <n v="1886"/>
  </r>
  <r>
    <s v="ORD-00874"/>
    <d v="2024-05-18T00:00:00"/>
    <s v="CUST-0249"/>
    <s v="PROD-005"/>
    <s v="R008"/>
    <n v="1"/>
    <n v="300"/>
    <n v="24.5"/>
    <n v="226.5"/>
    <s v="Completed"/>
    <x v="3"/>
    <s v="Electronics"/>
    <s v="Retail"/>
    <n v="44"/>
    <s v="North"/>
    <s v="R008"/>
    <n v="861553.33"/>
    <s v="North"/>
    <s v="Electronics"/>
    <n v="128"/>
  </r>
  <r>
    <s v="ORD-00875"/>
    <d v="2024-12-28T00:00:00"/>
    <s v="CUST-0105"/>
    <s v="PROD-047"/>
    <s v="R029"/>
    <n v="5"/>
    <n v="3450"/>
    <n v="13.4"/>
    <n v="14938.5"/>
    <s v="Pending"/>
    <x v="1"/>
    <s v="Beauty"/>
    <s v="SMB"/>
    <n v="51"/>
    <s v="West"/>
    <s v="R029"/>
    <n v="1016696.8000000002"/>
    <s v="West"/>
    <s v="Beauty"/>
    <n v="2420"/>
  </r>
  <r>
    <s v="ORD-00876"/>
    <d v="2024-04-15T00:00:00"/>
    <s v="CUST-0161"/>
    <s v="PROD-014"/>
    <s v="R027"/>
    <n v="7"/>
    <n v="3620"/>
    <n v="19.2"/>
    <n v="20474.72"/>
    <s v="Completed"/>
    <x v="1"/>
    <s v="Apparel"/>
    <s v="Retail"/>
    <n v="38"/>
    <s v="West"/>
    <s v="R027"/>
    <n v="917092.61999999965"/>
    <s v="West"/>
    <s v="Apparel"/>
    <n v="2509"/>
  </r>
  <r>
    <s v="ORD-00877"/>
    <d v="2024-08-01T00:00:00"/>
    <s v="CUST-0275"/>
    <s v="PROD-024"/>
    <s v="R010"/>
    <n v="10"/>
    <n v="2270"/>
    <n v="20.5"/>
    <n v="18046.5"/>
    <s v="Completed"/>
    <x v="3"/>
    <s v="Grocery"/>
    <s v="Retail"/>
    <n v="36"/>
    <s v="South"/>
    <s v="R010"/>
    <n v="880345.20000000007"/>
    <s v="South"/>
    <s v="Grocery"/>
    <n v="1203"/>
  </r>
  <r>
    <s v="ORD-00878"/>
    <d v="2024-04-04T00:00:00"/>
    <s v="CUST-0049"/>
    <s v="PROD-015"/>
    <s v="R024"/>
    <n v="5"/>
    <n v="2720"/>
    <n v="29.3"/>
    <n v="9615.2000000000007"/>
    <s v="Completed"/>
    <x v="3"/>
    <s v="Apparel"/>
    <s v="Corporate"/>
    <n v="42"/>
    <s v="West"/>
    <s v="R024"/>
    <n v="819558.58"/>
    <s v="West"/>
    <s v="Apparel"/>
    <n v="1962"/>
  </r>
  <r>
    <s v="ORD-00879"/>
    <d v="2024-07-26T00:00:00"/>
    <s v="CUST-0235"/>
    <s v="PROD-027"/>
    <s v="R022"/>
    <n v="9"/>
    <n v="3780"/>
    <n v="2.2999999999999998"/>
    <n v="33237.54"/>
    <s v="Completed"/>
    <x v="1"/>
    <s v="Grocery"/>
    <s v="Retail"/>
    <n v="31"/>
    <s v="East"/>
    <s v="R022"/>
    <n v="1069570.5400000003"/>
    <s v="East"/>
    <s v="Grocery"/>
    <n v="2436"/>
  </r>
  <r>
    <s v="ORD-00880"/>
    <d v="2024-12-10T00:00:00"/>
    <s v="CUST-0220"/>
    <s v="PROD-025"/>
    <s v="R014"/>
    <n v="9"/>
    <n v="4060"/>
    <n v="11.5"/>
    <n v="32337.9"/>
    <s v="Completed"/>
    <x v="1"/>
    <s v="Grocery"/>
    <s v="Retail"/>
    <n v="34"/>
    <s v="South"/>
    <s v="R014"/>
    <n v="995713.54000000015"/>
    <s v="South"/>
    <s v="Grocery"/>
    <n v="2911"/>
  </r>
  <r>
    <s v="ORD-00881"/>
    <d v="2024-08-13T00:00:00"/>
    <s v="CUST-0298"/>
    <s v="PROD-021"/>
    <s v="R012"/>
    <n v="10"/>
    <n v="2760"/>
    <n v="3.9"/>
    <n v="26523.599999999999"/>
    <s v="Refunded"/>
    <x v="2"/>
    <s v="Grocery"/>
    <s v="Retail"/>
    <n v="44"/>
    <s v="South"/>
    <s v="R012"/>
    <n v="901394.32000000007"/>
    <s v="South"/>
    <s v="Grocery"/>
    <n v="1435"/>
  </r>
  <r>
    <s v="ORD-00882"/>
    <d v="2024-10-28T00:00:00"/>
    <s v="CUST-0222"/>
    <s v="PROD-040"/>
    <s v="R021"/>
    <n v="10"/>
    <n v="1080"/>
    <n v="21.4"/>
    <n v="8488.7999999999993"/>
    <s v="Completed"/>
    <x v="1"/>
    <s v="Home"/>
    <s v="Retail"/>
    <n v="37"/>
    <s v="East"/>
    <s v="R021"/>
    <n v="761507.17000000027"/>
    <s v="East"/>
    <s v="Home"/>
    <n v="519"/>
  </r>
  <r>
    <s v="ORD-00883"/>
    <d v="2024-07-24T00:00:00"/>
    <s v="CUST-0049"/>
    <s v="PROD-034"/>
    <s v="R023"/>
    <n v="6"/>
    <n v="5080"/>
    <n v="29.8"/>
    <n v="21396.959999999999"/>
    <s v="Pending"/>
    <x v="3"/>
    <s v="Home"/>
    <s v="Corporate"/>
    <n v="42"/>
    <s v="East"/>
    <s v="R023"/>
    <n v="983787.4800000001"/>
    <s v="East"/>
    <s v="Home"/>
    <n v="2459"/>
  </r>
  <r>
    <s v="ORD-00884"/>
    <d v="2024-01-02T00:00:00"/>
    <s v="CUST-0147"/>
    <s v="PROD-046"/>
    <s v="R030"/>
    <n v="1"/>
    <n v="4880"/>
    <n v="28.2"/>
    <n v="3503.84"/>
    <s v="Completed"/>
    <x v="0"/>
    <s v="Beauty"/>
    <s v="Retail"/>
    <n v="56"/>
    <s v="West"/>
    <s v="R030"/>
    <n v="747624.36999999988"/>
    <s v="West"/>
    <s v="Beauty"/>
    <n v="2768"/>
  </r>
  <r>
    <s v="ORD-00885"/>
    <d v="2024-09-27T00:00:00"/>
    <s v="CUST-0177"/>
    <s v="PROD-022"/>
    <s v="R027"/>
    <n v="1"/>
    <n v="2270"/>
    <n v="27.8"/>
    <n v="1638.94"/>
    <s v="Completed"/>
    <x v="3"/>
    <s v="Grocery"/>
    <s v="SMB"/>
    <n v="36"/>
    <s v="West"/>
    <s v="R027"/>
    <n v="917092.61999999965"/>
    <s v="West"/>
    <s v="Grocery"/>
    <n v="1412"/>
  </r>
  <r>
    <s v="ORD-00886"/>
    <d v="2024-12-12T00:00:00"/>
    <s v="CUST-0121"/>
    <s v="PROD-006"/>
    <s v="R019"/>
    <n v="9"/>
    <n v="3970"/>
    <n v="7"/>
    <n v="33228.9"/>
    <s v="Completed"/>
    <x v="2"/>
    <s v="Electronics"/>
    <s v="SMB"/>
    <n v="55"/>
    <s v="East"/>
    <s v="R019"/>
    <n v="971183.52000000014"/>
    <s v="East"/>
    <s v="Electronics"/>
    <n v="2865"/>
  </r>
  <r>
    <s v="ORD-00887"/>
    <d v="2024-04-26T00:00:00"/>
    <s v="CUST-0262"/>
    <s v="PROD-048"/>
    <s v="R003"/>
    <n v="9"/>
    <n v="5100"/>
    <n v="9.6999999999999993"/>
    <n v="41447.699999999997"/>
    <s v="Completed"/>
    <x v="3"/>
    <s v="Beauty"/>
    <s v="Retail"/>
    <n v="52"/>
    <s v="North"/>
    <s v="R003"/>
    <n v="986692.91"/>
    <s v="North"/>
    <s v="Beauty"/>
    <n v="2237"/>
  </r>
  <r>
    <s v="ORD-00888"/>
    <d v="2024-07-25T00:00:00"/>
    <s v="CUST-0246"/>
    <s v="PROD-060"/>
    <s v="R005"/>
    <n v="8"/>
    <n v="190"/>
    <n v="10.199999999999999"/>
    <n v="1364.96"/>
    <s v="Completed"/>
    <x v="2"/>
    <s v="Sports"/>
    <s v="SMB"/>
    <n v="29"/>
    <s v="North"/>
    <s v="R005"/>
    <n v="782445.33"/>
    <s v="North"/>
    <s v="Sports"/>
    <n v="147"/>
  </r>
  <r>
    <s v="ORD-00889"/>
    <d v="2024-12-23T00:00:00"/>
    <s v="CUST-0070"/>
    <s v="PROD-050"/>
    <s v="R026"/>
    <n v="1"/>
    <n v="6080"/>
    <n v="5.6"/>
    <n v="5739.52"/>
    <s v="Completed"/>
    <x v="3"/>
    <s v="Beauty"/>
    <s v="Retail"/>
    <n v="42"/>
    <s v="West"/>
    <s v="R026"/>
    <n v="576305.08000000019"/>
    <s v="West"/>
    <s v="Beauty"/>
    <n v="2617"/>
  </r>
  <r>
    <s v="ORD-00890"/>
    <d v="2024-07-11T00:00:00"/>
    <s v="CUST-0218"/>
    <s v="PROD-057"/>
    <s v="R020"/>
    <n v="6"/>
    <n v="960"/>
    <n v="1.9"/>
    <n v="5650.56"/>
    <s v="Completed"/>
    <x v="3"/>
    <s v="Sports"/>
    <s v="Retail"/>
    <n v="39"/>
    <s v="East"/>
    <s v="R020"/>
    <n v="906107.71000000008"/>
    <s v="East"/>
    <s v="Sports"/>
    <n v="705"/>
  </r>
  <r>
    <s v="ORD-00891"/>
    <d v="2024-01-25T00:00:00"/>
    <s v="CUST-0068"/>
    <s v="PROD-041"/>
    <s v="R004"/>
    <n v="7"/>
    <n v="1540"/>
    <n v="7.1"/>
    <n v="10014.620000000001"/>
    <s v="Completed"/>
    <x v="2"/>
    <s v="Beauty"/>
    <s v="SMB"/>
    <n v="48"/>
    <s v="North"/>
    <s v="R004"/>
    <n v="589026.2899999998"/>
    <s v="North"/>
    <s v="Beauty"/>
    <n v="647"/>
  </r>
  <r>
    <s v="ORD-00892"/>
    <d v="2024-02-06T00:00:00"/>
    <s v="CUST-0261"/>
    <s v="PROD-005"/>
    <s v="R011"/>
    <n v="10"/>
    <n v="300"/>
    <n v="12.8"/>
    <n v="2616"/>
    <s v="Cancelled"/>
    <x v="2"/>
    <s v="Electronics"/>
    <s v="Retail"/>
    <n v="54"/>
    <s v="South"/>
    <s v="R011"/>
    <n v="735207.75999999989"/>
    <s v="South"/>
    <s v="Electronics"/>
    <n v="128"/>
  </r>
  <r>
    <s v="ORD-00893"/>
    <d v="2024-06-13T00:00:00"/>
    <s v="CUST-0077"/>
    <s v="PROD-046"/>
    <s v="R011"/>
    <n v="4"/>
    <n v="4880"/>
    <n v="26.5"/>
    <n v="14347.2"/>
    <s v="Completed"/>
    <x v="5"/>
    <s v="Beauty"/>
    <s v="SMB"/>
    <n v="48"/>
    <s v="South"/>
    <s v="R011"/>
    <n v="735207.75999999989"/>
    <s v="South"/>
    <s v="Beauty"/>
    <n v="2768"/>
  </r>
  <r>
    <s v="ORD-00894"/>
    <d v="2024-10-24T00:00:00"/>
    <s v="CUST-0188"/>
    <s v="PROD-032"/>
    <s v="R003"/>
    <n v="2"/>
    <n v="370"/>
    <n v="26.5"/>
    <n v="543.9"/>
    <s v="Completed"/>
    <x v="4"/>
    <s v="Home"/>
    <s v="Retail"/>
    <n v="54"/>
    <s v="North"/>
    <s v="R003"/>
    <n v="986692.91"/>
    <s v="North"/>
    <s v="Home"/>
    <n v="288"/>
  </r>
  <r>
    <s v="ORD-00895"/>
    <d v="2024-10-28T00:00:00"/>
    <s v="CUST-0145"/>
    <s v="PROD-039"/>
    <s v="R002"/>
    <n v="3"/>
    <n v="4610"/>
    <n v="29.7"/>
    <n v="9722.49"/>
    <s v="Completed"/>
    <x v="4"/>
    <s v="Home"/>
    <s v="SMB"/>
    <n v="44"/>
    <s v="North"/>
    <s v="R002"/>
    <n v="980063.65999999968"/>
    <s v="North"/>
    <s v="Home"/>
    <n v="1850"/>
  </r>
  <r>
    <s v="ORD-00896"/>
    <d v="2024-09-04T00:00:00"/>
    <s v="CUST-0036"/>
    <s v="PROD-002"/>
    <s v="R013"/>
    <n v="5"/>
    <n v="2600"/>
    <n v="21.4"/>
    <n v="10218"/>
    <s v="Completed"/>
    <x v="3"/>
    <s v="Electronics"/>
    <s v="Retail"/>
    <n v="35"/>
    <s v="South"/>
    <s v="R013"/>
    <n v="811524.37999999989"/>
    <s v="South"/>
    <s v="Electronics"/>
    <n v="1052"/>
  </r>
  <r>
    <s v="ORD-00600"/>
    <d v="2024-05-24T00:00:00"/>
    <s v="CUST-0269"/>
    <s v="PROD-009"/>
    <s v="R025"/>
    <n v="10"/>
    <n v="1220"/>
    <n v="24.3"/>
    <n v="9235.4"/>
    <s v="Completed"/>
    <x v="0"/>
    <s v="Electronics"/>
    <s v="Retail"/>
    <n v="48"/>
    <s v="West"/>
    <s v="R025"/>
    <n v="901298.89"/>
    <s v="West"/>
    <s v="Electronics"/>
    <n v="517"/>
  </r>
  <r>
    <s v="ORD-00898"/>
    <d v="2024-12-20T00:00:00"/>
    <s v="CUST-9607"/>
    <s v="PROD-007"/>
    <s v="R015"/>
    <n v="10"/>
    <n v="1430"/>
    <n v="5.0999999999999996"/>
    <n v="13570.7"/>
    <s v="Cancelled"/>
    <x v="1"/>
    <s v="Electronics"/>
    <e v="#N/A"/>
    <e v="#N/A"/>
    <s v="South"/>
    <s v="R015"/>
    <n v="1091740.1799999997"/>
    <s v="South"/>
    <s v="Electronics"/>
    <n v="861"/>
  </r>
  <r>
    <s v="ORD-00899"/>
    <d v="2024-07-05T00:00:00"/>
    <s v="CUST-0189"/>
    <s v="PROD-046"/>
    <s v="R030"/>
    <n v="10"/>
    <n v="4880"/>
    <n v="25.5"/>
    <n v="36356"/>
    <s v="Cancelled"/>
    <x v="1"/>
    <s v="Beauty"/>
    <s v="Retail"/>
    <n v="41"/>
    <s v="West"/>
    <s v="R030"/>
    <n v="747624.36999999988"/>
    <s v="West"/>
    <s v="Beauty"/>
    <n v="2768"/>
  </r>
  <r>
    <s v="ORD-00900"/>
    <d v="2024-08-14T00:00:00"/>
    <s v="CUST-0199"/>
    <s v="PROD-050"/>
    <s v="R028"/>
    <n v="6"/>
    <n v="6080"/>
    <n v="21.6"/>
    <n v="28600.32"/>
    <s v="Completed"/>
    <x v="5"/>
    <s v="Beauty"/>
    <s v="SMB"/>
    <n v="31"/>
    <s v="West"/>
    <s v="R028"/>
    <n v="880468.05"/>
    <s v="West"/>
    <s v="Beauty"/>
    <n v="2617"/>
  </r>
  <r>
    <s v="ORD-00901"/>
    <d v="2024-01-28T00:00:00"/>
    <s v="CUST-0277"/>
    <s v="PROD-045"/>
    <s v="R013"/>
    <n v="3"/>
    <n v="3020"/>
    <n v="20.7"/>
    <n v="7184.58"/>
    <s v="Completed"/>
    <x v="1"/>
    <s v="Beauty"/>
    <s v="Corporate"/>
    <n v="34"/>
    <s v="South"/>
    <s v="R013"/>
    <n v="811524.37999999989"/>
    <s v="South"/>
    <s v="Beauty"/>
    <n v="1626"/>
  </r>
  <r>
    <s v="ORD-00902"/>
    <d v="2024-06-02T00:00:00"/>
    <s v="CUST-0108"/>
    <s v="PROD-015"/>
    <s v="R013"/>
    <n v="9"/>
    <n v="2720"/>
    <n v="21.4"/>
    <n v="19241.28"/>
    <s v="Completed"/>
    <x v="4"/>
    <s v="Apparel"/>
    <s v="Corporate"/>
    <n v="59"/>
    <s v="South"/>
    <s v="R013"/>
    <n v="811524.37999999989"/>
    <s v="South"/>
    <s v="Apparel"/>
    <n v="1962"/>
  </r>
  <r>
    <s v="ORD-00903"/>
    <d v="2024-05-05T00:00:00"/>
    <s v="CUST-0203"/>
    <s v="PROD-003"/>
    <s v="R025"/>
    <n v="10"/>
    <n v="3570"/>
    <n v="4.4000000000000004"/>
    <n v="34129.199999999997"/>
    <s v="Completed"/>
    <x v="1"/>
    <s v="Electronics"/>
    <s v="SMB"/>
    <n v="55"/>
    <s v="West"/>
    <s v="R025"/>
    <n v="901298.89"/>
    <s v="West"/>
    <s v="Electronics"/>
    <n v="1665"/>
  </r>
  <r>
    <s v="ORD-00904"/>
    <d v="2024-01-18T00:00:00"/>
    <s v="CUST-0272"/>
    <s v="PROD-040"/>
    <s v="R014"/>
    <n v="8"/>
    <n v="1080"/>
    <n v="23.8"/>
    <n v="6583.68"/>
    <s v="Completed"/>
    <x v="3"/>
    <s v="Home"/>
    <s v="SMB"/>
    <n v="47"/>
    <s v="South"/>
    <s v="R014"/>
    <n v="995713.54000000015"/>
    <s v="South"/>
    <s v="Home"/>
    <n v="519"/>
  </r>
  <r>
    <s v="ORD-00905"/>
    <d v="2024-03-16T00:00:00"/>
    <s v="CUST-0039"/>
    <s v="PROD-035"/>
    <s v="R011"/>
    <n v="8"/>
    <n v="1090"/>
    <n v="17.5"/>
    <n v="7194"/>
    <s v="Completed"/>
    <x v="4"/>
    <s v="Home"/>
    <s v="Retail"/>
    <n v="37"/>
    <s v="South"/>
    <s v="R011"/>
    <n v="735207.75999999989"/>
    <s v="South"/>
    <s v="Home"/>
    <n v="464"/>
  </r>
  <r>
    <s v="ORD-00906"/>
    <d v="2024-11-19T00:00:00"/>
    <s v="CUST-0105"/>
    <s v="PROD-018"/>
    <s v="R027"/>
    <n v="7"/>
    <n v="3560"/>
    <n v="11.1"/>
    <n v="22153.88"/>
    <s v="Completed"/>
    <x v="1"/>
    <s v="Apparel"/>
    <s v="SMB"/>
    <n v="51"/>
    <s v="West"/>
    <s v="R027"/>
    <n v="917092.61999999965"/>
    <s v="West"/>
    <s v="Apparel"/>
    <n v="2629"/>
  </r>
  <r>
    <s v="ORD-00907"/>
    <d v="2024-07-26T00:00:00"/>
    <s v="CUST-0095"/>
    <s v="PROD-060"/>
    <s v="R022"/>
    <n v="6"/>
    <n v="190"/>
    <n v="17.100000000000001"/>
    <n v="945.06"/>
    <s v="Cancelled"/>
    <x v="3"/>
    <s v="Sports"/>
    <s v="SMB"/>
    <n v="54"/>
    <s v="East"/>
    <s v="R022"/>
    <n v="1069570.5400000003"/>
    <s v="East"/>
    <s v="Sports"/>
    <n v="147"/>
  </r>
  <r>
    <s v="ORD-00908"/>
    <d v="2024-03-05T00:00:00"/>
    <s v="CUST-0138"/>
    <s v="PROD-025"/>
    <s v="R025"/>
    <n v="7"/>
    <n v="4060"/>
    <n v="0.6"/>
    <n v="28249.48"/>
    <s v="Completed"/>
    <x v="1"/>
    <s v="Grocery"/>
    <s v="Retail"/>
    <n v="24"/>
    <s v="West"/>
    <s v="R025"/>
    <n v="901298.89"/>
    <s v="West"/>
    <s v="Grocery"/>
    <n v="2911"/>
  </r>
  <r>
    <s v="ORD-00909"/>
    <d v="2024-02-24T00:00:00"/>
    <s v="CUST-0155"/>
    <s v="PROD-039"/>
    <s v="R021"/>
    <n v="4"/>
    <n v="4610"/>
    <n v="1.9"/>
    <n v="18089.64"/>
    <s v="Pending"/>
    <x v="0"/>
    <s v="Home"/>
    <s v="Corporate"/>
    <n v="40"/>
    <s v="East"/>
    <s v="R021"/>
    <n v="761507.17000000027"/>
    <s v="East"/>
    <s v="Home"/>
    <n v="1850"/>
  </r>
  <r>
    <s v="ORD-00910"/>
    <d v="2024-12-14T00:00:00"/>
    <s v="CUST-0198"/>
    <s v="PROD-026"/>
    <s v="R020"/>
    <n v="4"/>
    <n v="4070"/>
    <n v="26.8"/>
    <n v="11916.96"/>
    <s v="Completed"/>
    <x v="1"/>
    <s v="Grocery"/>
    <s v="Corporate"/>
    <n v="22"/>
    <s v="East"/>
    <s v="R020"/>
    <n v="906107.71000000008"/>
    <s v="East"/>
    <s v="Grocery"/>
    <n v="2027"/>
  </r>
  <r>
    <s v="ORD-00911"/>
    <d v="2024-12-07T00:00:00"/>
    <s v="CUST-0267"/>
    <s v="PROD-014"/>
    <s v="R004"/>
    <n v="4"/>
    <n v="3620"/>
    <n v="11.7"/>
    <n v="12785.84"/>
    <s v="Completed"/>
    <x v="5"/>
    <s v="Apparel"/>
    <s v="Retail"/>
    <n v="27"/>
    <s v="North"/>
    <s v="R004"/>
    <n v="589026.2899999998"/>
    <s v="North"/>
    <s v="Apparel"/>
    <n v="2509"/>
  </r>
  <r>
    <s v="ORD-00912"/>
    <d v="2024-05-18T00:00:00"/>
    <s v="CUST-0248"/>
    <s v="PROD-006"/>
    <s v="R030"/>
    <n v="3"/>
    <n v="3970"/>
    <n v="24.7"/>
    <n v="8968.23"/>
    <s v="Completed"/>
    <x v="1"/>
    <s v="Electronics"/>
    <s v="SMB"/>
    <n v="57"/>
    <s v="West"/>
    <s v="R030"/>
    <n v="747624.36999999988"/>
    <s v="West"/>
    <s v="Electronics"/>
    <n v="2865"/>
  </r>
  <r>
    <s v="ORD-00913"/>
    <d v="2024-03-04T00:00:00"/>
    <s v="CUST-0114"/>
    <s v="PROD-030"/>
    <s v="R028"/>
    <n v="4"/>
    <n v="970"/>
    <n v="0.4"/>
    <n v="3864.48"/>
    <s v="Completed"/>
    <x v="4"/>
    <s v="Grocery"/>
    <s v="Corporate"/>
    <n v="42"/>
    <s v="West"/>
    <s v="R028"/>
    <n v="880468.05"/>
    <s v="West"/>
    <s v="Grocery"/>
    <n v="434"/>
  </r>
  <r>
    <s v="ORD-00914"/>
    <d v="2024-03-28T00:00:00"/>
    <s v="CUST-0129"/>
    <s v="PROD-057"/>
    <s v="R023"/>
    <n v="2"/>
    <n v="960"/>
    <n v="1.4"/>
    <n v="1893.12"/>
    <s v="Completed"/>
    <x v="5"/>
    <s v="Sports"/>
    <s v="Retail"/>
    <n v="29"/>
    <s v="East"/>
    <s v="R023"/>
    <n v="983787.4800000001"/>
    <s v="East"/>
    <s v="Sports"/>
    <n v="705"/>
  </r>
  <r>
    <s v="ORD-00915"/>
    <d v="2024-03-24T00:00:00"/>
    <s v="CUST-0182"/>
    <s v="PROD-005"/>
    <s v="R016"/>
    <n v="7"/>
    <n v="300"/>
    <n v="20.399999999999999"/>
    <n v="1671.6"/>
    <s v="Completed"/>
    <x v="3"/>
    <s v="Electronics"/>
    <s v="Retail"/>
    <n v="54"/>
    <s v="South"/>
    <s v="R016"/>
    <n v="814563.7100000002"/>
    <s v="South"/>
    <s v="Electronics"/>
    <n v="128"/>
  </r>
  <r>
    <s v="ORD-00916"/>
    <d v="2024-04-15T00:00:00"/>
    <s v="CUST-0020"/>
    <s v="PROD-002"/>
    <s v="R014"/>
    <n v="8"/>
    <n v="2600"/>
    <n v="2.2000000000000002"/>
    <n v="20342.400000000001"/>
    <s v="Cancelled"/>
    <x v="5"/>
    <s v="Electronics"/>
    <s v="Retail"/>
    <n v="46"/>
    <s v="South"/>
    <s v="R014"/>
    <n v="995713.54000000015"/>
    <s v="South"/>
    <s v="Electronics"/>
    <n v="1052"/>
  </r>
  <r>
    <s v="ORD-00917"/>
    <d v="2024-10-06T00:00:00"/>
    <s v="CUST-0163"/>
    <s v="PROD-032"/>
    <s v="R008"/>
    <n v="2"/>
    <n v="370"/>
    <n v="17.7"/>
    <n v="609.02"/>
    <s v="Completed"/>
    <x v="0"/>
    <s v="Home"/>
    <s v="Retail"/>
    <n v="49"/>
    <s v="North"/>
    <s v="R008"/>
    <n v="861553.33"/>
    <s v="North"/>
    <s v="Home"/>
    <n v="288"/>
  </r>
  <r>
    <s v="ORD-00918"/>
    <d v="2024-06-12T00:00:00"/>
    <s v="CUST-0142"/>
    <s v="PROD-047"/>
    <s v="R026"/>
    <n v="4"/>
    <n v="3450"/>
    <n v="9.8000000000000007"/>
    <n v="12447.6"/>
    <s v="Cancelled"/>
    <x v="1"/>
    <s v="Beauty"/>
    <s v="Corporate"/>
    <n v="55"/>
    <s v="West"/>
    <s v="R026"/>
    <n v="576305.08000000019"/>
    <s v="West"/>
    <s v="Beauty"/>
    <n v="2420"/>
  </r>
  <r>
    <s v="ORD-00919"/>
    <d v="2024-07-13T00:00:00"/>
    <s v="CUST-0221"/>
    <s v="PROD-019"/>
    <s v="R020"/>
    <n v="1"/>
    <n v="2480"/>
    <n v="5.8"/>
    <n v="2336.16"/>
    <s v="Completed"/>
    <x v="2"/>
    <s v="Apparel"/>
    <s v="SMB"/>
    <n v="29"/>
    <s v="East"/>
    <s v="R020"/>
    <n v="906107.71000000008"/>
    <s v="East"/>
    <s v="Apparel"/>
    <n v="1173"/>
  </r>
  <r>
    <s v="ORD-00920"/>
    <d v="2024-02-07T00:00:00"/>
    <s v="CUST-0079"/>
    <s v="PROD-028"/>
    <s v="R019"/>
    <n v="5"/>
    <n v="3660"/>
    <n v="4.7"/>
    <n v="17439.900000000001"/>
    <s v="Pending"/>
    <x v="3"/>
    <s v="Grocery"/>
    <s v="Corporate"/>
    <n v="60"/>
    <s v="East"/>
    <s v="R019"/>
    <n v="971183.52000000014"/>
    <s v="East"/>
    <s v="Grocery"/>
    <n v="2214"/>
  </r>
  <r>
    <s v="ORD-00921"/>
    <d v="2024-01-24T00:00:00"/>
    <s v="CUST-0133"/>
    <s v="PROD-044"/>
    <s v="R023"/>
    <n v="7"/>
    <n v="1650"/>
    <n v="8.6"/>
    <n v="10556.7"/>
    <s v="Completed"/>
    <x v="1"/>
    <s v="Beauty"/>
    <s v="Retail"/>
    <n v="26"/>
    <s v="East"/>
    <s v="R023"/>
    <n v="983787.4800000001"/>
    <s v="East"/>
    <s v="Beauty"/>
    <n v="1222"/>
  </r>
  <r>
    <s v="ORD-00922"/>
    <d v="2024-06-30T00:00:00"/>
    <s v="CUST-0086"/>
    <s v="PROD-060"/>
    <s v="R025"/>
    <n v="6"/>
    <n v="190"/>
    <n v="14.6"/>
    <n v="973.56"/>
    <s v="Completed"/>
    <x v="5"/>
    <s v="Sports"/>
    <s v="Corporate"/>
    <n v="56"/>
    <s v="West"/>
    <s v="R025"/>
    <n v="901298.89"/>
    <s v="West"/>
    <s v="Sports"/>
    <n v="147"/>
  </r>
  <r>
    <s v="ORD-00923"/>
    <d v="2024-09-11T00:00:00"/>
    <s v="CUST-0155"/>
    <s v="PROD-022"/>
    <s v="R001"/>
    <n v="5"/>
    <n v="2270"/>
    <n v="5.9"/>
    <n v="10680.35"/>
    <s v="Completed"/>
    <x v="0"/>
    <s v="Grocery"/>
    <s v="Corporate"/>
    <n v="40"/>
    <s v="North"/>
    <s v="R001"/>
    <n v="789849.60000000009"/>
    <s v="North"/>
    <s v="Grocery"/>
    <n v="1412"/>
  </r>
  <r>
    <s v="ORD-00924"/>
    <d v="2024-11-29T00:00:00"/>
    <s v="CUST-0244"/>
    <s v="PROD-024"/>
    <s v="R011"/>
    <n v="1"/>
    <n v="2270"/>
    <n v="14.9"/>
    <n v="1931.77"/>
    <s v="Completed"/>
    <x v="4"/>
    <s v="Grocery"/>
    <s v="Retail"/>
    <n v="61"/>
    <s v="South"/>
    <s v="R011"/>
    <n v="735207.75999999989"/>
    <s v="South"/>
    <s v="Grocery"/>
    <n v="1203"/>
  </r>
  <r>
    <s v="ORD-00925"/>
    <d v="2024-10-14T00:00:00"/>
    <s v="CUST-0262"/>
    <s v="PROD-011"/>
    <s v="R018"/>
    <n v="4"/>
    <n v="3450"/>
    <n v="11.7"/>
    <n v="12185.4"/>
    <s v="Cancelled"/>
    <x v="3"/>
    <s v="Apparel"/>
    <s v="Retail"/>
    <n v="52"/>
    <s v="East"/>
    <s v="R018"/>
    <n v="1112289.6400000001"/>
    <s v="East"/>
    <s v="Apparel"/>
    <n v="1748"/>
  </r>
  <r>
    <s v="ORD-00926"/>
    <d v="2024-02-01T00:00:00"/>
    <s v="CUST-0251"/>
    <s v="PROD-045"/>
    <s v="R028"/>
    <n v="7"/>
    <n v="3020"/>
    <n v="18.8"/>
    <n v="17165.68"/>
    <s v="Completed"/>
    <x v="3"/>
    <s v="Beauty"/>
    <s v="Retail"/>
    <n v="44"/>
    <s v="West"/>
    <s v="R028"/>
    <n v="880468.05"/>
    <s v="West"/>
    <s v="Beauty"/>
    <n v="1626"/>
  </r>
  <r>
    <s v="ORD-00927"/>
    <d v="2024-11-17T00:00:00"/>
    <s v="CUST-0007"/>
    <s v="PROD-033"/>
    <s v="R016"/>
    <n v="4"/>
    <n v="2030"/>
    <n v="25.7"/>
    <n v="6033.16"/>
    <s v="Completed"/>
    <x v="4"/>
    <s v="Home"/>
    <s v="Retail"/>
    <n v="47"/>
    <s v="South"/>
    <s v="R016"/>
    <n v="814563.7100000002"/>
    <s v="South"/>
    <s v="Home"/>
    <n v="1143"/>
  </r>
  <r>
    <s v="ORD-00928"/>
    <d v="2024-03-11T00:00:00"/>
    <s v="CUST-0161"/>
    <s v="PROD-011"/>
    <s v="R014"/>
    <n v="4"/>
    <n v="3450"/>
    <n v="3.9"/>
    <n v="13261.8"/>
    <s v="Completed"/>
    <x v="1"/>
    <s v="Apparel"/>
    <s v="Retail"/>
    <n v="38"/>
    <s v="South"/>
    <s v="R014"/>
    <n v="995713.54000000015"/>
    <s v="South"/>
    <s v="Apparel"/>
    <n v="1748"/>
  </r>
  <r>
    <s v="ORD-00929"/>
    <d v="2024-02-25T00:00:00"/>
    <s v="CUST-0251"/>
    <s v="PROD-049"/>
    <s v="R028"/>
    <n v="5"/>
    <n v="960"/>
    <n v="8"/>
    <n v="4416"/>
    <s v="Completed"/>
    <x v="3"/>
    <s v="Beauty"/>
    <s v="Retail"/>
    <n v="44"/>
    <s v="West"/>
    <s v="R028"/>
    <n v="880468.05"/>
    <s v="West"/>
    <s v="Beauty"/>
    <n v="675"/>
  </r>
  <r>
    <s v="ORD-00930"/>
    <d v="2024-09-15T00:00:00"/>
    <s v="CUST-0098"/>
    <s v="PROD-006"/>
    <s v="R001"/>
    <n v="7"/>
    <n v="3970"/>
    <n v="11.7"/>
    <n v="24538.57"/>
    <s v="Completed"/>
    <x v="2"/>
    <s v="Electronics"/>
    <s v="Retail"/>
    <n v="52"/>
    <s v="North"/>
    <s v="R001"/>
    <n v="789849.60000000009"/>
    <s v="North"/>
    <s v="Electronics"/>
    <n v="2865"/>
  </r>
  <r>
    <s v="ORD-00931"/>
    <d v="2024-09-19T00:00:00"/>
    <s v="CUST-0200"/>
    <s v="PROD-052"/>
    <s v="R026"/>
    <n v="3"/>
    <n v="5410"/>
    <n v="10"/>
    <n v="14607"/>
    <s v="Completed"/>
    <x v="5"/>
    <s v="Sports"/>
    <s v="Corporate"/>
    <n v="46"/>
    <s v="West"/>
    <s v="R026"/>
    <n v="576305.08000000019"/>
    <s v="West"/>
    <s v="Sports"/>
    <n v="2265"/>
  </r>
  <r>
    <s v="ORD-00932"/>
    <d v="2024-05-16T00:00:00"/>
    <s v="CUST-0228"/>
    <s v="PROD-003"/>
    <s v="R007"/>
    <n v="8"/>
    <n v="3570"/>
    <n v="8.5"/>
    <n v="26132.400000000001"/>
    <s v="Completed"/>
    <x v="0"/>
    <s v="Electronics"/>
    <s v="Corporate"/>
    <n v="37"/>
    <s v="North"/>
    <s v="R007"/>
    <n v="855749.67999999982"/>
    <s v="North"/>
    <s v="Electronics"/>
    <n v="1665"/>
  </r>
  <r>
    <s v="ORD-00933"/>
    <d v="2024-08-13T00:00:00"/>
    <s v="CUST-0095"/>
    <s v="PROD-002"/>
    <s v="R014"/>
    <n v="7"/>
    <n v="2600"/>
    <n v="27.1"/>
    <n v="13267.8"/>
    <s v="Completed"/>
    <x v="3"/>
    <s v="Electronics"/>
    <s v="SMB"/>
    <n v="54"/>
    <s v="South"/>
    <s v="R014"/>
    <n v="995713.54000000015"/>
    <s v="South"/>
    <s v="Electronics"/>
    <n v="1052"/>
  </r>
  <r>
    <s v="ORD-00934"/>
    <d v="2024-05-30T00:00:00"/>
    <s v="CUST-0175"/>
    <s v="PROD-053"/>
    <s v="R026"/>
    <n v="6"/>
    <n v="470"/>
    <n v="2.4"/>
    <n v="2752.32"/>
    <s v="Pending"/>
    <x v="2"/>
    <s v="Sports"/>
    <s v="Corporate"/>
    <n v="55"/>
    <s v="West"/>
    <s v="R026"/>
    <n v="576305.08000000019"/>
    <s v="West"/>
    <s v="Sports"/>
    <n v="302"/>
  </r>
  <r>
    <s v="ORD-00935"/>
    <d v="2024-03-20T00:00:00"/>
    <s v="CUST-0270"/>
    <s v="PROD-053"/>
    <s v="R025"/>
    <n v="3"/>
    <n v="470"/>
    <n v="6.3"/>
    <n v="1321.17"/>
    <s v="Completed"/>
    <x v="4"/>
    <s v="Sports"/>
    <s v="Retail"/>
    <n v="29"/>
    <s v="West"/>
    <s v="R025"/>
    <n v="901298.89"/>
    <s v="West"/>
    <s v="Sports"/>
    <n v="302"/>
  </r>
  <r>
    <s v="ORD-00936"/>
    <d v="2024-09-05T00:00:00"/>
    <s v="CUST-0105"/>
    <s v="PROD-059"/>
    <s v="R004"/>
    <n v="3"/>
    <n v="3780"/>
    <n v="19.399999999999999"/>
    <n v="9140.0400000000009"/>
    <s v="Pending"/>
    <x v="1"/>
    <s v="Sports"/>
    <s v="SMB"/>
    <n v="51"/>
    <s v="North"/>
    <s v="R004"/>
    <n v="589026.2899999998"/>
    <s v="North"/>
    <s v="Sports"/>
    <n v="1860"/>
  </r>
  <r>
    <s v="ORD-00937"/>
    <d v="2024-04-10T00:00:00"/>
    <s v="CUST-0147"/>
    <s v="PROD-056"/>
    <s v="R019"/>
    <n v="5"/>
    <n v="6940"/>
    <n v="12.6"/>
    <n v="30327.8"/>
    <s v="Completed"/>
    <x v="0"/>
    <s v="Sports"/>
    <s v="Retail"/>
    <n v="56"/>
    <s v="East"/>
    <s v="R019"/>
    <n v="971183.52000000014"/>
    <s v="East"/>
    <s v="Sports"/>
    <n v="2827"/>
  </r>
  <r>
    <s v="ORD-00938"/>
    <d v="2024-04-04T00:00:00"/>
    <s v="CUST-0106"/>
    <s v="PROD-004"/>
    <s v="R030"/>
    <n v="2"/>
    <n v="3870"/>
    <n v="10.5"/>
    <n v="6927.3"/>
    <s v="Completed"/>
    <x v="0"/>
    <s v="Electronics"/>
    <s v="Retail"/>
    <n v="22"/>
    <s v="West"/>
    <s v="R030"/>
    <n v="747624.36999999988"/>
    <s v="West"/>
    <s v="Electronics"/>
    <n v="1559"/>
  </r>
  <r>
    <s v="ORD-00939"/>
    <d v="2024-08-12T00:00:00"/>
    <s v="CUST-0130"/>
    <s v="PROD-052"/>
    <s v="R014"/>
    <n v="8"/>
    <n v="5410"/>
    <n v="28.4"/>
    <n v="30988.48"/>
    <s v="Pending"/>
    <x v="4"/>
    <s v="Sports"/>
    <s v="Corporate"/>
    <n v="41"/>
    <s v="South"/>
    <s v="R014"/>
    <n v="995713.54000000015"/>
    <s v="South"/>
    <s v="Sports"/>
    <n v="2265"/>
  </r>
  <r>
    <s v="ORD-00940"/>
    <d v="2024-11-22T00:00:00"/>
    <s v="CUST-0241"/>
    <s v="PROD-006"/>
    <s v="R030"/>
    <n v="7"/>
    <n v="3970"/>
    <n v="12.3"/>
    <n v="24371.83"/>
    <s v="Completed"/>
    <x v="0"/>
    <s v="Electronics"/>
    <s v="Corporate"/>
    <n v="47"/>
    <s v="West"/>
    <s v="R030"/>
    <n v="747624.36999999988"/>
    <s v="West"/>
    <s v="Electronics"/>
    <n v="2865"/>
  </r>
  <r>
    <s v="ORD-00941"/>
    <d v="2024-11-14T00:00:00"/>
    <s v="CUST-0151"/>
    <s v="PROD-056"/>
    <s v="R001"/>
    <n v="5"/>
    <n v="6940"/>
    <n v="1.5"/>
    <n v="34179.5"/>
    <s v="Completed"/>
    <x v="3"/>
    <s v="Sports"/>
    <s v="Retail"/>
    <n v="53"/>
    <s v="North"/>
    <s v="R001"/>
    <n v="789849.60000000009"/>
    <s v="North"/>
    <s v="Sports"/>
    <n v="2827"/>
  </r>
  <r>
    <s v="ORD-00942"/>
    <d v="2024-09-06T00:00:00"/>
    <s v="CUST-0022"/>
    <s v="PROD-012"/>
    <s v="R006"/>
    <n v="7"/>
    <n v="3160"/>
    <n v="2.4"/>
    <n v="21589.119999999999"/>
    <s v="Refunded"/>
    <x v="4"/>
    <s v="Apparel"/>
    <s v="Corporate"/>
    <n v="55"/>
    <s v="North"/>
    <s v="R006"/>
    <n v="1138648.73"/>
    <s v="North"/>
    <s v="Apparel"/>
    <n v="1886"/>
  </r>
  <r>
    <s v="ORD-00943"/>
    <d v="2024-07-24T00:00:00"/>
    <s v="CUST-0030"/>
    <s v="PROD-020"/>
    <s v="R024"/>
    <n v="2"/>
    <n v="820"/>
    <n v="8.1"/>
    <n v="1507.16"/>
    <s v="Completed"/>
    <x v="4"/>
    <s v="Apparel"/>
    <s v="Corporate"/>
    <n v="43"/>
    <s v="West"/>
    <s v="R024"/>
    <n v="819558.58"/>
    <s v="West"/>
    <s v="Apparel"/>
    <n v="391"/>
  </r>
  <r>
    <s v="ORD-00944"/>
    <d v="2024-10-02T00:00:00"/>
    <s v="CUST-0176"/>
    <s v="PROD-041"/>
    <s v="R030"/>
    <n v="2"/>
    <n v="1540"/>
    <n v="17.7"/>
    <n v="2534.84"/>
    <s v="Completed"/>
    <x v="4"/>
    <s v="Beauty"/>
    <s v="SMB"/>
    <n v="34"/>
    <s v="West"/>
    <s v="R030"/>
    <n v="747624.36999999988"/>
    <s v="West"/>
    <s v="Beauty"/>
    <n v="647"/>
  </r>
  <r>
    <s v="ORD-00945"/>
    <d v="2024-06-08T00:00:00"/>
    <s v="CUST-0270"/>
    <s v="PROD-004"/>
    <s v="R001"/>
    <n v="10"/>
    <n v="3870"/>
    <n v="12.2"/>
    <n v="33978.6"/>
    <s v="Refunded"/>
    <x v="4"/>
    <s v="Electronics"/>
    <s v="Retail"/>
    <n v="29"/>
    <s v="North"/>
    <s v="R001"/>
    <n v="789849.60000000009"/>
    <s v="North"/>
    <s v="Electronics"/>
    <n v="1559"/>
  </r>
  <r>
    <s v="ORD-00946"/>
    <d v="2024-07-15T00:00:00"/>
    <s v="CUST-0216"/>
    <s v="PROD-008"/>
    <s v="R002"/>
    <n v="7"/>
    <n v="2660"/>
    <n v="4.7"/>
    <n v="17744.86"/>
    <s v="Completed"/>
    <x v="3"/>
    <s v="Electronics"/>
    <s v="Retail"/>
    <n v="50"/>
    <s v="North"/>
    <s v="R002"/>
    <n v="980063.65999999968"/>
    <s v="North"/>
    <s v="Electronics"/>
    <n v="1259"/>
  </r>
  <r>
    <s v="ORD-00947"/>
    <d v="2024-05-19T00:00:00"/>
    <s v="CUST-0187"/>
    <s v="PROD-003"/>
    <s v="R009"/>
    <n v="4"/>
    <n v="3570"/>
    <n v="19.3"/>
    <n v="11523.96"/>
    <s v="Completed"/>
    <x v="1"/>
    <s v="Electronics"/>
    <s v="SMB"/>
    <n v="51"/>
    <s v="South"/>
    <s v="R009"/>
    <n v="914554.71999999986"/>
    <s v="South"/>
    <s v="Electronics"/>
    <n v="1665"/>
  </r>
  <r>
    <s v="ORD-00948"/>
    <d v="2024-04-11T00:00:00"/>
    <s v="CUST-0143"/>
    <s v="PROD-033"/>
    <s v="R002"/>
    <n v="2"/>
    <n v="2030"/>
    <n v="2.6"/>
    <n v="3954.44"/>
    <s v="Completed"/>
    <x v="1"/>
    <s v="Home"/>
    <s v="SMB"/>
    <n v="52"/>
    <s v="North"/>
    <s v="R002"/>
    <n v="980063.65999999968"/>
    <s v="North"/>
    <s v="Home"/>
    <n v="1143"/>
  </r>
  <r>
    <s v="ORD-00949"/>
    <d v="2024-05-15T00:00:00"/>
    <s v="CUST-0104"/>
    <s v="PROD-012"/>
    <s v="R013"/>
    <n v="6"/>
    <n v="3160"/>
    <n v="25.8"/>
    <n v="14068.32"/>
    <s v="Completed"/>
    <x v="5"/>
    <s v="Apparel"/>
    <s v="Corporate"/>
    <n v="43"/>
    <s v="South"/>
    <s v="R013"/>
    <n v="811524.37999999989"/>
    <s v="South"/>
    <s v="Apparel"/>
    <n v="1886"/>
  </r>
  <r>
    <s v="ORD-00950"/>
    <d v="2024-10-26T00:00:00"/>
    <s v="CUST-0121"/>
    <s v="PROD-034"/>
    <s v="R014"/>
    <n v="4"/>
    <n v="5080"/>
    <n v="2"/>
    <n v="19913.599999999999"/>
    <s v="Completed"/>
    <x v="6"/>
    <s v="Home"/>
    <s v="SMB"/>
    <n v="55"/>
    <s v="South"/>
    <s v="R014"/>
    <n v="995713.54000000015"/>
    <s v="South"/>
    <s v="Home"/>
    <n v="2459"/>
  </r>
  <r>
    <s v="ORD-00951"/>
    <d v="2024-02-05T00:00:00"/>
    <s v="CUST-0228"/>
    <s v="PROD-047"/>
    <s v="R010"/>
    <n v="6"/>
    <n v="3450"/>
    <n v="1.8"/>
    <n v="20327.400000000001"/>
    <s v="Cancelled"/>
    <x v="0"/>
    <s v="Beauty"/>
    <s v="Corporate"/>
    <n v="37"/>
    <s v="South"/>
    <s v="R010"/>
    <n v="880345.20000000007"/>
    <s v="South"/>
    <s v="Beauty"/>
    <n v="2420"/>
  </r>
  <r>
    <s v="ORD-00952"/>
    <d v="2024-10-10T00:00:00"/>
    <s v="CUST-0218"/>
    <s v="PROD-051"/>
    <s v="R016"/>
    <n v="3"/>
    <n v="3450"/>
    <n v="4.7"/>
    <n v="9863.5499999999993"/>
    <s v="Pending"/>
    <x v="3"/>
    <s v="Sports"/>
    <s v="Retail"/>
    <n v="39"/>
    <s v="South"/>
    <s v="R016"/>
    <n v="814563.7100000002"/>
    <s v="South"/>
    <s v="Sports"/>
    <n v="2467"/>
  </r>
  <r>
    <s v="ORD-00953"/>
    <d v="2024-03-16T00:00:00"/>
    <s v="CUST-0118"/>
    <s v="PROD-001"/>
    <s v="R027"/>
    <n v="7"/>
    <n v="5330"/>
    <n v="16.399999999999999"/>
    <n v="31191.16"/>
    <s v="Completed"/>
    <x v="5"/>
    <s v="Electronics"/>
    <s v="Retail"/>
    <n v="26"/>
    <s v="West"/>
    <s v="R027"/>
    <n v="917092.61999999965"/>
    <s v="West"/>
    <s v="Electronics"/>
    <n v="2405"/>
  </r>
  <r>
    <s v="ORD-00954"/>
    <d v="2024-08-18T00:00:00"/>
    <s v="CUST-0262"/>
    <s v="PROD-029"/>
    <s v="R003"/>
    <n v="6"/>
    <n v="2210"/>
    <n v="13.1"/>
    <n v="11522.94"/>
    <s v="Completed"/>
    <x v="3"/>
    <s v="Grocery"/>
    <s v="Retail"/>
    <n v="52"/>
    <s v="North"/>
    <s v="R003"/>
    <n v="986692.91"/>
    <s v="North"/>
    <s v="Grocery"/>
    <n v="1010"/>
  </r>
  <r>
    <s v="ORD-00955"/>
    <d v="2024-10-14T00:00:00"/>
    <s v="CUST-0137"/>
    <s v="PROD-040"/>
    <s v="R026"/>
    <n v="8"/>
    <n v="1080"/>
    <n v="8.6999999999999993"/>
    <n v="7888.32"/>
    <s v="Completed"/>
    <x v="3"/>
    <s v="Home"/>
    <s v="Retail"/>
    <n v="41"/>
    <s v="West"/>
    <s v="R026"/>
    <n v="576305.08000000019"/>
    <s v="West"/>
    <s v="Home"/>
    <n v="519"/>
  </r>
  <r>
    <s v="ORD-00956"/>
    <d v="2024-07-22T00:00:00"/>
    <s v="CUST-0145"/>
    <s v="PROD-014"/>
    <s v="R015"/>
    <n v="5"/>
    <n v="3620"/>
    <n v="16.100000000000001"/>
    <n v="15185.9"/>
    <s v="Completed"/>
    <x v="4"/>
    <s v="Apparel"/>
    <s v="SMB"/>
    <n v="44"/>
    <s v="South"/>
    <s v="R015"/>
    <n v="1091740.1799999997"/>
    <s v="South"/>
    <s v="Apparel"/>
    <n v="2509"/>
  </r>
  <r>
    <s v="ORD-00957"/>
    <d v="2024-07-10T00:00:00"/>
    <s v="CUST-0275"/>
    <s v="PROD-018"/>
    <s v="R011"/>
    <n v="7"/>
    <n v="3560"/>
    <n v="8.5"/>
    <n v="22801.8"/>
    <s v="Completed"/>
    <x v="3"/>
    <s v="Apparel"/>
    <s v="Retail"/>
    <n v="36"/>
    <s v="South"/>
    <s v="R011"/>
    <n v="735207.75999999989"/>
    <s v="South"/>
    <s v="Apparel"/>
    <n v="2629"/>
  </r>
  <r>
    <s v="ORD-00958"/>
    <d v="2024-07-23T00:00:00"/>
    <s v="CUST-0189"/>
    <s v="PROD-033"/>
    <s v="R025"/>
    <n v="8"/>
    <n v="2030"/>
    <n v="18.100000000000001"/>
    <n v="13300.56"/>
    <s v="Completed"/>
    <x v="1"/>
    <s v="Home"/>
    <s v="Retail"/>
    <n v="41"/>
    <s v="West"/>
    <s v="R025"/>
    <n v="901298.89"/>
    <s v="West"/>
    <s v="Home"/>
    <n v="1143"/>
  </r>
  <r>
    <s v="ORD-00959"/>
    <d v="2024-02-28T00:00:00"/>
    <s v="CUST-0105"/>
    <s v="PROD-044"/>
    <s v="R011"/>
    <n v="10"/>
    <n v="1650"/>
    <n v="7.1"/>
    <n v="15328.5"/>
    <s v="Completed"/>
    <x v="1"/>
    <s v="Beauty"/>
    <s v="SMB"/>
    <n v="51"/>
    <s v="South"/>
    <s v="R011"/>
    <n v="735207.75999999989"/>
    <s v="South"/>
    <s v="Beauty"/>
    <n v="1222"/>
  </r>
  <r>
    <s v="ORD-00960"/>
    <d v="2024-08-13T00:00:00"/>
    <s v="CUST-0284"/>
    <s v="PROD-021"/>
    <s v="R017"/>
    <n v="4"/>
    <n v="2760"/>
    <n v="17.600000000000001"/>
    <n v="9096.9599999999991"/>
    <s v="Cancelled"/>
    <x v="5"/>
    <s v="Grocery"/>
    <s v="SMB"/>
    <n v="65"/>
    <s v="East"/>
    <s v="R017"/>
    <n v="780384.40999999992"/>
    <s v="East"/>
    <s v="Grocery"/>
    <n v="1435"/>
  </r>
  <r>
    <s v="ORD-00961"/>
    <d v="2024-06-17T00:00:00"/>
    <s v="CUST-0296"/>
    <s v="PROD-006"/>
    <s v="R009"/>
    <n v="4"/>
    <n v="3970"/>
    <n v="4.3"/>
    <n v="15197.16"/>
    <s v="Completed"/>
    <x v="2"/>
    <s v="Electronics"/>
    <s v="Corporate"/>
    <n v="47"/>
    <s v="South"/>
    <s v="R009"/>
    <n v="914554.71999999986"/>
    <s v="South"/>
    <s v="Electronics"/>
    <n v="2865"/>
  </r>
  <r>
    <s v="ORD-00962"/>
    <d v="2024-08-05T00:00:00"/>
    <s v="CUST-0087"/>
    <s v="PROD-050"/>
    <s v="R010"/>
    <n v="2"/>
    <n v="6080"/>
    <n v="23.8"/>
    <n v="9265.92"/>
    <s v="Completed"/>
    <x v="0"/>
    <s v="Beauty"/>
    <s v="SMB"/>
    <n v="49"/>
    <s v="South"/>
    <s v="R010"/>
    <n v="880345.20000000007"/>
    <s v="South"/>
    <s v="Beauty"/>
    <n v="2617"/>
  </r>
  <r>
    <s v="ORD-00963"/>
    <d v="2024-11-06T00:00:00"/>
    <s v="CUST-0012"/>
    <s v="PROD-024"/>
    <s v="R004"/>
    <n v="4"/>
    <n v="2270"/>
    <n v="28.9"/>
    <n v="6455.88"/>
    <s v="Completed"/>
    <x v="0"/>
    <s v="Grocery"/>
    <s v="Retail"/>
    <n v="43"/>
    <s v="North"/>
    <s v="R004"/>
    <n v="589026.2899999998"/>
    <s v="North"/>
    <s v="Grocery"/>
    <n v="1203"/>
  </r>
  <r>
    <s v="ORD-00964"/>
    <d v="2024-05-29T00:00:00"/>
    <s v="CUST-0241"/>
    <s v="PROD-006"/>
    <s v="R004"/>
    <n v="10"/>
    <n v="3970"/>
    <n v="26.2"/>
    <n v="29298.6"/>
    <s v="Completed"/>
    <x v="0"/>
    <s v="Electronics"/>
    <s v="Corporate"/>
    <n v="47"/>
    <s v="North"/>
    <s v="R004"/>
    <n v="589026.2899999998"/>
    <s v="North"/>
    <s v="Electronics"/>
    <n v="2865"/>
  </r>
  <r>
    <s v="ORD-00965"/>
    <d v="2024-03-27T00:00:00"/>
    <s v="CUST-0133"/>
    <s v="PROD-048"/>
    <s v="R013"/>
    <n v="4"/>
    <n v="5100"/>
    <n v="2.1"/>
    <n v="19971.599999999999"/>
    <s v="Completed"/>
    <x v="1"/>
    <s v="Beauty"/>
    <s v="Retail"/>
    <n v="26"/>
    <s v="South"/>
    <s v="R013"/>
    <n v="811524.37999999989"/>
    <s v="South"/>
    <s v="Beauty"/>
    <n v="2237"/>
  </r>
  <r>
    <s v="ORD-00966"/>
    <d v="2024-05-16T00:00:00"/>
    <s v="CUST-0230"/>
    <s v="PROD-045"/>
    <s v="R024"/>
    <n v="5"/>
    <n v="3020"/>
    <n v="17.3"/>
    <n v="12487.7"/>
    <s v="Completed"/>
    <x v="0"/>
    <s v="Beauty"/>
    <s v="Corporate"/>
    <n v="33"/>
    <s v="West"/>
    <s v="R024"/>
    <n v="819558.58"/>
    <s v="West"/>
    <s v="Beauty"/>
    <n v="1626"/>
  </r>
  <r>
    <s v="ORD-00967"/>
    <d v="2024-08-17T00:00:00"/>
    <s v="CUST-0126"/>
    <s v="PROD-057"/>
    <s v="R016"/>
    <n v="8"/>
    <n v="960"/>
    <n v="1.3"/>
    <n v="7580.16"/>
    <s v="Cancelled"/>
    <x v="3"/>
    <s v="Sports"/>
    <s v="Retail"/>
    <n v="37"/>
    <s v="South"/>
    <s v="R016"/>
    <n v="814563.7100000002"/>
    <s v="South"/>
    <s v="Sports"/>
    <n v="705"/>
  </r>
  <r>
    <s v="ORD-00968"/>
    <d v="2024-11-16T00:00:00"/>
    <s v="CUST-0233"/>
    <s v="PROD-019"/>
    <s v="R008"/>
    <n v="9"/>
    <n v="2480"/>
    <n v="15.6"/>
    <n v="18838.080000000002"/>
    <s v="Completed"/>
    <x v="3"/>
    <s v="Apparel"/>
    <s v="SMB"/>
    <n v="65"/>
    <s v="North"/>
    <s v="R008"/>
    <n v="861553.33"/>
    <s v="North"/>
    <s v="Apparel"/>
    <n v="1173"/>
  </r>
  <r>
    <s v="ORD-00969"/>
    <d v="2024-10-01T00:00:00"/>
    <s v="CUST-9555"/>
    <s v="PROD-030"/>
    <s v="R012"/>
    <n v="1"/>
    <n v="970"/>
    <n v="24.9"/>
    <n v="728.47"/>
    <s v="Completed"/>
    <x v="4"/>
    <s v="Grocery"/>
    <e v="#N/A"/>
    <e v="#N/A"/>
    <s v="South"/>
    <s v="R012"/>
    <n v="901394.32000000007"/>
    <s v="South"/>
    <s v="Grocery"/>
    <n v="434"/>
  </r>
  <r>
    <s v="ORD-00970"/>
    <d v="2024-11-10T00:00:00"/>
    <s v="CUST-0150"/>
    <s v="PROD-023"/>
    <s v="R022"/>
    <n v="4"/>
    <n v="2380"/>
    <n v="9.5"/>
    <n v="8615.6"/>
    <s v="Cancelled"/>
    <x v="0"/>
    <s v="Grocery"/>
    <s v="SMB"/>
    <n v="53"/>
    <s v="East"/>
    <s v="R022"/>
    <n v="1069570.5400000003"/>
    <s v="East"/>
    <s v="Grocery"/>
    <n v="1182"/>
  </r>
  <r>
    <s v="ORD-00971"/>
    <d v="2024-05-11T00:00:00"/>
    <s v="CUST-0204"/>
    <s v="PROD-052"/>
    <s v="R005"/>
    <n v="4"/>
    <n v="5410"/>
    <n v="18.7"/>
    <n v="17593.32"/>
    <s v="Completed"/>
    <x v="5"/>
    <s v="Sports"/>
    <s v="Retail"/>
    <n v="60"/>
    <s v="North"/>
    <s v="R005"/>
    <n v="782445.33"/>
    <s v="North"/>
    <s v="Sports"/>
    <n v="2265"/>
  </r>
  <r>
    <s v="ORD-00972"/>
    <d v="2024-10-08T00:00:00"/>
    <s v="CUST-0040"/>
    <s v="PROD-034"/>
    <s v="R022"/>
    <n v="7"/>
    <n v="5080"/>
    <n v="6.5"/>
    <n v="33248.6"/>
    <s v="Completed"/>
    <x v="1"/>
    <s v="Home"/>
    <s v="Retail"/>
    <n v="28"/>
    <s v="East"/>
    <s v="R022"/>
    <n v="1069570.5400000003"/>
    <s v="East"/>
    <s v="Home"/>
    <n v="2459"/>
  </r>
  <r>
    <s v="ORD-00973"/>
    <d v="2024-02-17T00:00:00"/>
    <s v="CUST-0060"/>
    <s v="PROD-007"/>
    <s v="R025"/>
    <n v="5"/>
    <n v="1430"/>
    <n v="19.8"/>
    <n v="5734.3"/>
    <s v="Completed"/>
    <x v="0"/>
    <s v="Electronics"/>
    <s v="Retail"/>
    <n v="39"/>
    <s v="West"/>
    <s v="R025"/>
    <n v="901298.89"/>
    <s v="West"/>
    <s v="Electronics"/>
    <n v="861"/>
  </r>
  <r>
    <s v="ORD-00974"/>
    <d v="2024-11-15T00:00:00"/>
    <s v="CUST-0017"/>
    <s v="PROD-037"/>
    <s v="R011"/>
    <n v="7"/>
    <n v="660"/>
    <n v="17.3"/>
    <n v="3820.74"/>
    <s v="Completed"/>
    <x v="2"/>
    <s v="Home"/>
    <s v="SMB"/>
    <n v="38"/>
    <s v="South"/>
    <s v="R011"/>
    <n v="735207.75999999989"/>
    <s v="South"/>
    <s v="Home"/>
    <n v="329"/>
  </r>
  <r>
    <s v="ORD-00975"/>
    <d v="2024-08-01T00:00:00"/>
    <s v="CUST-0093"/>
    <s v="PROD-041"/>
    <s v="R004"/>
    <n v="10"/>
    <n v="1540"/>
    <n v="17.5"/>
    <n v="12705"/>
    <s v="Completed"/>
    <x v="0"/>
    <s v="Beauty"/>
    <s v="Retail"/>
    <n v="36"/>
    <s v="North"/>
    <s v="R004"/>
    <n v="589026.2899999998"/>
    <s v="North"/>
    <s v="Beauty"/>
    <n v="647"/>
  </r>
  <r>
    <s v="ORD-01662"/>
    <d v="2024-03-07T00:00:00"/>
    <s v="CUST-0068"/>
    <s v="PROD-029"/>
    <s v="R003"/>
    <n v="10"/>
    <n v="2210"/>
    <n v="24.1"/>
    <n v="16773.900000000001"/>
    <s v="Pending"/>
    <x v="2"/>
    <s v="Grocery"/>
    <s v="SMB"/>
    <n v="48"/>
    <s v="North"/>
    <s v="R003"/>
    <n v="986692.91"/>
    <s v="North"/>
    <s v="Grocery"/>
    <n v="1010"/>
  </r>
  <r>
    <s v="ORD-00977"/>
    <d v="2024-08-15T00:00:00"/>
    <s v="CUST-0251"/>
    <s v="PROD-057"/>
    <s v="R022"/>
    <n v="4"/>
    <n v="960"/>
    <n v="13.4"/>
    <n v="3325.44"/>
    <s v="Completed"/>
    <x v="3"/>
    <s v="Sports"/>
    <s v="Retail"/>
    <n v="44"/>
    <s v="East"/>
    <s v="R022"/>
    <n v="1069570.5400000003"/>
    <s v="East"/>
    <s v="Sports"/>
    <n v="705"/>
  </r>
  <r>
    <s v="ORD-00978"/>
    <d v="2024-12-02T00:00:00"/>
    <s v="CUST-0076"/>
    <s v="PROD-047"/>
    <s v="R022"/>
    <n v="8"/>
    <n v="3450"/>
    <n v="3.7"/>
    <n v="26578.799999999999"/>
    <s v="Completed"/>
    <x v="3"/>
    <s v="Beauty"/>
    <s v="Retail"/>
    <n v="38"/>
    <s v="East"/>
    <s v="R022"/>
    <n v="1069570.5400000003"/>
    <s v="East"/>
    <s v="Beauty"/>
    <n v="2420"/>
  </r>
  <r>
    <s v="ORD-00979"/>
    <d v="2024-07-08T00:00:00"/>
    <s v="CUST-9927"/>
    <s v="PROD-033"/>
    <s v="R005"/>
    <n v="6"/>
    <n v="2030"/>
    <n v="9.5"/>
    <n v="11022.9"/>
    <s v="Completed"/>
    <x v="3"/>
    <s v="Home"/>
    <e v="#N/A"/>
    <e v="#N/A"/>
    <s v="North"/>
    <s v="R005"/>
    <n v="782445.33"/>
    <s v="North"/>
    <s v="Home"/>
    <n v="1143"/>
  </r>
  <r>
    <s v="ORD-00980"/>
    <d v="2024-04-17T00:00:00"/>
    <s v="CUST-0135"/>
    <s v="PROD-011"/>
    <s v="R009"/>
    <n v="7"/>
    <n v="3450"/>
    <n v="28.2"/>
    <n v="17339.7"/>
    <s v="Completed"/>
    <x v="0"/>
    <s v="Apparel"/>
    <s v="SMB"/>
    <n v="24"/>
    <s v="South"/>
    <s v="R009"/>
    <n v="914554.71999999986"/>
    <s v="South"/>
    <s v="Apparel"/>
    <n v="1748"/>
  </r>
  <r>
    <s v="ORD-00981"/>
    <d v="2024-08-27T00:00:00"/>
    <s v="CUST-0163"/>
    <s v="PROD-027"/>
    <s v="R011"/>
    <n v="7"/>
    <n v="3780"/>
    <n v="15.1"/>
    <n v="22464.54"/>
    <s v="Completed"/>
    <x v="0"/>
    <s v="Grocery"/>
    <s v="Retail"/>
    <n v="49"/>
    <s v="South"/>
    <s v="R011"/>
    <n v="735207.75999999989"/>
    <s v="South"/>
    <s v="Grocery"/>
    <n v="2436"/>
  </r>
  <r>
    <s v="ORD-00947"/>
    <d v="2024-05-05T00:00:00"/>
    <s v="CUST-0107"/>
    <s v="PROD-021"/>
    <s v="R002"/>
    <n v="4"/>
    <n v="2760"/>
    <n v="14.8"/>
    <n v="9406.08"/>
    <s v="Completed"/>
    <x v="0"/>
    <s v="Grocery"/>
    <s v="Retail"/>
    <n v="50"/>
    <s v="North"/>
    <s v="R002"/>
    <n v="980063.65999999968"/>
    <s v="North"/>
    <s v="Grocery"/>
    <n v="1435"/>
  </r>
  <r>
    <s v="ORD-00983"/>
    <d v="2024-02-05T00:00:00"/>
    <s v="CUST-0209"/>
    <s v="PROD-041"/>
    <s v="R029"/>
    <n v="4"/>
    <n v="1540"/>
    <n v="13.9"/>
    <n v="5303.76"/>
    <s v="Completed"/>
    <x v="0"/>
    <s v="Beauty"/>
    <s v="Retail"/>
    <n v="31"/>
    <s v="West"/>
    <s v="R029"/>
    <n v="1016696.8000000002"/>
    <s v="West"/>
    <s v="Beauty"/>
    <n v="647"/>
  </r>
  <r>
    <s v="ORD-00984"/>
    <d v="2024-05-26T00:00:00"/>
    <s v="CUST-0074"/>
    <s v="PROD-031"/>
    <s v="R007"/>
    <n v="2"/>
    <n v="3730"/>
    <n v="15.7"/>
    <n v="6288.78"/>
    <s v="Cancelled"/>
    <x v="4"/>
    <s v="Home"/>
    <s v="Retail"/>
    <n v="27"/>
    <s v="North"/>
    <s v="R007"/>
    <n v="855749.67999999982"/>
    <s v="North"/>
    <s v="Home"/>
    <n v="2135"/>
  </r>
  <r>
    <s v="ORD-00985"/>
    <d v="2024-10-12T00:00:00"/>
    <s v="CUST-0037"/>
    <s v="PROD-031"/>
    <s v="R027"/>
    <n v="4"/>
    <n v="3730"/>
    <n v="2.1"/>
    <n v="14606.68"/>
    <s v="Completed"/>
    <x v="4"/>
    <s v="Home"/>
    <s v="Retail"/>
    <n v="52"/>
    <s v="West"/>
    <s v="R027"/>
    <n v="917092.61999999965"/>
    <s v="West"/>
    <s v="Home"/>
    <n v="2135"/>
  </r>
  <r>
    <s v="ORD-00986"/>
    <d v="2024-06-14T00:00:00"/>
    <s v="CUST-0026"/>
    <s v="PROD-012"/>
    <s v="R013"/>
    <n v="1"/>
    <n v="3160"/>
    <n v="29.8"/>
    <n v="2218.3200000000002"/>
    <s v="Completed"/>
    <x v="0"/>
    <s v="Apparel"/>
    <s v="Retail"/>
    <n v="62"/>
    <s v="South"/>
    <s v="R013"/>
    <n v="811524.37999999989"/>
    <s v="South"/>
    <s v="Apparel"/>
    <n v="1886"/>
  </r>
  <r>
    <s v="ORD-00987"/>
    <d v="2024-09-09T00:00:00"/>
    <s v="CUST-0151"/>
    <s v="PROD-042"/>
    <s v="R022"/>
    <n v="9"/>
    <n v="2290"/>
    <n v="8.3000000000000007"/>
    <n v="18899.37"/>
    <s v="Pending"/>
    <x v="3"/>
    <s v="Beauty"/>
    <s v="Retail"/>
    <n v="53"/>
    <s v="East"/>
    <s v="R022"/>
    <n v="1069570.5400000003"/>
    <s v="East"/>
    <s v="Beauty"/>
    <n v="1219"/>
  </r>
  <r>
    <s v="ORD-00988"/>
    <d v="2024-12-06T00:00:00"/>
    <s v="CUST-0210"/>
    <s v="PROD-004"/>
    <s v="R013"/>
    <n v="2"/>
    <n v="3870"/>
    <n v="5.2"/>
    <n v="7337.52"/>
    <s v="Completed"/>
    <x v="0"/>
    <s v="Electronics"/>
    <s v="Corporate"/>
    <n v="48"/>
    <s v="South"/>
    <s v="R013"/>
    <n v="811524.37999999989"/>
    <s v="South"/>
    <s v="Electronics"/>
    <n v="1559"/>
  </r>
  <r>
    <s v="ORD-00989"/>
    <d v="2024-06-22T00:00:00"/>
    <s v="CUST-0192"/>
    <s v="PROD-003"/>
    <s v="R007"/>
    <n v="5"/>
    <n v="3570"/>
    <n v="19.899999999999999"/>
    <n v="14297.85"/>
    <s v="Completed"/>
    <x v="4"/>
    <s v="Electronics"/>
    <s v="Retail"/>
    <n v="55"/>
    <s v="North"/>
    <s v="R007"/>
    <n v="855749.67999999982"/>
    <s v="North"/>
    <s v="Electronics"/>
    <n v="1665"/>
  </r>
  <r>
    <s v="ORD-00990"/>
    <d v="2024-02-20T00:00:00"/>
    <s v="CUST-0161"/>
    <s v="PROD-054"/>
    <s v="R001"/>
    <n v="5"/>
    <n v="1010"/>
    <n v="2.2000000000000002"/>
    <n v="4938.8999999999996"/>
    <s v="Completed"/>
    <x v="1"/>
    <s v="Sports"/>
    <s v="Retail"/>
    <n v="38"/>
    <s v="North"/>
    <s v="R001"/>
    <n v="789849.60000000009"/>
    <s v="North"/>
    <s v="Sports"/>
    <n v="516"/>
  </r>
  <r>
    <s v="ORD-00991"/>
    <d v="2024-01-18T00:00:00"/>
    <s v="CUST-0255"/>
    <s v="PROD-042"/>
    <s v="R004"/>
    <n v="10"/>
    <n v="2290"/>
    <n v="16.8"/>
    <n v="19052.8"/>
    <s v="Cancelled"/>
    <x v="1"/>
    <s v="Beauty"/>
    <s v="Corporate"/>
    <n v="51"/>
    <s v="North"/>
    <s v="R004"/>
    <n v="589026.2899999998"/>
    <s v="North"/>
    <s v="Beauty"/>
    <n v="1219"/>
  </r>
  <r>
    <s v="ORD-00992"/>
    <d v="2024-07-20T00:00:00"/>
    <s v="CUST-0027"/>
    <s v="PROD-039"/>
    <s v="R019"/>
    <n v="3"/>
    <n v="4610"/>
    <n v="13.2"/>
    <n v="12004.44"/>
    <s v="Pending"/>
    <x v="5"/>
    <s v="Home"/>
    <s v="Corporate"/>
    <n v="52"/>
    <s v="East"/>
    <s v="R019"/>
    <n v="971183.52000000014"/>
    <s v="East"/>
    <s v="Home"/>
    <n v="1850"/>
  </r>
  <r>
    <s v="ORD-00993"/>
    <d v="2024-03-05T00:00:00"/>
    <s v="CUST-0228"/>
    <s v="PROD-017"/>
    <s v="R003"/>
    <n v="1"/>
    <n v="2510"/>
    <n v="16.899999999999999"/>
    <n v="2085.81"/>
    <s v="Completed"/>
    <x v="0"/>
    <s v="Apparel"/>
    <s v="Corporate"/>
    <n v="37"/>
    <s v="North"/>
    <s v="R003"/>
    <n v="986692.91"/>
    <s v="North"/>
    <s v="Apparel"/>
    <n v="1075"/>
  </r>
  <r>
    <s v="ORD-00994"/>
    <d v="2024-03-16T00:00:00"/>
    <s v="CUST-0183"/>
    <s v="PROD-045"/>
    <s v="R009"/>
    <n v="1"/>
    <n v="3020"/>
    <n v="26.7"/>
    <n v="2213.66"/>
    <s v="Completed"/>
    <x v="3"/>
    <s v="Beauty"/>
    <s v="SMB"/>
    <n v="27"/>
    <s v="South"/>
    <s v="R009"/>
    <n v="914554.71999999986"/>
    <s v="South"/>
    <s v="Beauty"/>
    <n v="1626"/>
  </r>
  <r>
    <s v="ORD-00995"/>
    <d v="2024-01-22T00:00:00"/>
    <s v="CUST-0026"/>
    <s v="PROD-060"/>
    <s v="R012"/>
    <n v="6"/>
    <n v="190"/>
    <n v="7.1"/>
    <n v="1059.06"/>
    <s v="Completed"/>
    <x v="0"/>
    <s v="Sports"/>
    <s v="Retail"/>
    <n v="62"/>
    <s v="South"/>
    <s v="R012"/>
    <n v="901394.32000000007"/>
    <s v="South"/>
    <s v="Sports"/>
    <n v="147"/>
  </r>
  <r>
    <s v="ORD-00996"/>
    <d v="2024-08-25T00:00:00"/>
    <s v="CUST-0211"/>
    <s v="PROD-033"/>
    <s v="R002"/>
    <n v="6"/>
    <n v="2030"/>
    <n v="13.5"/>
    <n v="10535.7"/>
    <s v="Cancelled"/>
    <x v="4"/>
    <s v="Home"/>
    <s v="Retail"/>
    <n v="36"/>
    <s v="North"/>
    <s v="R002"/>
    <n v="980063.65999999968"/>
    <s v="North"/>
    <s v="Home"/>
    <n v="1143"/>
  </r>
  <r>
    <s v="ORD-00997"/>
    <d v="2024-09-12T00:00:00"/>
    <s v="CUST-0190"/>
    <s v="PROD-036"/>
    <s v="R012"/>
    <n v="10"/>
    <n v="3250"/>
    <n v="8.6999999999999993"/>
    <n v="29672.5"/>
    <s v="Completed"/>
    <x v="5"/>
    <s v="Home"/>
    <s v="Retail"/>
    <n v="52"/>
    <s v="South"/>
    <s v="R012"/>
    <n v="901394.32000000007"/>
    <s v="South"/>
    <s v="Home"/>
    <n v="1556"/>
  </r>
  <r>
    <s v="ORD-00998"/>
    <d v="2024-01-08T00:00:00"/>
    <s v="CUST-0172"/>
    <s v="PROD-033"/>
    <s v="R029"/>
    <n v="9"/>
    <n v="2030"/>
    <n v="29.3"/>
    <n v="12916.89"/>
    <s v="Completed"/>
    <x v="0"/>
    <s v="Home"/>
    <s v="Retail"/>
    <n v="65"/>
    <s v="West"/>
    <s v="R029"/>
    <n v="1016696.8000000002"/>
    <s v="West"/>
    <s v="Home"/>
    <n v="1143"/>
  </r>
  <r>
    <s v="ORD-00999"/>
    <d v="2024-03-29T00:00:00"/>
    <s v="CUST-0272"/>
    <s v="PROD-023"/>
    <s v="R025"/>
    <n v="1"/>
    <n v="2380"/>
    <n v="12.9"/>
    <n v="2072.98"/>
    <s v="Completed"/>
    <x v="3"/>
    <s v="Grocery"/>
    <s v="SMB"/>
    <n v="47"/>
    <s v="West"/>
    <s v="R025"/>
    <n v="901298.89"/>
    <s v="West"/>
    <s v="Grocery"/>
    <n v="1182"/>
  </r>
  <r>
    <s v="ORD-01000"/>
    <d v="2024-08-17T00:00:00"/>
    <s v="CUST-0232"/>
    <s v="PROD-011"/>
    <s v="R024"/>
    <n v="10"/>
    <n v="3450"/>
    <n v="18.5"/>
    <n v="28117.5"/>
    <s v="Completed"/>
    <x v="5"/>
    <s v="Apparel"/>
    <s v="Retail"/>
    <n v="38"/>
    <s v="West"/>
    <s v="R024"/>
    <n v="819558.58"/>
    <s v="West"/>
    <s v="Apparel"/>
    <n v="1748"/>
  </r>
  <r>
    <s v="ORD-01001"/>
    <d v="2024-07-27T00:00:00"/>
    <s v="CUST-0282"/>
    <s v="PROD-012"/>
    <s v="R002"/>
    <n v="10"/>
    <n v="3160"/>
    <n v="26.3"/>
    <n v="23289.200000000001"/>
    <s v="Completed"/>
    <x v="5"/>
    <s v="Apparel"/>
    <s v="Corporate"/>
    <n v="29"/>
    <s v="North"/>
    <s v="R002"/>
    <n v="980063.65999999968"/>
    <s v="North"/>
    <s v="Apparel"/>
    <n v="1886"/>
  </r>
  <r>
    <s v="ORD-01002"/>
    <d v="2024-08-27T00:00:00"/>
    <s v="CUST-0164"/>
    <s v="PROD-038"/>
    <s v="R026"/>
    <n v="10"/>
    <n v="5490"/>
    <n v="22.7"/>
    <n v="42437.7"/>
    <s v="Completed"/>
    <x v="1"/>
    <s v="Home"/>
    <s v="Retail"/>
    <n v="60"/>
    <s v="West"/>
    <s v="R026"/>
    <n v="576305.08000000019"/>
    <s v="West"/>
    <s v="Home"/>
    <n v="2549"/>
  </r>
  <r>
    <s v="ORD-01003"/>
    <d v="2024-09-28T00:00:00"/>
    <s v="CUST-0212"/>
    <s v="PROD-055"/>
    <s v="R006"/>
    <n v="8"/>
    <n v="2860"/>
    <n v="14.3"/>
    <n v="19608.16"/>
    <s v="Completed"/>
    <x v="1"/>
    <s v="Sports"/>
    <s v="SMB"/>
    <n v="46"/>
    <s v="North"/>
    <s v="R006"/>
    <n v="1138648.73"/>
    <s v="North"/>
    <s v="Sports"/>
    <n v="2028"/>
  </r>
  <r>
    <s v="ORD-01004"/>
    <d v="2024-05-04T00:00:00"/>
    <s v="CUST-0234"/>
    <s v="PROD-049"/>
    <s v="R011"/>
    <n v="1"/>
    <n v="960"/>
    <n v="11.9"/>
    <n v="845.76"/>
    <s v="Completed"/>
    <x v="4"/>
    <s v="Beauty"/>
    <s v="Retail"/>
    <n v="34"/>
    <s v="South"/>
    <s v="R011"/>
    <n v="735207.75999999989"/>
    <s v="South"/>
    <s v="Beauty"/>
    <n v="675"/>
  </r>
  <r>
    <s v="ORD-01005"/>
    <d v="2024-05-18T00:00:00"/>
    <s v="CUST-0292"/>
    <s v="PROD-040"/>
    <s v="R007"/>
    <n v="3"/>
    <n v="1080"/>
    <n v="26"/>
    <n v="2397.6"/>
    <s v="Completed"/>
    <x v="4"/>
    <s v="Home"/>
    <s v="Retail"/>
    <n v="32"/>
    <s v="North"/>
    <s v="R007"/>
    <n v="855749.67999999982"/>
    <s v="North"/>
    <s v="Home"/>
    <n v="519"/>
  </r>
  <r>
    <s v="ORD-01006"/>
    <d v="2024-10-20T00:00:00"/>
    <s v="CUST-0018"/>
    <s v="PROD-055"/>
    <s v="R001"/>
    <n v="10"/>
    <n v="2860"/>
    <n v="13.1"/>
    <n v="24853.4"/>
    <s v="Refunded"/>
    <x v="0"/>
    <s v="Sports"/>
    <s v="SMB"/>
    <n v="54"/>
    <s v="North"/>
    <s v="R001"/>
    <n v="789849.60000000009"/>
    <s v="North"/>
    <s v="Sports"/>
    <n v="2028"/>
  </r>
  <r>
    <s v="ORD-01007"/>
    <d v="2024-12-04T00:00:00"/>
    <s v="CUST-0220"/>
    <s v="PROD-013"/>
    <s v="R001"/>
    <n v="3"/>
    <n v="3640"/>
    <n v="18.2"/>
    <n v="8932.56"/>
    <s v="Completed"/>
    <x v="1"/>
    <s v="Apparel"/>
    <s v="Retail"/>
    <n v="34"/>
    <s v="North"/>
    <s v="R001"/>
    <n v="789849.60000000009"/>
    <s v="North"/>
    <s v="Apparel"/>
    <n v="2611"/>
  </r>
  <r>
    <s v="ORD-01008"/>
    <d v="2024-04-23T00:00:00"/>
    <s v="CUST-0064"/>
    <s v="PROD-015"/>
    <s v="R018"/>
    <n v="3"/>
    <n v="2720"/>
    <n v="3.6"/>
    <n v="7866.24"/>
    <s v="Completed"/>
    <x v="5"/>
    <s v="Apparel"/>
    <s v="SMB"/>
    <n v="40"/>
    <s v="East"/>
    <s v="R018"/>
    <n v="1112289.6400000001"/>
    <s v="East"/>
    <s v="Apparel"/>
    <n v="1962"/>
  </r>
  <r>
    <s v="ORD-01009"/>
    <d v="2024-12-04T00:00:00"/>
    <s v="CUST-0077"/>
    <s v="PROD-024"/>
    <s v="R008"/>
    <n v="4"/>
    <n v="2270"/>
    <n v="18.399999999999999"/>
    <n v="7409.28"/>
    <s v="Completed"/>
    <x v="5"/>
    <s v="Grocery"/>
    <s v="SMB"/>
    <n v="48"/>
    <s v="North"/>
    <s v="R008"/>
    <n v="861553.33"/>
    <s v="North"/>
    <s v="Grocery"/>
    <n v="1203"/>
  </r>
  <r>
    <s v="ORD-01010"/>
    <d v="2024-07-10T00:00:00"/>
    <s v="CUST-0229"/>
    <s v="PROD-009"/>
    <s v="R029"/>
    <n v="5"/>
    <n v="1220"/>
    <n v="13.9"/>
    <n v="5252.1"/>
    <s v="Completed"/>
    <x v="5"/>
    <s v="Electronics"/>
    <s v="SMB"/>
    <n v="25"/>
    <s v="West"/>
    <s v="R029"/>
    <n v="1016696.8000000002"/>
    <s v="West"/>
    <s v="Electronics"/>
    <n v="517"/>
  </r>
  <r>
    <s v="ORD-01011"/>
    <d v="2024-08-26T00:00:00"/>
    <s v="CUST-0129"/>
    <s v="PROD-010"/>
    <s v="R015"/>
    <n v="8"/>
    <n v="2640"/>
    <n v="17.3"/>
    <n v="17466.240000000002"/>
    <s v="Completed"/>
    <x v="5"/>
    <s v="Electronics"/>
    <s v="Retail"/>
    <n v="29"/>
    <s v="South"/>
    <s v="R015"/>
    <n v="1091740.1799999997"/>
    <s v="South"/>
    <s v="Electronics"/>
    <n v="1149"/>
  </r>
  <r>
    <s v="ORD-01012"/>
    <d v="2024-07-27T00:00:00"/>
    <s v="CUST-0145"/>
    <s v="PROD-030"/>
    <s v="R015"/>
    <n v="1"/>
    <n v="970"/>
    <n v="28"/>
    <n v="698.4"/>
    <s v="Cancelled"/>
    <x v="4"/>
    <s v="Grocery"/>
    <s v="SMB"/>
    <n v="44"/>
    <s v="South"/>
    <s v="R015"/>
    <n v="1091740.1799999997"/>
    <s v="South"/>
    <s v="Grocery"/>
    <n v="434"/>
  </r>
  <r>
    <s v="ORD-01013"/>
    <d v="2024-03-07T00:00:00"/>
    <s v="CUST-0258"/>
    <s v="PROD-031"/>
    <s v="R025"/>
    <n v="8"/>
    <n v="3730"/>
    <n v="2.1"/>
    <n v="29213.360000000001"/>
    <s v="Refunded"/>
    <x v="0"/>
    <s v="Home"/>
    <s v="Retail"/>
    <n v="44"/>
    <s v="West"/>
    <s v="R025"/>
    <n v="901298.89"/>
    <s v="West"/>
    <s v="Home"/>
    <n v="2135"/>
  </r>
  <r>
    <s v="ORD-01014"/>
    <d v="2024-11-02T00:00:00"/>
    <s v="CUST-0209"/>
    <s v="PROD-030"/>
    <s v="R024"/>
    <n v="7"/>
    <n v="970"/>
    <n v="25.5"/>
    <n v="5058.55"/>
    <s v="Completed"/>
    <x v="0"/>
    <s v="Grocery"/>
    <s v="Retail"/>
    <n v="31"/>
    <s v="West"/>
    <s v="R024"/>
    <n v="819558.58"/>
    <s v="West"/>
    <s v="Grocery"/>
    <n v="434"/>
  </r>
  <r>
    <s v="ORD-01015"/>
    <d v="2024-01-27T00:00:00"/>
    <s v="CUST-0131"/>
    <s v="PROD-003"/>
    <s v="R022"/>
    <n v="6"/>
    <n v="3570"/>
    <n v="9.9"/>
    <n v="19299.419999999998"/>
    <s v="Completed"/>
    <x v="2"/>
    <s v="Electronics"/>
    <s v="SMB"/>
    <n v="28"/>
    <s v="East"/>
    <s v="R022"/>
    <n v="1069570.5400000003"/>
    <s v="East"/>
    <s v="Electronics"/>
    <n v="1665"/>
  </r>
  <r>
    <s v="ORD-01016"/>
    <d v="2024-08-20T00:00:00"/>
    <s v="CUST-0276"/>
    <s v="PROD-030"/>
    <s v="R016"/>
    <n v="6"/>
    <n v="970"/>
    <n v="19.600000000000001"/>
    <n v="4679.28"/>
    <s v="Completed"/>
    <x v="1"/>
    <s v="Grocery"/>
    <s v="Retail"/>
    <n v="26"/>
    <s v="South"/>
    <s v="R016"/>
    <n v="814563.7100000002"/>
    <s v="South"/>
    <s v="Grocery"/>
    <n v="434"/>
  </r>
  <r>
    <s v="ORD-01017"/>
    <d v="2024-09-19T00:00:00"/>
    <s v="CUST-0283"/>
    <s v="PROD-059"/>
    <s v="R011"/>
    <n v="8"/>
    <n v="3780"/>
    <n v="26.5"/>
    <n v="22226.400000000001"/>
    <s v="Completed"/>
    <x v="2"/>
    <s v="Sports"/>
    <s v="SMB"/>
    <n v="50"/>
    <s v="South"/>
    <s v="R011"/>
    <n v="735207.75999999989"/>
    <s v="South"/>
    <s v="Sports"/>
    <n v="1860"/>
  </r>
  <r>
    <s v="ORD-01018"/>
    <d v="2024-08-24T00:00:00"/>
    <s v="CUST-0195"/>
    <s v="PROD-058"/>
    <s v="R011"/>
    <n v="6"/>
    <n v="2400"/>
    <n v="1.4"/>
    <n v="14198.4"/>
    <s v="Completed"/>
    <x v="4"/>
    <s v="Sports"/>
    <s v="Retail"/>
    <n v="28"/>
    <s v="South"/>
    <s v="R011"/>
    <n v="735207.75999999989"/>
    <s v="South"/>
    <s v="Sports"/>
    <n v="974"/>
  </r>
  <r>
    <s v="ORD-01019"/>
    <d v="2024-07-13T00:00:00"/>
    <s v="CUST-0181"/>
    <s v="PROD-036"/>
    <s v="R021"/>
    <n v="10"/>
    <n v="3250"/>
    <n v="19.3"/>
    <n v="26227.5"/>
    <s v="Completed"/>
    <x v="2"/>
    <s v="Home"/>
    <s v="SMB"/>
    <n v="38"/>
    <s v="East"/>
    <s v="R021"/>
    <n v="761507.17000000027"/>
    <s v="East"/>
    <s v="Home"/>
    <n v="1556"/>
  </r>
  <r>
    <s v="ORD-01020"/>
    <d v="2024-02-14T00:00:00"/>
    <s v="CUST-0149"/>
    <s v="PROD-021"/>
    <s v="R014"/>
    <n v="7"/>
    <n v="2760"/>
    <n v="23.6"/>
    <n v="14760.48"/>
    <s v="Pending"/>
    <x v="5"/>
    <s v="Grocery"/>
    <s v="Retail"/>
    <n v="44"/>
    <s v="South"/>
    <s v="R014"/>
    <n v="995713.54000000015"/>
    <s v="South"/>
    <s v="Grocery"/>
    <n v="1435"/>
  </r>
  <r>
    <s v="ORD-01021"/>
    <d v="2024-06-20T00:00:00"/>
    <s v="CUST-0152"/>
    <s v="PROD-003"/>
    <s v="R001"/>
    <n v="3"/>
    <n v="3570"/>
    <n v="26.3"/>
    <n v="7893.27"/>
    <s v="Completed"/>
    <x v="4"/>
    <s v="Electronics"/>
    <s v="SMB"/>
    <n v="64"/>
    <s v="North"/>
    <s v="R001"/>
    <n v="789849.60000000009"/>
    <s v="North"/>
    <s v="Electronics"/>
    <n v="1665"/>
  </r>
  <r>
    <s v="ORD-01022"/>
    <d v="2024-04-10T00:00:00"/>
    <s v="CUST-0085"/>
    <s v="PROD-027"/>
    <s v="R015"/>
    <n v="4"/>
    <n v="3780"/>
    <n v="10.1"/>
    <n v="13592.88"/>
    <s v="Completed"/>
    <x v="1"/>
    <s v="Grocery"/>
    <s v="Retail"/>
    <n v="26"/>
    <s v="South"/>
    <s v="R015"/>
    <n v="1091740.1799999997"/>
    <s v="South"/>
    <s v="Grocery"/>
    <n v="2436"/>
  </r>
  <r>
    <s v="ORD-01023"/>
    <d v="2024-11-04T00:00:00"/>
    <s v="CUST-0231"/>
    <s v="PROD-007"/>
    <s v="R019"/>
    <n v="10"/>
    <n v="1430"/>
    <n v="3.7"/>
    <n v="13770.9"/>
    <s v="Completed"/>
    <x v="1"/>
    <s v="Electronics"/>
    <s v="Retail"/>
    <n v="61"/>
    <s v="East"/>
    <s v="R019"/>
    <n v="971183.52000000014"/>
    <s v="East"/>
    <s v="Electronics"/>
    <n v="861"/>
  </r>
  <r>
    <s v="ORD-01024"/>
    <d v="2024-04-29T00:00:00"/>
    <s v="CUST-0044"/>
    <s v="PROD-022"/>
    <s v="R011"/>
    <n v="6"/>
    <n v="2270"/>
    <n v="7.9"/>
    <n v="12544.02"/>
    <s v="Refunded"/>
    <x v="5"/>
    <s v="Grocery"/>
    <s v="SMB"/>
    <n v="29"/>
    <s v="South"/>
    <s v="R011"/>
    <n v="735207.75999999989"/>
    <s v="South"/>
    <s v="Grocery"/>
    <n v="1412"/>
  </r>
  <r>
    <s v="ORD-01025"/>
    <d v="2024-04-24T00:00:00"/>
    <s v="CUST-0027"/>
    <s v="PROD-054"/>
    <s v="R013"/>
    <n v="1"/>
    <n v="1010"/>
    <n v="6.9"/>
    <n v="940.31"/>
    <s v="Pending"/>
    <x v="5"/>
    <s v="Sports"/>
    <s v="Corporate"/>
    <n v="52"/>
    <s v="South"/>
    <s v="R013"/>
    <n v="811524.37999999989"/>
    <s v="South"/>
    <s v="Sports"/>
    <n v="516"/>
  </r>
  <r>
    <s v="ORD-01026"/>
    <d v="2024-04-29T00:00:00"/>
    <s v="CUST-0101"/>
    <s v="PROD-055"/>
    <s v="R014"/>
    <n v="2"/>
    <n v="2860"/>
    <n v="20.100000000000001"/>
    <n v="4570.28"/>
    <s v="Completed"/>
    <x v="5"/>
    <s v="Sports"/>
    <s v="SMB"/>
    <n v="40"/>
    <s v="South"/>
    <s v="R014"/>
    <n v="995713.54000000015"/>
    <s v="South"/>
    <s v="Sports"/>
    <n v="2028"/>
  </r>
  <r>
    <s v="ORD-01027"/>
    <d v="2024-06-18T00:00:00"/>
    <s v="CUST-0123"/>
    <s v="PROD-002"/>
    <s v="R019"/>
    <n v="9"/>
    <n v="2600"/>
    <n v="15.9"/>
    <n v="19679.400000000001"/>
    <s v="Cancelled"/>
    <x v="1"/>
    <s v="Electronics"/>
    <s v="Corporate"/>
    <n v="44"/>
    <s v="East"/>
    <s v="R019"/>
    <n v="971183.52000000014"/>
    <s v="East"/>
    <s v="Electronics"/>
    <n v="1052"/>
  </r>
  <r>
    <s v="ORD-01028"/>
    <d v="2024-04-27T00:00:00"/>
    <s v="CUST-0124"/>
    <s v="PROD-053"/>
    <s v="R024"/>
    <n v="10"/>
    <n v="470"/>
    <n v="23.1"/>
    <n v="3614.3"/>
    <s v="Pending"/>
    <x v="0"/>
    <s v="Sports"/>
    <s v="Retail"/>
    <n v="57"/>
    <s v="West"/>
    <s v="R024"/>
    <n v="819558.58"/>
    <s v="West"/>
    <s v="Sports"/>
    <n v="302"/>
  </r>
  <r>
    <s v="ORD-01029"/>
    <d v="2024-07-22T00:00:00"/>
    <s v="CUST-0159"/>
    <s v="PROD-037"/>
    <s v="R013"/>
    <n v="10"/>
    <n v="660"/>
    <n v="9.4"/>
    <n v="5979.6"/>
    <s v="Completed"/>
    <x v="5"/>
    <s v="Home"/>
    <s v="Retail"/>
    <n v="32"/>
    <s v="South"/>
    <s v="R013"/>
    <n v="811524.37999999989"/>
    <s v="South"/>
    <s v="Home"/>
    <n v="329"/>
  </r>
  <r>
    <s v="ORD-01030"/>
    <d v="2024-01-16T00:00:00"/>
    <s v="CUST-0087"/>
    <s v="PROD-009"/>
    <s v="R023"/>
    <n v="5"/>
    <n v="1220"/>
    <n v="23.3"/>
    <n v="4678.7"/>
    <s v="Completed"/>
    <x v="0"/>
    <s v="Electronics"/>
    <s v="SMB"/>
    <n v="49"/>
    <s v="East"/>
    <s v="R023"/>
    <n v="983787.4800000001"/>
    <s v="East"/>
    <s v="Electronics"/>
    <n v="517"/>
  </r>
  <r>
    <s v="ORD-01031"/>
    <d v="2024-01-03T00:00:00"/>
    <s v="CUST-0295"/>
    <s v="PROD-036"/>
    <s v="R011"/>
    <n v="9"/>
    <n v="3250"/>
    <n v="19.600000000000001"/>
    <n v="23517"/>
    <s v="Pending"/>
    <x v="2"/>
    <s v="Home"/>
    <s v="SMB"/>
    <n v="48"/>
    <s v="South"/>
    <s v="R011"/>
    <n v="735207.75999999989"/>
    <s v="South"/>
    <s v="Home"/>
    <n v="1556"/>
  </r>
  <r>
    <s v="ORD-01032"/>
    <d v="2024-09-07T00:00:00"/>
    <s v="CUST-0211"/>
    <s v="PROD-016"/>
    <s v="R018"/>
    <n v="7"/>
    <n v="620"/>
    <n v="29"/>
    <n v="3081.4"/>
    <s v="Completed"/>
    <x v="4"/>
    <s v="Apparel"/>
    <s v="Retail"/>
    <n v="36"/>
    <s v="East"/>
    <s v="R018"/>
    <n v="1112289.6400000001"/>
    <s v="East"/>
    <s v="Apparel"/>
    <n v="396"/>
  </r>
  <r>
    <s v="ORD-01033"/>
    <d v="2024-06-10T00:00:00"/>
    <s v="CUST-0265"/>
    <s v="PROD-026"/>
    <s v="R006"/>
    <n v="9"/>
    <n v="4070"/>
    <n v="16.2"/>
    <n v="30695.94"/>
    <s v="Completed"/>
    <x v="1"/>
    <s v="Grocery"/>
    <s v="Retail"/>
    <n v="49"/>
    <s v="North"/>
    <s v="R006"/>
    <n v="1138648.73"/>
    <s v="North"/>
    <s v="Grocery"/>
    <n v="2027"/>
  </r>
  <r>
    <s v="ORD-01034"/>
    <d v="2024-02-29T00:00:00"/>
    <s v="CUST-0252"/>
    <s v="PROD-012"/>
    <s v="R007"/>
    <n v="8"/>
    <n v="3160"/>
    <n v="23.8"/>
    <n v="19263.36"/>
    <s v="Completed"/>
    <x v="4"/>
    <s v="Apparel"/>
    <s v="Retail"/>
    <n v="27"/>
    <s v="North"/>
    <s v="R007"/>
    <n v="855749.67999999982"/>
    <s v="North"/>
    <s v="Apparel"/>
    <n v="1886"/>
  </r>
  <r>
    <s v="ORD-01035"/>
    <d v="2024-05-10T00:00:00"/>
    <s v="CUST-0180"/>
    <s v="PROD-029"/>
    <s v="R022"/>
    <n v="3"/>
    <n v="2210"/>
    <n v="29.7"/>
    <n v="4660.8900000000003"/>
    <s v="Completed"/>
    <x v="1"/>
    <s v="Grocery"/>
    <s v="Retail"/>
    <n v="36"/>
    <s v="East"/>
    <s v="R022"/>
    <n v="1069570.5400000003"/>
    <s v="East"/>
    <s v="Grocery"/>
    <n v="1010"/>
  </r>
  <r>
    <s v="ORD-01036"/>
    <d v="2024-03-10T00:00:00"/>
    <s v="CUST-0231"/>
    <s v="PROD-053"/>
    <s v="R025"/>
    <n v="9"/>
    <n v="470"/>
    <n v="27.1"/>
    <n v="3083.67"/>
    <s v="Completed"/>
    <x v="1"/>
    <s v="Sports"/>
    <s v="Retail"/>
    <n v="61"/>
    <s v="West"/>
    <s v="R025"/>
    <n v="901298.89"/>
    <s v="West"/>
    <s v="Sports"/>
    <n v="302"/>
  </r>
  <r>
    <s v="ORD-01037"/>
    <d v="2024-11-26T00:00:00"/>
    <s v="CUST-0161"/>
    <s v="PROD-032"/>
    <s v="R020"/>
    <n v="6"/>
    <n v="370"/>
    <n v="5.4"/>
    <n v="2100.12"/>
    <s v="Completed"/>
    <x v="1"/>
    <s v="Home"/>
    <s v="Retail"/>
    <n v="38"/>
    <s v="East"/>
    <s v="R020"/>
    <n v="906107.71000000008"/>
    <s v="East"/>
    <s v="Home"/>
    <n v="288"/>
  </r>
  <r>
    <s v="ORD-01038"/>
    <d v="2024-07-23T00:00:00"/>
    <s v="CUST-0249"/>
    <s v="PROD-059"/>
    <s v="R018"/>
    <n v="10"/>
    <n v="3780"/>
    <n v="21.5"/>
    <n v="29673"/>
    <s v="Pending"/>
    <x v="3"/>
    <s v="Sports"/>
    <s v="Retail"/>
    <n v="44"/>
    <s v="East"/>
    <s v="R018"/>
    <n v="1112289.6400000001"/>
    <s v="East"/>
    <s v="Sports"/>
    <n v="1860"/>
  </r>
  <r>
    <s v="ORD-01039"/>
    <d v="2024-10-13T00:00:00"/>
    <s v="CUST-0048"/>
    <s v="PROD-056"/>
    <s v="R009"/>
    <n v="4"/>
    <n v="6940"/>
    <n v="3.9"/>
    <n v="26677.360000000001"/>
    <s v="Cancelled"/>
    <x v="2"/>
    <s v="Sports"/>
    <s v="Retail"/>
    <n v="59"/>
    <s v="South"/>
    <s v="R009"/>
    <n v="914554.71999999986"/>
    <s v="South"/>
    <s v="Sports"/>
    <n v="2827"/>
  </r>
  <r>
    <s v="ORD-01040"/>
    <d v="2024-07-03T00:00:00"/>
    <s v="CUST-0068"/>
    <s v="PROD-031"/>
    <s v="R022"/>
    <n v="3"/>
    <n v="3730"/>
    <n v="20.7"/>
    <n v="8873.67"/>
    <s v="Completed"/>
    <x v="2"/>
    <s v="Home"/>
    <s v="SMB"/>
    <n v="48"/>
    <s v="East"/>
    <s v="R022"/>
    <n v="1069570.5400000003"/>
    <s v="East"/>
    <s v="Home"/>
    <n v="2135"/>
  </r>
  <r>
    <s v="ORD-01041"/>
    <d v="2024-01-09T00:00:00"/>
    <s v="CUST-0213"/>
    <s v="PROD-034"/>
    <s v="R025"/>
    <n v="8"/>
    <n v="5080"/>
    <n v="6.2"/>
    <n v="38120.32"/>
    <s v="Completed"/>
    <x v="3"/>
    <s v="Home"/>
    <s v="Retail"/>
    <n v="37"/>
    <s v="West"/>
    <s v="R025"/>
    <n v="901298.89"/>
    <s v="West"/>
    <s v="Home"/>
    <n v="2459"/>
  </r>
  <r>
    <s v="ORD-01042"/>
    <d v="2024-06-12T00:00:00"/>
    <s v="CUST-0159"/>
    <s v="PROD-052"/>
    <s v="R001"/>
    <n v="5"/>
    <n v="5410"/>
    <n v="5.2"/>
    <n v="25643.4"/>
    <s v="Completed"/>
    <x v="5"/>
    <s v="Sports"/>
    <s v="Retail"/>
    <n v="32"/>
    <s v="North"/>
    <s v="R001"/>
    <n v="789849.60000000009"/>
    <s v="North"/>
    <s v="Sports"/>
    <n v="2265"/>
  </r>
  <r>
    <s v="ORD-01043"/>
    <d v="2024-04-22T00:00:00"/>
    <s v="CUST-0298"/>
    <s v="PROD-015"/>
    <s v="R026"/>
    <n v="6"/>
    <n v="2720"/>
    <n v="29.8"/>
    <n v="11456.64"/>
    <s v="Pending"/>
    <x v="2"/>
    <s v="Apparel"/>
    <s v="Retail"/>
    <n v="44"/>
    <s v="West"/>
    <s v="R026"/>
    <n v="576305.08000000019"/>
    <s v="West"/>
    <s v="Apparel"/>
    <n v="1962"/>
  </r>
  <r>
    <s v="ORD-01044"/>
    <d v="2024-06-25T00:00:00"/>
    <s v="CUST-0145"/>
    <s v="PROD-009"/>
    <s v="R010"/>
    <n v="1"/>
    <n v="1220"/>
    <n v="22.6"/>
    <n v="944.28"/>
    <s v="Completed"/>
    <x v="4"/>
    <s v="Electronics"/>
    <s v="SMB"/>
    <n v="44"/>
    <s v="South"/>
    <s v="R010"/>
    <n v="880345.20000000007"/>
    <s v="South"/>
    <s v="Electronics"/>
    <n v="517"/>
  </r>
  <r>
    <s v="ORD-01045"/>
    <d v="2024-12-14T00:00:00"/>
    <s v="CUST-0015"/>
    <s v="PROD-046"/>
    <s v="R008"/>
    <n v="10"/>
    <n v="4880"/>
    <n v="7.3"/>
    <n v="45237.599999999999"/>
    <s v="Completed"/>
    <x v="1"/>
    <s v="Beauty"/>
    <s v="Retail"/>
    <n v="31"/>
    <s v="North"/>
    <s v="R008"/>
    <n v="861553.33"/>
    <s v="North"/>
    <s v="Beauty"/>
    <n v="2768"/>
  </r>
  <r>
    <s v="ORD-01046"/>
    <d v="2024-06-07T00:00:00"/>
    <s v="CUST-0054"/>
    <s v="PROD-022"/>
    <s v="R021"/>
    <n v="10"/>
    <n v="2270"/>
    <n v="1.6"/>
    <n v="22336.799999999999"/>
    <s v="Completed"/>
    <x v="3"/>
    <s v="Grocery"/>
    <s v="Corporate"/>
    <n v="62"/>
    <s v="East"/>
    <s v="R021"/>
    <n v="761507.17000000027"/>
    <s v="East"/>
    <s v="Grocery"/>
    <n v="1412"/>
  </r>
  <r>
    <s v="ORD-01047"/>
    <d v="2024-10-24T00:00:00"/>
    <s v="CUST-0150"/>
    <s v="PROD-030"/>
    <s v="R003"/>
    <n v="8"/>
    <n v="970"/>
    <n v="13.1"/>
    <n v="6743.44"/>
    <s v="Completed"/>
    <x v="0"/>
    <s v="Grocery"/>
    <s v="SMB"/>
    <n v="53"/>
    <s v="North"/>
    <s v="R003"/>
    <n v="986692.91"/>
    <s v="North"/>
    <s v="Grocery"/>
    <n v="434"/>
  </r>
  <r>
    <s v="ORD-01048"/>
    <d v="2024-12-20T00:00:00"/>
    <s v="CUST-0096"/>
    <s v="PROD-023"/>
    <s v="R012"/>
    <n v="7"/>
    <n v="2380"/>
    <n v="10.6"/>
    <n v="14894.04"/>
    <s v="Cancelled"/>
    <x v="2"/>
    <s v="Grocery"/>
    <s v="Corporate"/>
    <n v="27"/>
    <s v="South"/>
    <s v="R012"/>
    <n v="901394.32000000007"/>
    <s v="South"/>
    <s v="Grocery"/>
    <n v="1182"/>
  </r>
  <r>
    <s v="ORD-01049"/>
    <d v="2024-07-15T00:00:00"/>
    <s v="CUST-0288"/>
    <s v="PROD-014"/>
    <s v="R016"/>
    <n v="6"/>
    <n v="3620"/>
    <n v="21.3"/>
    <n v="17093.64"/>
    <s v="Cancelled"/>
    <x v="5"/>
    <s v="Apparel"/>
    <s v="Corporate"/>
    <n v="25"/>
    <s v="South"/>
    <s v="R016"/>
    <n v="814563.7100000002"/>
    <s v="South"/>
    <s v="Apparel"/>
    <n v="2509"/>
  </r>
  <r>
    <s v="ORD-01050"/>
    <d v="2024-09-20T00:00:00"/>
    <s v="CUST-0048"/>
    <s v="PROD-026"/>
    <s v="R027"/>
    <n v="3"/>
    <n v="4070"/>
    <n v="8.1999999999999993"/>
    <n v="11208.78"/>
    <s v="Cancelled"/>
    <x v="2"/>
    <s v="Grocery"/>
    <s v="Retail"/>
    <n v="59"/>
    <s v="West"/>
    <s v="R027"/>
    <n v="917092.61999999965"/>
    <s v="West"/>
    <s v="Grocery"/>
    <n v="2027"/>
  </r>
  <r>
    <s v="ORD-01051"/>
    <d v="2024-10-13T00:00:00"/>
    <s v="CUST-0104"/>
    <s v="PROD-048"/>
    <s v="R026"/>
    <n v="8"/>
    <n v="5100"/>
    <n v="26.9"/>
    <n v="29824.799999999999"/>
    <s v="Completed"/>
    <x v="5"/>
    <s v="Beauty"/>
    <s v="Corporate"/>
    <n v="43"/>
    <s v="West"/>
    <s v="R026"/>
    <n v="576305.08000000019"/>
    <s v="West"/>
    <s v="Beauty"/>
    <n v="2237"/>
  </r>
  <r>
    <s v="ORD-01052"/>
    <d v="2024-01-05T00:00:00"/>
    <s v="CUST-0054"/>
    <s v="PROD-045"/>
    <s v="R017"/>
    <n v="3"/>
    <n v="3020"/>
    <n v="18.5"/>
    <n v="7383.9"/>
    <s v="Cancelled"/>
    <x v="3"/>
    <s v="Beauty"/>
    <s v="Corporate"/>
    <n v="62"/>
    <s v="East"/>
    <s v="R017"/>
    <n v="780384.40999999992"/>
    <s v="East"/>
    <s v="Beauty"/>
    <n v="1626"/>
  </r>
  <r>
    <s v="ORD-01053"/>
    <d v="2024-09-29T00:00:00"/>
    <s v="CUST-0158"/>
    <s v="PROD-049"/>
    <s v="R002"/>
    <n v="8"/>
    <n v="960"/>
    <n v="7.1"/>
    <n v="7134.72"/>
    <s v="Completed"/>
    <x v="0"/>
    <s v="Beauty"/>
    <s v="Corporate"/>
    <n v="42"/>
    <s v="North"/>
    <s v="R002"/>
    <n v="980063.65999999968"/>
    <s v="North"/>
    <s v="Beauty"/>
    <n v="675"/>
  </r>
  <r>
    <s v="ORD-01054"/>
    <d v="2024-04-01T00:00:00"/>
    <s v="CUST-0231"/>
    <s v="PROD-034"/>
    <s v="R015"/>
    <n v="8"/>
    <n v="5080"/>
    <n v="6.2"/>
    <n v="38120.32"/>
    <s v="Completed"/>
    <x v="1"/>
    <s v="Home"/>
    <s v="Retail"/>
    <n v="61"/>
    <s v="South"/>
    <s v="R015"/>
    <n v="1091740.1799999997"/>
    <s v="South"/>
    <s v="Home"/>
    <n v="2459"/>
  </r>
  <r>
    <s v="ORD-01055"/>
    <d v="2024-05-24T00:00:00"/>
    <s v="CUST-0277"/>
    <s v="PROD-050"/>
    <s v="R010"/>
    <n v="6"/>
    <n v="6080"/>
    <n v="25.8"/>
    <n v="27068.16"/>
    <s v="Completed"/>
    <x v="1"/>
    <s v="Beauty"/>
    <s v="Corporate"/>
    <n v="34"/>
    <s v="South"/>
    <s v="R010"/>
    <n v="880345.20000000007"/>
    <s v="South"/>
    <s v="Beauty"/>
    <n v="2617"/>
  </r>
  <r>
    <s v="ORD-01056"/>
    <d v="2024-09-09T00:00:00"/>
    <s v="CUST-0232"/>
    <s v="PROD-041"/>
    <s v="R010"/>
    <n v="5"/>
    <n v="1540"/>
    <n v="24.6"/>
    <n v="5805.8"/>
    <s v="Completed"/>
    <x v="5"/>
    <s v="Beauty"/>
    <s v="Retail"/>
    <n v="38"/>
    <s v="South"/>
    <s v="R010"/>
    <n v="880345.20000000007"/>
    <s v="South"/>
    <s v="Beauty"/>
    <n v="647"/>
  </r>
  <r>
    <s v="ORD-01057"/>
    <d v="2024-04-22T00:00:00"/>
    <s v="CUST-0074"/>
    <s v="PROD-054"/>
    <s v="R024"/>
    <n v="4"/>
    <n v="1010"/>
    <n v="2.9"/>
    <n v="3922.84"/>
    <s v="Pending"/>
    <x v="4"/>
    <s v="Sports"/>
    <s v="Retail"/>
    <n v="27"/>
    <s v="West"/>
    <s v="R024"/>
    <n v="819558.58"/>
    <s v="West"/>
    <s v="Sports"/>
    <n v="516"/>
  </r>
  <r>
    <s v="ORD-01058"/>
    <d v="2024-10-21T00:00:00"/>
    <s v="CUST-0068"/>
    <s v="PROD-049"/>
    <s v="R026"/>
    <n v="5"/>
    <n v="960"/>
    <n v="11.4"/>
    <n v="4252.8"/>
    <s v="Completed"/>
    <x v="2"/>
    <s v="Beauty"/>
    <s v="SMB"/>
    <n v="48"/>
    <s v="West"/>
    <s v="R026"/>
    <n v="576305.08000000019"/>
    <s v="West"/>
    <s v="Beauty"/>
    <n v="675"/>
  </r>
  <r>
    <s v="ORD-01059"/>
    <d v="2024-08-20T00:00:00"/>
    <s v="CUST-0152"/>
    <s v="PROD-041"/>
    <s v="R010"/>
    <n v="1"/>
    <n v="1540"/>
    <n v="5.6"/>
    <n v="1453.76"/>
    <s v="Completed"/>
    <x v="4"/>
    <s v="Beauty"/>
    <s v="SMB"/>
    <n v="64"/>
    <s v="South"/>
    <s v="R010"/>
    <n v="880345.20000000007"/>
    <s v="South"/>
    <s v="Beauty"/>
    <n v="647"/>
  </r>
  <r>
    <s v="ORD-01060"/>
    <d v="2024-04-15T00:00:00"/>
    <s v="CUST-0046"/>
    <s v="PROD-043"/>
    <s v="R019"/>
    <n v="9"/>
    <n v="3350"/>
    <n v="2.1"/>
    <n v="29516.85"/>
    <s v="Completed"/>
    <x v="2"/>
    <s v="Beauty"/>
    <s v="SMB"/>
    <n v="45"/>
    <s v="East"/>
    <s v="R019"/>
    <n v="971183.52000000014"/>
    <s v="East"/>
    <s v="Beauty"/>
    <n v="1728"/>
  </r>
  <r>
    <s v="ORD-01061"/>
    <d v="2024-02-14T00:00:00"/>
    <s v="CUST-0201"/>
    <s v="PROD-051"/>
    <s v="R021"/>
    <n v="7"/>
    <n v="3450"/>
    <n v="4.7"/>
    <n v="23014.95"/>
    <s v="Completed"/>
    <x v="5"/>
    <s v="Sports"/>
    <s v="Retail"/>
    <n v="31"/>
    <s v="East"/>
    <s v="R021"/>
    <n v="761507.17000000027"/>
    <s v="East"/>
    <s v="Sports"/>
    <n v="2467"/>
  </r>
  <r>
    <s v="ORD-01062"/>
    <d v="2024-10-29T00:00:00"/>
    <s v="CUST-0191"/>
    <s v="PROD-057"/>
    <s v="R019"/>
    <n v="10"/>
    <n v="960"/>
    <n v="17.899999999999999"/>
    <n v="7881.6"/>
    <s v="Completed"/>
    <x v="5"/>
    <s v="Sports"/>
    <s v="SMB"/>
    <n v="43"/>
    <s v="East"/>
    <s v="R019"/>
    <n v="971183.52000000014"/>
    <s v="East"/>
    <s v="Sports"/>
    <n v="705"/>
  </r>
  <r>
    <s v="ORD-01063"/>
    <d v="2024-11-21T00:00:00"/>
    <s v="CUST-0192"/>
    <s v="PROD-013"/>
    <s v="R014"/>
    <n v="1"/>
    <n v="3640"/>
    <n v="8.8000000000000007"/>
    <n v="3319.68"/>
    <s v="Completed"/>
    <x v="4"/>
    <s v="Apparel"/>
    <s v="Retail"/>
    <n v="55"/>
    <s v="South"/>
    <s v="R014"/>
    <n v="995713.54000000015"/>
    <s v="South"/>
    <s v="Apparel"/>
    <n v="2611"/>
  </r>
  <r>
    <s v="ORD-01064"/>
    <d v="2024-03-27T00:00:00"/>
    <s v="CUST-0074"/>
    <s v="PROD-029"/>
    <s v="R017"/>
    <n v="1"/>
    <n v="2210"/>
    <n v="10.7"/>
    <n v="1973.53"/>
    <s v="Completed"/>
    <x v="4"/>
    <s v="Grocery"/>
    <s v="Retail"/>
    <n v="27"/>
    <s v="East"/>
    <s v="R017"/>
    <n v="780384.40999999992"/>
    <s v="East"/>
    <s v="Grocery"/>
    <n v="1010"/>
  </r>
  <r>
    <s v="ORD-01065"/>
    <d v="2024-01-27T00:00:00"/>
    <s v="CUST-0071"/>
    <s v="PROD-031"/>
    <s v="R005"/>
    <n v="2"/>
    <n v="3730"/>
    <n v="13.9"/>
    <n v="6423.06"/>
    <s v="Completed"/>
    <x v="2"/>
    <s v="Home"/>
    <s v="Corporate"/>
    <n v="46"/>
    <s v="North"/>
    <s v="R005"/>
    <n v="782445.33"/>
    <s v="North"/>
    <s v="Home"/>
    <n v="2135"/>
  </r>
  <r>
    <s v="ORD-01066"/>
    <d v="2024-09-07T00:00:00"/>
    <s v="CUST-0210"/>
    <s v="PROD-052"/>
    <s v="R010"/>
    <n v="7"/>
    <n v="5410"/>
    <n v="23.6"/>
    <n v="28932.68"/>
    <s v="Completed"/>
    <x v="0"/>
    <s v="Sports"/>
    <s v="Corporate"/>
    <n v="48"/>
    <s v="South"/>
    <s v="R010"/>
    <n v="880345.20000000007"/>
    <s v="South"/>
    <s v="Sports"/>
    <n v="2265"/>
  </r>
  <r>
    <s v="ORD-01067"/>
    <d v="2024-11-22T00:00:00"/>
    <s v="CUST-0054"/>
    <s v="PROD-027"/>
    <s v="R018"/>
    <n v="7"/>
    <n v="3780"/>
    <n v="8.5"/>
    <n v="24210.9"/>
    <s v="Cancelled"/>
    <x v="3"/>
    <s v="Grocery"/>
    <s v="Corporate"/>
    <n v="62"/>
    <s v="East"/>
    <s v="R018"/>
    <n v="1112289.6400000001"/>
    <s v="East"/>
    <s v="Grocery"/>
    <n v="2436"/>
  </r>
  <r>
    <s v="ORD-01068"/>
    <d v="2024-09-20T00:00:00"/>
    <s v="CUST-0194"/>
    <s v="PROD-039"/>
    <s v="R016"/>
    <n v="9"/>
    <n v="4610"/>
    <n v="26.6"/>
    <n v="30453.66"/>
    <s v="Completed"/>
    <x v="2"/>
    <s v="Home"/>
    <s v="SMB"/>
    <n v="55"/>
    <s v="South"/>
    <s v="R016"/>
    <n v="814563.7100000002"/>
    <s v="South"/>
    <s v="Home"/>
    <n v="1850"/>
  </r>
  <r>
    <s v="ORD-01069"/>
    <d v="2024-03-22T00:00:00"/>
    <s v="CUST-0231"/>
    <s v="PROD-010"/>
    <s v="R025"/>
    <n v="5"/>
    <n v="2640"/>
    <n v="1.5"/>
    <n v="13002"/>
    <s v="Completed"/>
    <x v="1"/>
    <s v="Electronics"/>
    <s v="Retail"/>
    <n v="61"/>
    <s v="West"/>
    <s v="R025"/>
    <n v="901298.89"/>
    <s v="West"/>
    <s v="Electronics"/>
    <n v="1149"/>
  </r>
  <r>
    <s v="ORD-01070"/>
    <d v="2024-08-11T00:00:00"/>
    <s v="CUST-0053"/>
    <s v="PROD-014"/>
    <s v="R010"/>
    <n v="3"/>
    <n v="3620"/>
    <n v="3.1"/>
    <n v="10523.34"/>
    <s v="Completed"/>
    <x v="2"/>
    <s v="Apparel"/>
    <s v="Retail"/>
    <n v="53"/>
    <s v="South"/>
    <s v="R010"/>
    <n v="880345.20000000007"/>
    <s v="South"/>
    <s v="Apparel"/>
    <n v="2509"/>
  </r>
  <r>
    <s v="ORD-01071"/>
    <d v="2024-08-26T00:00:00"/>
    <s v="CUST-0290"/>
    <s v="PROD-053"/>
    <s v="R018"/>
    <n v="5"/>
    <n v="470"/>
    <n v="10.6"/>
    <n v="2100.9"/>
    <s v="Cancelled"/>
    <x v="2"/>
    <s v="Sports"/>
    <s v="Retail"/>
    <n v="63"/>
    <s v="East"/>
    <s v="R018"/>
    <n v="1112289.6400000001"/>
    <s v="East"/>
    <s v="Sports"/>
    <n v="302"/>
  </r>
  <r>
    <s v="ORD-01072"/>
    <d v="2024-06-20T00:00:00"/>
    <s v="CUST-0261"/>
    <s v="PROD-001"/>
    <s v="R009"/>
    <n v="7"/>
    <n v="5330"/>
    <n v="25"/>
    <n v="27982.5"/>
    <s v="Cancelled"/>
    <x v="2"/>
    <s v="Electronics"/>
    <s v="Retail"/>
    <n v="54"/>
    <s v="South"/>
    <s v="R009"/>
    <n v="914554.71999999986"/>
    <s v="South"/>
    <s v="Electronics"/>
    <n v="2405"/>
  </r>
  <r>
    <s v="ORD-01073"/>
    <d v="2024-01-01T00:00:00"/>
    <s v="CUST-0045"/>
    <s v="PROD-050"/>
    <s v="R014"/>
    <n v="1"/>
    <n v="6080"/>
    <n v="27.8"/>
    <n v="4389.76"/>
    <s v="Completed"/>
    <x v="1"/>
    <s v="Beauty"/>
    <s v="SMB"/>
    <n v="39"/>
    <s v="South"/>
    <s v="R014"/>
    <n v="995713.54000000015"/>
    <s v="South"/>
    <s v="Beauty"/>
    <n v="2617"/>
  </r>
  <r>
    <s v="ORD-01074"/>
    <d v="2024-02-25T00:00:00"/>
    <s v="CUST-0064"/>
    <s v="PROD-043"/>
    <s v="R024"/>
    <n v="6"/>
    <n v="3350"/>
    <n v="12"/>
    <n v="17688"/>
    <s v="Completed"/>
    <x v="5"/>
    <s v="Beauty"/>
    <s v="SMB"/>
    <n v="40"/>
    <s v="West"/>
    <s v="R024"/>
    <n v="819558.58"/>
    <s v="West"/>
    <s v="Beauty"/>
    <n v="1728"/>
  </r>
  <r>
    <s v="ORD-01075"/>
    <d v="2024-10-27T00:00:00"/>
    <s v="CUST-9754"/>
    <s v="PROD-056"/>
    <s v="R027"/>
    <n v="6"/>
    <n v="6940"/>
    <n v="20"/>
    <n v="33312"/>
    <s v="Completed"/>
    <x v="1"/>
    <s v="Sports"/>
    <e v="#N/A"/>
    <e v="#N/A"/>
    <s v="West"/>
    <s v="R027"/>
    <n v="917092.61999999965"/>
    <s v="West"/>
    <s v="Sports"/>
    <n v="2827"/>
  </r>
  <r>
    <s v="ORD-01076"/>
    <d v="2024-12-10T00:00:00"/>
    <s v="CUST-0200"/>
    <s v="PROD-032"/>
    <s v="R007"/>
    <n v="1"/>
    <n v="370"/>
    <n v="10"/>
    <n v="333"/>
    <s v="Completed"/>
    <x v="5"/>
    <s v="Home"/>
    <s v="Corporate"/>
    <n v="46"/>
    <s v="North"/>
    <s v="R007"/>
    <n v="855749.67999999982"/>
    <s v="North"/>
    <s v="Home"/>
    <n v="288"/>
  </r>
  <r>
    <s v="ORD-01077"/>
    <d v="2024-05-20T00:00:00"/>
    <s v="CUST-0058"/>
    <s v="PROD-038"/>
    <s v="R020"/>
    <n v="2"/>
    <n v="5490"/>
    <n v="27.9"/>
    <n v="7916.58"/>
    <s v="Completed"/>
    <x v="4"/>
    <s v="Home"/>
    <s v="SMB"/>
    <n v="49"/>
    <s v="East"/>
    <s v="R020"/>
    <n v="906107.71000000008"/>
    <s v="East"/>
    <s v="Home"/>
    <n v="2549"/>
  </r>
  <r>
    <s v="ORD-01078"/>
    <d v="2024-07-06T00:00:00"/>
    <s v="CUST-0156"/>
    <s v="PROD-028"/>
    <s v="R009"/>
    <n v="5"/>
    <n v="3660"/>
    <n v="4.5999999999999996"/>
    <n v="17458.2"/>
    <s v="Completed"/>
    <x v="3"/>
    <s v="Grocery"/>
    <s v="Retail"/>
    <n v="33"/>
    <s v="South"/>
    <s v="R009"/>
    <n v="914554.71999999986"/>
    <s v="South"/>
    <s v="Grocery"/>
    <n v="2214"/>
  </r>
  <r>
    <s v="ORD-01079"/>
    <d v="2024-09-28T00:00:00"/>
    <s v="CUST-0107"/>
    <s v="PROD-005"/>
    <s v="R029"/>
    <n v="6"/>
    <n v="300"/>
    <n v="9"/>
    <n v="1638"/>
    <s v="Completed"/>
    <x v="0"/>
    <s v="Electronics"/>
    <s v="Retail"/>
    <n v="50"/>
    <s v="West"/>
    <s v="R029"/>
    <n v="1016696.8000000002"/>
    <s v="West"/>
    <s v="Electronics"/>
    <n v="128"/>
  </r>
  <r>
    <s v="ORD-01080"/>
    <d v="2024-08-19T00:00:00"/>
    <s v="CUST-0184"/>
    <s v="PROD-005"/>
    <s v="R012"/>
    <n v="3"/>
    <n v="300"/>
    <n v="19.2"/>
    <n v="727.2"/>
    <s v="Completed"/>
    <x v="0"/>
    <s v="Electronics"/>
    <s v="Retail"/>
    <n v="63"/>
    <s v="South"/>
    <s v="R012"/>
    <n v="901394.32000000007"/>
    <s v="South"/>
    <s v="Electronics"/>
    <n v="128"/>
  </r>
  <r>
    <s v="ORD-01081"/>
    <d v="2024-09-02T00:00:00"/>
    <s v="CUST-0202"/>
    <s v="PROD-049"/>
    <s v="R014"/>
    <n v="6"/>
    <n v="960"/>
    <n v="29.3"/>
    <n v="4072.32"/>
    <s v="Cancelled"/>
    <x v="1"/>
    <s v="Beauty"/>
    <s v="Retail"/>
    <n v="39"/>
    <s v="South"/>
    <s v="R014"/>
    <n v="995713.54000000015"/>
    <s v="South"/>
    <s v="Beauty"/>
    <n v="675"/>
  </r>
  <r>
    <s v="ORD-01082"/>
    <d v="2024-04-01T00:00:00"/>
    <s v="CUST-0137"/>
    <s v="PROD-022"/>
    <s v="R025"/>
    <n v="1"/>
    <n v="2270"/>
    <n v="12.4"/>
    <n v="1988.52"/>
    <s v="Completed"/>
    <x v="3"/>
    <s v="Grocery"/>
    <s v="Retail"/>
    <n v="41"/>
    <s v="West"/>
    <s v="R025"/>
    <n v="901298.89"/>
    <s v="West"/>
    <s v="Grocery"/>
    <n v="1412"/>
  </r>
  <r>
    <s v="ORD-01083"/>
    <d v="2024-09-06T00:00:00"/>
    <s v="CUST-0108"/>
    <s v="PROD-033"/>
    <s v="R027"/>
    <n v="10"/>
    <n v="2030"/>
    <n v="4"/>
    <n v="19488"/>
    <s v="Completed"/>
    <x v="4"/>
    <s v="Home"/>
    <s v="Corporate"/>
    <n v="59"/>
    <s v="West"/>
    <s v="R027"/>
    <n v="917092.61999999965"/>
    <s v="West"/>
    <s v="Home"/>
    <n v="1143"/>
  </r>
  <r>
    <s v="ORD-01084"/>
    <d v="2024-11-13T00:00:00"/>
    <s v="CUST-0126"/>
    <s v="PROD-040"/>
    <s v="R021"/>
    <n v="9"/>
    <n v="1080"/>
    <n v="19.2"/>
    <n v="7853.76"/>
    <s v="Pending"/>
    <x v="3"/>
    <s v="Home"/>
    <s v="Retail"/>
    <n v="37"/>
    <s v="East"/>
    <s v="R021"/>
    <n v="761507.17000000027"/>
    <s v="East"/>
    <s v="Home"/>
    <n v="519"/>
  </r>
  <r>
    <s v="ORD-01085"/>
    <d v="2024-06-20T00:00:00"/>
    <s v="CUST-0107"/>
    <s v="PROD-055"/>
    <s v="R025"/>
    <n v="5"/>
    <n v="2860"/>
    <n v="25"/>
    <n v="10725"/>
    <s v="Pending"/>
    <x v="0"/>
    <s v="Sports"/>
    <s v="Retail"/>
    <n v="50"/>
    <s v="West"/>
    <s v="R025"/>
    <n v="901298.89"/>
    <s v="West"/>
    <s v="Sports"/>
    <n v="2028"/>
  </r>
  <r>
    <s v="ORD-01086"/>
    <d v="2024-10-23T00:00:00"/>
    <s v="CUST-0071"/>
    <s v="PROD-024"/>
    <s v="R012"/>
    <n v="6"/>
    <n v="2270"/>
    <n v="9.3000000000000007"/>
    <n v="12353.34"/>
    <s v="Completed"/>
    <x v="2"/>
    <s v="Grocery"/>
    <s v="Corporate"/>
    <n v="46"/>
    <s v="South"/>
    <s v="R012"/>
    <n v="901394.32000000007"/>
    <s v="South"/>
    <s v="Grocery"/>
    <n v="1203"/>
  </r>
  <r>
    <s v="ORD-01087"/>
    <d v="2024-02-06T00:00:00"/>
    <s v="CUST-0238"/>
    <s v="PROD-015"/>
    <s v="R024"/>
    <n v="1"/>
    <n v="2720"/>
    <n v="15.2"/>
    <n v="2306.56"/>
    <s v="Completed"/>
    <x v="2"/>
    <s v="Apparel"/>
    <s v="Retail"/>
    <n v="49"/>
    <s v="West"/>
    <s v="R024"/>
    <n v="819558.58"/>
    <s v="West"/>
    <s v="Apparel"/>
    <n v="1962"/>
  </r>
  <r>
    <s v="ORD-01088"/>
    <d v="2024-12-12T00:00:00"/>
    <s v="CUST-0022"/>
    <s v="PROD-004"/>
    <s v="R005"/>
    <n v="10"/>
    <n v="3870"/>
    <n v="4.9000000000000004"/>
    <n v="36803.699999999997"/>
    <s v="Cancelled"/>
    <x v="4"/>
    <s v="Electronics"/>
    <s v="Corporate"/>
    <n v="55"/>
    <s v="North"/>
    <s v="R005"/>
    <n v="782445.33"/>
    <s v="North"/>
    <s v="Electronics"/>
    <n v="1559"/>
  </r>
  <r>
    <s v="ORD-01089"/>
    <d v="2024-02-10T00:00:00"/>
    <s v="CUST-0100"/>
    <s v="PROD-011"/>
    <s v="R019"/>
    <n v="8"/>
    <n v="3450"/>
    <n v="20.6"/>
    <n v="21914.400000000001"/>
    <s v="Completed"/>
    <x v="5"/>
    <s v="Apparel"/>
    <s v="Corporate"/>
    <n v="60"/>
    <s v="East"/>
    <s v="R019"/>
    <n v="971183.52000000014"/>
    <s v="East"/>
    <s v="Apparel"/>
    <n v="1748"/>
  </r>
  <r>
    <s v="ORD-01090"/>
    <d v="2024-04-24T00:00:00"/>
    <s v="CUST-0263"/>
    <s v="PROD-053"/>
    <s v="R002"/>
    <n v="1"/>
    <n v="470"/>
    <n v="5.4"/>
    <n v="444.62"/>
    <s v="Refunded"/>
    <x v="3"/>
    <s v="Sports"/>
    <s v="Retail"/>
    <n v="40"/>
    <s v="North"/>
    <s v="R002"/>
    <n v="980063.65999999968"/>
    <s v="North"/>
    <s v="Sports"/>
    <n v="302"/>
  </r>
  <r>
    <s v="ORD-01091"/>
    <d v="2024-04-23T00:00:00"/>
    <s v="CUST-0032"/>
    <s v="PROD-006"/>
    <s v="R009"/>
    <n v="5"/>
    <n v="3970"/>
    <n v="5.8"/>
    <n v="18698.7"/>
    <s v="Completed"/>
    <x v="5"/>
    <s v="Electronics"/>
    <s v="Retail"/>
    <n v="28"/>
    <s v="South"/>
    <s v="R009"/>
    <n v="914554.71999999986"/>
    <s v="South"/>
    <s v="Electronics"/>
    <n v="2865"/>
  </r>
  <r>
    <s v="ORD-01092"/>
    <d v="2024-06-26T00:00:00"/>
    <s v="CUST-0227"/>
    <s v="PROD-048"/>
    <s v="R012"/>
    <n v="2"/>
    <n v="5100"/>
    <n v="19.899999999999999"/>
    <n v="8170.2"/>
    <s v="Completed"/>
    <x v="4"/>
    <s v="Beauty"/>
    <s v="SMB"/>
    <n v="44"/>
    <s v="South"/>
    <s v="R012"/>
    <n v="901394.32000000007"/>
    <s v="South"/>
    <s v="Beauty"/>
    <n v="2237"/>
  </r>
  <r>
    <s v="ORD-01093"/>
    <d v="2024-12-30T00:00:00"/>
    <s v="CUST-0124"/>
    <s v="PROD-047"/>
    <s v="R001"/>
    <n v="6"/>
    <n v="3450"/>
    <n v="13"/>
    <n v="18009"/>
    <s v="Completed"/>
    <x v="0"/>
    <s v="Beauty"/>
    <s v="Retail"/>
    <n v="57"/>
    <s v="North"/>
    <s v="R001"/>
    <n v="789849.60000000009"/>
    <s v="North"/>
    <s v="Beauty"/>
    <n v="2420"/>
  </r>
  <r>
    <s v="ORD-01094"/>
    <d v="2024-12-27T00:00:00"/>
    <s v="CUST-0276"/>
    <s v="PROD-031"/>
    <s v="R012"/>
    <n v="9"/>
    <n v="3730"/>
    <n v="15.5"/>
    <n v="28366.65"/>
    <s v="Completed"/>
    <x v="1"/>
    <s v="Home"/>
    <s v="Retail"/>
    <n v="26"/>
    <s v="South"/>
    <s v="R012"/>
    <n v="901394.32000000007"/>
    <s v="South"/>
    <s v="Home"/>
    <n v="2135"/>
  </r>
  <r>
    <s v="ORD-01095"/>
    <d v="2024-05-28T00:00:00"/>
    <s v="CUST-0100"/>
    <s v="PROD-049"/>
    <s v="R020"/>
    <n v="5"/>
    <n v="960"/>
    <n v="9.3000000000000007"/>
    <n v="4353.6000000000004"/>
    <s v="Completed"/>
    <x v="5"/>
    <s v="Beauty"/>
    <s v="Corporate"/>
    <n v="60"/>
    <s v="East"/>
    <s v="R020"/>
    <n v="906107.71000000008"/>
    <s v="East"/>
    <s v="Beauty"/>
    <n v="675"/>
  </r>
  <r>
    <s v="ORD-01096"/>
    <d v="2024-08-07T00:00:00"/>
    <s v="CUST-0221"/>
    <s v="PROD-034"/>
    <s v="R008"/>
    <n v="3"/>
    <n v="5080"/>
    <n v="17.399999999999999"/>
    <n v="12588.24"/>
    <s v="Cancelled"/>
    <x v="2"/>
    <s v="Home"/>
    <s v="SMB"/>
    <n v="29"/>
    <s v="North"/>
    <s v="R008"/>
    <n v="861553.33"/>
    <s v="North"/>
    <s v="Home"/>
    <n v="2459"/>
  </r>
  <r>
    <s v="ORD-01097"/>
    <d v="2024-01-09T00:00:00"/>
    <s v="CUST-0266"/>
    <s v="PROD-004"/>
    <s v="R003"/>
    <n v="4"/>
    <n v="3870"/>
    <n v="20.5"/>
    <n v="12306.6"/>
    <s v="Pending"/>
    <x v="0"/>
    <s v="Electronics"/>
    <s v="Retail"/>
    <n v="65"/>
    <s v="North"/>
    <s v="R003"/>
    <n v="986692.91"/>
    <s v="North"/>
    <s v="Electronics"/>
    <n v="1559"/>
  </r>
  <r>
    <s v="ORD-01098"/>
    <d v="2024-08-24T00:00:00"/>
    <s v="CUST-0210"/>
    <s v="PROD-059"/>
    <s v="R024"/>
    <n v="1"/>
    <n v="3780"/>
    <n v="21.5"/>
    <n v="2967.3"/>
    <s v="Completed"/>
    <x v="0"/>
    <s v="Sports"/>
    <s v="Corporate"/>
    <n v="48"/>
    <s v="West"/>
    <s v="R024"/>
    <n v="819558.58"/>
    <s v="West"/>
    <s v="Sports"/>
    <n v="1860"/>
  </r>
  <r>
    <s v="ORD-01099"/>
    <d v="2024-11-26T00:00:00"/>
    <s v="CUST-0293"/>
    <s v="PROD-004"/>
    <s v="R017"/>
    <n v="3"/>
    <n v="3870"/>
    <n v="21.9"/>
    <n v="9067.41"/>
    <s v="Pending"/>
    <x v="4"/>
    <s v="Electronics"/>
    <s v="Retail"/>
    <n v="27"/>
    <s v="East"/>
    <s v="R017"/>
    <n v="780384.40999999992"/>
    <s v="East"/>
    <s v="Electronics"/>
    <n v="1559"/>
  </r>
  <r>
    <s v="ORD-01100"/>
    <d v="2024-06-20T00:00:00"/>
    <s v="CUST-0291"/>
    <s v="PROD-033"/>
    <s v="R009"/>
    <n v="4"/>
    <n v="2030"/>
    <n v="23.4"/>
    <n v="6219.92"/>
    <s v="Completed"/>
    <x v="0"/>
    <s v="Home"/>
    <s v="SMB"/>
    <n v="29"/>
    <s v="South"/>
    <s v="R009"/>
    <n v="914554.71999999986"/>
    <s v="South"/>
    <s v="Home"/>
    <n v="1143"/>
  </r>
  <r>
    <s v="ORD-01101"/>
    <d v="2024-04-25T00:00:00"/>
    <s v="CUST-0295"/>
    <s v="PROD-029"/>
    <s v="R003"/>
    <n v="6"/>
    <n v="2210"/>
    <n v="9.1"/>
    <n v="12053.34"/>
    <s v="Completed"/>
    <x v="2"/>
    <s v="Grocery"/>
    <s v="SMB"/>
    <n v="48"/>
    <s v="North"/>
    <s v="R003"/>
    <n v="986692.91"/>
    <s v="North"/>
    <s v="Grocery"/>
    <n v="1010"/>
  </r>
  <r>
    <s v="ORD-01102"/>
    <d v="2024-12-01T00:00:00"/>
    <s v="CUST-0123"/>
    <s v="PROD-041"/>
    <s v="R017"/>
    <n v="5"/>
    <n v="1540"/>
    <n v="18.100000000000001"/>
    <n v="6306.3"/>
    <s v="Completed"/>
    <x v="1"/>
    <s v="Beauty"/>
    <s v="Corporate"/>
    <n v="44"/>
    <s v="East"/>
    <s v="R017"/>
    <n v="780384.40999999992"/>
    <s v="East"/>
    <s v="Beauty"/>
    <n v="647"/>
  </r>
  <r>
    <s v="ORD-01103"/>
    <d v="2024-04-11T00:00:00"/>
    <s v="CUST-0167"/>
    <s v="PROD-054"/>
    <s v="R011"/>
    <n v="1"/>
    <n v="1010"/>
    <n v="7.3"/>
    <n v="936.27"/>
    <s v="Completed"/>
    <x v="2"/>
    <s v="Sports"/>
    <s v="Retail"/>
    <n v="43"/>
    <s v="South"/>
    <s v="R011"/>
    <n v="735207.75999999989"/>
    <s v="South"/>
    <s v="Sports"/>
    <n v="516"/>
  </r>
  <r>
    <s v="ORD-01104"/>
    <d v="2024-03-09T00:00:00"/>
    <s v="CUST-0247"/>
    <s v="PROD-001"/>
    <s v="R015"/>
    <n v="10"/>
    <n v="5330"/>
    <n v="27.3"/>
    <n v="38749.1"/>
    <s v="Completed"/>
    <x v="0"/>
    <s v="Electronics"/>
    <s v="SMB"/>
    <n v="35"/>
    <s v="South"/>
    <s v="R015"/>
    <n v="1091740.1799999997"/>
    <s v="South"/>
    <s v="Electronics"/>
    <n v="2405"/>
  </r>
  <r>
    <s v="ORD-01105"/>
    <d v="2024-09-13T00:00:00"/>
    <s v="CUST-0224"/>
    <s v="PROD-003"/>
    <s v="R022"/>
    <n v="7"/>
    <n v="3570"/>
    <n v="24.3"/>
    <n v="18917.43"/>
    <s v="Completed"/>
    <x v="1"/>
    <s v="Electronics"/>
    <s v="Corporate"/>
    <n v="24"/>
    <s v="East"/>
    <s v="R022"/>
    <n v="1069570.5400000003"/>
    <s v="East"/>
    <s v="Electronics"/>
    <n v="1665"/>
  </r>
  <r>
    <s v="ORD-01106"/>
    <d v="2024-10-04T00:00:00"/>
    <s v="CUST-0102"/>
    <s v="PROD-043"/>
    <s v="R017"/>
    <n v="1"/>
    <n v="3350"/>
    <n v="14.9"/>
    <n v="2850.85"/>
    <s v="Completed"/>
    <x v="1"/>
    <s v="Beauty"/>
    <s v="SMB"/>
    <n v="62"/>
    <s v="East"/>
    <s v="R017"/>
    <n v="780384.40999999992"/>
    <s v="East"/>
    <s v="Beauty"/>
    <n v="1728"/>
  </r>
  <r>
    <s v="ORD-01107"/>
    <d v="2024-09-06T00:00:00"/>
    <s v="CUST-0151"/>
    <s v="PROD-017"/>
    <s v="R023"/>
    <n v="2"/>
    <n v="2510"/>
    <n v="10.6"/>
    <n v="4487.88"/>
    <s v="Completed"/>
    <x v="3"/>
    <s v="Apparel"/>
    <s v="Retail"/>
    <n v="53"/>
    <s v="East"/>
    <s v="R023"/>
    <n v="983787.4800000001"/>
    <s v="East"/>
    <s v="Apparel"/>
    <n v="1075"/>
  </r>
  <r>
    <s v="ORD-01108"/>
    <d v="2024-03-18T00:00:00"/>
    <s v="CUST-0182"/>
    <s v="PROD-030"/>
    <s v="R025"/>
    <n v="5"/>
    <n v="970"/>
    <n v="6.8"/>
    <n v="4520.2"/>
    <s v="Pending"/>
    <x v="3"/>
    <s v="Grocery"/>
    <s v="Retail"/>
    <n v="54"/>
    <s v="West"/>
    <s v="R025"/>
    <n v="901298.89"/>
    <s v="West"/>
    <s v="Grocery"/>
    <n v="434"/>
  </r>
  <r>
    <s v="ORD-01109"/>
    <d v="2024-08-15T00:00:00"/>
    <s v="CUST-0152"/>
    <s v="PROD-027"/>
    <s v="R002"/>
    <n v="5"/>
    <n v="3780"/>
    <n v="16.600000000000001"/>
    <n v="15762.6"/>
    <s v="Completed"/>
    <x v="4"/>
    <s v="Grocery"/>
    <s v="SMB"/>
    <n v="64"/>
    <s v="North"/>
    <s v="R002"/>
    <n v="980063.65999999968"/>
    <s v="North"/>
    <s v="Grocery"/>
    <n v="2436"/>
  </r>
  <r>
    <s v="ORD-01110"/>
    <d v="2024-03-28T00:00:00"/>
    <s v="CUST-0247"/>
    <s v="PROD-017"/>
    <s v="R007"/>
    <n v="3"/>
    <n v="2510"/>
    <n v="24.9"/>
    <n v="5655.03"/>
    <s v="Cancelled"/>
    <x v="0"/>
    <s v="Apparel"/>
    <s v="SMB"/>
    <n v="35"/>
    <s v="North"/>
    <s v="R007"/>
    <n v="855749.67999999982"/>
    <s v="North"/>
    <s v="Apparel"/>
    <n v="1075"/>
  </r>
  <r>
    <s v="ORD-01111"/>
    <d v="2024-09-13T00:00:00"/>
    <s v="CUST-0220"/>
    <s v="PROD-033"/>
    <s v="R008"/>
    <n v="3"/>
    <n v="2030"/>
    <n v="3.8"/>
    <n v="5858.58"/>
    <s v="Completed"/>
    <x v="1"/>
    <s v="Home"/>
    <s v="Retail"/>
    <n v="34"/>
    <s v="North"/>
    <s v="R008"/>
    <n v="861553.33"/>
    <s v="North"/>
    <s v="Home"/>
    <n v="1143"/>
  </r>
  <r>
    <s v="ORD-01112"/>
    <d v="2024-07-05T00:00:00"/>
    <s v="CUST-0206"/>
    <s v="PROD-060"/>
    <s v="R014"/>
    <n v="9"/>
    <n v="190"/>
    <n v="5.4"/>
    <n v="1617.66"/>
    <s v="Completed"/>
    <x v="3"/>
    <s v="Sports"/>
    <s v="Retail"/>
    <n v="40"/>
    <s v="South"/>
    <s v="R014"/>
    <n v="995713.54000000015"/>
    <s v="South"/>
    <s v="Sports"/>
    <n v="147"/>
  </r>
  <r>
    <s v="ORD-01113"/>
    <d v="2024-02-16T00:00:00"/>
    <s v="CUST-0219"/>
    <s v="PROD-029"/>
    <s v="R020"/>
    <n v="6"/>
    <n v="2210"/>
    <n v="29.4"/>
    <n v="9361.56"/>
    <s v="Completed"/>
    <x v="1"/>
    <s v="Grocery"/>
    <s v="Corporate"/>
    <n v="38"/>
    <s v="East"/>
    <s v="R020"/>
    <n v="906107.71000000008"/>
    <s v="East"/>
    <s v="Grocery"/>
    <n v="1010"/>
  </r>
  <r>
    <s v="ORD-01114"/>
    <d v="2024-09-11T00:00:00"/>
    <s v="CUST-0298"/>
    <s v="PROD-013"/>
    <s v="R005"/>
    <n v="4"/>
    <n v="3640"/>
    <n v="0.6"/>
    <n v="14472.64"/>
    <s v="Completed"/>
    <x v="2"/>
    <s v="Apparel"/>
    <s v="Retail"/>
    <n v="44"/>
    <s v="North"/>
    <s v="R005"/>
    <n v="782445.33"/>
    <s v="North"/>
    <s v="Apparel"/>
    <n v="2611"/>
  </r>
  <r>
    <s v="ORD-01115"/>
    <d v="2024-11-30T00:00:00"/>
    <s v="CUST-0254"/>
    <s v="PROD-009"/>
    <s v="R009"/>
    <n v="9"/>
    <n v="1220"/>
    <n v="24.1"/>
    <n v="8333.82"/>
    <s v="Completed"/>
    <x v="4"/>
    <s v="Electronics"/>
    <s v="Retail"/>
    <n v="35"/>
    <s v="South"/>
    <s v="R009"/>
    <n v="914554.71999999986"/>
    <s v="South"/>
    <s v="Electronics"/>
    <n v="517"/>
  </r>
  <r>
    <s v="ORD-01116"/>
    <d v="2024-04-20T00:00:00"/>
    <s v="CUST-0085"/>
    <s v="PROD-056"/>
    <s v="R009"/>
    <n v="2"/>
    <n v="6940"/>
    <n v="27"/>
    <n v="10132.4"/>
    <s v="Completed"/>
    <x v="1"/>
    <s v="Sports"/>
    <s v="Retail"/>
    <n v="26"/>
    <s v="South"/>
    <s v="R009"/>
    <n v="914554.71999999986"/>
    <s v="South"/>
    <s v="Sports"/>
    <n v="2827"/>
  </r>
  <r>
    <s v="ORD-01117"/>
    <d v="2024-11-08T00:00:00"/>
    <s v="CUST-0181"/>
    <s v="PROD-055"/>
    <s v="R010"/>
    <n v="6"/>
    <n v="2860"/>
    <n v="6.6"/>
    <n v="16027.44"/>
    <s v="Completed"/>
    <x v="2"/>
    <s v="Sports"/>
    <s v="SMB"/>
    <n v="38"/>
    <s v="South"/>
    <s v="R010"/>
    <n v="880345.20000000007"/>
    <s v="South"/>
    <s v="Sports"/>
    <n v="2028"/>
  </r>
  <r>
    <s v="ORD-01118"/>
    <d v="2024-09-10T00:00:00"/>
    <s v="CUST-0143"/>
    <s v="PROD-015"/>
    <s v="R018"/>
    <n v="5"/>
    <n v="2720"/>
    <n v="21.4"/>
    <n v="10689.6"/>
    <s v="Completed"/>
    <x v="1"/>
    <s v="Apparel"/>
    <s v="SMB"/>
    <n v="52"/>
    <s v="East"/>
    <s v="R018"/>
    <n v="1112289.6400000001"/>
    <s v="East"/>
    <s v="Apparel"/>
    <n v="1962"/>
  </r>
  <r>
    <s v="ORD-01119"/>
    <d v="2024-06-02T00:00:00"/>
    <s v="CUST-0263"/>
    <s v="PROD-020"/>
    <s v="R006"/>
    <n v="5"/>
    <n v="820"/>
    <n v="28.6"/>
    <n v="2927.4"/>
    <s v="Completed"/>
    <x v="3"/>
    <s v="Apparel"/>
    <s v="Retail"/>
    <n v="40"/>
    <s v="North"/>
    <s v="R006"/>
    <n v="1138648.73"/>
    <s v="North"/>
    <s v="Apparel"/>
    <n v="391"/>
  </r>
  <r>
    <s v="ORD-01120"/>
    <d v="2024-07-16T00:00:00"/>
    <s v="CUST-0105"/>
    <s v="PROD-042"/>
    <s v="R022"/>
    <n v="6"/>
    <n v="2290"/>
    <n v="18.8"/>
    <n v="11156.88"/>
    <s v="Completed"/>
    <x v="1"/>
    <s v="Beauty"/>
    <s v="SMB"/>
    <n v="51"/>
    <s v="East"/>
    <s v="R022"/>
    <n v="1069570.5400000003"/>
    <s v="East"/>
    <s v="Beauty"/>
    <n v="1219"/>
  </r>
  <r>
    <s v="ORD-01121"/>
    <d v="2024-04-12T00:00:00"/>
    <s v="CUST-0256"/>
    <s v="PROD-047"/>
    <s v="R021"/>
    <n v="6"/>
    <n v="3450"/>
    <n v="28.4"/>
    <n v="14821.2"/>
    <s v="Completed"/>
    <x v="5"/>
    <s v="Beauty"/>
    <s v="Retail"/>
    <n v="28"/>
    <s v="East"/>
    <s v="R021"/>
    <n v="761507.17000000027"/>
    <s v="East"/>
    <s v="Beauty"/>
    <n v="2420"/>
  </r>
  <r>
    <s v="ORD-01122"/>
    <d v="2024-02-18T00:00:00"/>
    <s v="CUST-0260"/>
    <s v="PROD-033"/>
    <s v="R002"/>
    <n v="10"/>
    <n v="2030"/>
    <n v="8"/>
    <n v="18676"/>
    <s v="Completed"/>
    <x v="4"/>
    <s v="Home"/>
    <s v="Retail"/>
    <n v="42"/>
    <s v="North"/>
    <s v="R002"/>
    <n v="980063.65999999968"/>
    <s v="North"/>
    <s v="Home"/>
    <n v="1143"/>
  </r>
  <r>
    <s v="ORD-01123"/>
    <d v="2024-03-27T00:00:00"/>
    <s v="CUST-0233"/>
    <s v="PROD-058"/>
    <s v="R022"/>
    <n v="1"/>
    <n v="2400"/>
    <n v="9.6999999999999993"/>
    <n v="2167.1999999999998"/>
    <s v="Completed"/>
    <x v="3"/>
    <s v="Sports"/>
    <s v="SMB"/>
    <n v="65"/>
    <s v="East"/>
    <s v="R022"/>
    <n v="1069570.5400000003"/>
    <s v="East"/>
    <s v="Sports"/>
    <n v="974"/>
  </r>
  <r>
    <s v="ORD-01124"/>
    <d v="2024-03-18T00:00:00"/>
    <s v="CUST-0183"/>
    <s v="PROD-033"/>
    <s v="R014"/>
    <n v="4"/>
    <n v="2030"/>
    <n v="24.8"/>
    <n v="6106.24"/>
    <s v="Pending"/>
    <x v="3"/>
    <s v="Home"/>
    <s v="SMB"/>
    <n v="27"/>
    <s v="South"/>
    <s v="R014"/>
    <n v="995713.54000000015"/>
    <s v="South"/>
    <s v="Home"/>
    <n v="1143"/>
  </r>
  <r>
    <s v="ORD-01125"/>
    <d v="2024-08-09T00:00:00"/>
    <s v="CUST-0142"/>
    <s v="PROD-025"/>
    <s v="R002"/>
    <n v="5"/>
    <n v="4060"/>
    <n v="9.1"/>
    <n v="18452.7"/>
    <s v="Pending"/>
    <x v="1"/>
    <s v="Grocery"/>
    <s v="Corporate"/>
    <n v="55"/>
    <s v="North"/>
    <s v="R002"/>
    <n v="980063.65999999968"/>
    <s v="North"/>
    <s v="Grocery"/>
    <n v="2911"/>
  </r>
  <r>
    <s v="ORD-01126"/>
    <d v="2024-05-26T00:00:00"/>
    <s v="CUST-0150"/>
    <s v="PROD-033"/>
    <s v="R013"/>
    <n v="9"/>
    <n v="2030"/>
    <n v="15.9"/>
    <n v="15365.07"/>
    <s v="Pending"/>
    <x v="0"/>
    <s v="Home"/>
    <s v="SMB"/>
    <n v="53"/>
    <s v="South"/>
    <s v="R013"/>
    <n v="811524.37999999989"/>
    <s v="South"/>
    <s v="Home"/>
    <n v="1143"/>
  </r>
  <r>
    <s v="ORD-01127"/>
    <d v="2024-08-25T00:00:00"/>
    <s v="CUST-0001"/>
    <s v="PROD-043"/>
    <s v="R014"/>
    <n v="1"/>
    <n v="3350"/>
    <n v="23.2"/>
    <n v="2572.8000000000002"/>
    <s v="Refunded"/>
    <x v="0"/>
    <s v="Beauty"/>
    <s v="Retail"/>
    <n v="36"/>
    <s v="South"/>
    <s v="R014"/>
    <n v="995713.54000000015"/>
    <s v="South"/>
    <s v="Beauty"/>
    <n v="1728"/>
  </r>
  <r>
    <s v="ORD-01128"/>
    <d v="2024-12-08T00:00:00"/>
    <s v="CUST-0104"/>
    <s v="PROD-037"/>
    <s v="R006"/>
    <n v="4"/>
    <n v="660"/>
    <n v="27.1"/>
    <n v="1924.56"/>
    <s v="Completed"/>
    <x v="5"/>
    <s v="Home"/>
    <s v="Corporate"/>
    <n v="43"/>
    <s v="North"/>
    <s v="R006"/>
    <n v="1138648.73"/>
    <s v="North"/>
    <s v="Home"/>
    <n v="329"/>
  </r>
  <r>
    <s v="ORD-01129"/>
    <d v="2024-05-29T00:00:00"/>
    <s v="CUST-0261"/>
    <s v="PROD-045"/>
    <s v="R014"/>
    <n v="3"/>
    <n v="3020"/>
    <n v="7.2"/>
    <n v="8407.68"/>
    <s v="Completed"/>
    <x v="2"/>
    <s v="Beauty"/>
    <s v="Retail"/>
    <n v="54"/>
    <s v="South"/>
    <s v="R014"/>
    <n v="995713.54000000015"/>
    <s v="South"/>
    <s v="Beauty"/>
    <n v="1626"/>
  </r>
  <r>
    <s v="ORD-01130"/>
    <d v="2024-04-27T00:00:00"/>
    <s v="CUST-0010"/>
    <s v="PROD-008"/>
    <s v="R006"/>
    <n v="3"/>
    <n v="2660"/>
    <n v="0.2"/>
    <n v="7964.04"/>
    <s v="Completed"/>
    <x v="3"/>
    <s v="Electronics"/>
    <s v="SMB"/>
    <n v="61"/>
    <s v="North"/>
    <s v="R006"/>
    <n v="1138648.73"/>
    <s v="North"/>
    <s v="Electronics"/>
    <n v="1259"/>
  </r>
  <r>
    <s v="ORD-01131"/>
    <d v="2024-12-24T00:00:00"/>
    <s v="CUST-0237"/>
    <s v="PROD-054"/>
    <s v="R006"/>
    <n v="4"/>
    <n v="1010"/>
    <n v="3.1"/>
    <n v="3914.76"/>
    <s v="Completed"/>
    <x v="3"/>
    <s v="Sports"/>
    <s v="Retail"/>
    <n v="49"/>
    <s v="North"/>
    <s v="R006"/>
    <n v="1138648.73"/>
    <s v="North"/>
    <s v="Sports"/>
    <n v="516"/>
  </r>
  <r>
    <s v="ORD-01132"/>
    <d v="2024-03-29T00:00:00"/>
    <s v="CUST-0128"/>
    <s v="PROD-038"/>
    <s v="R017"/>
    <n v="5"/>
    <n v="5490"/>
    <n v="3.6"/>
    <n v="26461.8"/>
    <s v="Completed"/>
    <x v="5"/>
    <s v="Home"/>
    <s v="Retail"/>
    <n v="35"/>
    <s v="East"/>
    <s v="R017"/>
    <n v="780384.40999999992"/>
    <s v="East"/>
    <s v="Home"/>
    <n v="2549"/>
  </r>
  <r>
    <s v="ORD-01133"/>
    <d v="2024-01-31T00:00:00"/>
    <s v="CUST-0182"/>
    <s v="PROD-058"/>
    <s v="R019"/>
    <n v="1"/>
    <n v="2400"/>
    <n v="24.3"/>
    <n v="1816.8"/>
    <s v="Completed"/>
    <x v="3"/>
    <s v="Sports"/>
    <s v="Retail"/>
    <n v="54"/>
    <s v="East"/>
    <s v="R019"/>
    <n v="971183.52000000014"/>
    <s v="East"/>
    <s v="Sports"/>
    <n v="974"/>
  </r>
  <r>
    <s v="ORD-01134"/>
    <d v="2024-08-28T00:00:00"/>
    <s v="CUST-0131"/>
    <s v="PROD-037"/>
    <s v="R009"/>
    <n v="8"/>
    <n v="660"/>
    <n v="19.8"/>
    <n v="4234.5600000000004"/>
    <s v="Completed"/>
    <x v="2"/>
    <s v="Home"/>
    <s v="SMB"/>
    <n v="28"/>
    <s v="South"/>
    <s v="R009"/>
    <n v="914554.71999999986"/>
    <s v="South"/>
    <s v="Home"/>
    <n v="329"/>
  </r>
  <r>
    <s v="ORD-01135"/>
    <d v="2024-07-31T00:00:00"/>
    <s v="CUST-0023"/>
    <s v="PROD-001"/>
    <s v="R016"/>
    <n v="9"/>
    <n v="5330"/>
    <n v="16.5"/>
    <n v="40054.949999999997"/>
    <s v="Completed"/>
    <x v="1"/>
    <s v="Electronics"/>
    <s v="SMB"/>
    <n v="43"/>
    <s v="South"/>
    <s v="R016"/>
    <n v="814563.7100000002"/>
    <s v="South"/>
    <s v="Electronics"/>
    <n v="2405"/>
  </r>
  <r>
    <s v="ORD-01136"/>
    <d v="2024-08-12T00:00:00"/>
    <s v="CUST-0171"/>
    <s v="PROD-002"/>
    <s v="R007"/>
    <n v="5"/>
    <n v="2600"/>
    <n v="0.3"/>
    <n v="12961"/>
    <s v="Completed"/>
    <x v="1"/>
    <s v="Electronics"/>
    <s v="Corporate"/>
    <n v="30"/>
    <s v="North"/>
    <s v="R007"/>
    <n v="855749.67999999982"/>
    <s v="North"/>
    <s v="Electronics"/>
    <n v="1052"/>
  </r>
  <r>
    <s v="ORD-01137"/>
    <d v="2024-06-19T00:00:00"/>
    <s v="CUST-0116"/>
    <s v="PROD-034"/>
    <s v="R018"/>
    <n v="4"/>
    <n v="5080"/>
    <n v="13.8"/>
    <n v="17515.84"/>
    <s v="Pending"/>
    <x v="4"/>
    <s v="Home"/>
    <s v="Retail"/>
    <n v="53"/>
    <s v="East"/>
    <s v="R018"/>
    <n v="1112289.6400000001"/>
    <s v="East"/>
    <s v="Home"/>
    <n v="2459"/>
  </r>
  <r>
    <s v="ORD-01138"/>
    <d v="2024-11-01T00:00:00"/>
    <s v="CUST-0021"/>
    <s v="PROD-023"/>
    <s v="R002"/>
    <n v="7"/>
    <n v="2380"/>
    <n v="15.5"/>
    <n v="14077.7"/>
    <s v="Completed"/>
    <x v="0"/>
    <s v="Grocery"/>
    <s v="Retail"/>
    <n v="44"/>
    <s v="North"/>
    <s v="R002"/>
    <n v="980063.65999999968"/>
    <s v="North"/>
    <s v="Grocery"/>
    <n v="1182"/>
  </r>
  <r>
    <s v="ORD-01139"/>
    <d v="2024-12-22T00:00:00"/>
    <s v="CUST-0234"/>
    <s v="PROD-046"/>
    <s v="R006"/>
    <n v="3"/>
    <n v="4880"/>
    <n v="6.1"/>
    <n v="13746.96"/>
    <s v="Completed"/>
    <x v="4"/>
    <s v="Beauty"/>
    <s v="Retail"/>
    <n v="34"/>
    <s v="North"/>
    <s v="R006"/>
    <n v="1138648.73"/>
    <s v="North"/>
    <s v="Beauty"/>
    <n v="2768"/>
  </r>
  <r>
    <s v="ORD-01140"/>
    <d v="2024-03-04T00:00:00"/>
    <s v="CUST-0225"/>
    <s v="PROD-043"/>
    <s v="R009"/>
    <n v="2"/>
    <n v="3350"/>
    <n v="17.2"/>
    <n v="5547.6"/>
    <s v="Completed"/>
    <x v="1"/>
    <s v="Beauty"/>
    <s v="SMB"/>
    <n v="26"/>
    <s v="South"/>
    <s v="R009"/>
    <n v="914554.71999999986"/>
    <s v="South"/>
    <s v="Beauty"/>
    <n v="1728"/>
  </r>
  <r>
    <s v="ORD-01141"/>
    <d v="2024-02-09T00:00:00"/>
    <s v="CUST-0268"/>
    <s v="PROD-030"/>
    <s v="R024"/>
    <n v="5"/>
    <n v="970"/>
    <n v="23.6"/>
    <n v="3705.4"/>
    <s v="Completed"/>
    <x v="1"/>
    <s v="Grocery"/>
    <s v="Retail"/>
    <n v="35"/>
    <s v="West"/>
    <s v="R024"/>
    <n v="819558.58"/>
    <s v="West"/>
    <s v="Grocery"/>
    <n v="434"/>
  </r>
  <r>
    <s v="ORD-01142"/>
    <d v="2024-12-06T00:00:00"/>
    <s v="CUST-0248"/>
    <s v="PROD-005"/>
    <s v="R022"/>
    <n v="5"/>
    <n v="300"/>
    <n v="3.8"/>
    <n v="1443"/>
    <s v="Completed"/>
    <x v="1"/>
    <s v="Electronics"/>
    <s v="SMB"/>
    <n v="57"/>
    <s v="East"/>
    <s v="R022"/>
    <n v="1069570.5400000003"/>
    <s v="East"/>
    <s v="Electronics"/>
    <n v="128"/>
  </r>
  <r>
    <s v="ORD-01143"/>
    <d v="2024-03-07T00:00:00"/>
    <s v="CUST-0026"/>
    <s v="PROD-006"/>
    <s v="R005"/>
    <n v="9"/>
    <n v="3970"/>
    <n v="0.8"/>
    <n v="35444.160000000003"/>
    <s v="Completed"/>
    <x v="0"/>
    <s v="Electronics"/>
    <s v="Retail"/>
    <n v="62"/>
    <s v="North"/>
    <s v="R005"/>
    <n v="782445.33"/>
    <s v="North"/>
    <s v="Electronics"/>
    <n v="2865"/>
  </r>
  <r>
    <s v="ORD-01144"/>
    <d v="2024-05-28T00:00:00"/>
    <s v="CUST-0257"/>
    <s v="PROD-015"/>
    <s v="R013"/>
    <n v="4"/>
    <n v="2720"/>
    <n v="12.7"/>
    <n v="9498.24"/>
    <s v="Completed"/>
    <x v="3"/>
    <s v="Apparel"/>
    <s v="Corporate"/>
    <n v="46"/>
    <s v="South"/>
    <s v="R013"/>
    <n v="811524.37999999989"/>
    <s v="South"/>
    <s v="Apparel"/>
    <n v="1962"/>
  </r>
  <r>
    <s v="ORD-01145"/>
    <d v="2024-04-30T00:00:00"/>
    <s v="CUST-0258"/>
    <s v="PROD-016"/>
    <s v="R021"/>
    <n v="3"/>
    <n v="620"/>
    <n v="5.5"/>
    <n v="1757.7"/>
    <s v="Completed"/>
    <x v="0"/>
    <s v="Apparel"/>
    <s v="Retail"/>
    <n v="44"/>
    <s v="East"/>
    <s v="R021"/>
    <n v="761507.17000000027"/>
    <s v="East"/>
    <s v="Apparel"/>
    <n v="396"/>
  </r>
  <r>
    <s v="ORD-01146"/>
    <d v="2024-07-06T00:00:00"/>
    <s v="CUST-0142"/>
    <s v="PROD-041"/>
    <s v="R024"/>
    <n v="2"/>
    <n v="1540"/>
    <n v="2.2000000000000002"/>
    <n v="3012.24"/>
    <s v="Pending"/>
    <x v="1"/>
    <s v="Beauty"/>
    <s v="Corporate"/>
    <n v="55"/>
    <s v="West"/>
    <s v="R024"/>
    <n v="819558.58"/>
    <s v="West"/>
    <s v="Beauty"/>
    <n v="647"/>
  </r>
  <r>
    <s v="ORD-01147"/>
    <d v="2024-08-30T00:00:00"/>
    <s v="CUST-0020"/>
    <s v="PROD-042"/>
    <s v="R026"/>
    <n v="1"/>
    <n v="2290"/>
    <n v="24.4"/>
    <n v="1731.24"/>
    <s v="Cancelled"/>
    <x v="5"/>
    <s v="Beauty"/>
    <s v="Retail"/>
    <n v="46"/>
    <s v="West"/>
    <s v="R026"/>
    <n v="576305.08000000019"/>
    <s v="West"/>
    <s v="Beauty"/>
    <n v="1219"/>
  </r>
  <r>
    <s v="ORD-01148"/>
    <d v="2024-01-22T00:00:00"/>
    <s v="CUST-0016"/>
    <s v="PROD-015"/>
    <s v="R018"/>
    <n v="8"/>
    <n v="2720"/>
    <n v="1.7"/>
    <n v="21390.080000000002"/>
    <s v="Completed"/>
    <x v="2"/>
    <s v="Apparel"/>
    <s v="SMB"/>
    <n v="26"/>
    <s v="East"/>
    <s v="R018"/>
    <n v="1112289.6400000001"/>
    <s v="East"/>
    <s v="Apparel"/>
    <n v="1962"/>
  </r>
  <r>
    <s v="ORD-01149"/>
    <d v="2024-04-08T00:00:00"/>
    <s v="CUST-0288"/>
    <s v="PROD-025"/>
    <s v="R023"/>
    <n v="4"/>
    <n v="4060"/>
    <n v="19.600000000000001"/>
    <n v="13056.96"/>
    <s v="Cancelled"/>
    <x v="5"/>
    <s v="Grocery"/>
    <s v="Corporate"/>
    <n v="25"/>
    <s v="East"/>
    <s v="R023"/>
    <n v="983787.4800000001"/>
    <s v="East"/>
    <s v="Grocery"/>
    <n v="2911"/>
  </r>
  <r>
    <s v="ORD-01150"/>
    <d v="2024-03-19T00:00:00"/>
    <s v="CUST-0133"/>
    <s v="PROD-003"/>
    <s v="R016"/>
    <n v="8"/>
    <n v="3570"/>
    <n v="10.8"/>
    <n v="25475.52"/>
    <s v="Completed"/>
    <x v="1"/>
    <s v="Electronics"/>
    <s v="Retail"/>
    <n v="26"/>
    <s v="South"/>
    <s v="R016"/>
    <n v="814563.7100000002"/>
    <s v="South"/>
    <s v="Electronics"/>
    <n v="1665"/>
  </r>
  <r>
    <s v="ORD-01151"/>
    <d v="2024-02-02T00:00:00"/>
    <s v="CUST-0192"/>
    <s v="PROD-051"/>
    <s v="R004"/>
    <n v="10"/>
    <n v="3450"/>
    <n v="13.5"/>
    <n v="29842.5"/>
    <s v="Pending"/>
    <x v="4"/>
    <s v="Sports"/>
    <s v="Retail"/>
    <n v="55"/>
    <s v="North"/>
    <s v="R004"/>
    <n v="589026.2899999998"/>
    <s v="North"/>
    <s v="Sports"/>
    <n v="2467"/>
  </r>
  <r>
    <s v="ORD-01152"/>
    <d v="2024-06-26T00:00:00"/>
    <s v="CUST-0298"/>
    <s v="PROD-010"/>
    <s v="R007"/>
    <n v="10"/>
    <n v="2640"/>
    <n v="29.8"/>
    <n v="18532.8"/>
    <s v="Completed"/>
    <x v="2"/>
    <s v="Electronics"/>
    <s v="Retail"/>
    <n v="44"/>
    <s v="North"/>
    <s v="R007"/>
    <n v="855749.67999999982"/>
    <s v="North"/>
    <s v="Electronics"/>
    <n v="1149"/>
  </r>
  <r>
    <s v="ORD-01153"/>
    <d v="2024-11-23T00:00:00"/>
    <s v="CUST-0088"/>
    <s v="PROD-032"/>
    <s v="R009"/>
    <n v="3"/>
    <n v="370"/>
    <n v="25.5"/>
    <n v="826.95"/>
    <s v="Completed"/>
    <x v="1"/>
    <s v="Home"/>
    <s v="Retail"/>
    <n v="24"/>
    <s v="South"/>
    <s v="R009"/>
    <n v="914554.71999999986"/>
    <s v="South"/>
    <s v="Home"/>
    <n v="288"/>
  </r>
  <r>
    <s v="ORD-01154"/>
    <d v="2024-12-01T00:00:00"/>
    <s v="CUST-0274"/>
    <s v="PROD-009"/>
    <s v="R030"/>
    <n v="3"/>
    <n v="1220"/>
    <n v="7.7"/>
    <n v="3378.18"/>
    <s v="Pending"/>
    <x v="4"/>
    <s v="Electronics"/>
    <s v="Corporate"/>
    <n v="36"/>
    <s v="West"/>
    <s v="R030"/>
    <n v="747624.36999999988"/>
    <s v="West"/>
    <s v="Electronics"/>
    <n v="517"/>
  </r>
  <r>
    <s v="ORD-01155"/>
    <d v="2024-07-26T00:00:00"/>
    <s v="CUST-0165"/>
    <s v="PROD-010"/>
    <s v="R022"/>
    <n v="1"/>
    <n v="2640"/>
    <n v="23.6"/>
    <n v="2016.96"/>
    <s v="Completed"/>
    <x v="0"/>
    <s v="Electronics"/>
    <s v="Retail"/>
    <n v="29"/>
    <s v="East"/>
    <s v="R022"/>
    <n v="1069570.5400000003"/>
    <s v="East"/>
    <s v="Electronics"/>
    <n v="1149"/>
  </r>
  <r>
    <s v="ORD-01156"/>
    <d v="2024-09-28T00:00:00"/>
    <s v="CUST-0275"/>
    <s v="PROD-048"/>
    <s v="R011"/>
    <n v="9"/>
    <n v="5100"/>
    <n v="9.5"/>
    <n v="41539.5"/>
    <s v="Completed"/>
    <x v="3"/>
    <s v="Beauty"/>
    <s v="Retail"/>
    <n v="36"/>
    <s v="South"/>
    <s v="R011"/>
    <n v="735207.75999999989"/>
    <s v="South"/>
    <s v="Beauty"/>
    <n v="2237"/>
  </r>
  <r>
    <s v="ORD-01157"/>
    <d v="2024-05-23T00:00:00"/>
    <s v="CUST-0225"/>
    <s v="PROD-050"/>
    <s v="R008"/>
    <n v="7"/>
    <n v="6080"/>
    <n v="17.5"/>
    <n v="35112"/>
    <s v="Completed"/>
    <x v="1"/>
    <s v="Beauty"/>
    <s v="SMB"/>
    <n v="26"/>
    <s v="North"/>
    <s v="R008"/>
    <n v="861553.33"/>
    <s v="North"/>
    <s v="Beauty"/>
    <n v="2617"/>
  </r>
  <r>
    <s v="ORD-01158"/>
    <d v="2024-11-06T00:00:00"/>
    <s v="CUST-0059"/>
    <s v="PROD-005"/>
    <s v="R026"/>
    <n v="1"/>
    <n v="300"/>
    <n v="26.9"/>
    <n v="219.3"/>
    <s v="Completed"/>
    <x v="0"/>
    <s v="Electronics"/>
    <s v="Corporate"/>
    <n v="29"/>
    <s v="West"/>
    <s v="R026"/>
    <n v="576305.08000000019"/>
    <s v="West"/>
    <s v="Electronics"/>
    <n v="128"/>
  </r>
  <r>
    <s v="ORD-01159"/>
    <d v="2024-12-24T00:00:00"/>
    <s v="CUST-0149"/>
    <s v="PROD-045"/>
    <s v="R020"/>
    <n v="6"/>
    <n v="3020"/>
    <n v="28.5"/>
    <n v="12955.8"/>
    <s v="Completed"/>
    <x v="5"/>
    <s v="Beauty"/>
    <s v="Retail"/>
    <n v="44"/>
    <s v="East"/>
    <s v="R020"/>
    <n v="906107.71000000008"/>
    <s v="East"/>
    <s v="Beauty"/>
    <n v="1626"/>
  </r>
  <r>
    <s v="ORD-01160"/>
    <d v="2024-01-03T00:00:00"/>
    <s v="CUST-0283"/>
    <s v="PROD-005"/>
    <s v="R018"/>
    <n v="8"/>
    <n v="300"/>
    <n v="1.2"/>
    <n v="2371.1999999999998"/>
    <s v="Completed"/>
    <x v="2"/>
    <s v="Electronics"/>
    <s v="SMB"/>
    <n v="50"/>
    <s v="East"/>
    <s v="R018"/>
    <n v="1112289.6400000001"/>
    <s v="East"/>
    <s v="Electronics"/>
    <n v="128"/>
  </r>
  <r>
    <s v="ORD-01161"/>
    <d v="2024-08-19T00:00:00"/>
    <s v="CUST-0039"/>
    <s v="PROD-043"/>
    <s v="R011"/>
    <n v="9"/>
    <n v="3350"/>
    <n v="0.6"/>
    <n v="29969.1"/>
    <s v="Refunded"/>
    <x v="4"/>
    <s v="Beauty"/>
    <s v="Retail"/>
    <n v="37"/>
    <s v="South"/>
    <s v="R011"/>
    <n v="735207.75999999989"/>
    <s v="South"/>
    <s v="Beauty"/>
    <n v="1728"/>
  </r>
  <r>
    <s v="ORD-01162"/>
    <d v="2024-07-06T00:00:00"/>
    <s v="CUST-0046"/>
    <s v="PROD-026"/>
    <s v="R024"/>
    <n v="4"/>
    <n v="4070"/>
    <n v="10.1"/>
    <n v="14635.72"/>
    <s v="Completed"/>
    <x v="2"/>
    <s v="Grocery"/>
    <s v="SMB"/>
    <n v="45"/>
    <s v="West"/>
    <s v="R024"/>
    <n v="819558.58"/>
    <s v="West"/>
    <s v="Grocery"/>
    <n v="2027"/>
  </r>
  <r>
    <s v="ORD-01163"/>
    <d v="2024-11-18T00:00:00"/>
    <s v="CUST-0105"/>
    <s v="PROD-059"/>
    <s v="R024"/>
    <n v="9"/>
    <n v="3780"/>
    <n v="27.8"/>
    <n v="24562.44"/>
    <s v="Cancelled"/>
    <x v="1"/>
    <s v="Sports"/>
    <s v="SMB"/>
    <n v="51"/>
    <s v="West"/>
    <s v="R024"/>
    <n v="819558.58"/>
    <s v="West"/>
    <s v="Sports"/>
    <n v="1860"/>
  </r>
  <r>
    <s v="ORD-01164"/>
    <d v="2024-04-25T00:00:00"/>
    <s v="CUST-0006"/>
    <s v="PROD-040"/>
    <s v="R030"/>
    <n v="6"/>
    <n v="1080"/>
    <n v="17.5"/>
    <n v="5346"/>
    <s v="Completed"/>
    <x v="0"/>
    <s v="Home"/>
    <s v="SMB"/>
    <n v="44"/>
    <s v="West"/>
    <s v="R030"/>
    <n v="747624.36999999988"/>
    <s v="West"/>
    <s v="Home"/>
    <n v="519"/>
  </r>
  <r>
    <s v="ORD-01165"/>
    <d v="2024-11-07T00:00:00"/>
    <s v="CUST-0192"/>
    <s v="PROD-002"/>
    <s v="R023"/>
    <n v="3"/>
    <n v="2600"/>
    <n v="1.9"/>
    <n v="7651.8"/>
    <s v="Completed"/>
    <x v="4"/>
    <s v="Electronics"/>
    <s v="Retail"/>
    <n v="55"/>
    <s v="East"/>
    <s v="R023"/>
    <n v="983787.4800000001"/>
    <s v="East"/>
    <s v="Electronics"/>
    <n v="1052"/>
  </r>
  <r>
    <s v="ORD-01166"/>
    <d v="2024-03-24T00:00:00"/>
    <s v="CUST-0290"/>
    <s v="PROD-015"/>
    <s v="R008"/>
    <n v="5"/>
    <n v="2720"/>
    <n v="1.8"/>
    <n v="13355.2"/>
    <s v="Cancelled"/>
    <x v="2"/>
    <s v="Apparel"/>
    <s v="Retail"/>
    <n v="63"/>
    <s v="North"/>
    <s v="R008"/>
    <n v="861553.33"/>
    <s v="North"/>
    <s v="Apparel"/>
    <n v="1962"/>
  </r>
  <r>
    <s v="ORD-01167"/>
    <d v="2024-07-12T00:00:00"/>
    <s v="CUST-0287"/>
    <s v="PROD-028"/>
    <s v="R012"/>
    <n v="8"/>
    <n v="3660"/>
    <n v="29.5"/>
    <n v="20642.400000000001"/>
    <s v="Completed"/>
    <x v="1"/>
    <s v="Grocery"/>
    <s v="SMB"/>
    <n v="53"/>
    <s v="South"/>
    <s v="R012"/>
    <n v="901394.32000000007"/>
    <s v="South"/>
    <s v="Grocery"/>
    <n v="2214"/>
  </r>
  <r>
    <s v="ORD-01168"/>
    <d v="2024-10-02T00:00:00"/>
    <s v="CUST-0025"/>
    <s v="PROD-044"/>
    <s v="R005"/>
    <n v="9"/>
    <n v="1650"/>
    <n v="19.8"/>
    <n v="11909.7"/>
    <s v="Refunded"/>
    <x v="4"/>
    <s v="Beauty"/>
    <s v="Retail"/>
    <n v="23"/>
    <s v="North"/>
    <s v="R005"/>
    <n v="782445.33"/>
    <s v="North"/>
    <s v="Beauty"/>
    <n v="1222"/>
  </r>
  <r>
    <s v="ORD-01169"/>
    <d v="2024-07-29T00:00:00"/>
    <s v="CUST-0139"/>
    <s v="PROD-055"/>
    <s v="R019"/>
    <n v="3"/>
    <n v="2860"/>
    <n v="22.7"/>
    <n v="6632.34"/>
    <s v="Completed"/>
    <x v="5"/>
    <s v="Sports"/>
    <s v="SMB"/>
    <n v="65"/>
    <s v="East"/>
    <s v="R019"/>
    <n v="971183.52000000014"/>
    <s v="East"/>
    <s v="Sports"/>
    <n v="2028"/>
  </r>
  <r>
    <s v="ORD-01170"/>
    <d v="2024-05-17T00:00:00"/>
    <s v="CUST-0278"/>
    <s v="PROD-051"/>
    <s v="R025"/>
    <n v="4"/>
    <n v="3450"/>
    <n v="9.1999999999999993"/>
    <n v="12530.4"/>
    <s v="Completed"/>
    <x v="5"/>
    <s v="Sports"/>
    <s v="Retail"/>
    <n v="41"/>
    <s v="West"/>
    <s v="R025"/>
    <n v="901298.89"/>
    <s v="West"/>
    <s v="Sports"/>
    <n v="2467"/>
  </r>
  <r>
    <s v="ORD-01171"/>
    <d v="2024-04-23T00:00:00"/>
    <s v="CUST-0258"/>
    <s v="PROD-033"/>
    <s v="R003"/>
    <n v="4"/>
    <n v="2030"/>
    <n v="17.100000000000001"/>
    <n v="6731.48"/>
    <s v="Completed"/>
    <x v="0"/>
    <s v="Home"/>
    <s v="Retail"/>
    <n v="44"/>
    <s v="North"/>
    <s v="R003"/>
    <n v="986692.91"/>
    <s v="North"/>
    <s v="Home"/>
    <n v="1143"/>
  </r>
  <r>
    <s v="ORD-01172"/>
    <d v="2024-04-19T00:00:00"/>
    <s v="CUST-0106"/>
    <s v="PROD-022"/>
    <s v="R016"/>
    <n v="4"/>
    <n v="2270"/>
    <n v="27.3"/>
    <n v="6601.16"/>
    <s v="Completed"/>
    <x v="0"/>
    <s v="Grocery"/>
    <s v="Retail"/>
    <n v="22"/>
    <s v="South"/>
    <s v="R016"/>
    <n v="814563.7100000002"/>
    <s v="South"/>
    <s v="Grocery"/>
    <n v="1412"/>
  </r>
  <r>
    <s v="ORD-01173"/>
    <d v="2024-03-22T00:00:00"/>
    <s v="CUST-0009"/>
    <s v="PROD-034"/>
    <s v="R013"/>
    <n v="9"/>
    <n v="5080"/>
    <n v="10.9"/>
    <n v="40736.519999999997"/>
    <s v="Completed"/>
    <x v="3"/>
    <s v="Home"/>
    <s v="Retail"/>
    <n v="61"/>
    <s v="South"/>
    <s v="R013"/>
    <n v="811524.37999999989"/>
    <s v="South"/>
    <s v="Home"/>
    <n v="2459"/>
  </r>
  <r>
    <s v="ORD-01174"/>
    <d v="2024-11-06T00:00:00"/>
    <s v="CUST-0209"/>
    <s v="PROD-026"/>
    <s v="R029"/>
    <n v="8"/>
    <n v="4070"/>
    <n v="17.7"/>
    <n v="26796.880000000001"/>
    <s v="Completed"/>
    <x v="0"/>
    <s v="Grocery"/>
    <s v="Retail"/>
    <n v="31"/>
    <s v="West"/>
    <s v="R029"/>
    <n v="1016696.8000000002"/>
    <s v="West"/>
    <s v="Grocery"/>
    <n v="2027"/>
  </r>
  <r>
    <s v="ORD-01175"/>
    <d v="2024-03-21T00:00:00"/>
    <s v="CUST-0111"/>
    <s v="PROD-041"/>
    <s v="R005"/>
    <n v="1"/>
    <n v="1540"/>
    <n v="0.9"/>
    <n v="1526.14"/>
    <s v="Completed"/>
    <x v="1"/>
    <s v="Beauty"/>
    <s v="SMB"/>
    <n v="64"/>
    <s v="North"/>
    <s v="R005"/>
    <n v="782445.33"/>
    <s v="North"/>
    <s v="Beauty"/>
    <n v="647"/>
  </r>
  <r>
    <s v="ORD-01176"/>
    <d v="2024-05-04T00:00:00"/>
    <s v="CUST-0014"/>
    <s v="PROD-048"/>
    <s v="R024"/>
    <n v="10"/>
    <n v="5100"/>
    <n v="3"/>
    <n v="49470"/>
    <s v="Completed"/>
    <x v="4"/>
    <s v="Beauty"/>
    <s v="Retail"/>
    <n v="48"/>
    <s v="West"/>
    <s v="R024"/>
    <n v="819558.58"/>
    <s v="West"/>
    <s v="Beauty"/>
    <n v="2237"/>
  </r>
  <r>
    <s v="ORD-01177"/>
    <d v="2024-12-30T00:00:00"/>
    <s v="CUST-0073"/>
    <s v="PROD-014"/>
    <s v="R006"/>
    <n v="6"/>
    <n v="3620"/>
    <n v="20.2"/>
    <n v="17332.560000000001"/>
    <s v="Completed"/>
    <x v="0"/>
    <s v="Apparel"/>
    <s v="Corporate"/>
    <n v="40"/>
    <s v="North"/>
    <s v="R006"/>
    <n v="1138648.73"/>
    <s v="North"/>
    <s v="Apparel"/>
    <n v="2509"/>
  </r>
  <r>
    <s v="ORD-01178"/>
    <d v="2024-02-02T00:00:00"/>
    <s v="CUST-0147"/>
    <s v="PROD-046"/>
    <s v="R003"/>
    <n v="7"/>
    <n v="4880"/>
    <n v="5"/>
    <n v="32452"/>
    <s v="Completed"/>
    <x v="0"/>
    <s v="Beauty"/>
    <s v="Retail"/>
    <n v="56"/>
    <s v="North"/>
    <s v="R003"/>
    <n v="986692.91"/>
    <s v="North"/>
    <s v="Beauty"/>
    <n v="2768"/>
  </r>
  <r>
    <s v="ORD-01179"/>
    <d v="2024-06-29T00:00:00"/>
    <s v="CUST-0006"/>
    <s v="PROD-010"/>
    <s v="R024"/>
    <n v="1"/>
    <n v="2640"/>
    <n v="4.0999999999999996"/>
    <n v="2531.7600000000002"/>
    <s v="Completed"/>
    <x v="0"/>
    <s v="Electronics"/>
    <s v="SMB"/>
    <n v="44"/>
    <s v="West"/>
    <s v="R024"/>
    <n v="819558.58"/>
    <s v="West"/>
    <s v="Electronics"/>
    <n v="1149"/>
  </r>
  <r>
    <s v="ORD-01180"/>
    <d v="2024-08-04T00:00:00"/>
    <s v="CUST-0031"/>
    <s v="PROD-026"/>
    <s v="R020"/>
    <n v="9"/>
    <n v="4070"/>
    <n v="4.4000000000000004"/>
    <n v="35018.28"/>
    <s v="Completed"/>
    <x v="5"/>
    <s v="Grocery"/>
    <s v="Retail"/>
    <n v="53"/>
    <s v="East"/>
    <s v="R020"/>
    <n v="906107.71000000008"/>
    <s v="East"/>
    <s v="Grocery"/>
    <n v="2027"/>
  </r>
  <r>
    <s v="ORD-01181"/>
    <d v="2024-11-21T00:00:00"/>
    <s v="CUST-0084"/>
    <s v="PROD-003"/>
    <s v="R025"/>
    <n v="9"/>
    <n v="3570"/>
    <n v="24.8"/>
    <n v="24161.759999999998"/>
    <s v="Completed"/>
    <x v="1"/>
    <s v="Electronics"/>
    <s v="Retail"/>
    <n v="28"/>
    <s v="West"/>
    <s v="R025"/>
    <n v="901298.89"/>
    <s v="West"/>
    <s v="Electronics"/>
    <n v="1665"/>
  </r>
  <r>
    <s v="ORD-01182"/>
    <d v="2024-06-27T00:00:00"/>
    <s v="CUST-0203"/>
    <s v="PROD-043"/>
    <s v="R005"/>
    <n v="10"/>
    <n v="3350"/>
    <n v="25.1"/>
    <n v="25091.5"/>
    <s v="Cancelled"/>
    <x v="1"/>
    <s v="Beauty"/>
    <s v="SMB"/>
    <n v="55"/>
    <s v="North"/>
    <s v="R005"/>
    <n v="782445.33"/>
    <s v="North"/>
    <s v="Beauty"/>
    <n v="1728"/>
  </r>
  <r>
    <s v="ORD-01183"/>
    <d v="2024-01-16T00:00:00"/>
    <s v="CUST-0138"/>
    <s v="PROD-059"/>
    <s v="R025"/>
    <n v="3"/>
    <n v="3780"/>
    <n v="3.8"/>
    <n v="10909.08"/>
    <s v="Completed"/>
    <x v="1"/>
    <s v="Sports"/>
    <s v="Retail"/>
    <n v="24"/>
    <s v="West"/>
    <s v="R025"/>
    <n v="901298.89"/>
    <s v="West"/>
    <s v="Sports"/>
    <n v="1860"/>
  </r>
  <r>
    <s v="ORD-01184"/>
    <d v="2024-12-25T00:00:00"/>
    <s v="CUST-0157"/>
    <s v="PROD-003"/>
    <s v="R008"/>
    <n v="4"/>
    <n v="3570"/>
    <n v="0.9"/>
    <n v="14151.48"/>
    <s v="Pending"/>
    <x v="0"/>
    <s v="Electronics"/>
    <s v="Corporate"/>
    <n v="52"/>
    <s v="North"/>
    <s v="R008"/>
    <n v="861553.33"/>
    <s v="North"/>
    <s v="Electronics"/>
    <n v="1665"/>
  </r>
  <r>
    <s v="ORD-01185"/>
    <d v="2024-05-24T00:00:00"/>
    <s v="CUST-0298"/>
    <s v="PROD-055"/>
    <s v="R024"/>
    <n v="5"/>
    <n v="2860"/>
    <n v="20.100000000000001"/>
    <n v="11425.7"/>
    <s v="Completed"/>
    <x v="2"/>
    <s v="Sports"/>
    <s v="Retail"/>
    <n v="44"/>
    <s v="West"/>
    <s v="R024"/>
    <n v="819558.58"/>
    <s v="West"/>
    <s v="Sports"/>
    <n v="2028"/>
  </r>
  <r>
    <s v="ORD-01186"/>
    <d v="2024-08-14T00:00:00"/>
    <s v="CUST-0132"/>
    <s v="PROD-016"/>
    <s v="R003"/>
    <n v="1"/>
    <n v="620"/>
    <n v="1.1000000000000001"/>
    <n v="613.17999999999995"/>
    <s v="Cancelled"/>
    <x v="2"/>
    <s v="Apparel"/>
    <s v="Retail"/>
    <n v="41"/>
    <s v="North"/>
    <s v="R003"/>
    <n v="986692.91"/>
    <s v="North"/>
    <s v="Apparel"/>
    <n v="396"/>
  </r>
  <r>
    <s v="ORD-01187"/>
    <d v="2024-05-20T00:00:00"/>
    <s v="CUST-0006"/>
    <s v="PROD-003"/>
    <s v="R012"/>
    <n v="1"/>
    <n v="3570"/>
    <n v="11.1"/>
    <n v="3173.73"/>
    <s v="Cancelled"/>
    <x v="0"/>
    <s v="Electronics"/>
    <s v="SMB"/>
    <n v="44"/>
    <s v="South"/>
    <s v="R012"/>
    <n v="901394.32000000007"/>
    <s v="South"/>
    <s v="Electronics"/>
    <n v="1665"/>
  </r>
  <r>
    <s v="ORD-01188"/>
    <d v="2024-09-16T00:00:00"/>
    <s v="CUST-0011"/>
    <s v="PROD-001"/>
    <s v="R012"/>
    <n v="1"/>
    <n v="5330"/>
    <n v="3.5"/>
    <n v="5143.45"/>
    <s v="Completed"/>
    <x v="1"/>
    <s v="Electronics"/>
    <s v="Corporate"/>
    <n v="41"/>
    <s v="South"/>
    <s v="R012"/>
    <n v="901394.32000000007"/>
    <s v="South"/>
    <s v="Electronics"/>
    <n v="2405"/>
  </r>
  <r>
    <s v="ORD-01189"/>
    <d v="2024-02-26T00:00:00"/>
    <s v="CUST-0170"/>
    <s v="PROD-052"/>
    <s v="R018"/>
    <n v="7"/>
    <n v="5410"/>
    <n v="26.2"/>
    <n v="27948.06"/>
    <s v="Completed"/>
    <x v="3"/>
    <s v="Sports"/>
    <s v="SMB"/>
    <n v="22"/>
    <s v="East"/>
    <s v="R018"/>
    <n v="1112289.6400000001"/>
    <s v="East"/>
    <s v="Sports"/>
    <n v="2265"/>
  </r>
  <r>
    <s v="ORD-01190"/>
    <d v="2024-03-23T00:00:00"/>
    <s v="CUST-0109"/>
    <s v="PROD-034"/>
    <s v="R016"/>
    <n v="10"/>
    <n v="5080"/>
    <n v="3.7"/>
    <n v="48920.4"/>
    <s v="Pending"/>
    <x v="0"/>
    <s v="Home"/>
    <s v="Retail"/>
    <n v="42"/>
    <s v="South"/>
    <s v="R016"/>
    <n v="814563.7100000002"/>
    <s v="South"/>
    <s v="Home"/>
    <n v="2459"/>
  </r>
  <r>
    <s v="ORD-01191"/>
    <d v="2024-03-19T00:00:00"/>
    <s v="CUST-0066"/>
    <s v="PROD-003"/>
    <s v="R005"/>
    <n v="9"/>
    <n v="3570"/>
    <n v="5.6"/>
    <n v="30330.720000000001"/>
    <s v="Completed"/>
    <x v="2"/>
    <s v="Electronics"/>
    <s v="Retail"/>
    <n v="24"/>
    <s v="North"/>
    <s v="R005"/>
    <n v="782445.33"/>
    <s v="North"/>
    <s v="Electronics"/>
    <n v="1665"/>
  </r>
  <r>
    <s v="ORD-01192"/>
    <d v="2024-12-30T00:00:00"/>
    <s v="CUST-0055"/>
    <s v="PROD-030"/>
    <s v="R022"/>
    <n v="9"/>
    <n v="970"/>
    <n v="19.5"/>
    <n v="7027.65"/>
    <s v="Completed"/>
    <x v="4"/>
    <s v="Grocery"/>
    <s v="Retail"/>
    <n v="34"/>
    <s v="East"/>
    <s v="R022"/>
    <n v="1069570.5400000003"/>
    <s v="East"/>
    <s v="Grocery"/>
    <n v="434"/>
  </r>
  <r>
    <s v="ORD-01193"/>
    <d v="2024-03-06T00:00:00"/>
    <s v="CUST-0298"/>
    <s v="PROD-005"/>
    <s v="R009"/>
    <n v="10"/>
    <n v="300"/>
    <n v="23"/>
    <n v="2310"/>
    <s v="Cancelled"/>
    <x v="2"/>
    <s v="Electronics"/>
    <s v="Retail"/>
    <n v="44"/>
    <s v="South"/>
    <s v="R009"/>
    <n v="914554.71999999986"/>
    <s v="South"/>
    <s v="Electronics"/>
    <n v="128"/>
  </r>
  <r>
    <s v="ORD-01194"/>
    <d v="2024-07-06T00:00:00"/>
    <s v="CUST-0024"/>
    <s v="PROD-050"/>
    <s v="R003"/>
    <n v="10"/>
    <n v="6080"/>
    <n v="3.9"/>
    <n v="58428.800000000003"/>
    <s v="Completed"/>
    <x v="1"/>
    <s v="Beauty"/>
    <s v="SMB"/>
    <n v="64"/>
    <s v="North"/>
    <s v="R003"/>
    <n v="986692.91"/>
    <s v="North"/>
    <s v="Beauty"/>
    <n v="2617"/>
  </r>
  <r>
    <s v="ORD-01195"/>
    <d v="2024-09-04T00:00:00"/>
    <s v="CUST-0008"/>
    <s v="PROD-048"/>
    <s v="R011"/>
    <n v="2"/>
    <n v="5100"/>
    <n v="11"/>
    <n v="9078"/>
    <s v="Completed"/>
    <x v="0"/>
    <s v="Beauty"/>
    <s v="SMB"/>
    <n v="39"/>
    <s v="South"/>
    <s v="R011"/>
    <n v="735207.75999999989"/>
    <s v="South"/>
    <s v="Beauty"/>
    <n v="2237"/>
  </r>
  <r>
    <s v="ORD-01196"/>
    <d v="2024-04-12T00:00:00"/>
    <s v="CUST-0070"/>
    <s v="PROD-011"/>
    <s v="R019"/>
    <n v="9"/>
    <n v="3450"/>
    <n v="23.7"/>
    <n v="23691.15"/>
    <s v="Completed"/>
    <x v="3"/>
    <s v="Apparel"/>
    <s v="Retail"/>
    <n v="42"/>
    <s v="East"/>
    <s v="R019"/>
    <n v="971183.52000000014"/>
    <s v="East"/>
    <s v="Apparel"/>
    <n v="1748"/>
  </r>
  <r>
    <s v="ORD-01197"/>
    <d v="2024-02-13T00:00:00"/>
    <s v="CUST-0270"/>
    <s v="PROD-019"/>
    <s v="R011"/>
    <n v="5"/>
    <n v="2480"/>
    <n v="20.399999999999999"/>
    <n v="9870.4"/>
    <s v="Completed"/>
    <x v="4"/>
    <s v="Apparel"/>
    <s v="Retail"/>
    <n v="29"/>
    <s v="South"/>
    <s v="R011"/>
    <n v="735207.75999999989"/>
    <s v="South"/>
    <s v="Apparel"/>
    <n v="1173"/>
  </r>
  <r>
    <s v="ORD-01198"/>
    <d v="2024-02-12T00:00:00"/>
    <s v="CUST-0175"/>
    <s v="PROD-060"/>
    <s v="R010"/>
    <n v="4"/>
    <n v="190"/>
    <n v="2.6"/>
    <n v="740.24"/>
    <s v="Completed"/>
    <x v="2"/>
    <s v="Sports"/>
    <s v="Corporate"/>
    <n v="55"/>
    <s v="South"/>
    <s v="R010"/>
    <n v="880345.20000000007"/>
    <s v="South"/>
    <s v="Sports"/>
    <n v="147"/>
  </r>
  <r>
    <s v="ORD-01199"/>
    <d v="2024-01-09T00:00:00"/>
    <s v="CUST-0227"/>
    <s v="PROD-022"/>
    <s v="R020"/>
    <n v="4"/>
    <n v="2270"/>
    <n v="8.1"/>
    <n v="8344.52"/>
    <s v="Pending"/>
    <x v="4"/>
    <s v="Grocery"/>
    <s v="SMB"/>
    <n v="44"/>
    <s v="East"/>
    <s v="R020"/>
    <n v="906107.71000000008"/>
    <s v="East"/>
    <s v="Grocery"/>
    <n v="1412"/>
  </r>
  <r>
    <s v="ORD-01200"/>
    <d v="2024-04-18T00:00:00"/>
    <s v="CUST-0041"/>
    <s v="PROD-017"/>
    <s v="R028"/>
    <n v="7"/>
    <n v="2510"/>
    <n v="25.5"/>
    <n v="13089.65"/>
    <s v="Completed"/>
    <x v="4"/>
    <s v="Apparel"/>
    <s v="SMB"/>
    <n v="26"/>
    <s v="West"/>
    <s v="R028"/>
    <n v="880468.05"/>
    <s v="West"/>
    <s v="Apparel"/>
    <n v="1075"/>
  </r>
  <r>
    <s v="ORD-01201"/>
    <d v="2024-05-11T00:00:00"/>
    <s v="CUST-0147"/>
    <s v="PROD-059"/>
    <s v="R004"/>
    <n v="3"/>
    <n v="3780"/>
    <n v="16.8"/>
    <n v="9434.8799999999992"/>
    <s v="Completed"/>
    <x v="0"/>
    <s v="Sports"/>
    <s v="Retail"/>
    <n v="56"/>
    <s v="North"/>
    <s v="R004"/>
    <n v="589026.2899999998"/>
    <s v="North"/>
    <s v="Sports"/>
    <n v="1860"/>
  </r>
  <r>
    <s v="ORD-01202"/>
    <d v="2024-08-14T00:00:00"/>
    <s v="CUST-0185"/>
    <s v="PROD-003"/>
    <s v="R010"/>
    <n v="7"/>
    <n v="3570"/>
    <n v="23.7"/>
    <n v="19067.37"/>
    <s v="Completed"/>
    <x v="5"/>
    <s v="Electronics"/>
    <s v="SMB"/>
    <n v="43"/>
    <s v="South"/>
    <s v="R010"/>
    <n v="880345.20000000007"/>
    <s v="South"/>
    <s v="Electronics"/>
    <n v="1665"/>
  </r>
  <r>
    <s v="ORD-01203"/>
    <d v="2024-09-24T00:00:00"/>
    <s v="CUST-0210"/>
    <s v="PROD-037"/>
    <s v="R011"/>
    <n v="4"/>
    <n v="660"/>
    <n v="3.6"/>
    <n v="2544.96"/>
    <s v="Completed"/>
    <x v="0"/>
    <s v="Home"/>
    <s v="Corporate"/>
    <n v="48"/>
    <s v="South"/>
    <s v="R011"/>
    <n v="735207.75999999989"/>
    <s v="South"/>
    <s v="Home"/>
    <n v="329"/>
  </r>
  <r>
    <s v="ORD-01204"/>
    <d v="2024-07-28T00:00:00"/>
    <s v="CUST-0289"/>
    <s v="PROD-030"/>
    <s v="R010"/>
    <n v="7"/>
    <n v="970"/>
    <n v="23.7"/>
    <n v="5180.7700000000004"/>
    <s v="Completed"/>
    <x v="3"/>
    <s v="Grocery"/>
    <s v="Retail"/>
    <n v="54"/>
    <s v="South"/>
    <s v="R010"/>
    <n v="880345.20000000007"/>
    <s v="South"/>
    <s v="Grocery"/>
    <n v="434"/>
  </r>
  <r>
    <s v="ORD-01205"/>
    <d v="2024-02-16T00:00:00"/>
    <s v="CUST-0017"/>
    <s v="PROD-024"/>
    <s v="R006"/>
    <n v="8"/>
    <n v="2270"/>
    <n v="6.8"/>
    <n v="16925.12"/>
    <s v="Completed"/>
    <x v="2"/>
    <s v="Grocery"/>
    <s v="SMB"/>
    <n v="38"/>
    <s v="North"/>
    <s v="R006"/>
    <n v="1138648.73"/>
    <s v="North"/>
    <s v="Grocery"/>
    <n v="1203"/>
  </r>
  <r>
    <s v="ORD-01206"/>
    <d v="2024-10-20T00:00:00"/>
    <s v="CUST-0115"/>
    <s v="PROD-058"/>
    <s v="R012"/>
    <n v="1"/>
    <n v="2400"/>
    <n v="26.5"/>
    <n v="1764"/>
    <s v="Completed"/>
    <x v="3"/>
    <s v="Sports"/>
    <s v="SMB"/>
    <n v="65"/>
    <s v="South"/>
    <s v="R012"/>
    <n v="901394.32000000007"/>
    <s v="South"/>
    <s v="Sports"/>
    <n v="974"/>
  </r>
  <r>
    <s v="ORD-01207"/>
    <d v="2024-08-21T00:00:00"/>
    <s v="CUST-0183"/>
    <s v="PROD-034"/>
    <s v="R010"/>
    <n v="5"/>
    <n v="5080"/>
    <n v="29.6"/>
    <n v="17881.599999999999"/>
    <s v="Completed"/>
    <x v="3"/>
    <s v="Home"/>
    <s v="SMB"/>
    <n v="27"/>
    <s v="South"/>
    <s v="R010"/>
    <n v="880345.20000000007"/>
    <s v="South"/>
    <s v="Home"/>
    <n v="2459"/>
  </r>
  <r>
    <s v="ORD-01208"/>
    <d v="2024-02-29T00:00:00"/>
    <s v="CUST-0193"/>
    <s v="PROD-043"/>
    <s v="R014"/>
    <n v="9"/>
    <n v="3350"/>
    <n v="6.2"/>
    <n v="28280.7"/>
    <s v="Completed"/>
    <x v="4"/>
    <s v="Beauty"/>
    <s v="Retail"/>
    <n v="42"/>
    <s v="South"/>
    <s v="R014"/>
    <n v="995713.54000000015"/>
    <s v="South"/>
    <s v="Beauty"/>
    <n v="1728"/>
  </r>
  <r>
    <s v="ORD-01209"/>
    <d v="2024-09-25T00:00:00"/>
    <s v="CUST-0019"/>
    <s v="PROD-041"/>
    <s v="R001"/>
    <n v="4"/>
    <n v="1540"/>
    <n v="22.2"/>
    <n v="4792.4799999999996"/>
    <s v="Completed"/>
    <x v="1"/>
    <s v="Beauty"/>
    <s v="Retail"/>
    <n v="22"/>
    <s v="North"/>
    <s v="R001"/>
    <n v="789849.60000000009"/>
    <s v="North"/>
    <s v="Beauty"/>
    <n v="647"/>
  </r>
  <r>
    <s v="ORD-01210"/>
    <d v="2024-05-19T00:00:00"/>
    <s v="CUST-0097"/>
    <s v="PROD-034"/>
    <s v="R002"/>
    <n v="10"/>
    <n v="5080"/>
    <n v="11.8"/>
    <n v="44805.599999999999"/>
    <s v="Completed"/>
    <x v="3"/>
    <s v="Home"/>
    <s v="Retail"/>
    <n v="65"/>
    <s v="North"/>
    <s v="R002"/>
    <n v="980063.65999999968"/>
    <s v="North"/>
    <s v="Home"/>
    <n v="2459"/>
  </r>
  <r>
    <s v="ORD-01211"/>
    <d v="2024-01-05T00:00:00"/>
    <s v="CUST-0237"/>
    <s v="PROD-018"/>
    <s v="R012"/>
    <n v="9"/>
    <n v="3560"/>
    <n v="15.9"/>
    <n v="26945.64"/>
    <s v="Completed"/>
    <x v="3"/>
    <s v="Apparel"/>
    <s v="Retail"/>
    <n v="49"/>
    <s v="South"/>
    <s v="R012"/>
    <n v="901394.32000000007"/>
    <s v="South"/>
    <s v="Apparel"/>
    <n v="2629"/>
  </r>
  <r>
    <s v="ORD-01212"/>
    <d v="2024-12-03T00:00:00"/>
    <s v="CUST-0252"/>
    <s v="PROD-040"/>
    <s v="R009"/>
    <n v="2"/>
    <n v="1080"/>
    <n v="21.1"/>
    <n v="1704.24"/>
    <s v="Completed"/>
    <x v="4"/>
    <s v="Home"/>
    <s v="Retail"/>
    <n v="27"/>
    <s v="South"/>
    <s v="R009"/>
    <n v="914554.71999999986"/>
    <s v="South"/>
    <s v="Home"/>
    <n v="519"/>
  </r>
  <r>
    <s v="ORD-01213"/>
    <d v="2024-01-19T00:00:00"/>
    <s v="CUST-0216"/>
    <s v="PROD-023"/>
    <s v="R018"/>
    <n v="5"/>
    <n v="2380"/>
    <n v="20.5"/>
    <n v="9460.5"/>
    <s v="Completed"/>
    <x v="3"/>
    <s v="Grocery"/>
    <s v="Retail"/>
    <n v="50"/>
    <s v="East"/>
    <s v="R018"/>
    <n v="1112289.6400000001"/>
    <s v="East"/>
    <s v="Grocery"/>
    <n v="1182"/>
  </r>
  <r>
    <s v="ORD-01214"/>
    <d v="2024-07-25T00:00:00"/>
    <s v="CUST-0248"/>
    <s v="PROD-019"/>
    <s v="R025"/>
    <n v="9"/>
    <n v="2480"/>
    <n v="1.2"/>
    <n v="22052.16"/>
    <s v="Completed"/>
    <x v="1"/>
    <s v="Apparel"/>
    <s v="SMB"/>
    <n v="57"/>
    <s v="West"/>
    <s v="R025"/>
    <n v="901298.89"/>
    <s v="West"/>
    <s v="Apparel"/>
    <n v="1173"/>
  </r>
  <r>
    <s v="ORD-01215"/>
    <d v="2024-02-26T00:00:00"/>
    <s v="CUST-0044"/>
    <s v="PROD-042"/>
    <s v="R012"/>
    <n v="9"/>
    <n v="2290"/>
    <n v="0.9"/>
    <n v="20424.509999999998"/>
    <s v="Completed"/>
    <x v="5"/>
    <s v="Beauty"/>
    <s v="SMB"/>
    <n v="29"/>
    <s v="South"/>
    <s v="R012"/>
    <n v="901394.32000000007"/>
    <s v="South"/>
    <s v="Beauty"/>
    <n v="1219"/>
  </r>
  <r>
    <s v="ORD-01216"/>
    <d v="2024-03-31T00:00:00"/>
    <s v="CUST-0251"/>
    <s v="PROD-011"/>
    <s v="R011"/>
    <n v="3"/>
    <n v="3450"/>
    <n v="29.5"/>
    <n v="7296.75"/>
    <s v="Completed"/>
    <x v="3"/>
    <s v="Apparel"/>
    <s v="Retail"/>
    <n v="44"/>
    <s v="South"/>
    <s v="R011"/>
    <n v="735207.75999999989"/>
    <s v="South"/>
    <s v="Apparel"/>
    <n v="1748"/>
  </r>
  <r>
    <s v="ORD-01217"/>
    <d v="2024-10-04T00:00:00"/>
    <s v="CUST-0280"/>
    <s v="PROD-047"/>
    <s v="R024"/>
    <n v="9"/>
    <n v="3450"/>
    <n v="19.399999999999999"/>
    <n v="25026.3"/>
    <s v="Completed"/>
    <x v="2"/>
    <s v="Beauty"/>
    <s v="SMB"/>
    <n v="27"/>
    <s v="West"/>
    <s v="R024"/>
    <n v="819558.58"/>
    <s v="West"/>
    <s v="Beauty"/>
    <n v="2420"/>
  </r>
  <r>
    <s v="ORD-01218"/>
    <d v="2024-08-12T00:00:00"/>
    <s v="CUST-0108"/>
    <s v="PROD-002"/>
    <s v="R030"/>
    <n v="2"/>
    <n v="2600"/>
    <n v="20.2"/>
    <n v="4149.6000000000004"/>
    <s v="Cancelled"/>
    <x v="4"/>
    <s v="Electronics"/>
    <s v="Corporate"/>
    <n v="59"/>
    <s v="West"/>
    <s v="R030"/>
    <n v="747624.36999999988"/>
    <s v="West"/>
    <s v="Electronics"/>
    <n v="1052"/>
  </r>
  <r>
    <s v="ORD-01219"/>
    <d v="2024-08-15T00:00:00"/>
    <s v="CUST-0058"/>
    <s v="PROD-021"/>
    <s v="R025"/>
    <n v="1"/>
    <n v="2760"/>
    <n v="9.5"/>
    <n v="2497.8000000000002"/>
    <s v="Completed"/>
    <x v="4"/>
    <s v="Grocery"/>
    <s v="SMB"/>
    <n v="49"/>
    <s v="West"/>
    <s v="R025"/>
    <n v="901298.89"/>
    <s v="West"/>
    <s v="Grocery"/>
    <n v="1435"/>
  </r>
  <r>
    <s v="ORD-01220"/>
    <d v="2024-10-28T00:00:00"/>
    <s v="CUST-0090"/>
    <s v="PROD-039"/>
    <s v="R003"/>
    <n v="4"/>
    <n v="4610"/>
    <n v="14.8"/>
    <n v="15710.88"/>
    <s v="Completed"/>
    <x v="4"/>
    <s v="Home"/>
    <s v="Corporate"/>
    <n v="26"/>
    <s v="North"/>
    <s v="R003"/>
    <n v="986692.91"/>
    <s v="North"/>
    <s v="Home"/>
    <n v="1850"/>
  </r>
  <r>
    <s v="ORD-01221"/>
    <d v="2024-08-28T00:00:00"/>
    <s v="CUST-0204"/>
    <s v="PROD-019"/>
    <s v="R024"/>
    <n v="3"/>
    <n v="2480"/>
    <n v="3.7"/>
    <n v="7164.72"/>
    <s v="Completed"/>
    <x v="5"/>
    <s v="Apparel"/>
    <s v="Retail"/>
    <n v="60"/>
    <s v="West"/>
    <s v="R024"/>
    <n v="819558.58"/>
    <s v="West"/>
    <s v="Apparel"/>
    <n v="1173"/>
  </r>
  <r>
    <s v="ORD-01222"/>
    <d v="2024-11-14T00:00:00"/>
    <s v="CUST-0044"/>
    <s v="PROD-056"/>
    <s v="R011"/>
    <n v="5"/>
    <n v="6940"/>
    <n v="0.3"/>
    <n v="34595.9"/>
    <s v="Completed"/>
    <x v="5"/>
    <s v="Sports"/>
    <s v="SMB"/>
    <n v="29"/>
    <s v="South"/>
    <s v="R011"/>
    <n v="735207.75999999989"/>
    <s v="South"/>
    <s v="Sports"/>
    <n v="2827"/>
  </r>
  <r>
    <s v="ORD-01223"/>
    <d v="2024-09-25T00:00:00"/>
    <s v="CUST-0068"/>
    <s v="PROD-022"/>
    <s v="R023"/>
    <n v="8"/>
    <n v="2270"/>
    <n v="15.6"/>
    <n v="15327.04"/>
    <s v="Pending"/>
    <x v="2"/>
    <s v="Grocery"/>
    <s v="SMB"/>
    <n v="48"/>
    <s v="East"/>
    <s v="R023"/>
    <n v="983787.4800000001"/>
    <s v="East"/>
    <s v="Grocery"/>
    <n v="1412"/>
  </r>
  <r>
    <s v="ORD-01224"/>
    <d v="2024-05-19T00:00:00"/>
    <s v="CUST-0127"/>
    <s v="PROD-048"/>
    <s v="R030"/>
    <n v="5"/>
    <n v="5100"/>
    <n v="9.5"/>
    <n v="23077.5"/>
    <s v="Completed"/>
    <x v="4"/>
    <s v="Beauty"/>
    <s v="SMB"/>
    <n v="36"/>
    <s v="West"/>
    <s v="R030"/>
    <n v="747624.36999999988"/>
    <s v="West"/>
    <s v="Beauty"/>
    <n v="2237"/>
  </r>
  <r>
    <s v="ORD-01225"/>
    <d v="2024-10-29T00:00:00"/>
    <s v="CUST-0191"/>
    <s v="PROD-036"/>
    <s v="R011"/>
    <n v="5"/>
    <n v="3250"/>
    <n v="8.1"/>
    <n v="14933.75"/>
    <s v="Completed"/>
    <x v="5"/>
    <s v="Home"/>
    <s v="SMB"/>
    <n v="43"/>
    <s v="South"/>
    <s v="R011"/>
    <n v="735207.75999999989"/>
    <s v="South"/>
    <s v="Home"/>
    <n v="1556"/>
  </r>
  <r>
    <s v="ORD-01226"/>
    <d v="2024-11-13T00:00:00"/>
    <s v="CUST-0028"/>
    <s v="PROD-006"/>
    <s v="R003"/>
    <n v="6"/>
    <n v="3970"/>
    <n v="18.8"/>
    <n v="19341.84"/>
    <s v="Pending"/>
    <x v="4"/>
    <s v="Electronics"/>
    <s v="Retail"/>
    <n v="59"/>
    <s v="North"/>
    <s v="R003"/>
    <n v="986692.91"/>
    <s v="North"/>
    <s v="Electronics"/>
    <n v="2865"/>
  </r>
  <r>
    <s v="ORD-01227"/>
    <d v="2024-09-11T00:00:00"/>
    <s v="CUST-0027"/>
    <s v="PROD-001"/>
    <s v="R025"/>
    <n v="4"/>
    <n v="5330"/>
    <n v="19.7"/>
    <n v="17119.96"/>
    <s v="Completed"/>
    <x v="5"/>
    <s v="Electronics"/>
    <s v="Corporate"/>
    <n v="52"/>
    <s v="West"/>
    <s v="R025"/>
    <n v="901298.89"/>
    <s v="West"/>
    <s v="Electronics"/>
    <n v="2405"/>
  </r>
  <r>
    <s v="ORD-01228"/>
    <d v="2024-11-11T00:00:00"/>
    <s v="CUST-0193"/>
    <s v="PROD-008"/>
    <s v="R004"/>
    <n v="7"/>
    <n v="2660"/>
    <n v="8.5"/>
    <n v="17037.3"/>
    <s v="Completed"/>
    <x v="4"/>
    <s v="Electronics"/>
    <s v="Retail"/>
    <n v="42"/>
    <s v="North"/>
    <s v="R004"/>
    <n v="589026.2899999998"/>
    <s v="North"/>
    <s v="Electronics"/>
    <n v="1259"/>
  </r>
  <r>
    <s v="ORD-01229"/>
    <d v="2024-05-10T00:00:00"/>
    <s v="CUST-0202"/>
    <s v="PROD-012"/>
    <s v="R029"/>
    <n v="5"/>
    <n v="3160"/>
    <n v="13.4"/>
    <n v="13682.8"/>
    <s v="Pending"/>
    <x v="1"/>
    <s v="Apparel"/>
    <s v="Retail"/>
    <n v="39"/>
    <s v="West"/>
    <s v="R029"/>
    <n v="1016696.8000000002"/>
    <s v="West"/>
    <s v="Apparel"/>
    <n v="1886"/>
  </r>
  <r>
    <s v="ORD-01230"/>
    <d v="2024-12-08T00:00:00"/>
    <s v="CUST-0230"/>
    <s v="PROD-054"/>
    <s v="R019"/>
    <n v="10"/>
    <n v="1010"/>
    <n v="14"/>
    <n v="8686"/>
    <s v="Completed"/>
    <x v="0"/>
    <s v="Sports"/>
    <s v="Corporate"/>
    <n v="33"/>
    <s v="East"/>
    <s v="R019"/>
    <n v="971183.52000000014"/>
    <s v="East"/>
    <s v="Sports"/>
    <n v="516"/>
  </r>
  <r>
    <s v="ORD-01231"/>
    <d v="2024-03-25T00:00:00"/>
    <s v="CUST-0280"/>
    <s v="PROD-041"/>
    <s v="R003"/>
    <n v="3"/>
    <n v="1540"/>
    <n v="13.7"/>
    <n v="3987.06"/>
    <s v="Pending"/>
    <x v="2"/>
    <s v="Beauty"/>
    <s v="SMB"/>
    <n v="27"/>
    <s v="North"/>
    <s v="R003"/>
    <n v="986692.91"/>
    <s v="North"/>
    <s v="Beauty"/>
    <n v="647"/>
  </r>
  <r>
    <s v="ORD-01232"/>
    <d v="2024-01-22T00:00:00"/>
    <s v="CUST-0196"/>
    <s v="PROD-048"/>
    <s v="R009"/>
    <n v="10"/>
    <n v="5100"/>
    <n v="13.8"/>
    <n v="43962"/>
    <s v="Completed"/>
    <x v="1"/>
    <s v="Beauty"/>
    <s v="Retail"/>
    <n v="26"/>
    <s v="South"/>
    <s v="R009"/>
    <n v="914554.71999999986"/>
    <s v="South"/>
    <s v="Beauty"/>
    <n v="2237"/>
  </r>
  <r>
    <s v="ORD-01233"/>
    <d v="2024-06-14T00:00:00"/>
    <s v="CUST-0019"/>
    <s v="PROD-007"/>
    <s v="R030"/>
    <n v="3"/>
    <n v="1430"/>
    <n v="1.5"/>
    <n v="4225.6499999999996"/>
    <s v="Completed"/>
    <x v="1"/>
    <s v="Electronics"/>
    <s v="Retail"/>
    <n v="22"/>
    <s v="West"/>
    <s v="R030"/>
    <n v="747624.36999999988"/>
    <s v="West"/>
    <s v="Electronics"/>
    <n v="861"/>
  </r>
  <r>
    <s v="ORD-01234"/>
    <d v="2024-11-24T00:00:00"/>
    <s v="CUST-0201"/>
    <s v="PROD-038"/>
    <s v="R013"/>
    <n v="8"/>
    <n v="5490"/>
    <n v="23.2"/>
    <n v="33730.559999999998"/>
    <s v="Completed"/>
    <x v="5"/>
    <s v="Home"/>
    <s v="Retail"/>
    <n v="31"/>
    <s v="South"/>
    <s v="R013"/>
    <n v="811524.37999999989"/>
    <s v="South"/>
    <s v="Home"/>
    <n v="2549"/>
  </r>
  <r>
    <s v="ORD-01235"/>
    <d v="2024-07-22T00:00:00"/>
    <s v="CUST-0146"/>
    <s v="PROD-044"/>
    <s v="R008"/>
    <n v="6"/>
    <n v="1650"/>
    <n v="16.8"/>
    <n v="8236.7999999999993"/>
    <s v="Completed"/>
    <x v="5"/>
    <s v="Beauty"/>
    <s v="Retail"/>
    <n v="22"/>
    <s v="North"/>
    <s v="R008"/>
    <n v="861553.33"/>
    <s v="North"/>
    <s v="Beauty"/>
    <n v="1222"/>
  </r>
  <r>
    <s v="ORD-01236"/>
    <d v="2024-06-17T00:00:00"/>
    <s v="CUST-0199"/>
    <s v="PROD-045"/>
    <s v="R018"/>
    <n v="3"/>
    <n v="3020"/>
    <n v="14.5"/>
    <n v="7746.3"/>
    <s v="Completed"/>
    <x v="5"/>
    <s v="Beauty"/>
    <s v="SMB"/>
    <n v="31"/>
    <s v="East"/>
    <s v="R018"/>
    <n v="1112289.6400000001"/>
    <s v="East"/>
    <s v="Beauty"/>
    <n v="1626"/>
  </r>
  <r>
    <s v="ORD-01237"/>
    <d v="2024-05-26T00:00:00"/>
    <s v="CUST-0099"/>
    <s v="PROD-041"/>
    <s v="R003"/>
    <n v="5"/>
    <n v="1540"/>
    <n v="27.2"/>
    <n v="5605.6"/>
    <s v="Completed"/>
    <x v="4"/>
    <s v="Beauty"/>
    <s v="SMB"/>
    <n v="54"/>
    <s v="North"/>
    <s v="R003"/>
    <n v="986692.91"/>
    <s v="North"/>
    <s v="Beauty"/>
    <n v="647"/>
  </r>
  <r>
    <s v="ORD-00372"/>
    <d v="2024-01-16T00:00:00"/>
    <s v="CUST-0094"/>
    <s v="PROD-056"/>
    <s v="R023"/>
    <n v="4"/>
    <n v="6940"/>
    <n v="3.2"/>
    <n v="26871.68"/>
    <s v="Completed"/>
    <x v="0"/>
    <s v="Sports"/>
    <s v="SMB"/>
    <n v="60"/>
    <s v="East"/>
    <s v="R023"/>
    <n v="983787.4800000001"/>
    <s v="East"/>
    <s v="Sports"/>
    <n v="2827"/>
  </r>
  <r>
    <s v="ORD-01239"/>
    <d v="2024-08-13T00:00:00"/>
    <s v="CUST-0275"/>
    <s v="PROD-048"/>
    <s v="R017"/>
    <n v="2"/>
    <n v="5100"/>
    <n v="18.100000000000001"/>
    <n v="8353.7999999999993"/>
    <s v="Completed"/>
    <x v="3"/>
    <s v="Beauty"/>
    <s v="Retail"/>
    <n v="36"/>
    <s v="East"/>
    <s v="R017"/>
    <n v="780384.40999999992"/>
    <s v="East"/>
    <s v="Beauty"/>
    <n v="2237"/>
  </r>
  <r>
    <s v="ORD-01240"/>
    <d v="2024-10-10T00:00:00"/>
    <s v="CUST-0230"/>
    <s v="PROD-001"/>
    <s v="R016"/>
    <n v="6"/>
    <n v="5330"/>
    <n v="0.3"/>
    <n v="31884.06"/>
    <s v="Pending"/>
    <x v="0"/>
    <s v="Electronics"/>
    <s v="Corporate"/>
    <n v="33"/>
    <s v="South"/>
    <s v="R016"/>
    <n v="814563.7100000002"/>
    <s v="South"/>
    <s v="Electronics"/>
    <n v="2405"/>
  </r>
  <r>
    <s v="ORD-01241"/>
    <d v="2024-06-06T00:00:00"/>
    <s v="CUST-0227"/>
    <s v="PROD-057"/>
    <s v="R029"/>
    <n v="5"/>
    <n v="960"/>
    <n v="16.600000000000001"/>
    <n v="4003.2"/>
    <s v="Completed"/>
    <x v="4"/>
    <s v="Sports"/>
    <s v="SMB"/>
    <n v="44"/>
    <s v="West"/>
    <s v="R029"/>
    <n v="1016696.8000000002"/>
    <s v="West"/>
    <s v="Sports"/>
    <n v="705"/>
  </r>
  <r>
    <s v="ORD-01365"/>
    <d v="2024-07-08T00:00:00"/>
    <s v="CUST-0200"/>
    <s v="PROD-014"/>
    <s v="R022"/>
    <n v="7"/>
    <n v="3620"/>
    <n v="5.4"/>
    <n v="23971.64"/>
    <s v="Completed"/>
    <x v="5"/>
    <s v="Apparel"/>
    <s v="Corporate"/>
    <n v="46"/>
    <s v="East"/>
    <s v="R022"/>
    <n v="1069570.5400000003"/>
    <s v="East"/>
    <s v="Apparel"/>
    <n v="2509"/>
  </r>
  <r>
    <s v="ORD-01243"/>
    <d v="2024-03-17T00:00:00"/>
    <s v="CUST-0268"/>
    <s v="PROD-002"/>
    <s v="R006"/>
    <n v="6"/>
    <n v="2600"/>
    <n v="25.9"/>
    <n v="11559.6"/>
    <s v="Completed"/>
    <x v="1"/>
    <s v="Electronics"/>
    <s v="Retail"/>
    <n v="35"/>
    <s v="North"/>
    <s v="R006"/>
    <n v="1138648.73"/>
    <s v="North"/>
    <s v="Electronics"/>
    <n v="1052"/>
  </r>
  <r>
    <s v="ORD-01244"/>
    <d v="2024-01-07T00:00:00"/>
    <s v="CUST-0163"/>
    <s v="PROD-008"/>
    <s v="R013"/>
    <n v="7"/>
    <n v="2660"/>
    <n v="20.2"/>
    <n v="14858.76"/>
    <s v="Completed"/>
    <x v="0"/>
    <s v="Electronics"/>
    <s v="Retail"/>
    <n v="49"/>
    <s v="South"/>
    <s v="R013"/>
    <n v="811524.37999999989"/>
    <s v="South"/>
    <s v="Electronics"/>
    <n v="1259"/>
  </r>
  <r>
    <s v="ORD-01245"/>
    <d v="2024-06-29T00:00:00"/>
    <s v="CUST-0233"/>
    <s v="PROD-019"/>
    <s v="R022"/>
    <n v="9"/>
    <n v="2480"/>
    <n v="14.7"/>
    <n v="19038.96"/>
    <s v="Completed"/>
    <x v="3"/>
    <s v="Apparel"/>
    <s v="SMB"/>
    <n v="65"/>
    <s v="East"/>
    <s v="R022"/>
    <n v="1069570.5400000003"/>
    <s v="East"/>
    <s v="Apparel"/>
    <n v="1173"/>
  </r>
  <r>
    <s v="ORD-01246"/>
    <d v="2024-10-03T00:00:00"/>
    <s v="CUST-0181"/>
    <s v="PROD-008"/>
    <s v="R015"/>
    <n v="4"/>
    <n v="2660"/>
    <n v="8.9"/>
    <n v="9693.0400000000009"/>
    <s v="Completed"/>
    <x v="2"/>
    <s v="Electronics"/>
    <s v="SMB"/>
    <n v="38"/>
    <s v="South"/>
    <s v="R015"/>
    <n v="1091740.1799999997"/>
    <s v="South"/>
    <s v="Electronics"/>
    <n v="1259"/>
  </r>
  <r>
    <s v="ORD-01247"/>
    <d v="2024-09-05T00:00:00"/>
    <s v="CUST-0254"/>
    <s v="PROD-001"/>
    <s v="R010"/>
    <n v="1"/>
    <n v="5330"/>
    <n v="26.8"/>
    <n v="3901.56"/>
    <s v="Completed"/>
    <x v="4"/>
    <s v="Electronics"/>
    <s v="Retail"/>
    <n v="35"/>
    <s v="South"/>
    <s v="R010"/>
    <n v="880345.20000000007"/>
    <s v="South"/>
    <s v="Electronics"/>
    <n v="2405"/>
  </r>
  <r>
    <s v="ORD-01248"/>
    <d v="2024-09-09T00:00:00"/>
    <s v="CUST-0116"/>
    <s v="PROD-051"/>
    <s v="R027"/>
    <n v="6"/>
    <n v="3450"/>
    <n v="19.2"/>
    <n v="16725.599999999999"/>
    <s v="Pending"/>
    <x v="4"/>
    <s v="Sports"/>
    <s v="Retail"/>
    <n v="53"/>
    <s v="West"/>
    <s v="R027"/>
    <n v="917092.61999999965"/>
    <s v="West"/>
    <s v="Sports"/>
    <n v="2467"/>
  </r>
  <r>
    <s v="ORD-01249"/>
    <d v="2024-02-12T00:00:00"/>
    <s v="CUST-0259"/>
    <s v="PROD-060"/>
    <s v="R025"/>
    <n v="10"/>
    <n v="190"/>
    <n v="18.100000000000001"/>
    <n v="1556.1"/>
    <s v="Completed"/>
    <x v="3"/>
    <s v="Sports"/>
    <s v="Retail"/>
    <n v="34"/>
    <s v="West"/>
    <s v="R025"/>
    <n v="901298.89"/>
    <s v="West"/>
    <s v="Sports"/>
    <n v="147"/>
  </r>
  <r>
    <s v="ORD-01250"/>
    <d v="2024-10-19T00:00:00"/>
    <s v="CUST-0198"/>
    <s v="PROD-006"/>
    <s v="R009"/>
    <n v="9"/>
    <n v="3970"/>
    <n v="18.2"/>
    <n v="29227.14"/>
    <s v="Pending"/>
    <x v="1"/>
    <s v="Electronics"/>
    <s v="Corporate"/>
    <n v="22"/>
    <s v="South"/>
    <s v="R009"/>
    <n v="914554.71999999986"/>
    <s v="South"/>
    <s v="Electronics"/>
    <n v="2865"/>
  </r>
  <r>
    <s v="ORD-01251"/>
    <d v="2024-04-22T00:00:00"/>
    <s v="CUST-0204"/>
    <s v="PROD-039"/>
    <s v="R002"/>
    <n v="4"/>
    <n v="4610"/>
    <n v="15.1"/>
    <n v="15655.56"/>
    <s v="Cancelled"/>
    <x v="5"/>
    <s v="Home"/>
    <s v="Retail"/>
    <n v="60"/>
    <s v="North"/>
    <s v="R002"/>
    <n v="980063.65999999968"/>
    <s v="North"/>
    <s v="Home"/>
    <n v="1850"/>
  </r>
  <r>
    <s v="ORD-01252"/>
    <d v="2024-07-03T00:00:00"/>
    <s v="CUST-0216"/>
    <s v="PROD-016"/>
    <s v="R025"/>
    <n v="2"/>
    <n v="620"/>
    <n v="3.3"/>
    <n v="1199.08"/>
    <s v="Completed"/>
    <x v="3"/>
    <s v="Apparel"/>
    <s v="Retail"/>
    <n v="50"/>
    <s v="West"/>
    <s v="R025"/>
    <n v="901298.89"/>
    <s v="West"/>
    <s v="Apparel"/>
    <n v="396"/>
  </r>
  <r>
    <s v="ORD-01253"/>
    <d v="2024-07-08T00:00:00"/>
    <s v="CUST-0030"/>
    <s v="PROD-041"/>
    <s v="R025"/>
    <n v="7"/>
    <n v="1540"/>
    <n v="27.5"/>
    <n v="7815.5"/>
    <s v="Completed"/>
    <x v="4"/>
    <s v="Beauty"/>
    <s v="Corporate"/>
    <n v="43"/>
    <s v="West"/>
    <s v="R025"/>
    <n v="901298.89"/>
    <s v="West"/>
    <s v="Beauty"/>
    <n v="647"/>
  </r>
  <r>
    <s v="ORD-01254"/>
    <d v="2024-07-07T00:00:00"/>
    <s v="CUST-0019"/>
    <s v="PROD-053"/>
    <s v="R017"/>
    <n v="10"/>
    <n v="470"/>
    <n v="3.9"/>
    <n v="4516.7"/>
    <s v="Completed"/>
    <x v="1"/>
    <s v="Sports"/>
    <s v="Retail"/>
    <n v="22"/>
    <s v="East"/>
    <s v="R017"/>
    <n v="780384.40999999992"/>
    <s v="East"/>
    <s v="Sports"/>
    <n v="302"/>
  </r>
  <r>
    <s v="ORD-01255"/>
    <d v="2024-11-07T00:00:00"/>
    <s v="CUST-0034"/>
    <s v="PROD-046"/>
    <s v="R002"/>
    <n v="5"/>
    <n v="4880"/>
    <n v="27.4"/>
    <n v="17714.400000000001"/>
    <s v="Completed"/>
    <x v="2"/>
    <s v="Beauty"/>
    <s v="Retail"/>
    <n v="47"/>
    <s v="North"/>
    <s v="R002"/>
    <n v="980063.65999999968"/>
    <s v="North"/>
    <s v="Beauty"/>
    <n v="2768"/>
  </r>
  <r>
    <s v="ORD-01256"/>
    <d v="2024-09-13T00:00:00"/>
    <s v="CUST-0063"/>
    <s v="PROD-052"/>
    <s v="R029"/>
    <n v="1"/>
    <n v="5410"/>
    <n v="8.3000000000000007"/>
    <n v="4960.97"/>
    <s v="Completed"/>
    <x v="3"/>
    <s v="Sports"/>
    <s v="SMB"/>
    <n v="53"/>
    <s v="West"/>
    <s v="R029"/>
    <n v="1016696.8000000002"/>
    <s v="West"/>
    <s v="Sports"/>
    <n v="2265"/>
  </r>
  <r>
    <s v="ORD-01257"/>
    <d v="2024-07-09T00:00:00"/>
    <s v="CUST-0203"/>
    <s v="PROD-004"/>
    <s v="R022"/>
    <n v="8"/>
    <n v="3870"/>
    <n v="9.3000000000000007"/>
    <n v="28080.720000000001"/>
    <s v="Pending"/>
    <x v="1"/>
    <s v="Electronics"/>
    <s v="SMB"/>
    <n v="55"/>
    <s v="East"/>
    <s v="R022"/>
    <n v="1069570.5400000003"/>
    <s v="East"/>
    <s v="Electronics"/>
    <n v="1559"/>
  </r>
  <r>
    <s v="ORD-01258"/>
    <d v="2024-06-14T00:00:00"/>
    <s v="CUST-0016"/>
    <s v="PROD-010"/>
    <s v="R017"/>
    <n v="10"/>
    <n v="2640"/>
    <n v="19.899999999999999"/>
    <n v="21146.400000000001"/>
    <s v="Completed"/>
    <x v="2"/>
    <s v="Electronics"/>
    <s v="SMB"/>
    <n v="26"/>
    <s v="East"/>
    <s v="R017"/>
    <n v="780384.40999999992"/>
    <s v="East"/>
    <s v="Electronics"/>
    <n v="1149"/>
  </r>
  <r>
    <s v="ORD-01259"/>
    <d v="2024-08-04T00:00:00"/>
    <s v="CUST-0198"/>
    <s v="PROD-034"/>
    <s v="R007"/>
    <n v="1"/>
    <n v="5080"/>
    <n v="8.6"/>
    <n v="4643.12"/>
    <s v="Completed"/>
    <x v="1"/>
    <s v="Home"/>
    <s v="Corporate"/>
    <n v="22"/>
    <s v="North"/>
    <s v="R007"/>
    <n v="855749.67999999982"/>
    <s v="North"/>
    <s v="Home"/>
    <n v="2459"/>
  </r>
  <r>
    <s v="ORD-01260"/>
    <d v="2024-04-17T00:00:00"/>
    <s v="CUST-0212"/>
    <s v="PROD-036"/>
    <s v="R018"/>
    <n v="9"/>
    <n v="3250"/>
    <n v="18.2"/>
    <n v="23926.5"/>
    <s v="Pending"/>
    <x v="1"/>
    <s v="Home"/>
    <s v="SMB"/>
    <n v="46"/>
    <s v="East"/>
    <s v="R018"/>
    <n v="1112289.6400000001"/>
    <s v="East"/>
    <s v="Home"/>
    <n v="1556"/>
  </r>
  <r>
    <s v="ORD-01261"/>
    <d v="2024-11-11T00:00:00"/>
    <s v="CUST-0265"/>
    <s v="PROD-006"/>
    <s v="R002"/>
    <n v="8"/>
    <n v="3970"/>
    <n v="22.4"/>
    <n v="24645.759999999998"/>
    <s v="Completed"/>
    <x v="1"/>
    <s v="Electronics"/>
    <s v="Retail"/>
    <n v="49"/>
    <s v="North"/>
    <s v="R002"/>
    <n v="980063.65999999968"/>
    <s v="North"/>
    <s v="Electronics"/>
    <n v="2865"/>
  </r>
  <r>
    <s v="ORD-01262"/>
    <d v="2024-04-25T00:00:00"/>
    <s v="CUST-0165"/>
    <s v="PROD-037"/>
    <s v="R017"/>
    <n v="3"/>
    <n v="660"/>
    <n v="3.1"/>
    <n v="1918.62"/>
    <s v="Completed"/>
    <x v="0"/>
    <s v="Home"/>
    <s v="Retail"/>
    <n v="29"/>
    <s v="East"/>
    <s v="R017"/>
    <n v="780384.40999999992"/>
    <s v="East"/>
    <s v="Home"/>
    <n v="329"/>
  </r>
  <r>
    <s v="ORD-01263"/>
    <d v="2024-03-06T00:00:00"/>
    <s v="CUST-0109"/>
    <s v="PROD-002"/>
    <s v="R022"/>
    <n v="7"/>
    <n v="2600"/>
    <n v="15.4"/>
    <n v="15397.2"/>
    <s v="Completed"/>
    <x v="0"/>
    <s v="Electronics"/>
    <s v="Retail"/>
    <n v="42"/>
    <s v="East"/>
    <s v="R022"/>
    <n v="1069570.5400000003"/>
    <s v="East"/>
    <s v="Electronics"/>
    <n v="1052"/>
  </r>
  <r>
    <s v="ORD-01264"/>
    <d v="2024-09-30T00:00:00"/>
    <s v="CUST-0155"/>
    <s v="PROD-037"/>
    <s v="R015"/>
    <n v="9"/>
    <n v="660"/>
    <n v="23.7"/>
    <n v="4532.22"/>
    <s v="Completed"/>
    <x v="0"/>
    <s v="Home"/>
    <s v="Corporate"/>
    <n v="40"/>
    <s v="South"/>
    <s v="R015"/>
    <n v="1091740.1799999997"/>
    <s v="South"/>
    <s v="Home"/>
    <n v="329"/>
  </r>
  <r>
    <s v="ORD-01265"/>
    <d v="2024-04-13T00:00:00"/>
    <s v="CUST-0194"/>
    <s v="PROD-023"/>
    <s v="R021"/>
    <n v="3"/>
    <n v="2380"/>
    <n v="19.5"/>
    <n v="5747.7"/>
    <s v="Cancelled"/>
    <x v="2"/>
    <s v="Grocery"/>
    <s v="SMB"/>
    <n v="55"/>
    <s v="East"/>
    <s v="R021"/>
    <n v="761507.17000000027"/>
    <s v="East"/>
    <s v="Grocery"/>
    <n v="1182"/>
  </r>
  <r>
    <s v="ORD-01266"/>
    <d v="2024-11-28T00:00:00"/>
    <s v="CUST-0084"/>
    <s v="PROD-044"/>
    <s v="R010"/>
    <n v="9"/>
    <n v="1650"/>
    <n v="2.5"/>
    <n v="14478.75"/>
    <s v="Completed"/>
    <x v="1"/>
    <s v="Beauty"/>
    <s v="Retail"/>
    <n v="28"/>
    <s v="South"/>
    <s v="R010"/>
    <n v="880345.20000000007"/>
    <s v="South"/>
    <s v="Beauty"/>
    <n v="1222"/>
  </r>
  <r>
    <s v="ORD-01267"/>
    <d v="2024-12-24T00:00:00"/>
    <s v="CUST-9684"/>
    <s v="PROD-010"/>
    <s v="R006"/>
    <n v="8"/>
    <n v="2640"/>
    <n v="24.4"/>
    <n v="15966.72"/>
    <s v="Completed"/>
    <x v="3"/>
    <s v="Electronics"/>
    <e v="#N/A"/>
    <e v="#N/A"/>
    <s v="North"/>
    <s v="R006"/>
    <n v="1138648.73"/>
    <s v="North"/>
    <s v="Electronics"/>
    <n v="1149"/>
  </r>
  <r>
    <s v="ORD-01268"/>
    <d v="2024-03-19T00:00:00"/>
    <s v="CUST-0218"/>
    <s v="PROD-023"/>
    <s v="R013"/>
    <n v="8"/>
    <n v="2380"/>
    <n v="24.2"/>
    <n v="14432.32"/>
    <s v="Completed"/>
    <x v="3"/>
    <s v="Grocery"/>
    <s v="Retail"/>
    <n v="39"/>
    <s v="South"/>
    <s v="R013"/>
    <n v="811524.37999999989"/>
    <s v="South"/>
    <s v="Grocery"/>
    <n v="1182"/>
  </r>
  <r>
    <s v="ORD-01269"/>
    <d v="2024-03-22T00:00:00"/>
    <s v="CUST-0194"/>
    <s v="PROD-029"/>
    <s v="R007"/>
    <n v="10"/>
    <n v="2210"/>
    <n v="3.6"/>
    <n v="21304.400000000001"/>
    <s v="Completed"/>
    <x v="2"/>
    <s v="Grocery"/>
    <s v="SMB"/>
    <n v="55"/>
    <s v="North"/>
    <s v="R007"/>
    <n v="855749.67999999982"/>
    <s v="North"/>
    <s v="Grocery"/>
    <n v="1010"/>
  </r>
  <r>
    <s v="ORD-01270"/>
    <d v="2024-04-09T00:00:00"/>
    <s v="CUST-0037"/>
    <s v="PROD-050"/>
    <s v="R018"/>
    <n v="9"/>
    <n v="6080"/>
    <n v="17.2"/>
    <n v="45308.160000000003"/>
    <s v="Pending"/>
    <x v="4"/>
    <s v="Beauty"/>
    <s v="Retail"/>
    <n v="52"/>
    <s v="East"/>
    <s v="R018"/>
    <n v="1112289.6400000001"/>
    <s v="East"/>
    <s v="Beauty"/>
    <n v="2617"/>
  </r>
  <r>
    <s v="ORD-01271"/>
    <d v="2024-02-10T00:00:00"/>
    <s v="CUST-0245"/>
    <s v="PROD-054"/>
    <s v="R022"/>
    <n v="8"/>
    <n v="1010"/>
    <n v="12.3"/>
    <n v="7086.16"/>
    <s v="Completed"/>
    <x v="5"/>
    <s v="Sports"/>
    <s v="Retail"/>
    <n v="65"/>
    <s v="East"/>
    <s v="R022"/>
    <n v="1069570.5400000003"/>
    <s v="East"/>
    <s v="Sports"/>
    <n v="516"/>
  </r>
  <r>
    <s v="ORD-01272"/>
    <d v="2024-10-17T00:00:00"/>
    <s v="CUST-0266"/>
    <s v="PROD-028"/>
    <s v="R011"/>
    <n v="8"/>
    <n v="3660"/>
    <n v="8.4"/>
    <n v="26820.48"/>
    <s v="Completed"/>
    <x v="0"/>
    <s v="Grocery"/>
    <s v="Retail"/>
    <n v="65"/>
    <s v="South"/>
    <s v="R011"/>
    <n v="735207.75999999989"/>
    <s v="South"/>
    <s v="Grocery"/>
    <n v="2214"/>
  </r>
  <r>
    <s v="ORD-01273"/>
    <d v="2024-05-31T00:00:00"/>
    <s v="CUST-0058"/>
    <s v="PROD-039"/>
    <s v="R029"/>
    <n v="8"/>
    <n v="4610"/>
    <n v="15.4"/>
    <n v="31200.48"/>
    <s v="Cancelled"/>
    <x v="4"/>
    <s v="Home"/>
    <s v="SMB"/>
    <n v="49"/>
    <s v="West"/>
    <s v="R029"/>
    <n v="1016696.8000000002"/>
    <s v="West"/>
    <s v="Home"/>
    <n v="1850"/>
  </r>
  <r>
    <s v="ORD-01274"/>
    <d v="2024-08-21T00:00:00"/>
    <s v="CUST-0058"/>
    <s v="PROD-048"/>
    <s v="R006"/>
    <n v="9"/>
    <n v="5100"/>
    <n v="25.2"/>
    <n v="34333.199999999997"/>
    <s v="Cancelled"/>
    <x v="4"/>
    <s v="Beauty"/>
    <s v="SMB"/>
    <n v="49"/>
    <s v="North"/>
    <s v="R006"/>
    <n v="1138648.73"/>
    <s v="North"/>
    <s v="Beauty"/>
    <n v="2237"/>
  </r>
  <r>
    <s v="ORD-01275"/>
    <d v="2024-03-26T00:00:00"/>
    <s v="CUST-0028"/>
    <s v="PROD-045"/>
    <s v="R019"/>
    <n v="5"/>
    <n v="3020"/>
    <n v="23"/>
    <n v="11627"/>
    <s v="Completed"/>
    <x v="4"/>
    <s v="Beauty"/>
    <s v="Retail"/>
    <n v="59"/>
    <s v="East"/>
    <s v="R019"/>
    <n v="971183.52000000014"/>
    <s v="East"/>
    <s v="Beauty"/>
    <n v="1626"/>
  </r>
  <r>
    <s v="ORD-01276"/>
    <d v="2024-05-01T00:00:00"/>
    <s v="CUST-0262"/>
    <s v="PROD-059"/>
    <s v="R015"/>
    <n v="8"/>
    <n v="3780"/>
    <n v="17.100000000000001"/>
    <n v="25068.959999999999"/>
    <s v="Completed"/>
    <x v="3"/>
    <s v="Sports"/>
    <s v="Retail"/>
    <n v="52"/>
    <s v="South"/>
    <s v="R015"/>
    <n v="1091740.1799999997"/>
    <s v="South"/>
    <s v="Sports"/>
    <n v="1860"/>
  </r>
  <r>
    <s v="ORD-01277"/>
    <d v="2024-05-25T00:00:00"/>
    <s v="CUST-0241"/>
    <s v="PROD-029"/>
    <s v="R001"/>
    <n v="10"/>
    <n v="2210"/>
    <n v="8.5"/>
    <n v="20221.5"/>
    <s v="Completed"/>
    <x v="0"/>
    <s v="Grocery"/>
    <s v="Corporate"/>
    <n v="47"/>
    <s v="North"/>
    <s v="R001"/>
    <n v="789849.60000000009"/>
    <s v="North"/>
    <s v="Grocery"/>
    <n v="1010"/>
  </r>
  <r>
    <s v="ORD-01278"/>
    <d v="2024-11-08T00:00:00"/>
    <s v="CUST-0109"/>
    <s v="PROD-029"/>
    <s v="R015"/>
    <n v="4"/>
    <n v="2210"/>
    <n v="3.1"/>
    <n v="8565.9599999999991"/>
    <s v="Completed"/>
    <x v="0"/>
    <s v="Grocery"/>
    <s v="Retail"/>
    <n v="42"/>
    <s v="South"/>
    <s v="R015"/>
    <n v="1091740.1799999997"/>
    <s v="South"/>
    <s v="Grocery"/>
    <n v="1010"/>
  </r>
  <r>
    <s v="ORD-01279"/>
    <d v="2024-09-05T00:00:00"/>
    <s v="CUST-0228"/>
    <s v="PROD-044"/>
    <s v="R015"/>
    <n v="1"/>
    <n v="1650"/>
    <n v="10"/>
    <n v="1485"/>
    <s v="Completed"/>
    <x v="0"/>
    <s v="Beauty"/>
    <s v="Corporate"/>
    <n v="37"/>
    <s v="South"/>
    <s v="R015"/>
    <n v="1091740.1799999997"/>
    <s v="South"/>
    <s v="Beauty"/>
    <n v="1222"/>
  </r>
  <r>
    <s v="ORD-01280"/>
    <d v="2024-11-01T00:00:00"/>
    <s v="CUST-0239"/>
    <s v="PROD-060"/>
    <s v="R005"/>
    <n v="6"/>
    <n v="190"/>
    <n v="3.5"/>
    <n v="1100.0999999999999"/>
    <s v="Cancelled"/>
    <x v="3"/>
    <s v="Sports"/>
    <s v="Retail"/>
    <n v="61"/>
    <s v="North"/>
    <s v="R005"/>
    <n v="782445.33"/>
    <s v="North"/>
    <s v="Sports"/>
    <n v="147"/>
  </r>
  <r>
    <s v="ORD-01281"/>
    <d v="2024-10-24T00:00:00"/>
    <s v="CUST-0092"/>
    <s v="PROD-055"/>
    <s v="R027"/>
    <n v="8"/>
    <n v="2860"/>
    <n v="14.7"/>
    <n v="19516.64"/>
    <s v="Completed"/>
    <x v="4"/>
    <s v="Sports"/>
    <s v="SMB"/>
    <n v="28"/>
    <s v="West"/>
    <s v="R027"/>
    <n v="917092.61999999965"/>
    <s v="West"/>
    <s v="Sports"/>
    <n v="2028"/>
  </r>
  <r>
    <s v="ORD-01282"/>
    <d v="2024-06-05T00:00:00"/>
    <s v="CUST-0283"/>
    <s v="PROD-005"/>
    <s v="R030"/>
    <n v="9"/>
    <n v="300"/>
    <n v="19.5"/>
    <n v="2173.5"/>
    <s v="Completed"/>
    <x v="2"/>
    <s v="Electronics"/>
    <s v="SMB"/>
    <n v="50"/>
    <s v="West"/>
    <s v="R030"/>
    <n v="747624.36999999988"/>
    <s v="West"/>
    <s v="Electronics"/>
    <n v="128"/>
  </r>
  <r>
    <s v="ORD-01283"/>
    <d v="2024-11-12T00:00:00"/>
    <s v="CUST-0206"/>
    <s v="PROD-049"/>
    <s v="R007"/>
    <n v="10"/>
    <n v="960"/>
    <n v="9.6999999999999993"/>
    <n v="8668.7999999999993"/>
    <s v="Completed"/>
    <x v="3"/>
    <s v="Beauty"/>
    <s v="Retail"/>
    <n v="40"/>
    <s v="North"/>
    <s v="R007"/>
    <n v="855749.67999999982"/>
    <s v="North"/>
    <s v="Beauty"/>
    <n v="675"/>
  </r>
  <r>
    <s v="ORD-01284"/>
    <d v="2024-05-09T00:00:00"/>
    <s v="CUST-0174"/>
    <s v="PROD-020"/>
    <s v="R013"/>
    <n v="5"/>
    <n v="820"/>
    <n v="0.5"/>
    <n v="4079.5"/>
    <s v="Completed"/>
    <x v="0"/>
    <s v="Apparel"/>
    <s v="Retail"/>
    <n v="54"/>
    <s v="South"/>
    <s v="R013"/>
    <n v="811524.37999999989"/>
    <s v="South"/>
    <s v="Apparel"/>
    <n v="391"/>
  </r>
  <r>
    <s v="ORD-01285"/>
    <d v="2024-04-01T00:00:00"/>
    <s v="CUST-0040"/>
    <s v="PROD-032"/>
    <s v="R004"/>
    <n v="2"/>
    <n v="370"/>
    <n v="10.5"/>
    <n v="662.3"/>
    <s v="Pending"/>
    <x v="1"/>
    <s v="Home"/>
    <s v="Retail"/>
    <n v="28"/>
    <s v="North"/>
    <s v="R004"/>
    <n v="589026.2899999998"/>
    <s v="North"/>
    <s v="Home"/>
    <n v="288"/>
  </r>
  <r>
    <s v="ORD-01286"/>
    <d v="2024-06-10T00:00:00"/>
    <s v="CUST-0153"/>
    <s v="PROD-038"/>
    <s v="R023"/>
    <n v="9"/>
    <n v="5490"/>
    <n v="14.2"/>
    <n v="42393.78"/>
    <s v="Cancelled"/>
    <x v="3"/>
    <s v="Home"/>
    <s v="Retail"/>
    <n v="35"/>
    <s v="East"/>
    <s v="R023"/>
    <n v="983787.4800000001"/>
    <s v="East"/>
    <s v="Home"/>
    <n v="2549"/>
  </r>
  <r>
    <s v="ORD-01287"/>
    <d v="2024-04-16T00:00:00"/>
    <s v="CUST-0236"/>
    <s v="PROD-032"/>
    <s v="R018"/>
    <n v="3"/>
    <n v="370"/>
    <n v="18.399999999999999"/>
    <n v="905.76"/>
    <s v="Completed"/>
    <x v="5"/>
    <s v="Home"/>
    <s v="SMB"/>
    <n v="28"/>
    <s v="East"/>
    <s v="R018"/>
    <n v="1112289.6400000001"/>
    <s v="East"/>
    <s v="Home"/>
    <n v="288"/>
  </r>
  <r>
    <s v="ORD-01288"/>
    <d v="2024-10-19T00:00:00"/>
    <s v="CUST-0295"/>
    <s v="PROD-060"/>
    <s v="R018"/>
    <n v="6"/>
    <n v="190"/>
    <n v="12.9"/>
    <n v="992.94"/>
    <s v="Completed"/>
    <x v="2"/>
    <s v="Sports"/>
    <s v="SMB"/>
    <n v="48"/>
    <s v="East"/>
    <s v="R018"/>
    <n v="1112289.6400000001"/>
    <s v="East"/>
    <s v="Sports"/>
    <n v="147"/>
  </r>
  <r>
    <s v="ORD-01289"/>
    <d v="2024-04-15T00:00:00"/>
    <s v="CUST-0145"/>
    <s v="PROD-029"/>
    <s v="R023"/>
    <n v="8"/>
    <n v="2210"/>
    <n v="9.8000000000000007"/>
    <n v="15947.36"/>
    <s v="Completed"/>
    <x v="4"/>
    <s v="Grocery"/>
    <s v="SMB"/>
    <n v="44"/>
    <s v="East"/>
    <s v="R023"/>
    <n v="983787.4800000001"/>
    <s v="East"/>
    <s v="Grocery"/>
    <n v="1010"/>
  </r>
  <r>
    <s v="ORD-01290"/>
    <d v="2024-06-10T00:00:00"/>
    <s v="CUST-0192"/>
    <s v="PROD-044"/>
    <s v="R009"/>
    <n v="7"/>
    <n v="1650"/>
    <n v="8.4"/>
    <n v="10579.8"/>
    <s v="Completed"/>
    <x v="4"/>
    <s v="Beauty"/>
    <s v="Retail"/>
    <n v="55"/>
    <s v="South"/>
    <s v="R009"/>
    <n v="914554.71999999986"/>
    <s v="South"/>
    <s v="Beauty"/>
    <n v="1222"/>
  </r>
  <r>
    <s v="ORD-01291"/>
    <d v="2024-03-08T00:00:00"/>
    <s v="CUST-0148"/>
    <s v="PROD-037"/>
    <s v="R013"/>
    <n v="8"/>
    <n v="660"/>
    <n v="7.5"/>
    <n v="4884"/>
    <s v="Completed"/>
    <x v="1"/>
    <s v="Home"/>
    <s v="Retail"/>
    <n v="32"/>
    <s v="South"/>
    <s v="R013"/>
    <n v="811524.37999999989"/>
    <s v="South"/>
    <s v="Home"/>
    <n v="329"/>
  </r>
  <r>
    <s v="ORD-01292"/>
    <d v="2024-12-18T00:00:00"/>
    <s v="CUST-0227"/>
    <s v="PROD-039"/>
    <s v="R004"/>
    <n v="3"/>
    <n v="4610"/>
    <n v="29.6"/>
    <n v="9736.32"/>
    <s v="Completed"/>
    <x v="4"/>
    <s v="Home"/>
    <s v="SMB"/>
    <n v="44"/>
    <s v="North"/>
    <s v="R004"/>
    <n v="589026.2899999998"/>
    <s v="North"/>
    <s v="Home"/>
    <n v="1850"/>
  </r>
  <r>
    <s v="ORD-01293"/>
    <d v="2024-02-03T00:00:00"/>
    <s v="CUST-0170"/>
    <s v="PROD-029"/>
    <s v="R025"/>
    <n v="6"/>
    <n v="2210"/>
    <n v="9.5"/>
    <n v="12000.3"/>
    <s v="Completed"/>
    <x v="3"/>
    <s v="Grocery"/>
    <s v="SMB"/>
    <n v="22"/>
    <s v="West"/>
    <s v="R025"/>
    <n v="901298.89"/>
    <s v="West"/>
    <s v="Grocery"/>
    <n v="1010"/>
  </r>
  <r>
    <s v="ORD-01294"/>
    <d v="2024-08-29T00:00:00"/>
    <s v="CUST-0102"/>
    <s v="PROD-042"/>
    <s v="R017"/>
    <n v="4"/>
    <n v="2290"/>
    <n v="3.3"/>
    <n v="8857.7199999999993"/>
    <s v="Completed"/>
    <x v="1"/>
    <s v="Beauty"/>
    <s v="SMB"/>
    <n v="62"/>
    <s v="East"/>
    <s v="R017"/>
    <n v="780384.40999999992"/>
    <s v="East"/>
    <s v="Beauty"/>
    <n v="1219"/>
  </r>
  <r>
    <s v="ORD-01295"/>
    <d v="2024-03-18T00:00:00"/>
    <s v="CUST-0071"/>
    <s v="PROD-040"/>
    <s v="R026"/>
    <n v="5"/>
    <n v="1080"/>
    <n v="26.1"/>
    <n v="3990.6"/>
    <s v="Completed"/>
    <x v="2"/>
    <s v="Home"/>
    <s v="Corporate"/>
    <n v="46"/>
    <s v="West"/>
    <s v="R026"/>
    <n v="576305.08000000019"/>
    <s v="West"/>
    <s v="Home"/>
    <n v="519"/>
  </r>
  <r>
    <s v="ORD-01296"/>
    <d v="2024-01-21T00:00:00"/>
    <s v="CUST-0080"/>
    <s v="PROD-057"/>
    <s v="R010"/>
    <n v="7"/>
    <n v="960"/>
    <n v="17.7"/>
    <n v="5530.56"/>
    <s v="Completed"/>
    <x v="0"/>
    <s v="Sports"/>
    <s v="SMB"/>
    <n v="30"/>
    <s v="South"/>
    <s v="R010"/>
    <n v="880345.20000000007"/>
    <s v="South"/>
    <s v="Sports"/>
    <n v="705"/>
  </r>
  <r>
    <s v="ORD-01297"/>
    <d v="2024-06-02T00:00:00"/>
    <s v="CUST-0272"/>
    <s v="PROD-058"/>
    <s v="R008"/>
    <n v="1"/>
    <n v="2400"/>
    <n v="29.9"/>
    <n v="1682.4"/>
    <s v="Completed"/>
    <x v="3"/>
    <s v="Sports"/>
    <s v="SMB"/>
    <n v="47"/>
    <s v="North"/>
    <s v="R008"/>
    <n v="861553.33"/>
    <s v="North"/>
    <s v="Sports"/>
    <n v="974"/>
  </r>
  <r>
    <s v="ORD-01298"/>
    <d v="2024-12-10T00:00:00"/>
    <s v="CUST-0076"/>
    <s v="PROD-042"/>
    <s v="R010"/>
    <n v="9"/>
    <n v="2290"/>
    <n v="28.8"/>
    <n v="14674.32"/>
    <s v="Completed"/>
    <x v="3"/>
    <s v="Beauty"/>
    <s v="Retail"/>
    <n v="38"/>
    <s v="South"/>
    <s v="R010"/>
    <n v="880345.20000000007"/>
    <s v="South"/>
    <s v="Beauty"/>
    <n v="1219"/>
  </r>
  <r>
    <s v="ORD-01299"/>
    <d v="2024-01-03T00:00:00"/>
    <s v="CUST-0222"/>
    <s v="PROD-040"/>
    <s v="R018"/>
    <n v="9"/>
    <n v="1080"/>
    <n v="10.3"/>
    <n v="8718.84"/>
    <s v="Completed"/>
    <x v="1"/>
    <s v="Home"/>
    <s v="Retail"/>
    <n v="37"/>
    <s v="East"/>
    <s v="R018"/>
    <n v="1112289.6400000001"/>
    <s v="East"/>
    <s v="Home"/>
    <n v="519"/>
  </r>
  <r>
    <s v="ORD-01300"/>
    <d v="2024-06-06T00:00:00"/>
    <s v="CUST-0091"/>
    <s v="PROD-035"/>
    <s v="R004"/>
    <n v="1"/>
    <n v="1090"/>
    <n v="5.8"/>
    <n v="1026.78"/>
    <s v="Cancelled"/>
    <x v="2"/>
    <s v="Home"/>
    <s v="Retail"/>
    <n v="55"/>
    <s v="North"/>
    <s v="R004"/>
    <n v="589026.2899999998"/>
    <s v="North"/>
    <s v="Home"/>
    <n v="464"/>
  </r>
  <r>
    <s v="ORD-01301"/>
    <d v="2024-09-25T00:00:00"/>
    <s v="CUST-0126"/>
    <s v="PROD-029"/>
    <s v="R018"/>
    <n v="3"/>
    <n v="2210"/>
    <n v="18.2"/>
    <n v="5423.34"/>
    <s v="Pending"/>
    <x v="3"/>
    <s v="Grocery"/>
    <s v="Retail"/>
    <n v="37"/>
    <s v="East"/>
    <s v="R018"/>
    <n v="1112289.6400000001"/>
    <s v="East"/>
    <s v="Grocery"/>
    <n v="1010"/>
  </r>
  <r>
    <s v="ORD-01302"/>
    <d v="2024-10-23T00:00:00"/>
    <s v="CUST-0241"/>
    <s v="PROD-014"/>
    <s v="R015"/>
    <n v="8"/>
    <n v="3620"/>
    <n v="1.4"/>
    <n v="28554.560000000001"/>
    <s v="Completed"/>
    <x v="0"/>
    <s v="Apparel"/>
    <s v="Corporate"/>
    <n v="47"/>
    <s v="South"/>
    <s v="R015"/>
    <n v="1091740.1799999997"/>
    <s v="South"/>
    <s v="Apparel"/>
    <n v="2509"/>
  </r>
  <r>
    <s v="ORD-01303"/>
    <d v="2024-03-09T00:00:00"/>
    <s v="CUST-0118"/>
    <s v="PROD-033"/>
    <s v="R011"/>
    <n v="7"/>
    <n v="2030"/>
    <n v="27.7"/>
    <n v="10273.83"/>
    <s v="Completed"/>
    <x v="5"/>
    <s v="Home"/>
    <s v="Retail"/>
    <n v="26"/>
    <s v="South"/>
    <s v="R011"/>
    <n v="735207.75999999989"/>
    <s v="South"/>
    <s v="Home"/>
    <n v="1143"/>
  </r>
  <r>
    <s v="ORD-01304"/>
    <d v="2024-01-25T00:00:00"/>
    <s v="CUST-0090"/>
    <s v="PROD-004"/>
    <s v="R023"/>
    <n v="1"/>
    <n v="3870"/>
    <n v="29.6"/>
    <n v="2724.48"/>
    <s v="Completed"/>
    <x v="4"/>
    <s v="Electronics"/>
    <s v="Corporate"/>
    <n v="26"/>
    <s v="East"/>
    <s v="R023"/>
    <n v="983787.4800000001"/>
    <s v="East"/>
    <s v="Electronics"/>
    <n v="1559"/>
  </r>
  <r>
    <s v="ORD-01305"/>
    <d v="2024-02-02T00:00:00"/>
    <s v="CUST-0037"/>
    <s v="PROD-003"/>
    <s v="R014"/>
    <n v="5"/>
    <n v="3570"/>
    <n v="11.8"/>
    <n v="15743.7"/>
    <s v="Refunded"/>
    <x v="4"/>
    <s v="Electronics"/>
    <s v="Retail"/>
    <n v="52"/>
    <s v="South"/>
    <s v="R014"/>
    <n v="995713.54000000015"/>
    <s v="South"/>
    <s v="Electronics"/>
    <n v="1665"/>
  </r>
  <r>
    <s v="ORD-01306"/>
    <d v="2024-12-24T00:00:00"/>
    <s v="CUST-0083"/>
    <s v="PROD-001"/>
    <s v="R019"/>
    <n v="7"/>
    <n v="5330"/>
    <n v="8.1999999999999993"/>
    <n v="34250.58"/>
    <s v="Completed"/>
    <x v="4"/>
    <s v="Electronics"/>
    <s v="Corporate"/>
    <n v="31"/>
    <s v="East"/>
    <s v="R019"/>
    <n v="971183.52000000014"/>
    <s v="East"/>
    <s v="Electronics"/>
    <n v="2405"/>
  </r>
  <r>
    <s v="ORD-01307"/>
    <d v="2024-09-29T00:00:00"/>
    <s v="CUST-0154"/>
    <s v="PROD-009"/>
    <s v="R009"/>
    <n v="5"/>
    <n v="1220"/>
    <n v="17.8"/>
    <n v="5014.2"/>
    <s v="Refunded"/>
    <x v="0"/>
    <s v="Electronics"/>
    <s v="Retail"/>
    <n v="36"/>
    <s v="South"/>
    <s v="R009"/>
    <n v="914554.71999999986"/>
    <s v="South"/>
    <s v="Electronics"/>
    <n v="517"/>
  </r>
  <r>
    <s v="ORD-01308"/>
    <d v="2024-10-22T00:00:00"/>
    <s v="CUST-0265"/>
    <s v="PROD-011"/>
    <s v="R019"/>
    <n v="7"/>
    <n v="3450"/>
    <n v="29.3"/>
    <n v="17074.05"/>
    <s v="Completed"/>
    <x v="1"/>
    <s v="Apparel"/>
    <s v="Retail"/>
    <n v="49"/>
    <s v="East"/>
    <s v="R019"/>
    <n v="971183.52000000014"/>
    <s v="East"/>
    <s v="Apparel"/>
    <n v="1748"/>
  </r>
  <r>
    <s v="ORD-01309"/>
    <d v="2024-09-03T00:00:00"/>
    <s v="CUST-0115"/>
    <s v="PROD-018"/>
    <s v="R013"/>
    <n v="6"/>
    <n v="3560"/>
    <n v="9.4"/>
    <n v="19352.16"/>
    <s v="Pending"/>
    <x v="3"/>
    <s v="Apparel"/>
    <s v="SMB"/>
    <n v="65"/>
    <s v="South"/>
    <s v="R013"/>
    <n v="811524.37999999989"/>
    <s v="South"/>
    <s v="Apparel"/>
    <n v="2629"/>
  </r>
  <r>
    <s v="ORD-01310"/>
    <d v="2024-04-03T00:00:00"/>
    <s v="CUST-0274"/>
    <s v="PROD-032"/>
    <s v="R005"/>
    <n v="4"/>
    <n v="370"/>
    <n v="4.9000000000000004"/>
    <n v="1407.48"/>
    <s v="Completed"/>
    <x v="4"/>
    <s v="Home"/>
    <s v="Corporate"/>
    <n v="36"/>
    <s v="North"/>
    <s v="R005"/>
    <n v="782445.33"/>
    <s v="North"/>
    <s v="Home"/>
    <n v="288"/>
  </r>
  <r>
    <s v="ORD-01311"/>
    <d v="2024-12-21T00:00:00"/>
    <s v="CUST-0269"/>
    <s v="PROD-009"/>
    <s v="R003"/>
    <n v="1"/>
    <n v="1220"/>
    <n v="15.2"/>
    <n v="1034.56"/>
    <s v="Completed"/>
    <x v="0"/>
    <s v="Electronics"/>
    <s v="Retail"/>
    <n v="48"/>
    <s v="North"/>
    <s v="R003"/>
    <n v="986692.91"/>
    <s v="North"/>
    <s v="Electronics"/>
    <n v="517"/>
  </r>
  <r>
    <s v="ORD-01312"/>
    <d v="2024-06-23T00:00:00"/>
    <s v="CUST-0045"/>
    <s v="PROD-013"/>
    <s v="R006"/>
    <n v="3"/>
    <n v="3640"/>
    <n v="12.3"/>
    <n v="9576.84"/>
    <s v="Pending"/>
    <x v="1"/>
    <s v="Apparel"/>
    <s v="SMB"/>
    <n v="39"/>
    <s v="North"/>
    <s v="R006"/>
    <n v="1138648.73"/>
    <s v="North"/>
    <s v="Apparel"/>
    <n v="2611"/>
  </r>
  <r>
    <s v="ORD-01313"/>
    <d v="2024-09-24T00:00:00"/>
    <s v="CUST-0054"/>
    <s v="PROD-045"/>
    <s v="R010"/>
    <n v="8"/>
    <n v="3020"/>
    <n v="28.2"/>
    <n v="17346.88"/>
    <s v="Pending"/>
    <x v="3"/>
    <s v="Beauty"/>
    <s v="Corporate"/>
    <n v="62"/>
    <s v="South"/>
    <s v="R010"/>
    <n v="880345.20000000007"/>
    <s v="South"/>
    <s v="Beauty"/>
    <n v="1626"/>
  </r>
  <r>
    <s v="ORD-01314"/>
    <d v="2024-06-26T00:00:00"/>
    <s v="CUST-0160"/>
    <s v="PROD-048"/>
    <s v="R008"/>
    <n v="3"/>
    <n v="5100"/>
    <n v="7.8"/>
    <n v="14106.6"/>
    <s v="Completed"/>
    <x v="5"/>
    <s v="Beauty"/>
    <s v="Retail"/>
    <n v="27"/>
    <s v="North"/>
    <s v="R008"/>
    <n v="861553.33"/>
    <s v="North"/>
    <s v="Beauty"/>
    <n v="2237"/>
  </r>
  <r>
    <s v="ORD-01315"/>
    <d v="2024-04-25T00:00:00"/>
    <s v="CUST-0163"/>
    <s v="PROD-005"/>
    <s v="R001"/>
    <n v="9"/>
    <n v="300"/>
    <n v="19"/>
    <n v="2187"/>
    <s v="Completed"/>
    <x v="0"/>
    <s v="Electronics"/>
    <s v="Retail"/>
    <n v="49"/>
    <s v="North"/>
    <s v="R001"/>
    <n v="789849.60000000009"/>
    <s v="North"/>
    <s v="Electronics"/>
    <n v="128"/>
  </r>
  <r>
    <s v="ORD-01316"/>
    <d v="2024-12-08T00:00:00"/>
    <s v="CUST-0006"/>
    <s v="PROD-042"/>
    <s v="R007"/>
    <n v="10"/>
    <n v="2290"/>
    <n v="27.7"/>
    <n v="16556.7"/>
    <s v="Completed"/>
    <x v="0"/>
    <s v="Beauty"/>
    <s v="SMB"/>
    <n v="44"/>
    <s v="North"/>
    <s v="R007"/>
    <n v="855749.67999999982"/>
    <s v="North"/>
    <s v="Beauty"/>
    <n v="1219"/>
  </r>
  <r>
    <s v="ORD-01317"/>
    <d v="2024-06-11T00:00:00"/>
    <s v="CUST-0142"/>
    <s v="PROD-013"/>
    <s v="R024"/>
    <n v="9"/>
    <n v="3640"/>
    <n v="20.100000000000001"/>
    <n v="26175.24"/>
    <s v="Completed"/>
    <x v="1"/>
    <s v="Apparel"/>
    <s v="Corporate"/>
    <n v="55"/>
    <s v="West"/>
    <s v="R024"/>
    <n v="819558.58"/>
    <s v="West"/>
    <s v="Apparel"/>
    <n v="2611"/>
  </r>
  <r>
    <s v="ORD-01318"/>
    <d v="2024-09-30T00:00:00"/>
    <s v="CUST-0262"/>
    <s v="PROD-020"/>
    <s v="R022"/>
    <n v="4"/>
    <n v="820"/>
    <n v="7.6"/>
    <n v="3030.72"/>
    <s v="Completed"/>
    <x v="3"/>
    <s v="Apparel"/>
    <s v="Retail"/>
    <n v="52"/>
    <s v="East"/>
    <s v="R022"/>
    <n v="1069570.5400000003"/>
    <s v="East"/>
    <s v="Apparel"/>
    <n v="391"/>
  </r>
  <r>
    <s v="ORD-01319"/>
    <d v="2024-05-31T00:00:00"/>
    <s v="CUST-0049"/>
    <s v="PROD-030"/>
    <s v="R014"/>
    <n v="1"/>
    <n v="970"/>
    <n v="1.7"/>
    <n v="953.51"/>
    <s v="Completed"/>
    <x v="3"/>
    <s v="Grocery"/>
    <s v="Corporate"/>
    <n v="42"/>
    <s v="South"/>
    <s v="R014"/>
    <n v="995713.54000000015"/>
    <s v="South"/>
    <s v="Grocery"/>
    <n v="434"/>
  </r>
  <r>
    <s v="ORD-01320"/>
    <d v="2024-01-27T00:00:00"/>
    <s v="CUST-0204"/>
    <s v="PROD-018"/>
    <s v="R019"/>
    <n v="5"/>
    <n v="3560"/>
    <n v="10.5"/>
    <n v="15931"/>
    <s v="Completed"/>
    <x v="5"/>
    <s v="Apparel"/>
    <s v="Retail"/>
    <n v="60"/>
    <s v="East"/>
    <s v="R019"/>
    <n v="971183.52000000014"/>
    <s v="East"/>
    <s v="Apparel"/>
    <n v="2629"/>
  </r>
  <r>
    <s v="ORD-01321"/>
    <d v="2024-01-17T00:00:00"/>
    <s v="CUST-0164"/>
    <s v="PROD-035"/>
    <s v="R009"/>
    <n v="6"/>
    <n v="1090"/>
    <n v="2.4"/>
    <n v="6383.04"/>
    <s v="Pending"/>
    <x v="1"/>
    <s v="Home"/>
    <s v="Retail"/>
    <n v="60"/>
    <s v="South"/>
    <s v="R009"/>
    <n v="914554.71999999986"/>
    <s v="South"/>
    <s v="Home"/>
    <n v="464"/>
  </r>
  <r>
    <s v="ORD-01322"/>
    <d v="2024-01-15T00:00:00"/>
    <s v="CUST-0003"/>
    <s v="PROD-008"/>
    <s v="R017"/>
    <n v="6"/>
    <n v="2660"/>
    <n v="6.4"/>
    <n v="14938.56"/>
    <s v="Completed"/>
    <x v="3"/>
    <s v="Electronics"/>
    <s v="Retail"/>
    <n v="33"/>
    <s v="East"/>
    <s v="R017"/>
    <n v="780384.40999999992"/>
    <s v="East"/>
    <s v="Electronics"/>
    <n v="1259"/>
  </r>
  <r>
    <s v="ORD-01323"/>
    <d v="2024-05-20T00:00:00"/>
    <s v="CUST-0032"/>
    <s v="PROD-006"/>
    <s v="R001"/>
    <n v="5"/>
    <n v="3970"/>
    <n v="18.8"/>
    <n v="16118.2"/>
    <s v="Pending"/>
    <x v="5"/>
    <s v="Electronics"/>
    <s v="Retail"/>
    <n v="28"/>
    <s v="North"/>
    <s v="R001"/>
    <n v="789849.60000000009"/>
    <s v="North"/>
    <s v="Electronics"/>
    <n v="2865"/>
  </r>
  <r>
    <s v="ORD-01324"/>
    <d v="2024-03-18T00:00:00"/>
    <s v="CUST-0208"/>
    <s v="PROD-056"/>
    <s v="R021"/>
    <n v="7"/>
    <n v="6940"/>
    <n v="23.8"/>
    <n v="37017.96"/>
    <s v="Refunded"/>
    <x v="3"/>
    <s v="Sports"/>
    <s v="Retail"/>
    <n v="49"/>
    <s v="East"/>
    <s v="R021"/>
    <n v="761507.17000000027"/>
    <s v="East"/>
    <s v="Sports"/>
    <n v="2827"/>
  </r>
  <r>
    <s v="ORD-01325"/>
    <d v="2024-09-09T00:00:00"/>
    <s v="CUST-0183"/>
    <s v="PROD-058"/>
    <s v="R004"/>
    <n v="3"/>
    <n v="2400"/>
    <n v="9.8000000000000007"/>
    <n v="6494.4"/>
    <s v="Completed"/>
    <x v="3"/>
    <s v="Sports"/>
    <s v="SMB"/>
    <n v="27"/>
    <s v="North"/>
    <s v="R004"/>
    <n v="589026.2899999998"/>
    <s v="North"/>
    <s v="Sports"/>
    <n v="974"/>
  </r>
  <r>
    <s v="ORD-01326"/>
    <d v="2024-04-13T00:00:00"/>
    <s v="CUST-0021"/>
    <s v="PROD-051"/>
    <s v="R023"/>
    <n v="8"/>
    <n v="3450"/>
    <n v="26.6"/>
    <n v="20258.400000000001"/>
    <s v="Cancelled"/>
    <x v="0"/>
    <s v="Sports"/>
    <s v="Retail"/>
    <n v="44"/>
    <s v="East"/>
    <s v="R023"/>
    <n v="983787.4800000001"/>
    <s v="East"/>
    <s v="Sports"/>
    <n v="2467"/>
  </r>
  <r>
    <s v="ORD-01327"/>
    <d v="2024-04-07T00:00:00"/>
    <s v="CUST-0080"/>
    <s v="PROD-009"/>
    <s v="R004"/>
    <n v="4"/>
    <n v="1220"/>
    <n v="5.5"/>
    <n v="4611.6000000000004"/>
    <s v="Completed"/>
    <x v="0"/>
    <s v="Electronics"/>
    <s v="SMB"/>
    <n v="30"/>
    <s v="North"/>
    <s v="R004"/>
    <n v="589026.2899999998"/>
    <s v="North"/>
    <s v="Electronics"/>
    <n v="517"/>
  </r>
  <r>
    <s v="ORD-01328"/>
    <d v="2024-09-01T00:00:00"/>
    <s v="CUST-0286"/>
    <s v="PROD-016"/>
    <s v="R007"/>
    <n v="1"/>
    <n v="620"/>
    <n v="22.3"/>
    <n v="481.74"/>
    <s v="Pending"/>
    <x v="2"/>
    <s v="Apparel"/>
    <s v="Retail"/>
    <n v="62"/>
    <s v="North"/>
    <s v="R007"/>
    <n v="855749.67999999982"/>
    <s v="North"/>
    <s v="Apparel"/>
    <n v="396"/>
  </r>
  <r>
    <s v="ORD-01329"/>
    <d v="2024-02-26T00:00:00"/>
    <s v="CUST-0152"/>
    <s v="PROD-005"/>
    <s v="R023"/>
    <n v="1"/>
    <n v="300"/>
    <n v="12.5"/>
    <n v="262.5"/>
    <s v="Completed"/>
    <x v="4"/>
    <s v="Electronics"/>
    <s v="SMB"/>
    <n v="64"/>
    <s v="East"/>
    <s v="R023"/>
    <n v="983787.4800000001"/>
    <s v="East"/>
    <s v="Electronics"/>
    <n v="128"/>
  </r>
  <r>
    <s v="ORD-01330"/>
    <d v="2024-07-29T00:00:00"/>
    <s v="CUST-0254"/>
    <s v="PROD-054"/>
    <s v="R020"/>
    <n v="3"/>
    <n v="1010"/>
    <n v="14.1"/>
    <n v="2602.77"/>
    <s v="Completed"/>
    <x v="4"/>
    <s v="Sports"/>
    <s v="Retail"/>
    <n v="35"/>
    <s v="East"/>
    <s v="R020"/>
    <n v="906107.71000000008"/>
    <s v="East"/>
    <s v="Sports"/>
    <n v="516"/>
  </r>
  <r>
    <s v="ORD-01331"/>
    <d v="2024-11-04T00:00:00"/>
    <s v="CUST-0290"/>
    <s v="PROD-034"/>
    <s v="R027"/>
    <n v="2"/>
    <n v="5080"/>
    <n v="16.8"/>
    <n v="8453.1200000000008"/>
    <s v="Completed"/>
    <x v="2"/>
    <s v="Home"/>
    <s v="Retail"/>
    <n v="63"/>
    <s v="West"/>
    <s v="R027"/>
    <n v="917092.61999999965"/>
    <s v="West"/>
    <s v="Home"/>
    <n v="2459"/>
  </r>
  <r>
    <s v="ORD-01332"/>
    <d v="2024-05-04T00:00:00"/>
    <s v="CUST-0101"/>
    <s v="PROD-012"/>
    <s v="R027"/>
    <n v="2"/>
    <n v="3160"/>
    <n v="21.4"/>
    <n v="4967.5200000000004"/>
    <s v="Completed"/>
    <x v="5"/>
    <s v="Apparel"/>
    <s v="SMB"/>
    <n v="40"/>
    <s v="West"/>
    <s v="R027"/>
    <n v="917092.61999999965"/>
    <s v="West"/>
    <s v="Apparel"/>
    <n v="1886"/>
  </r>
  <r>
    <s v="ORD-01333"/>
    <d v="2024-08-31T00:00:00"/>
    <s v="CUST-0058"/>
    <s v="PROD-047"/>
    <s v="R016"/>
    <n v="7"/>
    <n v="3450"/>
    <n v="21.3"/>
    <n v="19006.05"/>
    <s v="Completed"/>
    <x v="4"/>
    <s v="Beauty"/>
    <s v="SMB"/>
    <n v="49"/>
    <s v="South"/>
    <s v="R016"/>
    <n v="814563.7100000002"/>
    <s v="South"/>
    <s v="Beauty"/>
    <n v="2420"/>
  </r>
  <r>
    <s v="ORD-01334"/>
    <d v="2024-01-31T00:00:00"/>
    <s v="CUST-0296"/>
    <s v="PROD-001"/>
    <s v="R006"/>
    <n v="2"/>
    <n v="5330"/>
    <n v="4.3"/>
    <n v="10201.620000000001"/>
    <s v="Completed"/>
    <x v="2"/>
    <s v="Electronics"/>
    <s v="Corporate"/>
    <n v="47"/>
    <s v="North"/>
    <s v="R006"/>
    <n v="1138648.73"/>
    <s v="North"/>
    <s v="Electronics"/>
    <n v="2405"/>
  </r>
  <r>
    <s v="ORD-01335"/>
    <d v="2024-11-30T00:00:00"/>
    <s v="CUST-0249"/>
    <s v="PROD-056"/>
    <s v="R014"/>
    <n v="5"/>
    <n v="6940"/>
    <n v="2.9"/>
    <n v="33693.699999999997"/>
    <s v="Completed"/>
    <x v="3"/>
    <s v="Sports"/>
    <s v="Retail"/>
    <n v="44"/>
    <s v="South"/>
    <s v="R014"/>
    <n v="995713.54000000015"/>
    <s v="South"/>
    <s v="Sports"/>
    <n v="2827"/>
  </r>
  <r>
    <s v="ORD-01336"/>
    <d v="2024-08-30T00:00:00"/>
    <s v="CUST-0055"/>
    <s v="PROD-037"/>
    <s v="R028"/>
    <n v="5"/>
    <n v="660"/>
    <n v="15.8"/>
    <n v="2778.6"/>
    <s v="Completed"/>
    <x v="4"/>
    <s v="Home"/>
    <s v="Retail"/>
    <n v="34"/>
    <s v="West"/>
    <s v="R028"/>
    <n v="880468.05"/>
    <s v="West"/>
    <s v="Home"/>
    <n v="329"/>
  </r>
  <r>
    <s v="ORD-01337"/>
    <d v="2024-08-15T00:00:00"/>
    <s v="CUST-0005"/>
    <s v="PROD-048"/>
    <s v="R013"/>
    <n v="9"/>
    <n v="5100"/>
    <n v="0.4"/>
    <n v="45716.4"/>
    <s v="Completed"/>
    <x v="1"/>
    <s v="Beauty"/>
    <s v="Corporate"/>
    <n v="52"/>
    <s v="South"/>
    <s v="R013"/>
    <n v="811524.37999999989"/>
    <s v="South"/>
    <s v="Beauty"/>
    <n v="2237"/>
  </r>
  <r>
    <s v="ORD-01338"/>
    <d v="2024-01-24T00:00:00"/>
    <s v="CUST-9595"/>
    <s v="PROD-044"/>
    <s v="R014"/>
    <n v="5"/>
    <n v="1650"/>
    <n v="0.8"/>
    <n v="8184"/>
    <s v="Pending"/>
    <x v="1"/>
    <s v="Beauty"/>
    <e v="#N/A"/>
    <e v="#N/A"/>
    <s v="South"/>
    <s v="R014"/>
    <n v="995713.54000000015"/>
    <s v="South"/>
    <s v="Beauty"/>
    <n v="1222"/>
  </r>
  <r>
    <s v="ORD-01339"/>
    <d v="2024-10-01T00:00:00"/>
    <s v="CUST-0138"/>
    <s v="PROD-013"/>
    <s v="R018"/>
    <n v="7"/>
    <n v="3640"/>
    <n v="25.5"/>
    <n v="18982.599999999999"/>
    <s v="Completed"/>
    <x v="1"/>
    <s v="Apparel"/>
    <s v="Retail"/>
    <n v="24"/>
    <s v="East"/>
    <s v="R018"/>
    <n v="1112289.6400000001"/>
    <s v="East"/>
    <s v="Apparel"/>
    <n v="2611"/>
  </r>
  <r>
    <s v="ORD-01340"/>
    <d v="2024-12-17T00:00:00"/>
    <s v="CUST-0112"/>
    <s v="PROD-046"/>
    <s v="R029"/>
    <n v="6"/>
    <n v="4880"/>
    <n v="12.6"/>
    <n v="25590.720000000001"/>
    <s v="Cancelled"/>
    <x v="5"/>
    <s v="Beauty"/>
    <s v="Retail"/>
    <n v="64"/>
    <s v="West"/>
    <s v="R029"/>
    <n v="1016696.8000000002"/>
    <s v="West"/>
    <s v="Beauty"/>
    <n v="2768"/>
  </r>
  <r>
    <s v="ORD-01341"/>
    <d v="2024-05-10T00:00:00"/>
    <s v="CUST-0254"/>
    <s v="PROD-001"/>
    <s v="R028"/>
    <n v="4"/>
    <n v="5330"/>
    <n v="16.2"/>
    <n v="17866.16"/>
    <s v="Completed"/>
    <x v="4"/>
    <s v="Electronics"/>
    <s v="Retail"/>
    <n v="35"/>
    <s v="West"/>
    <s v="R028"/>
    <n v="880468.05"/>
    <s v="West"/>
    <s v="Electronics"/>
    <n v="2405"/>
  </r>
  <r>
    <s v="ORD-01342"/>
    <d v="2024-04-18T00:00:00"/>
    <s v="CUST-0087"/>
    <s v="PROD-038"/>
    <s v="R023"/>
    <n v="3"/>
    <n v="5490"/>
    <n v="26.7"/>
    <n v="12072.51"/>
    <s v="Completed"/>
    <x v="0"/>
    <s v="Home"/>
    <s v="SMB"/>
    <n v="49"/>
    <s v="East"/>
    <s v="R023"/>
    <n v="983787.4800000001"/>
    <s v="East"/>
    <s v="Home"/>
    <n v="2549"/>
  </r>
  <r>
    <s v="ORD-01343"/>
    <d v="2024-09-29T00:00:00"/>
    <s v="CUST-0142"/>
    <s v="PROD-060"/>
    <s v="R002"/>
    <n v="7"/>
    <n v="190"/>
    <n v="11.6"/>
    <n v="1175.72"/>
    <s v="Completed"/>
    <x v="1"/>
    <s v="Sports"/>
    <s v="Corporate"/>
    <n v="55"/>
    <s v="North"/>
    <s v="R002"/>
    <n v="980063.65999999968"/>
    <s v="North"/>
    <s v="Sports"/>
    <n v="147"/>
  </r>
  <r>
    <s v="ORD-01344"/>
    <d v="2024-05-25T00:00:00"/>
    <s v="CUST-0293"/>
    <s v="PROD-012"/>
    <s v="R016"/>
    <n v="5"/>
    <n v="3160"/>
    <n v="24.1"/>
    <n v="11992.2"/>
    <s v="Completed"/>
    <x v="4"/>
    <s v="Apparel"/>
    <s v="Retail"/>
    <n v="27"/>
    <s v="South"/>
    <s v="R016"/>
    <n v="814563.7100000002"/>
    <s v="South"/>
    <s v="Apparel"/>
    <n v="1886"/>
  </r>
  <r>
    <s v="ORD-01345"/>
    <d v="2024-04-13T00:00:00"/>
    <s v="CUST-0025"/>
    <s v="PROD-035"/>
    <s v="R023"/>
    <n v="1"/>
    <n v="1090"/>
    <n v="9.6"/>
    <n v="985.36"/>
    <s v="Refunded"/>
    <x v="4"/>
    <s v="Home"/>
    <s v="Retail"/>
    <n v="23"/>
    <s v="East"/>
    <s v="R023"/>
    <n v="983787.4800000001"/>
    <s v="East"/>
    <s v="Home"/>
    <n v="464"/>
  </r>
  <r>
    <s v="ORD-01346"/>
    <d v="2024-06-04T00:00:00"/>
    <s v="CUST-0096"/>
    <s v="PROD-032"/>
    <s v="R004"/>
    <n v="9"/>
    <n v="370"/>
    <n v="4"/>
    <n v="3196.8"/>
    <s v="Completed"/>
    <x v="2"/>
    <s v="Home"/>
    <s v="Corporate"/>
    <n v="27"/>
    <s v="North"/>
    <s v="R004"/>
    <n v="589026.2899999998"/>
    <s v="North"/>
    <s v="Home"/>
    <n v="288"/>
  </r>
  <r>
    <s v="ORD-01347"/>
    <d v="2024-01-09T00:00:00"/>
    <s v="CUST-0069"/>
    <s v="PROD-008"/>
    <s v="R002"/>
    <n v="5"/>
    <n v="2660"/>
    <n v="24.6"/>
    <n v="10028.200000000001"/>
    <s v="Cancelled"/>
    <x v="1"/>
    <s v="Electronics"/>
    <s v="Retail"/>
    <n v="51"/>
    <s v="North"/>
    <s v="R002"/>
    <n v="980063.65999999968"/>
    <s v="North"/>
    <s v="Electronics"/>
    <n v="1259"/>
  </r>
  <r>
    <s v="ORD-01348"/>
    <d v="2024-02-05T00:00:00"/>
    <s v="CUST-0220"/>
    <s v="PROD-018"/>
    <s v="R018"/>
    <n v="4"/>
    <n v="3560"/>
    <n v="25.7"/>
    <n v="10580.32"/>
    <s v="Completed"/>
    <x v="1"/>
    <s v="Apparel"/>
    <s v="Retail"/>
    <n v="34"/>
    <s v="East"/>
    <s v="R018"/>
    <n v="1112289.6400000001"/>
    <s v="East"/>
    <s v="Apparel"/>
    <n v="2629"/>
  </r>
  <r>
    <s v="ORD-01349"/>
    <d v="2024-04-28T00:00:00"/>
    <s v="CUST-0005"/>
    <s v="PROD-049"/>
    <s v="R005"/>
    <n v="8"/>
    <n v="960"/>
    <n v="0.1"/>
    <n v="7672.32"/>
    <s v="Completed"/>
    <x v="1"/>
    <s v="Beauty"/>
    <s v="Corporate"/>
    <n v="52"/>
    <s v="North"/>
    <s v="R005"/>
    <n v="782445.33"/>
    <s v="North"/>
    <s v="Beauty"/>
    <n v="675"/>
  </r>
  <r>
    <s v="ORD-01350"/>
    <d v="2024-12-18T00:00:00"/>
    <s v="CUST-0222"/>
    <s v="PROD-032"/>
    <s v="R024"/>
    <n v="10"/>
    <n v="370"/>
    <n v="16.399999999999999"/>
    <n v="3093.2"/>
    <s v="Cancelled"/>
    <x v="1"/>
    <s v="Home"/>
    <s v="Retail"/>
    <n v="37"/>
    <s v="West"/>
    <s v="R024"/>
    <n v="819558.58"/>
    <s v="West"/>
    <s v="Home"/>
    <n v="288"/>
  </r>
  <r>
    <s v="ORD-01351"/>
    <d v="2024-04-17T00:00:00"/>
    <s v="CUST-0039"/>
    <s v="PROD-015"/>
    <s v="R029"/>
    <n v="4"/>
    <n v="2720"/>
    <n v="3.1"/>
    <n v="10542.72"/>
    <s v="Completed"/>
    <x v="4"/>
    <s v="Apparel"/>
    <s v="Retail"/>
    <n v="37"/>
    <s v="West"/>
    <s v="R029"/>
    <n v="1016696.8000000002"/>
    <s v="West"/>
    <s v="Apparel"/>
    <n v="1962"/>
  </r>
  <r>
    <s v="ORD-01352"/>
    <d v="2024-05-29T00:00:00"/>
    <s v="CUST-0224"/>
    <s v="PROD-034"/>
    <s v="R005"/>
    <n v="10"/>
    <n v="5080"/>
    <n v="6.8"/>
    <n v="47345.599999999999"/>
    <s v="Completed"/>
    <x v="1"/>
    <s v="Home"/>
    <s v="Corporate"/>
    <n v="24"/>
    <s v="North"/>
    <s v="R005"/>
    <n v="782445.33"/>
    <s v="North"/>
    <s v="Home"/>
    <n v="2459"/>
  </r>
  <r>
    <s v="ORD-01353"/>
    <d v="2024-03-28T00:00:00"/>
    <s v="CUST-0288"/>
    <s v="PROD-042"/>
    <s v="R008"/>
    <n v="6"/>
    <n v="2290"/>
    <n v="22.6"/>
    <n v="10634.76"/>
    <s v="Completed"/>
    <x v="5"/>
    <s v="Beauty"/>
    <s v="Corporate"/>
    <n v="25"/>
    <s v="North"/>
    <s v="R008"/>
    <n v="861553.33"/>
    <s v="North"/>
    <s v="Beauty"/>
    <n v="1219"/>
  </r>
  <r>
    <s v="ORD-01354"/>
    <d v="2024-07-29T00:00:00"/>
    <s v="CUST-0002"/>
    <s v="PROD-021"/>
    <s v="R006"/>
    <n v="4"/>
    <n v="2760"/>
    <n v="27.2"/>
    <n v="8037.12"/>
    <s v="Refunded"/>
    <x v="0"/>
    <s v="Grocery"/>
    <s v="Corporate"/>
    <n v="42"/>
    <s v="North"/>
    <s v="R006"/>
    <n v="1138648.73"/>
    <s v="North"/>
    <s v="Grocery"/>
    <n v="1435"/>
  </r>
  <r>
    <s v="ORD-01355"/>
    <d v="2024-06-23T00:00:00"/>
    <s v="CUST-0172"/>
    <s v="PROD-024"/>
    <s v="R027"/>
    <n v="9"/>
    <n v="2270"/>
    <n v="5.2"/>
    <n v="19367.64"/>
    <s v="Completed"/>
    <x v="0"/>
    <s v="Grocery"/>
    <s v="Retail"/>
    <n v="65"/>
    <s v="West"/>
    <s v="R027"/>
    <n v="917092.61999999965"/>
    <s v="West"/>
    <s v="Grocery"/>
    <n v="1203"/>
  </r>
  <r>
    <s v="ORD-01356"/>
    <d v="2024-07-27T00:00:00"/>
    <s v="CUST-0287"/>
    <s v="PROD-017"/>
    <s v="R008"/>
    <n v="3"/>
    <n v="2510"/>
    <n v="16.399999999999999"/>
    <n v="6295.08"/>
    <s v="Completed"/>
    <x v="1"/>
    <s v="Apparel"/>
    <s v="SMB"/>
    <n v="53"/>
    <s v="North"/>
    <s v="R008"/>
    <n v="861553.33"/>
    <s v="North"/>
    <s v="Apparel"/>
    <n v="1075"/>
  </r>
  <r>
    <s v="ORD-01357"/>
    <d v="2024-02-15T00:00:00"/>
    <s v="CUST-0020"/>
    <s v="PROD-023"/>
    <s v="R012"/>
    <n v="1"/>
    <n v="2380"/>
    <n v="23.5"/>
    <n v="1820.7"/>
    <s v="Completed"/>
    <x v="5"/>
    <s v="Grocery"/>
    <s v="Retail"/>
    <n v="46"/>
    <s v="South"/>
    <s v="R012"/>
    <n v="901394.32000000007"/>
    <s v="South"/>
    <s v="Grocery"/>
    <n v="1182"/>
  </r>
  <r>
    <s v="ORD-01358"/>
    <d v="2024-06-04T00:00:00"/>
    <s v="CUST-0039"/>
    <s v="PROD-059"/>
    <s v="R019"/>
    <n v="2"/>
    <n v="3780"/>
    <n v="29.1"/>
    <n v="5360.04"/>
    <s v="Completed"/>
    <x v="4"/>
    <s v="Sports"/>
    <s v="Retail"/>
    <n v="37"/>
    <s v="East"/>
    <s v="R019"/>
    <n v="971183.52000000014"/>
    <s v="East"/>
    <s v="Sports"/>
    <n v="1860"/>
  </r>
  <r>
    <s v="ORD-01359"/>
    <d v="2024-09-11T00:00:00"/>
    <s v="CUST-0128"/>
    <s v="PROD-011"/>
    <s v="R026"/>
    <n v="1"/>
    <n v="3450"/>
    <n v="17.8"/>
    <n v="2835.9"/>
    <s v="Completed"/>
    <x v="5"/>
    <s v="Apparel"/>
    <s v="Retail"/>
    <n v="35"/>
    <s v="West"/>
    <s v="R026"/>
    <n v="576305.08000000019"/>
    <s v="West"/>
    <s v="Apparel"/>
    <n v="1748"/>
  </r>
  <r>
    <s v="ORD-01360"/>
    <d v="2024-06-08T00:00:00"/>
    <s v="CUST-0149"/>
    <s v="PROD-046"/>
    <s v="R006"/>
    <n v="6"/>
    <n v="4880"/>
    <n v="15.6"/>
    <n v="24712.32"/>
    <s v="Pending"/>
    <x v="5"/>
    <s v="Beauty"/>
    <s v="Retail"/>
    <n v="44"/>
    <s v="North"/>
    <s v="R006"/>
    <n v="1138648.73"/>
    <s v="North"/>
    <s v="Beauty"/>
    <n v="2768"/>
  </r>
  <r>
    <s v="ORD-01361"/>
    <d v="2024-05-15T00:00:00"/>
    <s v="CUST-0101"/>
    <s v="PROD-049"/>
    <s v="R016"/>
    <n v="6"/>
    <n v="960"/>
    <n v="7.5"/>
    <n v="5328"/>
    <s v="Pending"/>
    <x v="5"/>
    <s v="Beauty"/>
    <s v="SMB"/>
    <n v="40"/>
    <s v="South"/>
    <s v="R016"/>
    <n v="814563.7100000002"/>
    <s v="South"/>
    <s v="Beauty"/>
    <n v="675"/>
  </r>
  <r>
    <s v="ORD-01362"/>
    <d v="2024-08-28T00:00:00"/>
    <s v="CUST-0106"/>
    <s v="PROD-018"/>
    <s v="R023"/>
    <n v="1"/>
    <n v="3560"/>
    <n v="12.9"/>
    <n v="3100.76"/>
    <s v="Completed"/>
    <x v="0"/>
    <s v="Apparel"/>
    <s v="Retail"/>
    <n v="22"/>
    <s v="East"/>
    <s v="R023"/>
    <n v="983787.4800000001"/>
    <s v="East"/>
    <s v="Apparel"/>
    <n v="2629"/>
  </r>
  <r>
    <s v="ORD-01363"/>
    <d v="2024-06-23T00:00:00"/>
    <s v="CUST-0085"/>
    <s v="PROD-025"/>
    <s v="R005"/>
    <n v="5"/>
    <n v="4060"/>
    <n v="18.100000000000001"/>
    <n v="16625.7"/>
    <s v="Pending"/>
    <x v="1"/>
    <s v="Grocery"/>
    <s v="Retail"/>
    <n v="26"/>
    <s v="North"/>
    <s v="R005"/>
    <n v="782445.33"/>
    <s v="North"/>
    <s v="Grocery"/>
    <n v="2911"/>
  </r>
  <r>
    <s v="ORD-01364"/>
    <d v="2024-09-10T00:00:00"/>
    <s v="CUST-0071"/>
    <s v="PROD-015"/>
    <s v="R020"/>
    <n v="10"/>
    <n v="2720"/>
    <n v="23.2"/>
    <n v="20889.599999999999"/>
    <s v="Completed"/>
    <x v="2"/>
    <s v="Apparel"/>
    <s v="Corporate"/>
    <n v="46"/>
    <s v="East"/>
    <s v="R020"/>
    <n v="906107.71000000008"/>
    <s v="East"/>
    <s v="Apparel"/>
    <n v="1962"/>
  </r>
  <r>
    <s v="ORD-01365"/>
    <d v="2024-09-12T00:00:00"/>
    <s v="CUST-0185"/>
    <s v="PROD-029"/>
    <s v="R022"/>
    <n v="1"/>
    <n v="2210"/>
    <n v="5.8"/>
    <n v="2081.8200000000002"/>
    <s v="Pending"/>
    <x v="5"/>
    <s v="Grocery"/>
    <s v="SMB"/>
    <n v="43"/>
    <s v="East"/>
    <s v="R022"/>
    <n v="1069570.5400000003"/>
    <s v="East"/>
    <s v="Grocery"/>
    <n v="1010"/>
  </r>
  <r>
    <s v="ORD-01366"/>
    <d v="2024-09-12T00:00:00"/>
    <s v="CUST-0182"/>
    <s v="PROD-047"/>
    <s v="R013"/>
    <n v="5"/>
    <n v="3450"/>
    <n v="27.9"/>
    <n v="12437.25"/>
    <s v="Pending"/>
    <x v="3"/>
    <s v="Beauty"/>
    <s v="Retail"/>
    <n v="54"/>
    <s v="South"/>
    <s v="R013"/>
    <n v="811524.37999999989"/>
    <s v="South"/>
    <s v="Beauty"/>
    <n v="2420"/>
  </r>
  <r>
    <s v="ORD-01367"/>
    <d v="2024-09-15T00:00:00"/>
    <s v="CUST-0177"/>
    <s v="PROD-023"/>
    <s v="R023"/>
    <n v="9"/>
    <n v="2380"/>
    <n v="15.2"/>
    <n v="18164.16"/>
    <s v="Refunded"/>
    <x v="3"/>
    <s v="Grocery"/>
    <s v="SMB"/>
    <n v="36"/>
    <s v="East"/>
    <s v="R023"/>
    <n v="983787.4800000001"/>
    <s v="East"/>
    <s v="Grocery"/>
    <n v="1182"/>
  </r>
  <r>
    <s v="ORD-01368"/>
    <d v="2024-09-16T00:00:00"/>
    <s v="CUST-0253"/>
    <s v="PROD-023"/>
    <s v="R002"/>
    <n v="2"/>
    <n v="2380"/>
    <n v="24.3"/>
    <n v="3603.32"/>
    <s v="Completed"/>
    <x v="2"/>
    <s v="Grocery"/>
    <s v="SMB"/>
    <n v="53"/>
    <s v="North"/>
    <s v="R002"/>
    <n v="980063.65999999968"/>
    <s v="North"/>
    <s v="Grocery"/>
    <n v="1182"/>
  </r>
  <r>
    <s v="ORD-01369"/>
    <d v="2024-09-25T00:00:00"/>
    <s v="CUST-0071"/>
    <s v="PROD-018"/>
    <s v="R012"/>
    <n v="9"/>
    <n v="3560"/>
    <n v="6.6"/>
    <n v="29925.360000000001"/>
    <s v="Refunded"/>
    <x v="2"/>
    <s v="Apparel"/>
    <s v="Corporate"/>
    <n v="46"/>
    <s v="South"/>
    <s v="R012"/>
    <n v="901394.32000000007"/>
    <s v="South"/>
    <s v="Apparel"/>
    <n v="2629"/>
  </r>
  <r>
    <s v="ORD-01370"/>
    <d v="2024-02-08T00:00:00"/>
    <s v="CUST-0240"/>
    <s v="PROD-009"/>
    <s v="R018"/>
    <n v="7"/>
    <n v="1220"/>
    <n v="29.4"/>
    <n v="6029.24"/>
    <s v="Completed"/>
    <x v="1"/>
    <s v="Electronics"/>
    <s v="Corporate"/>
    <n v="35"/>
    <s v="East"/>
    <s v="R018"/>
    <n v="1112289.6400000001"/>
    <s v="East"/>
    <s v="Electronics"/>
    <n v="517"/>
  </r>
  <r>
    <s v="ORD-01371"/>
    <d v="2024-09-25T00:00:00"/>
    <s v="CUST-0050"/>
    <s v="PROD-056"/>
    <s v="R017"/>
    <n v="7"/>
    <n v="6940"/>
    <n v="9.6"/>
    <n v="43916.32"/>
    <s v="Completed"/>
    <x v="3"/>
    <s v="Sports"/>
    <s v="Retail"/>
    <n v="37"/>
    <s v="East"/>
    <s v="R017"/>
    <n v="780384.40999999992"/>
    <s v="East"/>
    <s v="Sports"/>
    <n v="2827"/>
  </r>
  <r>
    <s v="ORD-01372"/>
    <d v="2024-04-13T00:00:00"/>
    <s v="CUST-0089"/>
    <s v="PROD-035"/>
    <s v="R022"/>
    <n v="2"/>
    <n v="1090"/>
    <n v="17"/>
    <n v="1809.4"/>
    <s v="Completed"/>
    <x v="3"/>
    <s v="Home"/>
    <s v="SMB"/>
    <n v="43"/>
    <s v="East"/>
    <s v="R022"/>
    <n v="1069570.5400000003"/>
    <s v="East"/>
    <s v="Home"/>
    <n v="464"/>
  </r>
  <r>
    <s v="ORD-01373"/>
    <d v="2024-07-13T00:00:00"/>
    <s v="CUST-0209"/>
    <s v="PROD-023"/>
    <s v="R028"/>
    <n v="4"/>
    <n v="2380"/>
    <n v="18.899999999999999"/>
    <n v="7720.72"/>
    <s v="Pending"/>
    <x v="0"/>
    <s v="Grocery"/>
    <s v="Retail"/>
    <n v="31"/>
    <s v="West"/>
    <s v="R028"/>
    <n v="880468.05"/>
    <s v="West"/>
    <s v="Grocery"/>
    <n v="1182"/>
  </r>
  <r>
    <s v="ORD-01374"/>
    <d v="2024-10-13T00:00:00"/>
    <s v="CUST-0089"/>
    <s v="PROD-024"/>
    <s v="R004"/>
    <n v="6"/>
    <n v="2270"/>
    <n v="20.9"/>
    <n v="10773.42"/>
    <s v="Pending"/>
    <x v="3"/>
    <s v="Grocery"/>
    <s v="SMB"/>
    <n v="43"/>
    <s v="North"/>
    <s v="R004"/>
    <n v="589026.2899999998"/>
    <s v="North"/>
    <s v="Grocery"/>
    <n v="1203"/>
  </r>
  <r>
    <s v="ORD-01375"/>
    <d v="2024-10-16T00:00:00"/>
    <s v="CUST-0093"/>
    <s v="PROD-033"/>
    <s v="R019"/>
    <n v="10"/>
    <n v="2030"/>
    <n v="25"/>
    <n v="15225"/>
    <s v="Completed"/>
    <x v="0"/>
    <s v="Home"/>
    <s v="Retail"/>
    <n v="36"/>
    <s v="East"/>
    <s v="R019"/>
    <n v="971183.52000000014"/>
    <s v="East"/>
    <s v="Home"/>
    <n v="1143"/>
  </r>
  <r>
    <s v="ORD-01376"/>
    <d v="2024-08-04T00:00:00"/>
    <s v="CUST-0018"/>
    <s v="PROD-035"/>
    <s v="R027"/>
    <n v="3"/>
    <n v="1090"/>
    <n v="12.1"/>
    <n v="2874.33"/>
    <s v="Completed"/>
    <x v="0"/>
    <s v="Home"/>
    <s v="SMB"/>
    <n v="54"/>
    <s v="West"/>
    <s v="R027"/>
    <n v="917092.61999999965"/>
    <s v="West"/>
    <s v="Home"/>
    <n v="464"/>
  </r>
  <r>
    <s v="ORD-01377"/>
    <d v="2024-01-12T00:00:00"/>
    <s v="CUST-0089"/>
    <s v="PROD-017"/>
    <s v="R017"/>
    <n v="3"/>
    <n v="2510"/>
    <n v="28.7"/>
    <n v="5368.89"/>
    <s v="Completed"/>
    <x v="3"/>
    <s v="Apparel"/>
    <s v="SMB"/>
    <n v="43"/>
    <s v="East"/>
    <s v="R017"/>
    <n v="780384.40999999992"/>
    <s v="East"/>
    <s v="Apparel"/>
    <n v="1075"/>
  </r>
  <r>
    <s v="ORD-01378"/>
    <d v="2024-04-30T00:00:00"/>
    <s v="CUST-0116"/>
    <s v="PROD-024"/>
    <s v="R026"/>
    <n v="9"/>
    <n v="2270"/>
    <n v="25.4"/>
    <n v="15240.78"/>
    <s v="Pending"/>
    <x v="4"/>
    <s v="Grocery"/>
    <s v="Retail"/>
    <n v="53"/>
    <s v="West"/>
    <s v="R026"/>
    <n v="576305.08000000019"/>
    <s v="West"/>
    <s v="Grocery"/>
    <n v="1203"/>
  </r>
  <r>
    <s v="ORD-01379"/>
    <d v="2024-04-18T00:00:00"/>
    <s v="CUST-0071"/>
    <s v="PROD-006"/>
    <s v="R029"/>
    <n v="9"/>
    <n v="3970"/>
    <n v="10.1"/>
    <n v="32121.27"/>
    <s v="Cancelled"/>
    <x v="2"/>
    <s v="Electronics"/>
    <s v="Corporate"/>
    <n v="46"/>
    <s v="West"/>
    <s v="R029"/>
    <n v="1016696.8000000002"/>
    <s v="West"/>
    <s v="Electronics"/>
    <n v="2865"/>
  </r>
  <r>
    <s v="ORD-01380"/>
    <d v="2024-10-05T00:00:00"/>
    <s v="CUST-0115"/>
    <s v="PROD-029"/>
    <s v="R014"/>
    <n v="6"/>
    <n v="2210"/>
    <n v="7.4"/>
    <n v="12278.76"/>
    <s v="Completed"/>
    <x v="3"/>
    <s v="Grocery"/>
    <s v="SMB"/>
    <n v="65"/>
    <s v="South"/>
    <s v="R014"/>
    <n v="995713.54000000015"/>
    <s v="South"/>
    <s v="Grocery"/>
    <n v="1010"/>
  </r>
  <r>
    <s v="ORD-01381"/>
    <d v="2024-03-09T00:00:00"/>
    <s v="CUST-0258"/>
    <s v="PROD-041"/>
    <s v="R017"/>
    <n v="7"/>
    <n v="1540"/>
    <n v="20.6"/>
    <n v="8559.32"/>
    <s v="Completed"/>
    <x v="0"/>
    <s v="Beauty"/>
    <s v="Retail"/>
    <n v="44"/>
    <s v="East"/>
    <s v="R017"/>
    <n v="780384.40999999992"/>
    <s v="East"/>
    <s v="Beauty"/>
    <n v="647"/>
  </r>
  <r>
    <s v="ORD-01382"/>
    <d v="2024-02-12T00:00:00"/>
    <s v="CUST-0290"/>
    <s v="PROD-039"/>
    <s v="R027"/>
    <n v="9"/>
    <n v="4610"/>
    <n v="2.1"/>
    <n v="40618.71"/>
    <s v="Completed"/>
    <x v="2"/>
    <s v="Home"/>
    <s v="Retail"/>
    <n v="63"/>
    <s v="West"/>
    <s v="R027"/>
    <n v="917092.61999999965"/>
    <s v="West"/>
    <s v="Home"/>
    <n v="1850"/>
  </r>
  <r>
    <s v="ORD-01383"/>
    <d v="2024-08-23T00:00:00"/>
    <s v="CUST-0279"/>
    <s v="PROD-006"/>
    <s v="R002"/>
    <n v="10"/>
    <n v="3970"/>
    <n v="13.3"/>
    <n v="34419.9"/>
    <s v="Pending"/>
    <x v="3"/>
    <s v="Electronics"/>
    <s v="Retail"/>
    <n v="56"/>
    <s v="North"/>
    <s v="R002"/>
    <n v="980063.65999999968"/>
    <s v="North"/>
    <s v="Electronics"/>
    <n v="2865"/>
  </r>
  <r>
    <s v="ORD-01384"/>
    <d v="2024-08-30T00:00:00"/>
    <s v="CUST-0132"/>
    <s v="PROD-008"/>
    <s v="R008"/>
    <n v="8"/>
    <n v="2660"/>
    <n v="16.8"/>
    <n v="17704.96"/>
    <s v="Completed"/>
    <x v="2"/>
    <s v="Electronics"/>
    <s v="Retail"/>
    <n v="41"/>
    <s v="North"/>
    <s v="R008"/>
    <n v="861553.33"/>
    <s v="North"/>
    <s v="Electronics"/>
    <n v="1259"/>
  </r>
  <r>
    <s v="ORD-01385"/>
    <d v="2024-02-07T00:00:00"/>
    <s v="CUST-0029"/>
    <s v="PROD-047"/>
    <s v="R021"/>
    <n v="6"/>
    <n v="3450"/>
    <n v="23.4"/>
    <n v="15856.2"/>
    <s v="Completed"/>
    <x v="1"/>
    <s v="Beauty"/>
    <s v="Corporate"/>
    <n v="54"/>
    <s v="East"/>
    <s v="R021"/>
    <n v="761507.17000000027"/>
    <s v="East"/>
    <s v="Beauty"/>
    <n v="2420"/>
  </r>
  <r>
    <s v="ORD-01386"/>
    <d v="2024-11-25T00:00:00"/>
    <s v="CUST-0295"/>
    <s v="PROD-053"/>
    <s v="R007"/>
    <n v="10"/>
    <n v="470"/>
    <n v="21.2"/>
    <n v="3703.6"/>
    <s v="Completed"/>
    <x v="2"/>
    <s v="Sports"/>
    <s v="SMB"/>
    <n v="48"/>
    <s v="North"/>
    <s v="R007"/>
    <n v="855749.67999999982"/>
    <s v="North"/>
    <s v="Sports"/>
    <n v="302"/>
  </r>
  <r>
    <s v="ORD-00168"/>
    <d v="2024-02-12T00:00:00"/>
    <s v="CUST-0106"/>
    <s v="PROD-059"/>
    <s v="R022"/>
    <n v="7"/>
    <n v="3780"/>
    <n v="10.1"/>
    <n v="23787.54"/>
    <s v="Completed"/>
    <x v="0"/>
    <s v="Sports"/>
    <s v="Retail"/>
    <n v="22"/>
    <s v="East"/>
    <s v="R022"/>
    <n v="1069570.5400000003"/>
    <s v="East"/>
    <s v="Sports"/>
    <n v="1860"/>
  </r>
  <r>
    <s v="ORD-01388"/>
    <d v="2024-02-02T00:00:00"/>
    <s v="CUST-0127"/>
    <s v="PROD-014"/>
    <s v="R027"/>
    <n v="3"/>
    <n v="3620"/>
    <n v="4.2"/>
    <n v="10403.879999999999"/>
    <s v="Completed"/>
    <x v="4"/>
    <s v="Apparel"/>
    <s v="SMB"/>
    <n v="36"/>
    <s v="West"/>
    <s v="R027"/>
    <n v="917092.61999999965"/>
    <s v="West"/>
    <s v="Apparel"/>
    <n v="2509"/>
  </r>
  <r>
    <s v="ORD-01389"/>
    <d v="2024-09-06T00:00:00"/>
    <s v="CUST-0031"/>
    <s v="PROD-049"/>
    <s v="R028"/>
    <n v="7"/>
    <n v="960"/>
    <n v="9"/>
    <n v="6115.2"/>
    <s v="Completed"/>
    <x v="5"/>
    <s v="Beauty"/>
    <s v="Retail"/>
    <n v="53"/>
    <s v="West"/>
    <s v="R028"/>
    <n v="880468.05"/>
    <s v="West"/>
    <s v="Beauty"/>
    <n v="675"/>
  </r>
  <r>
    <s v="ORD-01390"/>
    <d v="2024-02-22T00:00:00"/>
    <s v="CUST-0256"/>
    <s v="PROD-043"/>
    <s v="R007"/>
    <n v="10"/>
    <n v="3350"/>
    <n v="1.2"/>
    <n v="33098"/>
    <s v="Cancelled"/>
    <x v="5"/>
    <s v="Beauty"/>
    <s v="Retail"/>
    <n v="28"/>
    <s v="North"/>
    <s v="R007"/>
    <n v="855749.67999999982"/>
    <s v="North"/>
    <s v="Beauty"/>
    <n v="1728"/>
  </r>
  <r>
    <s v="ORD-01391"/>
    <d v="2024-04-06T00:00:00"/>
    <s v="CUST-0131"/>
    <s v="PROD-058"/>
    <s v="R030"/>
    <n v="3"/>
    <n v="2400"/>
    <n v="15.4"/>
    <n v="6091.2"/>
    <s v="Completed"/>
    <x v="2"/>
    <s v="Sports"/>
    <s v="SMB"/>
    <n v="28"/>
    <s v="West"/>
    <s v="R030"/>
    <n v="747624.36999999988"/>
    <s v="West"/>
    <s v="Sports"/>
    <n v="974"/>
  </r>
  <r>
    <s v="ORD-01392"/>
    <d v="2024-04-25T00:00:00"/>
    <s v="CUST-0270"/>
    <s v="PROD-055"/>
    <s v="R002"/>
    <n v="2"/>
    <n v="2860"/>
    <n v="10.5"/>
    <n v="5119.3999999999996"/>
    <s v="Completed"/>
    <x v="4"/>
    <s v="Sports"/>
    <s v="Retail"/>
    <n v="29"/>
    <s v="North"/>
    <s v="R002"/>
    <n v="980063.65999999968"/>
    <s v="North"/>
    <s v="Sports"/>
    <n v="2028"/>
  </r>
  <r>
    <s v="ORD-01393"/>
    <d v="2024-11-24T00:00:00"/>
    <s v="CUST-0212"/>
    <s v="PROD-042"/>
    <s v="R008"/>
    <n v="4"/>
    <n v="2290"/>
    <n v="5.9"/>
    <n v="8619.56"/>
    <s v="Completed"/>
    <x v="1"/>
    <s v="Beauty"/>
    <s v="SMB"/>
    <n v="46"/>
    <s v="North"/>
    <s v="R008"/>
    <n v="861553.33"/>
    <s v="North"/>
    <s v="Beauty"/>
    <n v="1219"/>
  </r>
  <r>
    <s v="ORD-01394"/>
    <d v="2024-07-26T00:00:00"/>
    <s v="CUST-0216"/>
    <s v="PROD-001"/>
    <s v="R023"/>
    <n v="7"/>
    <n v="5330"/>
    <n v="3.5"/>
    <n v="36004.15"/>
    <s v="Cancelled"/>
    <x v="3"/>
    <s v="Electronics"/>
    <s v="Retail"/>
    <n v="50"/>
    <s v="East"/>
    <s v="R023"/>
    <n v="983787.4800000001"/>
    <s v="East"/>
    <s v="Electronics"/>
    <n v="2405"/>
  </r>
  <r>
    <s v="ORD-01395"/>
    <d v="2024-10-20T00:00:00"/>
    <s v="CUST-0189"/>
    <s v="PROD-013"/>
    <s v="R018"/>
    <n v="10"/>
    <n v="3640"/>
    <n v="20.100000000000001"/>
    <n v="29083.599999999999"/>
    <s v="Completed"/>
    <x v="1"/>
    <s v="Apparel"/>
    <s v="Retail"/>
    <n v="41"/>
    <s v="East"/>
    <s v="R018"/>
    <n v="1112289.6400000001"/>
    <s v="East"/>
    <s v="Apparel"/>
    <n v="2611"/>
  </r>
  <r>
    <s v="ORD-01396"/>
    <d v="2024-12-07T00:00:00"/>
    <s v="CUST-0064"/>
    <s v="PROD-034"/>
    <s v="R024"/>
    <n v="10"/>
    <n v="5080"/>
    <n v="2.1"/>
    <n v="49733.2"/>
    <s v="Completed"/>
    <x v="5"/>
    <s v="Home"/>
    <s v="SMB"/>
    <n v="40"/>
    <s v="West"/>
    <s v="R024"/>
    <n v="819558.58"/>
    <s v="West"/>
    <s v="Home"/>
    <n v="2459"/>
  </r>
  <r>
    <s v="ORD-01397"/>
    <d v="2024-08-13T00:00:00"/>
    <s v="CUST-0016"/>
    <s v="PROD-035"/>
    <s v="R018"/>
    <n v="4"/>
    <n v="1090"/>
    <n v="18.5"/>
    <n v="3553.4"/>
    <s v="Refunded"/>
    <x v="2"/>
    <s v="Home"/>
    <s v="SMB"/>
    <n v="26"/>
    <s v="East"/>
    <s v="R018"/>
    <n v="1112289.6400000001"/>
    <s v="East"/>
    <s v="Home"/>
    <n v="464"/>
  </r>
  <r>
    <s v="ORD-01398"/>
    <d v="2024-12-19T00:00:00"/>
    <s v="CUST-0296"/>
    <s v="PROD-047"/>
    <s v="R030"/>
    <n v="10"/>
    <n v="3450"/>
    <n v="26.5"/>
    <n v="25357.5"/>
    <s v="Refunded"/>
    <x v="2"/>
    <s v="Beauty"/>
    <s v="Corporate"/>
    <n v="47"/>
    <s v="West"/>
    <s v="R030"/>
    <n v="747624.36999999988"/>
    <s v="West"/>
    <s v="Beauty"/>
    <n v="2420"/>
  </r>
  <r>
    <s v="ORD-01399"/>
    <d v="2024-07-10T00:00:00"/>
    <s v="CUST-0031"/>
    <s v="PROD-052"/>
    <s v="R009"/>
    <n v="9"/>
    <n v="5410"/>
    <n v="11.5"/>
    <n v="43090.65"/>
    <s v="Completed"/>
    <x v="5"/>
    <s v="Sports"/>
    <s v="Retail"/>
    <n v="53"/>
    <s v="South"/>
    <s v="R009"/>
    <n v="914554.71999999986"/>
    <s v="South"/>
    <s v="Sports"/>
    <n v="2265"/>
  </r>
  <r>
    <s v="ORD-01400"/>
    <d v="2024-06-02T00:00:00"/>
    <s v="CUST-0207"/>
    <s v="PROD-011"/>
    <s v="R030"/>
    <n v="9"/>
    <n v="3450"/>
    <n v="0.3"/>
    <n v="30956.85"/>
    <s v="Refunded"/>
    <x v="5"/>
    <s v="Apparel"/>
    <s v="SMB"/>
    <n v="34"/>
    <s v="West"/>
    <s v="R030"/>
    <n v="747624.36999999988"/>
    <s v="West"/>
    <s v="Apparel"/>
    <n v="1748"/>
  </r>
  <r>
    <s v="ORD-01401"/>
    <d v="2024-11-18T00:00:00"/>
    <s v="CUST-0165"/>
    <s v="PROD-012"/>
    <s v="R025"/>
    <n v="10"/>
    <n v="3160"/>
    <n v="13.6"/>
    <n v="27302.400000000001"/>
    <s v="Completed"/>
    <x v="0"/>
    <s v="Apparel"/>
    <s v="Retail"/>
    <n v="29"/>
    <s v="West"/>
    <s v="R025"/>
    <n v="901298.89"/>
    <s v="West"/>
    <s v="Apparel"/>
    <n v="1886"/>
  </r>
  <r>
    <s v="ORD-01402"/>
    <d v="2024-05-21T00:00:00"/>
    <s v="CUST-0281"/>
    <s v="PROD-041"/>
    <s v="R026"/>
    <n v="3"/>
    <n v="1540"/>
    <n v="21.2"/>
    <n v="3640.56"/>
    <s v="Completed"/>
    <x v="4"/>
    <s v="Beauty"/>
    <s v="Corporate"/>
    <n v="57"/>
    <s v="West"/>
    <s v="R026"/>
    <n v="576305.08000000019"/>
    <s v="West"/>
    <s v="Beauty"/>
    <n v="647"/>
  </r>
  <r>
    <s v="ORD-01403"/>
    <d v="2024-04-20T00:00:00"/>
    <s v="CUST-0018"/>
    <s v="PROD-013"/>
    <s v="R022"/>
    <n v="5"/>
    <n v="3640"/>
    <n v="17.5"/>
    <n v="15015"/>
    <s v="Completed"/>
    <x v="0"/>
    <s v="Apparel"/>
    <s v="SMB"/>
    <n v="54"/>
    <s v="East"/>
    <s v="R022"/>
    <n v="1069570.5400000003"/>
    <s v="East"/>
    <s v="Apparel"/>
    <n v="2611"/>
  </r>
  <r>
    <s v="ORD-01404"/>
    <d v="2024-01-11T00:00:00"/>
    <s v="CUST-0204"/>
    <s v="PROD-059"/>
    <s v="R002"/>
    <n v="4"/>
    <n v="3780"/>
    <n v="9"/>
    <n v="13759.2"/>
    <s v="Pending"/>
    <x v="5"/>
    <s v="Sports"/>
    <s v="Retail"/>
    <n v="60"/>
    <s v="North"/>
    <s v="R002"/>
    <n v="980063.65999999968"/>
    <s v="North"/>
    <s v="Sports"/>
    <n v="1860"/>
  </r>
  <r>
    <s v="ORD-01405"/>
    <d v="2024-08-22T00:00:00"/>
    <s v="CUST-0028"/>
    <s v="PROD-015"/>
    <s v="R025"/>
    <n v="9"/>
    <n v="2720"/>
    <n v="8.9"/>
    <n v="22301.279999999999"/>
    <s v="Completed"/>
    <x v="4"/>
    <s v="Apparel"/>
    <s v="Retail"/>
    <n v="59"/>
    <s v="West"/>
    <s v="R025"/>
    <n v="901298.89"/>
    <s v="West"/>
    <s v="Apparel"/>
    <n v="1962"/>
  </r>
  <r>
    <s v="ORD-01406"/>
    <d v="2024-12-22T00:00:00"/>
    <s v="CUST-0144"/>
    <s v="PROD-014"/>
    <s v="R004"/>
    <n v="4"/>
    <n v="3620"/>
    <n v="8"/>
    <n v="13321.6"/>
    <s v="Pending"/>
    <x v="1"/>
    <s v="Apparel"/>
    <s v="Retail"/>
    <n v="49"/>
    <s v="North"/>
    <s v="R004"/>
    <n v="589026.2899999998"/>
    <s v="North"/>
    <s v="Apparel"/>
    <n v="2509"/>
  </r>
  <r>
    <s v="ORD-01407"/>
    <d v="2024-02-03T00:00:00"/>
    <s v="CUST-0043"/>
    <s v="PROD-011"/>
    <s v="R004"/>
    <n v="1"/>
    <n v="3450"/>
    <n v="0.2"/>
    <n v="3443.1"/>
    <s v="Completed"/>
    <x v="5"/>
    <s v="Apparel"/>
    <s v="Retail"/>
    <n v="61"/>
    <s v="North"/>
    <s v="R004"/>
    <n v="589026.2899999998"/>
    <s v="North"/>
    <s v="Apparel"/>
    <n v="1748"/>
  </r>
  <r>
    <s v="ORD-01408"/>
    <d v="2024-12-14T00:00:00"/>
    <s v="CUST-0246"/>
    <s v="PROD-013"/>
    <s v="R014"/>
    <n v="7"/>
    <n v="3640"/>
    <n v="4.5999999999999996"/>
    <n v="24307.919999999998"/>
    <s v="Completed"/>
    <x v="2"/>
    <s v="Apparel"/>
    <s v="SMB"/>
    <n v="29"/>
    <s v="South"/>
    <s v="R014"/>
    <n v="995713.54000000015"/>
    <s v="South"/>
    <s v="Apparel"/>
    <n v="2611"/>
  </r>
  <r>
    <s v="ORD-01409"/>
    <d v="2024-05-11T00:00:00"/>
    <s v="CUST-0156"/>
    <s v="PROD-016"/>
    <s v="R023"/>
    <n v="9"/>
    <n v="620"/>
    <n v="8.5"/>
    <n v="5105.7"/>
    <s v="Completed"/>
    <x v="3"/>
    <s v="Apparel"/>
    <s v="Retail"/>
    <n v="33"/>
    <s v="East"/>
    <s v="R023"/>
    <n v="983787.4800000001"/>
    <s v="East"/>
    <s v="Apparel"/>
    <n v="396"/>
  </r>
  <r>
    <s v="ORD-01410"/>
    <d v="2024-05-11T00:00:00"/>
    <s v="CUST-0066"/>
    <s v="PROD-059"/>
    <s v="R016"/>
    <n v="10"/>
    <n v="3780"/>
    <n v="5.8"/>
    <n v="35607.599999999999"/>
    <s v="Completed"/>
    <x v="2"/>
    <s v="Sports"/>
    <s v="Retail"/>
    <n v="24"/>
    <s v="South"/>
    <s v="R016"/>
    <n v="814563.7100000002"/>
    <s v="South"/>
    <s v="Sports"/>
    <n v="1860"/>
  </r>
  <r>
    <s v="ORD-01411"/>
    <d v="2024-08-14T00:00:00"/>
    <s v="CUST-0121"/>
    <s v="PROD-003"/>
    <s v="R009"/>
    <n v="7"/>
    <n v="3570"/>
    <n v="26.1"/>
    <n v="18467.61"/>
    <s v="Completed"/>
    <x v="2"/>
    <s v="Electronics"/>
    <s v="SMB"/>
    <n v="55"/>
    <s v="South"/>
    <s v="R009"/>
    <n v="914554.71999999986"/>
    <s v="South"/>
    <s v="Electronics"/>
    <n v="1665"/>
  </r>
  <r>
    <s v="ORD-01412"/>
    <d v="2024-01-15T00:00:00"/>
    <s v="CUST-0066"/>
    <s v="PROD-044"/>
    <s v="R002"/>
    <n v="2"/>
    <n v="1650"/>
    <n v="3.8"/>
    <n v="3174.6"/>
    <s v="Completed"/>
    <x v="2"/>
    <s v="Beauty"/>
    <s v="Retail"/>
    <n v="24"/>
    <s v="North"/>
    <s v="R002"/>
    <n v="980063.65999999968"/>
    <s v="North"/>
    <s v="Beauty"/>
    <n v="1222"/>
  </r>
  <r>
    <s v="ORD-01413"/>
    <d v="2024-02-24T00:00:00"/>
    <s v="CUST-0099"/>
    <s v="PROD-049"/>
    <s v="R012"/>
    <n v="2"/>
    <n v="960"/>
    <n v="6.8"/>
    <n v="1789.44"/>
    <s v="Completed"/>
    <x v="4"/>
    <s v="Beauty"/>
    <s v="SMB"/>
    <n v="54"/>
    <s v="South"/>
    <s v="R012"/>
    <n v="901394.32000000007"/>
    <s v="South"/>
    <s v="Beauty"/>
    <n v="675"/>
  </r>
  <r>
    <s v="ORD-01414"/>
    <d v="2024-03-25T00:00:00"/>
    <s v="CUST-0054"/>
    <s v="PROD-005"/>
    <s v="R006"/>
    <n v="2"/>
    <n v="300"/>
    <n v="2.8"/>
    <n v="583.20000000000005"/>
    <s v="Completed"/>
    <x v="3"/>
    <s v="Electronics"/>
    <s v="Corporate"/>
    <n v="62"/>
    <s v="North"/>
    <s v="R006"/>
    <n v="1138648.73"/>
    <s v="North"/>
    <s v="Electronics"/>
    <n v="128"/>
  </r>
  <r>
    <s v="ORD-01415"/>
    <d v="2024-09-26T00:00:00"/>
    <s v="CUST-0124"/>
    <s v="PROD-025"/>
    <s v="R027"/>
    <n v="10"/>
    <n v="4060"/>
    <n v="15.1"/>
    <n v="34469.4"/>
    <s v="Completed"/>
    <x v="0"/>
    <s v="Grocery"/>
    <s v="Retail"/>
    <n v="57"/>
    <s v="West"/>
    <s v="R027"/>
    <n v="917092.61999999965"/>
    <s v="West"/>
    <s v="Grocery"/>
    <n v="2911"/>
  </r>
  <r>
    <s v="ORD-01416"/>
    <d v="2024-01-29T00:00:00"/>
    <s v="CUST-0211"/>
    <s v="PROD-001"/>
    <s v="R022"/>
    <n v="6"/>
    <n v="5330"/>
    <n v="2"/>
    <n v="31340.400000000001"/>
    <s v="Completed"/>
    <x v="4"/>
    <s v="Electronics"/>
    <s v="Retail"/>
    <n v="36"/>
    <s v="East"/>
    <s v="R022"/>
    <n v="1069570.5400000003"/>
    <s v="East"/>
    <s v="Electronics"/>
    <n v="2405"/>
  </r>
  <r>
    <s v="ORD-01417"/>
    <d v="2024-10-07T00:00:00"/>
    <s v="CUST-0298"/>
    <s v="PROD-031"/>
    <s v="R021"/>
    <n v="9"/>
    <n v="3730"/>
    <n v="24.5"/>
    <n v="25345.35"/>
    <s v="Refunded"/>
    <x v="2"/>
    <s v="Home"/>
    <s v="Retail"/>
    <n v="44"/>
    <s v="East"/>
    <s v="R021"/>
    <n v="761507.17000000027"/>
    <s v="East"/>
    <s v="Home"/>
    <n v="2135"/>
  </r>
  <r>
    <s v="ORD-01418"/>
    <d v="2024-11-15T00:00:00"/>
    <s v="CUST-0164"/>
    <s v="PROD-050"/>
    <s v="R030"/>
    <n v="1"/>
    <n v="6080"/>
    <n v="4.4000000000000004"/>
    <n v="5812.48"/>
    <s v="Cancelled"/>
    <x v="1"/>
    <s v="Beauty"/>
    <s v="Retail"/>
    <n v="60"/>
    <s v="West"/>
    <s v="R030"/>
    <n v="747624.36999999988"/>
    <s v="West"/>
    <s v="Beauty"/>
    <n v="2617"/>
  </r>
  <r>
    <s v="ORD-01419"/>
    <d v="2024-08-20T00:00:00"/>
    <s v="CUST-0003"/>
    <s v="PROD-015"/>
    <s v="R025"/>
    <n v="5"/>
    <n v="2720"/>
    <n v="9.1999999999999993"/>
    <n v="12348.8"/>
    <s v="Completed"/>
    <x v="3"/>
    <s v="Apparel"/>
    <s v="Retail"/>
    <n v="33"/>
    <s v="West"/>
    <s v="R025"/>
    <n v="901298.89"/>
    <s v="West"/>
    <s v="Apparel"/>
    <n v="1962"/>
  </r>
  <r>
    <s v="ORD-01420"/>
    <d v="2024-05-26T00:00:00"/>
    <s v="CUST-0239"/>
    <s v="PROD-011"/>
    <s v="R023"/>
    <n v="1"/>
    <n v="3450"/>
    <n v="15.6"/>
    <n v="2911.8"/>
    <s v="Completed"/>
    <x v="3"/>
    <s v="Apparel"/>
    <s v="Retail"/>
    <n v="61"/>
    <s v="East"/>
    <s v="R023"/>
    <n v="983787.4800000001"/>
    <s v="East"/>
    <s v="Apparel"/>
    <n v="1748"/>
  </r>
  <r>
    <s v="ORD-01421"/>
    <d v="2024-07-11T00:00:00"/>
    <s v="CUST-0116"/>
    <s v="PROD-035"/>
    <s v="R022"/>
    <n v="2"/>
    <n v="1090"/>
    <n v="0.4"/>
    <n v="2171.2800000000002"/>
    <s v="Refunded"/>
    <x v="4"/>
    <s v="Home"/>
    <s v="Retail"/>
    <n v="53"/>
    <s v="East"/>
    <s v="R022"/>
    <n v="1069570.5400000003"/>
    <s v="East"/>
    <s v="Home"/>
    <n v="464"/>
  </r>
  <r>
    <s v="ORD-01422"/>
    <d v="2024-12-17T00:00:00"/>
    <s v="CUST-0232"/>
    <s v="PROD-003"/>
    <s v="R017"/>
    <n v="2"/>
    <n v="3570"/>
    <n v="9"/>
    <n v="6497.4"/>
    <s v="Completed"/>
    <x v="5"/>
    <s v="Electronics"/>
    <s v="Retail"/>
    <n v="38"/>
    <s v="East"/>
    <s v="R017"/>
    <n v="780384.40999999992"/>
    <s v="East"/>
    <s v="Electronics"/>
    <n v="1665"/>
  </r>
  <r>
    <s v="ORD-01423"/>
    <d v="2024-05-25T00:00:00"/>
    <s v="CUST-0121"/>
    <s v="PROD-019"/>
    <s v="R014"/>
    <n v="9"/>
    <n v="2480"/>
    <n v="3.6"/>
    <n v="21516.48"/>
    <s v="Pending"/>
    <x v="2"/>
    <s v="Apparel"/>
    <s v="SMB"/>
    <n v="55"/>
    <s v="South"/>
    <s v="R014"/>
    <n v="995713.54000000015"/>
    <s v="South"/>
    <s v="Apparel"/>
    <n v="1173"/>
  </r>
  <r>
    <s v="ORD-01424"/>
    <d v="2024-01-12T00:00:00"/>
    <s v="CUST-0178"/>
    <s v="PROD-027"/>
    <s v="R022"/>
    <n v="9"/>
    <n v="3780"/>
    <n v="4.5"/>
    <n v="32489.1"/>
    <s v="Completed"/>
    <x v="5"/>
    <s v="Grocery"/>
    <s v="Retail"/>
    <n v="25"/>
    <s v="East"/>
    <s v="R022"/>
    <n v="1069570.5400000003"/>
    <s v="East"/>
    <s v="Grocery"/>
    <n v="2436"/>
  </r>
  <r>
    <s v="ORD-01425"/>
    <d v="2024-12-05T00:00:00"/>
    <s v="CUST-0131"/>
    <s v="PROD-025"/>
    <s v="R010"/>
    <n v="5"/>
    <n v="4060"/>
    <n v="2.7"/>
    <n v="19751.900000000001"/>
    <s v="Completed"/>
    <x v="2"/>
    <s v="Grocery"/>
    <s v="SMB"/>
    <n v="28"/>
    <s v="South"/>
    <s v="R010"/>
    <n v="880345.20000000007"/>
    <s v="South"/>
    <s v="Grocery"/>
    <n v="2911"/>
  </r>
  <r>
    <s v="ORD-01426"/>
    <d v="2024-09-29T00:00:00"/>
    <s v="CUST-0155"/>
    <s v="PROD-005"/>
    <s v="R002"/>
    <n v="8"/>
    <n v="300"/>
    <n v="19.8"/>
    <n v="1924.8"/>
    <s v="Cancelled"/>
    <x v="0"/>
    <s v="Electronics"/>
    <s v="Corporate"/>
    <n v="40"/>
    <s v="North"/>
    <s v="R002"/>
    <n v="980063.65999999968"/>
    <s v="North"/>
    <s v="Electronics"/>
    <n v="128"/>
  </r>
  <r>
    <s v="ORD-01427"/>
    <d v="2024-06-11T00:00:00"/>
    <s v="CUST-0170"/>
    <s v="PROD-036"/>
    <s v="R002"/>
    <n v="10"/>
    <n v="3250"/>
    <n v="21.3"/>
    <n v="25577.5"/>
    <s v="Cancelled"/>
    <x v="3"/>
    <s v="Home"/>
    <s v="SMB"/>
    <n v="22"/>
    <s v="North"/>
    <s v="R002"/>
    <n v="980063.65999999968"/>
    <s v="North"/>
    <s v="Home"/>
    <n v="1556"/>
  </r>
  <r>
    <s v="ORD-01428"/>
    <d v="2024-11-20T00:00:00"/>
    <s v="CUST-0180"/>
    <s v="PROD-055"/>
    <s v="R009"/>
    <n v="2"/>
    <n v="2860"/>
    <n v="13.7"/>
    <n v="4936.3599999999997"/>
    <s v="Completed"/>
    <x v="1"/>
    <s v="Sports"/>
    <s v="Retail"/>
    <n v="36"/>
    <s v="South"/>
    <s v="R009"/>
    <n v="914554.71999999986"/>
    <s v="South"/>
    <s v="Sports"/>
    <n v="2028"/>
  </r>
  <r>
    <s v="ORD-01429"/>
    <d v="2024-08-19T00:00:00"/>
    <s v="CUST-0066"/>
    <s v="PROD-009"/>
    <s v="R017"/>
    <n v="10"/>
    <n v="1220"/>
    <n v="15.4"/>
    <n v="10321.200000000001"/>
    <s v="Completed"/>
    <x v="2"/>
    <s v="Electronics"/>
    <s v="Retail"/>
    <n v="24"/>
    <s v="East"/>
    <s v="R017"/>
    <n v="780384.40999999992"/>
    <s v="East"/>
    <s v="Electronics"/>
    <n v="517"/>
  </r>
  <r>
    <s v="ORD-01430"/>
    <d v="2024-05-27T00:00:00"/>
    <s v="CUST-0267"/>
    <s v="PROD-027"/>
    <s v="R010"/>
    <n v="3"/>
    <n v="3780"/>
    <n v="1.9"/>
    <n v="11124.54"/>
    <s v="Completed"/>
    <x v="5"/>
    <s v="Grocery"/>
    <s v="Retail"/>
    <n v="27"/>
    <s v="South"/>
    <s v="R010"/>
    <n v="880345.20000000007"/>
    <s v="South"/>
    <s v="Grocery"/>
    <n v="2436"/>
  </r>
  <r>
    <s v="ORD-01431"/>
    <d v="2024-10-14T00:00:00"/>
    <s v="CUST-0034"/>
    <s v="PROD-038"/>
    <s v="R018"/>
    <n v="6"/>
    <n v="5490"/>
    <n v="0.5"/>
    <n v="32775.300000000003"/>
    <s v="Pending"/>
    <x v="2"/>
    <s v="Home"/>
    <s v="Retail"/>
    <n v="47"/>
    <s v="East"/>
    <s v="R018"/>
    <n v="1112289.6400000001"/>
    <s v="East"/>
    <s v="Home"/>
    <n v="2549"/>
  </r>
  <r>
    <s v="ORD-01432"/>
    <d v="2024-07-22T00:00:00"/>
    <s v="CUST-0029"/>
    <s v="PROD-022"/>
    <s v="R029"/>
    <n v="6"/>
    <n v="2270"/>
    <n v="21.5"/>
    <n v="10691.7"/>
    <s v="Completed"/>
    <x v="1"/>
    <s v="Grocery"/>
    <s v="Corporate"/>
    <n v="54"/>
    <s v="West"/>
    <s v="R029"/>
    <n v="1016696.8000000002"/>
    <s v="West"/>
    <s v="Grocery"/>
    <n v="1412"/>
  </r>
  <r>
    <s v="ORD-01433"/>
    <d v="2024-11-04T00:00:00"/>
    <s v="CUST-0224"/>
    <s v="PROD-029"/>
    <s v="R023"/>
    <n v="7"/>
    <n v="2210"/>
    <n v="10.3"/>
    <n v="13876.59"/>
    <s v="Completed"/>
    <x v="1"/>
    <s v="Grocery"/>
    <s v="Corporate"/>
    <n v="24"/>
    <s v="East"/>
    <s v="R023"/>
    <n v="983787.4800000001"/>
    <s v="East"/>
    <s v="Grocery"/>
    <n v="1010"/>
  </r>
  <r>
    <s v="ORD-01434"/>
    <d v="2024-11-09T00:00:00"/>
    <s v="CUST-9889"/>
    <s v="PROD-035"/>
    <s v="R009"/>
    <n v="8"/>
    <n v="1090"/>
    <n v="21.7"/>
    <n v="6827.76"/>
    <s v="Completed"/>
    <x v="0"/>
    <s v="Home"/>
    <e v="#N/A"/>
    <e v="#N/A"/>
    <s v="South"/>
    <s v="R009"/>
    <n v="914554.71999999986"/>
    <s v="South"/>
    <s v="Home"/>
    <n v="464"/>
  </r>
  <r>
    <s v="ORD-01435"/>
    <d v="2024-11-02T00:00:00"/>
    <s v="CUST-0130"/>
    <s v="PROD-018"/>
    <s v="R002"/>
    <n v="5"/>
    <n v="3560"/>
    <n v="19.399999999999999"/>
    <n v="14346.8"/>
    <s v="Pending"/>
    <x v="4"/>
    <s v="Apparel"/>
    <s v="Corporate"/>
    <n v="41"/>
    <s v="North"/>
    <s v="R002"/>
    <n v="980063.65999999968"/>
    <s v="North"/>
    <s v="Apparel"/>
    <n v="2629"/>
  </r>
  <r>
    <s v="ORD-01436"/>
    <d v="2024-06-09T00:00:00"/>
    <s v="CUST-0060"/>
    <s v="PROD-054"/>
    <s v="R028"/>
    <n v="7"/>
    <n v="1010"/>
    <n v="28.2"/>
    <n v="5076.26"/>
    <s v="Completed"/>
    <x v="0"/>
    <s v="Sports"/>
    <s v="Retail"/>
    <n v="39"/>
    <s v="West"/>
    <s v="R028"/>
    <n v="880468.05"/>
    <s v="West"/>
    <s v="Sports"/>
    <n v="516"/>
  </r>
  <r>
    <s v="ORD-01437"/>
    <d v="2024-06-27T00:00:00"/>
    <s v="CUST-0299"/>
    <s v="PROD-033"/>
    <s v="R015"/>
    <n v="2"/>
    <n v="2030"/>
    <n v="27.3"/>
    <n v="2951.62"/>
    <s v="Refunded"/>
    <x v="3"/>
    <s v="Home"/>
    <s v="Corporate"/>
    <n v="51"/>
    <s v="South"/>
    <s v="R015"/>
    <n v="1091740.1799999997"/>
    <s v="South"/>
    <s v="Home"/>
    <n v="1143"/>
  </r>
  <r>
    <s v="ORD-01438"/>
    <d v="2024-02-28T00:00:00"/>
    <s v="CUST-0013"/>
    <s v="PROD-001"/>
    <s v="R012"/>
    <n v="6"/>
    <n v="5330"/>
    <n v="0.6"/>
    <n v="31788.12"/>
    <s v="Completed"/>
    <x v="2"/>
    <s v="Electronics"/>
    <s v="Retail"/>
    <n v="41"/>
    <s v="South"/>
    <s v="R012"/>
    <n v="901394.32000000007"/>
    <s v="South"/>
    <s v="Electronics"/>
    <n v="2405"/>
  </r>
  <r>
    <s v="ORD-01439"/>
    <d v="2024-08-10T00:00:00"/>
    <s v="CUST-0193"/>
    <s v="PROD-010"/>
    <s v="R007"/>
    <n v="2"/>
    <n v="2640"/>
    <n v="26"/>
    <n v="3907.2"/>
    <s v="Pending"/>
    <x v="4"/>
    <s v="Electronics"/>
    <s v="Retail"/>
    <n v="42"/>
    <s v="North"/>
    <s v="R007"/>
    <n v="855749.67999999982"/>
    <s v="North"/>
    <s v="Electronics"/>
    <n v="1149"/>
  </r>
  <r>
    <s v="ORD-01440"/>
    <d v="2024-06-04T00:00:00"/>
    <s v="CUST-0170"/>
    <s v="PROD-008"/>
    <s v="R012"/>
    <n v="8"/>
    <n v="2660"/>
    <n v="2.9"/>
    <n v="20662.88"/>
    <s v="Completed"/>
    <x v="3"/>
    <s v="Electronics"/>
    <s v="SMB"/>
    <n v="22"/>
    <s v="South"/>
    <s v="R012"/>
    <n v="901394.32000000007"/>
    <s v="South"/>
    <s v="Electronics"/>
    <n v="1259"/>
  </r>
  <r>
    <s v="ORD-01441"/>
    <d v="2024-04-08T00:00:00"/>
    <s v="CUST-0063"/>
    <s v="PROD-036"/>
    <s v="R023"/>
    <n v="6"/>
    <n v="3250"/>
    <n v="11.1"/>
    <n v="17335.5"/>
    <s v="Completed"/>
    <x v="3"/>
    <s v="Home"/>
    <s v="SMB"/>
    <n v="53"/>
    <s v="East"/>
    <s v="R023"/>
    <n v="983787.4800000001"/>
    <s v="East"/>
    <s v="Home"/>
    <n v="1556"/>
  </r>
  <r>
    <s v="ORD-01442"/>
    <d v="2024-01-16T00:00:00"/>
    <s v="CUST-0168"/>
    <s v="PROD-029"/>
    <s v="R004"/>
    <n v="1"/>
    <n v="2210"/>
    <n v="3.5"/>
    <n v="2132.65"/>
    <s v="Completed"/>
    <x v="0"/>
    <s v="Grocery"/>
    <s v="Retail"/>
    <n v="25"/>
    <s v="North"/>
    <s v="R004"/>
    <n v="589026.2899999998"/>
    <s v="North"/>
    <s v="Grocery"/>
    <n v="1010"/>
  </r>
  <r>
    <s v="ORD-01443"/>
    <d v="2024-05-20T00:00:00"/>
    <s v="CUST-0124"/>
    <s v="PROD-032"/>
    <s v="R019"/>
    <n v="9"/>
    <n v="370"/>
    <n v="12.4"/>
    <n v="2917.08"/>
    <s v="Completed"/>
    <x v="0"/>
    <s v="Home"/>
    <s v="Retail"/>
    <n v="57"/>
    <s v="East"/>
    <s v="R019"/>
    <n v="971183.52000000014"/>
    <s v="East"/>
    <s v="Home"/>
    <n v="288"/>
  </r>
  <r>
    <s v="ORD-01444"/>
    <d v="2024-06-10T00:00:00"/>
    <s v="CUST-0138"/>
    <s v="PROD-059"/>
    <s v="R022"/>
    <n v="3"/>
    <n v="3780"/>
    <n v="8.5"/>
    <n v="10376.1"/>
    <s v="Pending"/>
    <x v="1"/>
    <s v="Sports"/>
    <s v="Retail"/>
    <n v="24"/>
    <s v="East"/>
    <s v="R022"/>
    <n v="1069570.5400000003"/>
    <s v="East"/>
    <s v="Sports"/>
    <n v="1860"/>
  </r>
  <r>
    <s v="ORD-01445"/>
    <d v="2024-04-15T00:00:00"/>
    <s v="CUST-0146"/>
    <s v="PROD-054"/>
    <s v="R002"/>
    <n v="2"/>
    <n v="1010"/>
    <n v="2.7"/>
    <n v="1965.46"/>
    <s v="Completed"/>
    <x v="5"/>
    <s v="Sports"/>
    <s v="Retail"/>
    <n v="22"/>
    <s v="North"/>
    <s v="R002"/>
    <n v="980063.65999999968"/>
    <s v="North"/>
    <s v="Sports"/>
    <n v="516"/>
  </r>
  <r>
    <s v="ORD-01446"/>
    <d v="2024-12-13T00:00:00"/>
    <s v="CUST-0244"/>
    <s v="PROD-020"/>
    <s v="R012"/>
    <n v="2"/>
    <n v="820"/>
    <n v="13.2"/>
    <n v="1423.52"/>
    <s v="Pending"/>
    <x v="4"/>
    <s v="Apparel"/>
    <s v="Retail"/>
    <n v="61"/>
    <s v="South"/>
    <s v="R012"/>
    <n v="901394.32000000007"/>
    <s v="South"/>
    <s v="Apparel"/>
    <n v="391"/>
  </r>
  <r>
    <s v="ORD-01447"/>
    <d v="2024-07-09T00:00:00"/>
    <s v="CUST-0291"/>
    <s v="PROD-028"/>
    <s v="R012"/>
    <n v="1"/>
    <n v="3660"/>
    <n v="14"/>
    <n v="3147.6"/>
    <s v="Refunded"/>
    <x v="0"/>
    <s v="Grocery"/>
    <s v="SMB"/>
    <n v="29"/>
    <s v="South"/>
    <s v="R012"/>
    <n v="901394.32000000007"/>
    <s v="South"/>
    <s v="Grocery"/>
    <n v="2214"/>
  </r>
  <r>
    <s v="ORD-01448"/>
    <d v="2024-06-04T00:00:00"/>
    <s v="CUST-0222"/>
    <s v="PROD-022"/>
    <s v="R017"/>
    <n v="6"/>
    <n v="2270"/>
    <n v="16"/>
    <n v="11440.8"/>
    <s v="Completed"/>
    <x v="1"/>
    <s v="Grocery"/>
    <s v="Retail"/>
    <n v="37"/>
    <s v="East"/>
    <s v="R017"/>
    <n v="780384.40999999992"/>
    <s v="East"/>
    <s v="Grocery"/>
    <n v="1412"/>
  </r>
  <r>
    <s v="ORD-01449"/>
    <d v="2024-11-02T00:00:00"/>
    <s v="CUST-0137"/>
    <s v="PROD-049"/>
    <s v="R019"/>
    <n v="7"/>
    <n v="960"/>
    <n v="28.8"/>
    <n v="4784.6400000000003"/>
    <s v="Refunded"/>
    <x v="3"/>
    <s v="Beauty"/>
    <s v="Retail"/>
    <n v="41"/>
    <s v="East"/>
    <s v="R019"/>
    <n v="971183.52000000014"/>
    <s v="East"/>
    <s v="Beauty"/>
    <n v="675"/>
  </r>
  <r>
    <s v="ORD-01450"/>
    <d v="2024-12-19T00:00:00"/>
    <s v="CUST-0150"/>
    <s v="PROD-033"/>
    <s v="R025"/>
    <n v="9"/>
    <n v="2030"/>
    <n v="3.4"/>
    <n v="17648.82"/>
    <s v="Completed"/>
    <x v="0"/>
    <s v="Home"/>
    <s v="SMB"/>
    <n v="53"/>
    <s v="West"/>
    <s v="R025"/>
    <n v="901298.89"/>
    <s v="West"/>
    <s v="Home"/>
    <n v="1143"/>
  </r>
  <r>
    <s v="ORD-01451"/>
    <d v="2024-01-08T00:00:00"/>
    <s v="CUST-0058"/>
    <s v="PROD-023"/>
    <s v="R005"/>
    <n v="6"/>
    <n v="2380"/>
    <n v="13.2"/>
    <n v="12395.04"/>
    <s v="Completed"/>
    <x v="4"/>
    <s v="Grocery"/>
    <s v="SMB"/>
    <n v="49"/>
    <s v="North"/>
    <s v="R005"/>
    <n v="782445.33"/>
    <s v="North"/>
    <s v="Grocery"/>
    <n v="1182"/>
  </r>
  <r>
    <s v="ORD-01452"/>
    <d v="2024-01-17T00:00:00"/>
    <s v="CUST-0187"/>
    <s v="PROD-047"/>
    <s v="R009"/>
    <n v="10"/>
    <n v="3450"/>
    <n v="8.6999999999999993"/>
    <n v="31498.5"/>
    <s v="Completed"/>
    <x v="1"/>
    <s v="Beauty"/>
    <s v="SMB"/>
    <n v="51"/>
    <s v="South"/>
    <s v="R009"/>
    <n v="914554.71999999986"/>
    <s v="South"/>
    <s v="Beauty"/>
    <n v="2420"/>
  </r>
  <r>
    <s v="ORD-01453"/>
    <d v="2024-07-14T00:00:00"/>
    <s v="CUST-0116"/>
    <s v="PROD-049"/>
    <s v="R021"/>
    <n v="6"/>
    <n v="960"/>
    <n v="20.6"/>
    <n v="4573.4399999999996"/>
    <s v="Pending"/>
    <x v="4"/>
    <s v="Beauty"/>
    <s v="Retail"/>
    <n v="53"/>
    <s v="East"/>
    <s v="R021"/>
    <n v="761507.17000000027"/>
    <s v="East"/>
    <s v="Beauty"/>
    <n v="675"/>
  </r>
  <r>
    <s v="ORD-01454"/>
    <d v="2024-02-19T00:00:00"/>
    <s v="CUST-0290"/>
    <s v="PROD-018"/>
    <s v="R013"/>
    <n v="10"/>
    <n v="3560"/>
    <n v="1.4"/>
    <n v="35101.599999999999"/>
    <s v="Pending"/>
    <x v="2"/>
    <s v="Apparel"/>
    <s v="Retail"/>
    <n v="63"/>
    <s v="South"/>
    <s v="R013"/>
    <n v="811524.37999999989"/>
    <s v="South"/>
    <s v="Apparel"/>
    <n v="2629"/>
  </r>
  <r>
    <s v="ORD-01455"/>
    <d v="2024-03-03T00:00:00"/>
    <s v="CUST-0053"/>
    <s v="PROD-015"/>
    <s v="R014"/>
    <n v="4"/>
    <n v="2720"/>
    <n v="19.399999999999999"/>
    <n v="8769.2800000000007"/>
    <s v="Refunded"/>
    <x v="2"/>
    <s v="Apparel"/>
    <s v="Retail"/>
    <n v="53"/>
    <s v="South"/>
    <s v="R014"/>
    <n v="995713.54000000015"/>
    <s v="South"/>
    <s v="Apparel"/>
    <n v="1962"/>
  </r>
  <r>
    <s v="ORD-01456"/>
    <d v="2024-06-15T00:00:00"/>
    <s v="CUST-0044"/>
    <s v="PROD-009"/>
    <s v="R029"/>
    <n v="5"/>
    <n v="1220"/>
    <n v="15.6"/>
    <n v="5148.3999999999996"/>
    <s v="Completed"/>
    <x v="5"/>
    <s v="Electronics"/>
    <s v="SMB"/>
    <n v="29"/>
    <s v="West"/>
    <s v="R029"/>
    <n v="1016696.8000000002"/>
    <s v="West"/>
    <s v="Electronics"/>
    <n v="517"/>
  </r>
  <r>
    <s v="ORD-01457"/>
    <d v="2024-03-13T00:00:00"/>
    <s v="CUST-0267"/>
    <s v="PROD-035"/>
    <s v="R026"/>
    <n v="5"/>
    <n v="1090"/>
    <n v="15"/>
    <n v="4632.5"/>
    <s v="Completed"/>
    <x v="5"/>
    <s v="Home"/>
    <s v="Retail"/>
    <n v="27"/>
    <s v="West"/>
    <s v="R026"/>
    <n v="576305.08000000019"/>
    <s v="West"/>
    <s v="Home"/>
    <n v="464"/>
  </r>
  <r>
    <s v="ORD-01458"/>
    <d v="2024-11-22T00:00:00"/>
    <s v="CUST-0179"/>
    <s v="PROD-032"/>
    <s v="R029"/>
    <n v="9"/>
    <n v="370"/>
    <n v="25.4"/>
    <n v="2484.1799999999998"/>
    <s v="Completed"/>
    <x v="3"/>
    <s v="Home"/>
    <s v="SMB"/>
    <n v="54"/>
    <s v="West"/>
    <s v="R029"/>
    <n v="1016696.8000000002"/>
    <s v="West"/>
    <s v="Home"/>
    <n v="288"/>
  </r>
  <r>
    <s v="ORD-01459"/>
    <d v="2024-06-13T00:00:00"/>
    <s v="CUST-0089"/>
    <s v="PROD-055"/>
    <s v="R007"/>
    <n v="7"/>
    <n v="2860"/>
    <n v="14"/>
    <n v="17217.2"/>
    <s v="Completed"/>
    <x v="3"/>
    <s v="Sports"/>
    <s v="SMB"/>
    <n v="43"/>
    <s v="North"/>
    <s v="R007"/>
    <n v="855749.67999999982"/>
    <s v="North"/>
    <s v="Sports"/>
    <n v="2028"/>
  </r>
  <r>
    <s v="ORD-01460"/>
    <d v="2024-07-17T00:00:00"/>
    <s v="CUST-0090"/>
    <s v="PROD-029"/>
    <s v="R026"/>
    <n v="1"/>
    <n v="2210"/>
    <n v="1.7"/>
    <n v="2172.4299999999998"/>
    <s v="Completed"/>
    <x v="4"/>
    <s v="Grocery"/>
    <s v="Corporate"/>
    <n v="26"/>
    <s v="West"/>
    <s v="R026"/>
    <n v="576305.08000000019"/>
    <s v="West"/>
    <s v="Grocery"/>
    <n v="1010"/>
  </r>
  <r>
    <s v="ORD-01461"/>
    <d v="2024-10-19T00:00:00"/>
    <s v="CUST-0135"/>
    <s v="PROD-030"/>
    <s v="R025"/>
    <n v="3"/>
    <n v="970"/>
    <n v="20.3"/>
    <n v="2319.27"/>
    <s v="Pending"/>
    <x v="0"/>
    <s v="Grocery"/>
    <s v="SMB"/>
    <n v="24"/>
    <s v="West"/>
    <s v="R025"/>
    <n v="901298.89"/>
    <s v="West"/>
    <s v="Grocery"/>
    <n v="434"/>
  </r>
  <r>
    <s v="ORD-01462"/>
    <d v="2024-07-03T00:00:00"/>
    <s v="CUST-0252"/>
    <s v="PROD-018"/>
    <s v="R021"/>
    <n v="5"/>
    <n v="3560"/>
    <n v="17.100000000000001"/>
    <n v="14756.2"/>
    <s v="Completed"/>
    <x v="4"/>
    <s v="Apparel"/>
    <s v="Retail"/>
    <n v="27"/>
    <s v="East"/>
    <s v="R021"/>
    <n v="761507.17000000027"/>
    <s v="East"/>
    <s v="Apparel"/>
    <n v="2629"/>
  </r>
  <r>
    <s v="ORD-01463"/>
    <d v="2024-04-05T00:00:00"/>
    <s v="CUST-0086"/>
    <s v="PROD-040"/>
    <s v="R023"/>
    <n v="10"/>
    <n v="1080"/>
    <n v="12.8"/>
    <n v="9417.6"/>
    <s v="Completed"/>
    <x v="5"/>
    <s v="Home"/>
    <s v="Corporate"/>
    <n v="56"/>
    <s v="East"/>
    <s v="R023"/>
    <n v="983787.4800000001"/>
    <s v="East"/>
    <s v="Home"/>
    <n v="519"/>
  </r>
  <r>
    <s v="ORD-01464"/>
    <d v="2024-02-02T00:00:00"/>
    <s v="CUST-0264"/>
    <s v="PROD-009"/>
    <s v="R011"/>
    <n v="3"/>
    <n v="1220"/>
    <n v="1.9"/>
    <n v="3590.46"/>
    <s v="Completed"/>
    <x v="0"/>
    <s v="Electronics"/>
    <s v="Retail"/>
    <n v="59"/>
    <s v="South"/>
    <s v="R011"/>
    <n v="735207.75999999989"/>
    <s v="South"/>
    <s v="Electronics"/>
    <n v="517"/>
  </r>
  <r>
    <s v="ORD-01465"/>
    <d v="2024-07-06T00:00:00"/>
    <s v="CUST-9851"/>
    <s v="PROD-031"/>
    <s v="R009"/>
    <n v="1"/>
    <n v="3730"/>
    <n v="14.7"/>
    <n v="3181.69"/>
    <s v="Pending"/>
    <x v="0"/>
    <s v="Home"/>
    <e v="#N/A"/>
    <e v="#N/A"/>
    <s v="South"/>
    <s v="R009"/>
    <n v="914554.71999999986"/>
    <s v="South"/>
    <s v="Home"/>
    <n v="2135"/>
  </r>
  <r>
    <s v="ORD-01466"/>
    <d v="2024-12-02T00:00:00"/>
    <s v="CUST-0143"/>
    <s v="PROD-007"/>
    <s v="R001"/>
    <n v="3"/>
    <n v="1430"/>
    <n v="13.2"/>
    <n v="3723.72"/>
    <s v="Completed"/>
    <x v="1"/>
    <s v="Electronics"/>
    <s v="SMB"/>
    <n v="52"/>
    <s v="North"/>
    <s v="R001"/>
    <n v="789849.60000000009"/>
    <s v="North"/>
    <s v="Electronics"/>
    <n v="861"/>
  </r>
  <r>
    <s v="ORD-01467"/>
    <d v="2024-05-01T00:00:00"/>
    <s v="CUST-0086"/>
    <s v="PROD-050"/>
    <s v="R018"/>
    <n v="2"/>
    <n v="6080"/>
    <n v="21.8"/>
    <n v="9509.1200000000008"/>
    <s v="Cancelled"/>
    <x v="5"/>
    <s v="Beauty"/>
    <s v="Corporate"/>
    <n v="56"/>
    <s v="East"/>
    <s v="R018"/>
    <n v="1112289.6400000001"/>
    <s v="East"/>
    <s v="Beauty"/>
    <n v="2617"/>
  </r>
  <r>
    <s v="ORD-01468"/>
    <d v="2024-02-21T00:00:00"/>
    <s v="CUST-0196"/>
    <s v="PROD-048"/>
    <s v="R015"/>
    <n v="9"/>
    <n v="5100"/>
    <n v="29.3"/>
    <n v="32451.3"/>
    <s v="Completed"/>
    <x v="1"/>
    <s v="Beauty"/>
    <s v="Retail"/>
    <n v="26"/>
    <s v="South"/>
    <s v="R015"/>
    <n v="1091740.1799999997"/>
    <s v="South"/>
    <s v="Beauty"/>
    <n v="2237"/>
  </r>
  <r>
    <s v="ORD-01469"/>
    <d v="2024-05-12T00:00:00"/>
    <s v="CUST-0089"/>
    <s v="PROD-011"/>
    <s v="R014"/>
    <n v="5"/>
    <n v="3450"/>
    <n v="5.3"/>
    <n v="16335.75"/>
    <s v="Completed"/>
    <x v="3"/>
    <s v="Apparel"/>
    <s v="SMB"/>
    <n v="43"/>
    <s v="South"/>
    <s v="R014"/>
    <n v="995713.54000000015"/>
    <s v="South"/>
    <s v="Apparel"/>
    <n v="1748"/>
  </r>
  <r>
    <s v="ORD-01470"/>
    <d v="2024-12-06T00:00:00"/>
    <s v="CUST-0149"/>
    <s v="PROD-003"/>
    <s v="R002"/>
    <n v="6"/>
    <n v="3570"/>
    <n v="17.3"/>
    <n v="17714.34"/>
    <s v="Completed"/>
    <x v="5"/>
    <s v="Electronics"/>
    <s v="Retail"/>
    <n v="44"/>
    <s v="North"/>
    <s v="R002"/>
    <n v="980063.65999999968"/>
    <s v="North"/>
    <s v="Electronics"/>
    <n v="1665"/>
  </r>
  <r>
    <s v="ORD-01471"/>
    <d v="2024-06-01T00:00:00"/>
    <s v="CUST-0161"/>
    <s v="PROD-031"/>
    <s v="R018"/>
    <n v="6"/>
    <n v="3730"/>
    <n v="1"/>
    <n v="22156.2"/>
    <s v="Completed"/>
    <x v="1"/>
    <s v="Home"/>
    <s v="Retail"/>
    <n v="38"/>
    <s v="East"/>
    <s v="R018"/>
    <n v="1112289.6400000001"/>
    <s v="East"/>
    <s v="Home"/>
    <n v="2135"/>
  </r>
  <r>
    <s v="ORD-01472"/>
    <d v="2024-09-10T00:00:00"/>
    <s v="CUST-0022"/>
    <s v="PROD-059"/>
    <s v="R019"/>
    <n v="4"/>
    <n v="3780"/>
    <n v="13.1"/>
    <n v="13139.28"/>
    <s v="Completed"/>
    <x v="4"/>
    <s v="Sports"/>
    <s v="Corporate"/>
    <n v="55"/>
    <s v="East"/>
    <s v="R019"/>
    <n v="971183.52000000014"/>
    <s v="East"/>
    <s v="Sports"/>
    <n v="1860"/>
  </r>
  <r>
    <s v="ORD-01473"/>
    <d v="2024-08-07T00:00:00"/>
    <s v="CUST-0169"/>
    <s v="PROD-017"/>
    <s v="R011"/>
    <n v="1"/>
    <n v="2510"/>
    <n v="27.8"/>
    <n v="1812.22"/>
    <s v="Cancelled"/>
    <x v="4"/>
    <s v="Apparel"/>
    <s v="SMB"/>
    <n v="42"/>
    <s v="South"/>
    <s v="R011"/>
    <n v="735207.75999999989"/>
    <s v="South"/>
    <s v="Apparel"/>
    <n v="1075"/>
  </r>
  <r>
    <s v="ORD-01474"/>
    <d v="2024-10-12T00:00:00"/>
    <s v="CUST-0290"/>
    <s v="PROD-037"/>
    <s v="R007"/>
    <n v="9"/>
    <n v="660"/>
    <n v="29.3"/>
    <n v="4199.58"/>
    <s v="Completed"/>
    <x v="2"/>
    <s v="Home"/>
    <s v="Retail"/>
    <n v="63"/>
    <s v="North"/>
    <s v="R007"/>
    <n v="855749.67999999982"/>
    <s v="North"/>
    <s v="Home"/>
    <n v="329"/>
  </r>
  <r>
    <s v="ORD-01475"/>
    <d v="2024-08-03T00:00:00"/>
    <s v="CUST-0156"/>
    <s v="PROD-013"/>
    <s v="R030"/>
    <n v="7"/>
    <n v="3640"/>
    <n v="11.6"/>
    <n v="22524.32"/>
    <s v="Completed"/>
    <x v="3"/>
    <s v="Apparel"/>
    <s v="Retail"/>
    <n v="33"/>
    <s v="West"/>
    <s v="R030"/>
    <n v="747624.36999999988"/>
    <s v="West"/>
    <s v="Apparel"/>
    <n v="2611"/>
  </r>
  <r>
    <s v="ORD-01476"/>
    <d v="2024-05-03T00:00:00"/>
    <s v="CUST-0005"/>
    <s v="PROD-052"/>
    <s v="R019"/>
    <n v="8"/>
    <n v="5410"/>
    <n v="25.6"/>
    <n v="32200.32"/>
    <s v="Completed"/>
    <x v="1"/>
    <s v="Sports"/>
    <s v="Corporate"/>
    <n v="52"/>
    <s v="East"/>
    <s v="R019"/>
    <n v="971183.52000000014"/>
    <s v="East"/>
    <s v="Sports"/>
    <n v="2265"/>
  </r>
  <r>
    <s v="ORD-01477"/>
    <d v="2024-02-20T00:00:00"/>
    <s v="CUST-0206"/>
    <s v="PROD-058"/>
    <s v="R008"/>
    <n v="4"/>
    <n v="2400"/>
    <n v="10.4"/>
    <n v="8601.6"/>
    <s v="Completed"/>
    <x v="3"/>
    <s v="Sports"/>
    <s v="Retail"/>
    <n v="40"/>
    <s v="North"/>
    <s v="R008"/>
    <n v="861553.33"/>
    <s v="North"/>
    <s v="Sports"/>
    <n v="974"/>
  </r>
  <r>
    <s v="ORD-01478"/>
    <d v="2024-02-11T00:00:00"/>
    <s v="CUST-0240"/>
    <s v="PROD-038"/>
    <s v="R028"/>
    <n v="2"/>
    <n v="5490"/>
    <n v="5.4"/>
    <n v="10387.08"/>
    <s v="Completed"/>
    <x v="1"/>
    <s v="Home"/>
    <s v="Corporate"/>
    <n v="35"/>
    <s v="West"/>
    <s v="R028"/>
    <n v="880468.05"/>
    <s v="West"/>
    <s v="Home"/>
    <n v="2549"/>
  </r>
  <r>
    <s v="ORD-01479"/>
    <d v="2024-08-12T00:00:00"/>
    <s v="CUST-0109"/>
    <s v="PROD-041"/>
    <s v="R016"/>
    <n v="6"/>
    <n v="1540"/>
    <n v="0.6"/>
    <n v="9184.56"/>
    <s v="Completed"/>
    <x v="0"/>
    <s v="Beauty"/>
    <s v="Retail"/>
    <n v="42"/>
    <s v="South"/>
    <s v="R016"/>
    <n v="814563.7100000002"/>
    <s v="South"/>
    <s v="Beauty"/>
    <n v="647"/>
  </r>
  <r>
    <s v="ORD-01480"/>
    <d v="2024-02-21T00:00:00"/>
    <s v="CUST-0201"/>
    <s v="PROD-001"/>
    <s v="R001"/>
    <n v="3"/>
    <n v="5330"/>
    <n v="1"/>
    <n v="15830.1"/>
    <s v="Pending"/>
    <x v="5"/>
    <s v="Electronics"/>
    <s v="Retail"/>
    <n v="31"/>
    <s v="North"/>
    <s v="R001"/>
    <n v="789849.60000000009"/>
    <s v="North"/>
    <s v="Electronics"/>
    <n v="2405"/>
  </r>
  <r>
    <s v="ORD-01481"/>
    <d v="2024-08-18T00:00:00"/>
    <s v="CUST-0100"/>
    <s v="PROD-055"/>
    <s v="R012"/>
    <n v="6"/>
    <n v="2860"/>
    <n v="13.3"/>
    <n v="14877.72"/>
    <s v="Completed"/>
    <x v="5"/>
    <s v="Sports"/>
    <s v="Corporate"/>
    <n v="60"/>
    <s v="South"/>
    <s v="R012"/>
    <n v="901394.32000000007"/>
    <s v="South"/>
    <s v="Sports"/>
    <n v="2028"/>
  </r>
  <r>
    <s v="ORD-01482"/>
    <d v="2024-01-14T00:00:00"/>
    <s v="CUST-0262"/>
    <s v="PROD-046"/>
    <s v="R006"/>
    <n v="3"/>
    <n v="4880"/>
    <n v="12.1"/>
    <n v="12868.56"/>
    <s v="Completed"/>
    <x v="3"/>
    <s v="Beauty"/>
    <s v="Retail"/>
    <n v="52"/>
    <s v="North"/>
    <s v="R006"/>
    <n v="1138648.73"/>
    <s v="North"/>
    <s v="Beauty"/>
    <n v="2768"/>
  </r>
  <r>
    <s v="ORD-01483"/>
    <d v="2024-03-02T00:00:00"/>
    <s v="CUST-0067"/>
    <s v="PROD-017"/>
    <s v="R005"/>
    <n v="5"/>
    <n v="2510"/>
    <n v="2.9"/>
    <n v="12186.05"/>
    <s v="Pending"/>
    <x v="2"/>
    <s v="Apparel"/>
    <s v="SMB"/>
    <n v="59"/>
    <s v="North"/>
    <s v="R005"/>
    <n v="782445.33"/>
    <s v="North"/>
    <s v="Apparel"/>
    <n v="1075"/>
  </r>
  <r>
    <s v="ORD-01484"/>
    <d v="2024-08-21T00:00:00"/>
    <s v="CUST-9844"/>
    <s v="PROD-006"/>
    <s v="R020"/>
    <n v="9"/>
    <n v="3970"/>
    <n v="28"/>
    <n v="25725.599999999999"/>
    <s v="Completed"/>
    <x v="0"/>
    <s v="Electronics"/>
    <e v="#N/A"/>
    <e v="#N/A"/>
    <s v="East"/>
    <s v="R020"/>
    <n v="906107.71000000008"/>
    <s v="East"/>
    <s v="Electronics"/>
    <n v="2865"/>
  </r>
  <r>
    <s v="ORD-01485"/>
    <d v="2024-10-28T00:00:00"/>
    <s v="CUST-0122"/>
    <s v="PROD-053"/>
    <s v="R027"/>
    <n v="4"/>
    <n v="470"/>
    <n v="19.100000000000001"/>
    <n v="1520.92"/>
    <s v="Pending"/>
    <x v="3"/>
    <s v="Sports"/>
    <s v="Retail"/>
    <n v="44"/>
    <s v="West"/>
    <s v="R027"/>
    <n v="917092.61999999965"/>
    <s v="West"/>
    <s v="Sports"/>
    <n v="302"/>
  </r>
  <r>
    <s v="ORD-01486"/>
    <d v="2024-09-15T00:00:00"/>
    <s v="CUST-0129"/>
    <s v="PROD-001"/>
    <s v="R025"/>
    <n v="7"/>
    <n v="5330"/>
    <n v="17.2"/>
    <n v="30892.68"/>
    <s v="Cancelled"/>
    <x v="5"/>
    <s v="Electronics"/>
    <s v="Retail"/>
    <n v="29"/>
    <s v="West"/>
    <s v="R025"/>
    <n v="901298.89"/>
    <s v="West"/>
    <s v="Electronics"/>
    <n v="2405"/>
  </r>
  <r>
    <s v="ORD-01487"/>
    <d v="2024-08-07T00:00:00"/>
    <s v="CUST-0056"/>
    <s v="PROD-035"/>
    <s v="R012"/>
    <n v="4"/>
    <n v="1090"/>
    <n v="4.9000000000000004"/>
    <n v="4146.3599999999997"/>
    <s v="Cancelled"/>
    <x v="4"/>
    <s v="Home"/>
    <s v="SMB"/>
    <n v="46"/>
    <s v="South"/>
    <s v="R012"/>
    <n v="901394.32000000007"/>
    <s v="South"/>
    <s v="Home"/>
    <n v="464"/>
  </r>
  <r>
    <s v="ORD-01488"/>
    <d v="2024-06-13T00:00:00"/>
    <s v="CUST-0080"/>
    <s v="PROD-054"/>
    <s v="R009"/>
    <n v="2"/>
    <n v="1010"/>
    <n v="14"/>
    <n v="1737.2"/>
    <s v="Completed"/>
    <x v="0"/>
    <s v="Sports"/>
    <s v="SMB"/>
    <n v="30"/>
    <s v="South"/>
    <s v="R009"/>
    <n v="914554.71999999986"/>
    <s v="South"/>
    <s v="Sports"/>
    <n v="516"/>
  </r>
  <r>
    <s v="ORD-01489"/>
    <d v="2024-02-21T00:00:00"/>
    <s v="CUST-0155"/>
    <s v="PROD-004"/>
    <s v="R016"/>
    <n v="9"/>
    <n v="3870"/>
    <n v="8.1999999999999993"/>
    <n v="31973.94"/>
    <s v="Completed"/>
    <x v="0"/>
    <s v="Electronics"/>
    <s v="Corporate"/>
    <n v="40"/>
    <s v="South"/>
    <s v="R016"/>
    <n v="814563.7100000002"/>
    <s v="South"/>
    <s v="Electronics"/>
    <n v="1559"/>
  </r>
  <r>
    <s v="ORD-01490"/>
    <d v="2024-07-18T00:00:00"/>
    <s v="CUST-0278"/>
    <s v="PROD-008"/>
    <s v="R013"/>
    <n v="7"/>
    <n v="2660"/>
    <n v="15.9"/>
    <n v="15659.42"/>
    <s v="Completed"/>
    <x v="5"/>
    <s v="Electronics"/>
    <s v="Retail"/>
    <n v="41"/>
    <s v="South"/>
    <s v="R013"/>
    <n v="811524.37999999989"/>
    <s v="South"/>
    <s v="Electronics"/>
    <n v="1259"/>
  </r>
  <r>
    <s v="ORD-01491"/>
    <d v="2024-11-23T00:00:00"/>
    <s v="CUST-0075"/>
    <s v="PROD-007"/>
    <s v="R019"/>
    <n v="4"/>
    <n v="1430"/>
    <n v="25.6"/>
    <n v="4255.68"/>
    <s v="Completed"/>
    <x v="3"/>
    <s v="Electronics"/>
    <s v="Corporate"/>
    <n v="55"/>
    <s v="East"/>
    <s v="R019"/>
    <n v="971183.52000000014"/>
    <s v="East"/>
    <s v="Electronics"/>
    <n v="861"/>
  </r>
  <r>
    <s v="ORD-01492"/>
    <d v="2024-03-23T00:00:00"/>
    <s v="CUST-0274"/>
    <s v="PROD-046"/>
    <s v="R023"/>
    <n v="4"/>
    <n v="4880"/>
    <n v="19.399999999999999"/>
    <n v="15733.12"/>
    <s v="Cancelled"/>
    <x v="4"/>
    <s v="Beauty"/>
    <s v="Corporate"/>
    <n v="36"/>
    <s v="East"/>
    <s v="R023"/>
    <n v="983787.4800000001"/>
    <s v="East"/>
    <s v="Beauty"/>
    <n v="2768"/>
  </r>
  <r>
    <s v="ORD-01493"/>
    <d v="2024-10-01T00:00:00"/>
    <s v="CUST-0197"/>
    <s v="PROD-060"/>
    <s v="R001"/>
    <n v="2"/>
    <n v="190"/>
    <n v="9"/>
    <n v="345.8"/>
    <s v="Completed"/>
    <x v="4"/>
    <s v="Sports"/>
    <s v="Retail"/>
    <n v="55"/>
    <s v="North"/>
    <s v="R001"/>
    <n v="789849.60000000009"/>
    <s v="North"/>
    <s v="Sports"/>
    <n v="147"/>
  </r>
  <r>
    <s v="ORD-01494"/>
    <d v="2024-05-03T00:00:00"/>
    <s v="CUST-0294"/>
    <s v="PROD-045"/>
    <s v="R019"/>
    <n v="1"/>
    <n v="3020"/>
    <n v="3.6"/>
    <n v="2911.28"/>
    <s v="Refunded"/>
    <x v="2"/>
    <s v="Beauty"/>
    <s v="Corporate"/>
    <n v="31"/>
    <s v="East"/>
    <s v="R019"/>
    <n v="971183.52000000014"/>
    <s v="East"/>
    <s v="Beauty"/>
    <n v="1626"/>
  </r>
  <r>
    <s v="ORD-01495"/>
    <d v="2024-11-05T00:00:00"/>
    <s v="CUST-0281"/>
    <s v="PROD-046"/>
    <s v="R019"/>
    <n v="2"/>
    <n v="4880"/>
    <n v="2"/>
    <n v="9564.7999999999993"/>
    <s v="Cancelled"/>
    <x v="4"/>
    <s v="Beauty"/>
    <s v="Corporate"/>
    <n v="57"/>
    <s v="East"/>
    <s v="R019"/>
    <n v="971183.52000000014"/>
    <s v="East"/>
    <s v="Beauty"/>
    <n v="2768"/>
  </r>
  <r>
    <s v="ORD-01496"/>
    <d v="2024-01-28T00:00:00"/>
    <s v="CUST-0130"/>
    <s v="PROD-058"/>
    <s v="R027"/>
    <n v="4"/>
    <n v="2400"/>
    <n v="11.5"/>
    <n v="8496"/>
    <s v="Completed"/>
    <x v="4"/>
    <s v="Sports"/>
    <s v="Corporate"/>
    <n v="41"/>
    <s v="West"/>
    <s v="R027"/>
    <n v="917092.61999999965"/>
    <s v="West"/>
    <s v="Sports"/>
    <n v="974"/>
  </r>
  <r>
    <s v="ORD-01497"/>
    <d v="2024-03-06T00:00:00"/>
    <s v="CUST-0097"/>
    <s v="PROD-050"/>
    <s v="R002"/>
    <n v="2"/>
    <n v="6080"/>
    <n v="0.5"/>
    <n v="12099.2"/>
    <s v="Cancelled"/>
    <x v="3"/>
    <s v="Beauty"/>
    <s v="Retail"/>
    <n v="65"/>
    <s v="North"/>
    <s v="R002"/>
    <n v="980063.65999999968"/>
    <s v="North"/>
    <s v="Beauty"/>
    <n v="2617"/>
  </r>
  <r>
    <s v="ORD-01498"/>
    <d v="2024-04-02T00:00:00"/>
    <s v="CUST-0148"/>
    <s v="PROD-023"/>
    <s v="R023"/>
    <n v="7"/>
    <n v="2380"/>
    <n v="12.3"/>
    <n v="14610.82"/>
    <s v="Completed"/>
    <x v="1"/>
    <s v="Grocery"/>
    <s v="Retail"/>
    <n v="32"/>
    <s v="East"/>
    <s v="R023"/>
    <n v="983787.4800000001"/>
    <s v="East"/>
    <s v="Grocery"/>
    <n v="1182"/>
  </r>
  <r>
    <s v="ORD-01499"/>
    <d v="2024-08-05T00:00:00"/>
    <s v="CUST-0102"/>
    <s v="PROD-041"/>
    <s v="R001"/>
    <n v="10"/>
    <n v="1540"/>
    <n v="20.6"/>
    <n v="12227.6"/>
    <s v="Completed"/>
    <x v="1"/>
    <s v="Beauty"/>
    <s v="SMB"/>
    <n v="62"/>
    <s v="North"/>
    <s v="R001"/>
    <n v="789849.60000000009"/>
    <s v="North"/>
    <s v="Beauty"/>
    <n v="647"/>
  </r>
  <r>
    <s v="ORD-01500"/>
    <d v="2024-08-16T00:00:00"/>
    <s v="CUST-0265"/>
    <s v="PROD-004"/>
    <s v="R028"/>
    <n v="7"/>
    <n v="3870"/>
    <n v="6.1"/>
    <n v="25437.51"/>
    <s v="Completed"/>
    <x v="1"/>
    <s v="Electronics"/>
    <s v="Retail"/>
    <n v="49"/>
    <s v="West"/>
    <s v="R028"/>
    <n v="880468.05"/>
    <s v="West"/>
    <s v="Electronics"/>
    <n v="1559"/>
  </r>
  <r>
    <s v="ORD-01501"/>
    <d v="2024-04-01T00:00:00"/>
    <s v="CUST-0073"/>
    <s v="PROD-032"/>
    <s v="R021"/>
    <n v="3"/>
    <n v="370"/>
    <n v="13.7"/>
    <n v="957.93"/>
    <s v="Completed"/>
    <x v="0"/>
    <s v="Home"/>
    <s v="Corporate"/>
    <n v="40"/>
    <s v="East"/>
    <s v="R021"/>
    <n v="761507.17000000027"/>
    <s v="East"/>
    <s v="Home"/>
    <n v="288"/>
  </r>
  <r>
    <s v="ORD-01502"/>
    <d v="2024-02-06T00:00:00"/>
    <s v="CUST-0070"/>
    <s v="PROD-060"/>
    <s v="R027"/>
    <n v="8"/>
    <n v="190"/>
    <n v="0.2"/>
    <n v="1516.96"/>
    <s v="Completed"/>
    <x v="3"/>
    <s v="Sports"/>
    <s v="Retail"/>
    <n v="42"/>
    <s v="West"/>
    <s v="R027"/>
    <n v="917092.61999999965"/>
    <s v="West"/>
    <s v="Sports"/>
    <n v="147"/>
  </r>
  <r>
    <s v="ORD-01503"/>
    <d v="2024-07-28T00:00:00"/>
    <s v="CUST-0202"/>
    <s v="PROD-007"/>
    <s v="R011"/>
    <n v="6"/>
    <n v="1430"/>
    <n v="0.1"/>
    <n v="8571.42"/>
    <s v="Completed"/>
    <x v="1"/>
    <s v="Electronics"/>
    <s v="Retail"/>
    <n v="39"/>
    <s v="South"/>
    <s v="R011"/>
    <n v="735207.75999999989"/>
    <s v="South"/>
    <s v="Electronics"/>
    <n v="861"/>
  </r>
  <r>
    <s v="ORD-01504"/>
    <d v="2024-02-24T00:00:00"/>
    <s v="CUST-0240"/>
    <s v="PROD-053"/>
    <s v="R020"/>
    <n v="4"/>
    <n v="470"/>
    <n v="3"/>
    <n v="1823.6"/>
    <s v="Completed"/>
    <x v="1"/>
    <s v="Sports"/>
    <s v="Corporate"/>
    <n v="35"/>
    <s v="East"/>
    <s v="R020"/>
    <n v="906107.71000000008"/>
    <s v="East"/>
    <s v="Sports"/>
    <n v="302"/>
  </r>
  <r>
    <s v="ORD-01505"/>
    <d v="2024-06-03T00:00:00"/>
    <s v="CUST-0163"/>
    <s v="PROD-018"/>
    <s v="R004"/>
    <n v="4"/>
    <n v="3560"/>
    <n v="1.1000000000000001"/>
    <n v="14083.36"/>
    <s v="Completed"/>
    <x v="0"/>
    <s v="Apparel"/>
    <s v="Retail"/>
    <n v="49"/>
    <s v="North"/>
    <s v="R004"/>
    <n v="589026.2899999998"/>
    <s v="North"/>
    <s v="Apparel"/>
    <n v="2629"/>
  </r>
  <r>
    <s v="ORD-01506"/>
    <d v="2024-08-17T00:00:00"/>
    <s v="CUST-0238"/>
    <s v="PROD-046"/>
    <s v="R012"/>
    <n v="5"/>
    <n v="4880"/>
    <n v="17"/>
    <n v="20252"/>
    <s v="Completed"/>
    <x v="2"/>
    <s v="Beauty"/>
    <s v="Retail"/>
    <n v="49"/>
    <s v="South"/>
    <s v="R012"/>
    <n v="901394.32000000007"/>
    <s v="South"/>
    <s v="Beauty"/>
    <n v="2768"/>
  </r>
  <r>
    <s v="ORD-01507"/>
    <d v="2024-07-10T00:00:00"/>
    <s v="CUST-0196"/>
    <s v="PROD-003"/>
    <s v="R009"/>
    <n v="9"/>
    <n v="3570"/>
    <n v="12"/>
    <n v="28274.400000000001"/>
    <s v="Completed"/>
    <x v="1"/>
    <s v="Electronics"/>
    <s v="Retail"/>
    <n v="26"/>
    <s v="South"/>
    <s v="R009"/>
    <n v="914554.71999999986"/>
    <s v="South"/>
    <s v="Electronics"/>
    <n v="1665"/>
  </r>
  <r>
    <s v="ORD-01508"/>
    <d v="2024-03-19T00:00:00"/>
    <s v="CUST-0220"/>
    <s v="PROD-051"/>
    <s v="R025"/>
    <n v="6"/>
    <n v="3450"/>
    <n v="22.7"/>
    <n v="16001.1"/>
    <s v="Cancelled"/>
    <x v="1"/>
    <s v="Sports"/>
    <s v="Retail"/>
    <n v="34"/>
    <s v="West"/>
    <s v="R025"/>
    <n v="901298.89"/>
    <s v="West"/>
    <s v="Sports"/>
    <n v="2467"/>
  </r>
  <r>
    <s v="ORD-01509"/>
    <d v="2024-06-13T00:00:00"/>
    <s v="CUST-0142"/>
    <s v="PROD-040"/>
    <s v="R002"/>
    <n v="10"/>
    <n v="1080"/>
    <n v="27.4"/>
    <n v="7840.8"/>
    <s v="Completed"/>
    <x v="1"/>
    <s v="Home"/>
    <s v="Corporate"/>
    <n v="55"/>
    <s v="North"/>
    <s v="R002"/>
    <n v="980063.65999999968"/>
    <s v="North"/>
    <s v="Home"/>
    <n v="519"/>
  </r>
  <r>
    <s v="ORD-01510"/>
    <d v="2024-11-09T00:00:00"/>
    <s v="CUST-0217"/>
    <s v="PROD-041"/>
    <s v="R025"/>
    <n v="6"/>
    <n v="1540"/>
    <n v="17.100000000000001"/>
    <n v="7659.96"/>
    <s v="Completed"/>
    <x v="0"/>
    <s v="Beauty"/>
    <s v="SMB"/>
    <n v="59"/>
    <s v="West"/>
    <s v="R025"/>
    <n v="901298.89"/>
    <s v="West"/>
    <s v="Beauty"/>
    <n v="647"/>
  </r>
  <r>
    <s v="ORD-01511"/>
    <d v="2024-09-21T00:00:00"/>
    <s v="CUST-9582"/>
    <s v="PROD-015"/>
    <s v="R013"/>
    <n v="6"/>
    <n v="2720"/>
    <n v="28.1"/>
    <n v="11734.08"/>
    <s v="Completed"/>
    <x v="3"/>
    <s v="Apparel"/>
    <e v="#N/A"/>
    <e v="#N/A"/>
    <s v="South"/>
    <s v="R013"/>
    <n v="811524.37999999989"/>
    <s v="South"/>
    <s v="Apparel"/>
    <n v="1962"/>
  </r>
  <r>
    <s v="ORD-01512"/>
    <d v="2024-10-04T00:00:00"/>
    <s v="CUST-0267"/>
    <s v="PROD-034"/>
    <s v="R005"/>
    <n v="2"/>
    <n v="5080"/>
    <n v="11.1"/>
    <n v="9032.24"/>
    <s v="Completed"/>
    <x v="5"/>
    <s v="Home"/>
    <s v="Retail"/>
    <n v="27"/>
    <s v="North"/>
    <s v="R005"/>
    <n v="782445.33"/>
    <s v="North"/>
    <s v="Home"/>
    <n v="2459"/>
  </r>
  <r>
    <s v="ORD-01513"/>
    <d v="2024-02-07T00:00:00"/>
    <s v="CUST-9565"/>
    <s v="PROD-016"/>
    <s v="R008"/>
    <n v="5"/>
    <n v="620"/>
    <n v="10.9"/>
    <n v="2762.1"/>
    <s v="Pending"/>
    <x v="1"/>
    <s v="Apparel"/>
    <e v="#N/A"/>
    <e v="#N/A"/>
    <s v="North"/>
    <s v="R008"/>
    <n v="861553.33"/>
    <s v="North"/>
    <s v="Apparel"/>
    <n v="396"/>
  </r>
  <r>
    <s v="ORD-01514"/>
    <d v="2024-03-26T00:00:00"/>
    <s v="CUST-0051"/>
    <s v="PROD-019"/>
    <s v="R003"/>
    <n v="3"/>
    <n v="2480"/>
    <n v="5"/>
    <n v="7068"/>
    <s v="Completed"/>
    <x v="0"/>
    <s v="Apparel"/>
    <s v="SMB"/>
    <n v="54"/>
    <s v="North"/>
    <s v="R003"/>
    <n v="986692.91"/>
    <s v="North"/>
    <s v="Apparel"/>
    <n v="1173"/>
  </r>
  <r>
    <s v="ORD-01515"/>
    <d v="2024-09-02T00:00:00"/>
    <s v="CUST-0075"/>
    <s v="PROD-054"/>
    <s v="R005"/>
    <n v="9"/>
    <n v="1010"/>
    <n v="21.9"/>
    <n v="7099.29"/>
    <s v="Completed"/>
    <x v="3"/>
    <s v="Sports"/>
    <s v="Corporate"/>
    <n v="55"/>
    <s v="North"/>
    <s v="R005"/>
    <n v="782445.33"/>
    <s v="North"/>
    <s v="Sports"/>
    <n v="516"/>
  </r>
  <r>
    <s v="ORD-01516"/>
    <d v="2024-09-15T00:00:00"/>
    <s v="CUST-0106"/>
    <s v="PROD-040"/>
    <s v="R004"/>
    <n v="2"/>
    <n v="1080"/>
    <n v="8.5"/>
    <n v="1976.4"/>
    <s v="Completed"/>
    <x v="0"/>
    <s v="Home"/>
    <s v="Retail"/>
    <n v="22"/>
    <s v="North"/>
    <s v="R004"/>
    <n v="589026.2899999998"/>
    <s v="North"/>
    <s v="Home"/>
    <n v="519"/>
  </r>
  <r>
    <s v="ORD-01517"/>
    <d v="2024-02-03T00:00:00"/>
    <s v="CUST-0053"/>
    <s v="PROD-053"/>
    <s v="R025"/>
    <n v="5"/>
    <n v="470"/>
    <n v="8"/>
    <n v="2162"/>
    <s v="Completed"/>
    <x v="2"/>
    <s v="Sports"/>
    <s v="Retail"/>
    <n v="53"/>
    <s v="West"/>
    <s v="R025"/>
    <n v="901298.89"/>
    <s v="West"/>
    <s v="Sports"/>
    <n v="302"/>
  </r>
  <r>
    <s v="ORD-01518"/>
    <d v="2024-03-24T00:00:00"/>
    <s v="CUST-0042"/>
    <s v="PROD-006"/>
    <s v="R020"/>
    <n v="9"/>
    <n v="3970"/>
    <n v="18.5"/>
    <n v="29119.95"/>
    <s v="Completed"/>
    <x v="0"/>
    <s v="Electronics"/>
    <s v="Retail"/>
    <n v="25"/>
    <s v="East"/>
    <s v="R020"/>
    <n v="906107.71000000008"/>
    <s v="East"/>
    <s v="Electronics"/>
    <n v="2865"/>
  </r>
  <r>
    <s v="ORD-01519"/>
    <d v="2024-11-18T00:00:00"/>
    <s v="CUST-0120"/>
    <s v="PROD-044"/>
    <s v="R010"/>
    <n v="9"/>
    <n v="1650"/>
    <n v="19.5"/>
    <n v="11954.25"/>
    <s v="Completed"/>
    <x v="3"/>
    <s v="Beauty"/>
    <s v="Retail"/>
    <n v="29"/>
    <s v="South"/>
    <s v="R010"/>
    <n v="880345.20000000007"/>
    <s v="South"/>
    <s v="Beauty"/>
    <n v="1222"/>
  </r>
  <r>
    <s v="ORD-01520"/>
    <d v="2024-03-13T00:00:00"/>
    <s v="CUST-0166"/>
    <s v="PROD-043"/>
    <s v="R006"/>
    <n v="9"/>
    <n v="3350"/>
    <n v="4.0999999999999996"/>
    <n v="28913.85"/>
    <s v="Completed"/>
    <x v="5"/>
    <s v="Beauty"/>
    <s v="Retail"/>
    <n v="31"/>
    <s v="North"/>
    <s v="R006"/>
    <n v="1138648.73"/>
    <s v="North"/>
    <s v="Beauty"/>
    <n v="1728"/>
  </r>
  <r>
    <s v="ORD-01521"/>
    <d v="2024-02-20T00:00:00"/>
    <s v="CUST-0175"/>
    <s v="PROD-006"/>
    <s v="R023"/>
    <n v="7"/>
    <n v="3970"/>
    <n v="15.6"/>
    <n v="23454.76"/>
    <s v="Completed"/>
    <x v="2"/>
    <s v="Electronics"/>
    <s v="Corporate"/>
    <n v="55"/>
    <s v="East"/>
    <s v="R023"/>
    <n v="983787.4800000001"/>
    <s v="East"/>
    <s v="Electronics"/>
    <n v="2865"/>
  </r>
  <r>
    <s v="ORD-01522"/>
    <d v="2024-06-11T00:00:00"/>
    <s v="CUST-0001"/>
    <s v="PROD-027"/>
    <s v="R018"/>
    <n v="7"/>
    <n v="3780"/>
    <n v="18.7"/>
    <n v="21511.98"/>
    <s v="Completed"/>
    <x v="0"/>
    <s v="Grocery"/>
    <s v="Retail"/>
    <n v="36"/>
    <s v="East"/>
    <s v="R018"/>
    <n v="1112289.6400000001"/>
    <s v="East"/>
    <s v="Grocery"/>
    <n v="2436"/>
  </r>
  <r>
    <s v="ORD-01523"/>
    <d v="2024-11-29T00:00:00"/>
    <s v="CUST-0238"/>
    <s v="PROD-020"/>
    <s v="R013"/>
    <n v="4"/>
    <n v="820"/>
    <n v="18.8"/>
    <n v="2663.36"/>
    <s v="Cancelled"/>
    <x v="2"/>
    <s v="Apparel"/>
    <s v="Retail"/>
    <n v="49"/>
    <s v="South"/>
    <s v="R013"/>
    <n v="811524.37999999989"/>
    <s v="South"/>
    <s v="Apparel"/>
    <n v="391"/>
  </r>
  <r>
    <s v="ORD-01524"/>
    <d v="2024-11-04T00:00:00"/>
    <s v="CUST-0279"/>
    <s v="PROD-044"/>
    <s v="R022"/>
    <n v="1"/>
    <n v="1650"/>
    <n v="18.8"/>
    <n v="1339.8"/>
    <s v="Cancelled"/>
    <x v="3"/>
    <s v="Beauty"/>
    <s v="Retail"/>
    <n v="56"/>
    <s v="East"/>
    <s v="R022"/>
    <n v="1069570.5400000003"/>
    <s v="East"/>
    <s v="Beauty"/>
    <n v="1222"/>
  </r>
  <r>
    <s v="ORD-01525"/>
    <d v="2024-04-15T00:00:00"/>
    <s v="CUST-0042"/>
    <s v="PROD-027"/>
    <s v="R021"/>
    <n v="2"/>
    <n v="3780"/>
    <n v="1"/>
    <n v="7484.4"/>
    <s v="Refunded"/>
    <x v="0"/>
    <s v="Grocery"/>
    <s v="Retail"/>
    <n v="25"/>
    <s v="East"/>
    <s v="R021"/>
    <n v="761507.17000000027"/>
    <s v="East"/>
    <s v="Grocery"/>
    <n v="2436"/>
  </r>
  <r>
    <s v="ORD-01526"/>
    <d v="2024-05-05T00:00:00"/>
    <s v="CUST-0137"/>
    <s v="PROD-029"/>
    <s v="R027"/>
    <n v="5"/>
    <n v="2210"/>
    <n v="16.600000000000001"/>
    <n v="9215.7000000000007"/>
    <s v="Completed"/>
    <x v="3"/>
    <s v="Grocery"/>
    <s v="Retail"/>
    <n v="41"/>
    <s v="West"/>
    <s v="R027"/>
    <n v="917092.61999999965"/>
    <s v="West"/>
    <s v="Grocery"/>
    <n v="1010"/>
  </r>
  <r>
    <s v="ORD-01527"/>
    <d v="2024-07-14T00:00:00"/>
    <s v="CUST-0160"/>
    <s v="PROD-056"/>
    <s v="R010"/>
    <n v="10"/>
    <n v="6940"/>
    <n v="10.6"/>
    <n v="62043.6"/>
    <s v="Completed"/>
    <x v="5"/>
    <s v="Sports"/>
    <s v="Retail"/>
    <n v="27"/>
    <s v="South"/>
    <s v="R010"/>
    <n v="880345.20000000007"/>
    <s v="South"/>
    <s v="Sports"/>
    <n v="2827"/>
  </r>
  <r>
    <s v="ORD-01528"/>
    <d v="2024-06-11T00:00:00"/>
    <s v="CUST-0102"/>
    <s v="PROD-042"/>
    <s v="R005"/>
    <n v="8"/>
    <n v="2290"/>
    <n v="12.2"/>
    <n v="16084.96"/>
    <s v="Completed"/>
    <x v="1"/>
    <s v="Beauty"/>
    <s v="SMB"/>
    <n v="62"/>
    <s v="North"/>
    <s v="R005"/>
    <n v="782445.33"/>
    <s v="North"/>
    <s v="Beauty"/>
    <n v="1219"/>
  </r>
  <r>
    <s v="ORD-01529"/>
    <d v="2024-08-25T00:00:00"/>
    <s v="CUST-0133"/>
    <s v="PROD-033"/>
    <s v="R025"/>
    <n v="5"/>
    <n v="2030"/>
    <n v="23.8"/>
    <n v="7734.3"/>
    <s v="Cancelled"/>
    <x v="1"/>
    <s v="Home"/>
    <s v="Retail"/>
    <n v="26"/>
    <s v="West"/>
    <s v="R025"/>
    <n v="901298.89"/>
    <s v="West"/>
    <s v="Home"/>
    <n v="1143"/>
  </r>
  <r>
    <s v="ORD-01530"/>
    <d v="2024-09-11T00:00:00"/>
    <s v="CUST-0080"/>
    <s v="PROD-006"/>
    <s v="R029"/>
    <n v="3"/>
    <n v="3970"/>
    <n v="7.7"/>
    <n v="10992.93"/>
    <s v="Completed"/>
    <x v="0"/>
    <s v="Electronics"/>
    <s v="SMB"/>
    <n v="30"/>
    <s v="West"/>
    <s v="R029"/>
    <n v="1016696.8000000002"/>
    <s v="West"/>
    <s v="Electronics"/>
    <n v="2865"/>
  </r>
  <r>
    <s v="ORD-01821"/>
    <d v="2024-07-08T00:00:00"/>
    <s v="CUST-0299"/>
    <s v="PROD-020"/>
    <s v="R016"/>
    <n v="1"/>
    <n v="820"/>
    <n v="5.4"/>
    <n v="775.72"/>
    <s v="Completed"/>
    <x v="3"/>
    <s v="Apparel"/>
    <s v="Corporate"/>
    <n v="51"/>
    <s v="South"/>
    <s v="R016"/>
    <n v="814563.7100000002"/>
    <s v="South"/>
    <s v="Apparel"/>
    <n v="391"/>
  </r>
  <r>
    <s v="ORD-01532"/>
    <d v="2024-06-29T00:00:00"/>
    <s v="CUST-0078"/>
    <s v="PROD-004"/>
    <s v="R025"/>
    <n v="3"/>
    <n v="3870"/>
    <n v="1.9"/>
    <n v="11389.41"/>
    <s v="Completed"/>
    <x v="2"/>
    <s v="Electronics"/>
    <s v="Retail"/>
    <n v="31"/>
    <s v="West"/>
    <s v="R025"/>
    <n v="901298.89"/>
    <s v="West"/>
    <s v="Electronics"/>
    <n v="1559"/>
  </r>
  <r>
    <s v="ORD-01533"/>
    <d v="2024-01-05T00:00:00"/>
    <s v="CUST-0251"/>
    <s v="PROD-030"/>
    <s v="R022"/>
    <n v="6"/>
    <n v="970"/>
    <n v="27.1"/>
    <n v="4242.78"/>
    <s v="Completed"/>
    <x v="3"/>
    <s v="Grocery"/>
    <s v="Retail"/>
    <n v="44"/>
    <s v="East"/>
    <s v="R022"/>
    <n v="1069570.5400000003"/>
    <s v="East"/>
    <s v="Grocery"/>
    <n v="434"/>
  </r>
  <r>
    <s v="ORD-01534"/>
    <d v="2024-10-02T00:00:00"/>
    <s v="CUST-0191"/>
    <s v="PROD-046"/>
    <s v="R025"/>
    <n v="1"/>
    <n v="4880"/>
    <n v="26.8"/>
    <n v="3572.16"/>
    <s v="Completed"/>
    <x v="5"/>
    <s v="Beauty"/>
    <s v="SMB"/>
    <n v="43"/>
    <s v="West"/>
    <s v="R025"/>
    <n v="901298.89"/>
    <s v="West"/>
    <s v="Beauty"/>
    <n v="2768"/>
  </r>
  <r>
    <s v="ORD-01535"/>
    <d v="2024-02-15T00:00:00"/>
    <s v="CUST-0130"/>
    <s v="PROD-022"/>
    <s v="R023"/>
    <n v="1"/>
    <n v="2270"/>
    <n v="22.2"/>
    <n v="1766.06"/>
    <s v="Completed"/>
    <x v="4"/>
    <s v="Grocery"/>
    <s v="Corporate"/>
    <n v="41"/>
    <s v="East"/>
    <s v="R023"/>
    <n v="983787.4800000001"/>
    <s v="East"/>
    <s v="Grocery"/>
    <n v="1412"/>
  </r>
  <r>
    <s v="ORD-01536"/>
    <d v="2024-03-25T00:00:00"/>
    <s v="CUST-0056"/>
    <s v="PROD-047"/>
    <s v="R026"/>
    <n v="10"/>
    <n v="3450"/>
    <n v="21.9"/>
    <n v="26944.5"/>
    <s v="Completed"/>
    <x v="4"/>
    <s v="Beauty"/>
    <s v="SMB"/>
    <n v="46"/>
    <s v="West"/>
    <s v="R026"/>
    <n v="576305.08000000019"/>
    <s v="West"/>
    <s v="Beauty"/>
    <n v="2420"/>
  </r>
  <r>
    <s v="ORD-01537"/>
    <d v="2024-11-20T00:00:00"/>
    <s v="CUST-0185"/>
    <s v="PROD-022"/>
    <s v="R011"/>
    <n v="3"/>
    <n v="2270"/>
    <n v="19.100000000000001"/>
    <n v="5509.29"/>
    <s v="Cancelled"/>
    <x v="5"/>
    <s v="Grocery"/>
    <s v="SMB"/>
    <n v="43"/>
    <s v="South"/>
    <s v="R011"/>
    <n v="735207.75999999989"/>
    <s v="South"/>
    <s v="Grocery"/>
    <n v="1412"/>
  </r>
  <r>
    <s v="ORD-01538"/>
    <d v="2024-03-09T00:00:00"/>
    <s v="CUST-0195"/>
    <s v="PROD-029"/>
    <s v="R030"/>
    <n v="10"/>
    <n v="2210"/>
    <n v="22.3"/>
    <n v="17171.7"/>
    <s v="Completed"/>
    <x v="4"/>
    <s v="Grocery"/>
    <s v="Retail"/>
    <n v="28"/>
    <s v="West"/>
    <s v="R030"/>
    <n v="747624.36999999988"/>
    <s v="West"/>
    <s v="Grocery"/>
    <n v="1010"/>
  </r>
  <r>
    <s v="ORD-01539"/>
    <d v="2024-06-22T00:00:00"/>
    <s v="CUST-0067"/>
    <s v="PROD-033"/>
    <s v="R011"/>
    <n v="9"/>
    <n v="2030"/>
    <n v="24.8"/>
    <n v="13739.04"/>
    <s v="Completed"/>
    <x v="2"/>
    <s v="Home"/>
    <s v="SMB"/>
    <n v="59"/>
    <s v="South"/>
    <s v="R011"/>
    <n v="735207.75999999989"/>
    <s v="South"/>
    <s v="Home"/>
    <n v="1143"/>
  </r>
  <r>
    <s v="ORD-01540"/>
    <d v="2024-03-29T00:00:00"/>
    <s v="CUST-0149"/>
    <s v="PROD-043"/>
    <s v="R023"/>
    <n v="5"/>
    <n v="3350"/>
    <n v="18.2"/>
    <n v="13701.5"/>
    <s v="Completed"/>
    <x v="5"/>
    <s v="Beauty"/>
    <s v="Retail"/>
    <n v="44"/>
    <s v="East"/>
    <s v="R023"/>
    <n v="983787.4800000001"/>
    <s v="East"/>
    <s v="Beauty"/>
    <n v="1728"/>
  </r>
  <r>
    <s v="ORD-01541"/>
    <d v="2024-03-07T00:00:00"/>
    <s v="CUST-0268"/>
    <s v="PROD-013"/>
    <s v="R008"/>
    <n v="7"/>
    <n v="3640"/>
    <n v="14.4"/>
    <n v="21810.880000000001"/>
    <s v="Completed"/>
    <x v="1"/>
    <s v="Apparel"/>
    <s v="Retail"/>
    <n v="35"/>
    <s v="North"/>
    <s v="R008"/>
    <n v="861553.33"/>
    <s v="North"/>
    <s v="Apparel"/>
    <n v="2611"/>
  </r>
  <r>
    <s v="ORD-01542"/>
    <d v="2024-04-03T00:00:00"/>
    <s v="CUST-0126"/>
    <s v="PROD-051"/>
    <s v="R018"/>
    <n v="9"/>
    <n v="3450"/>
    <n v="20.100000000000001"/>
    <n v="24808.95"/>
    <s v="Completed"/>
    <x v="3"/>
    <s v="Sports"/>
    <s v="Retail"/>
    <n v="37"/>
    <s v="East"/>
    <s v="R018"/>
    <n v="1112289.6400000001"/>
    <s v="East"/>
    <s v="Sports"/>
    <n v="2467"/>
  </r>
  <r>
    <s v="ORD-01543"/>
    <d v="2024-05-31T00:00:00"/>
    <s v="CUST-0017"/>
    <s v="PROD-047"/>
    <s v="R003"/>
    <n v="6"/>
    <n v="3450"/>
    <n v="19.899999999999999"/>
    <n v="16580.7"/>
    <s v="Pending"/>
    <x v="2"/>
    <s v="Beauty"/>
    <s v="SMB"/>
    <n v="38"/>
    <s v="North"/>
    <s v="R003"/>
    <n v="986692.91"/>
    <s v="North"/>
    <s v="Beauty"/>
    <n v="2420"/>
  </r>
  <r>
    <s v="ORD-01544"/>
    <d v="2024-11-03T00:00:00"/>
    <s v="CUST-0250"/>
    <s v="PROD-042"/>
    <s v="R022"/>
    <n v="4"/>
    <n v="2290"/>
    <n v="4.8"/>
    <n v="8720.32"/>
    <s v="Pending"/>
    <x v="2"/>
    <s v="Beauty"/>
    <s v="Retail"/>
    <n v="31"/>
    <s v="East"/>
    <s v="R022"/>
    <n v="1069570.5400000003"/>
    <s v="East"/>
    <s v="Beauty"/>
    <n v="1219"/>
  </r>
  <r>
    <s v="ORD-01545"/>
    <d v="2024-07-06T00:00:00"/>
    <s v="CUST-0245"/>
    <s v="PROD-057"/>
    <s v="R010"/>
    <n v="9"/>
    <n v="960"/>
    <n v="2.4"/>
    <n v="8432.64"/>
    <s v="Completed"/>
    <x v="5"/>
    <s v="Sports"/>
    <s v="Retail"/>
    <n v="65"/>
    <s v="South"/>
    <s v="R010"/>
    <n v="880345.20000000007"/>
    <s v="South"/>
    <s v="Sports"/>
    <n v="705"/>
  </r>
  <r>
    <s v="ORD-01546"/>
    <d v="2024-07-16T00:00:00"/>
    <s v="CUST-0016"/>
    <s v="PROD-039"/>
    <s v="R025"/>
    <n v="9"/>
    <n v="4610"/>
    <n v="21.3"/>
    <n v="32652.63"/>
    <s v="Completed"/>
    <x v="2"/>
    <s v="Home"/>
    <s v="SMB"/>
    <n v="26"/>
    <s v="West"/>
    <s v="R025"/>
    <n v="901298.89"/>
    <s v="West"/>
    <s v="Home"/>
    <n v="1850"/>
  </r>
  <r>
    <s v="ORD-01547"/>
    <d v="2024-08-10T00:00:00"/>
    <s v="CUST-0063"/>
    <s v="PROD-028"/>
    <s v="R003"/>
    <n v="1"/>
    <n v="3660"/>
    <n v="15.6"/>
    <n v="3089.04"/>
    <s v="Completed"/>
    <x v="3"/>
    <s v="Grocery"/>
    <s v="SMB"/>
    <n v="53"/>
    <s v="North"/>
    <s v="R003"/>
    <n v="986692.91"/>
    <s v="North"/>
    <s v="Grocery"/>
    <n v="2214"/>
  </r>
  <r>
    <s v="ORD-01548"/>
    <d v="2024-12-27T00:00:00"/>
    <s v="CUST-0200"/>
    <s v="PROD-008"/>
    <s v="R012"/>
    <n v="5"/>
    <n v="2660"/>
    <n v="20.399999999999999"/>
    <n v="10586.8"/>
    <s v="Completed"/>
    <x v="5"/>
    <s v="Electronics"/>
    <s v="Corporate"/>
    <n v="46"/>
    <s v="South"/>
    <s v="R012"/>
    <n v="901394.32000000007"/>
    <s v="South"/>
    <s v="Electronics"/>
    <n v="1259"/>
  </r>
  <r>
    <s v="ORD-01549"/>
    <d v="2024-04-19T00:00:00"/>
    <s v="CUST-0017"/>
    <s v="PROD-041"/>
    <s v="R026"/>
    <n v="8"/>
    <n v="1540"/>
    <n v="0.5"/>
    <n v="12258.4"/>
    <s v="Completed"/>
    <x v="2"/>
    <s v="Beauty"/>
    <s v="SMB"/>
    <n v="38"/>
    <s v="West"/>
    <s v="R026"/>
    <n v="576305.08000000019"/>
    <s v="West"/>
    <s v="Beauty"/>
    <n v="647"/>
  </r>
  <r>
    <s v="ORD-01550"/>
    <d v="2024-11-25T00:00:00"/>
    <s v="CUST-0264"/>
    <s v="PROD-006"/>
    <s v="R004"/>
    <n v="4"/>
    <n v="3970"/>
    <n v="22.5"/>
    <n v="12307"/>
    <s v="Completed"/>
    <x v="0"/>
    <s v="Electronics"/>
    <s v="Retail"/>
    <n v="59"/>
    <s v="North"/>
    <s v="R004"/>
    <n v="589026.2899999998"/>
    <s v="North"/>
    <s v="Electronics"/>
    <n v="2865"/>
  </r>
  <r>
    <s v="ORD-01551"/>
    <d v="2024-03-17T00:00:00"/>
    <s v="CUST-0102"/>
    <s v="PROD-059"/>
    <s v="R007"/>
    <n v="8"/>
    <n v="3780"/>
    <n v="3.8"/>
    <n v="29090.880000000001"/>
    <s v="Completed"/>
    <x v="1"/>
    <s v="Sports"/>
    <s v="SMB"/>
    <n v="62"/>
    <s v="North"/>
    <s v="R007"/>
    <n v="855749.67999999982"/>
    <s v="North"/>
    <s v="Sports"/>
    <n v="1860"/>
  </r>
  <r>
    <s v="ORD-01552"/>
    <d v="2024-09-15T00:00:00"/>
    <s v="CUST-0092"/>
    <s v="PROD-022"/>
    <s v="R004"/>
    <n v="4"/>
    <n v="2270"/>
    <n v="3.8"/>
    <n v="8734.9599999999991"/>
    <s v="Cancelled"/>
    <x v="4"/>
    <s v="Grocery"/>
    <s v="SMB"/>
    <n v="28"/>
    <s v="North"/>
    <s v="R004"/>
    <n v="589026.2899999998"/>
    <s v="North"/>
    <s v="Grocery"/>
    <n v="1412"/>
  </r>
  <r>
    <s v="ORD-01553"/>
    <d v="2024-01-13T00:00:00"/>
    <s v="CUST-0139"/>
    <s v="PROD-009"/>
    <s v="R009"/>
    <n v="10"/>
    <n v="1220"/>
    <n v="19.5"/>
    <n v="9821"/>
    <s v="Completed"/>
    <x v="5"/>
    <s v="Electronics"/>
    <s v="SMB"/>
    <n v="65"/>
    <s v="South"/>
    <s v="R009"/>
    <n v="914554.71999999986"/>
    <s v="South"/>
    <s v="Electronics"/>
    <n v="517"/>
  </r>
  <r>
    <s v="ORD-01554"/>
    <d v="2024-01-30T00:00:00"/>
    <s v="CUST-0129"/>
    <s v="PROD-043"/>
    <s v="R015"/>
    <n v="10"/>
    <n v="3350"/>
    <n v="7.8"/>
    <n v="30887"/>
    <s v="Completed"/>
    <x v="5"/>
    <s v="Beauty"/>
    <s v="Retail"/>
    <n v="29"/>
    <s v="South"/>
    <s v="R015"/>
    <n v="1091740.1799999997"/>
    <s v="South"/>
    <s v="Beauty"/>
    <n v="1728"/>
  </r>
  <r>
    <s v="ORD-01555"/>
    <d v="2024-03-07T00:00:00"/>
    <s v="CUST-9841"/>
    <s v="PROD-043"/>
    <s v="R030"/>
    <n v="7"/>
    <n v="3350"/>
    <n v="14.5"/>
    <n v="20049.75"/>
    <s v="Completed"/>
    <x v="4"/>
    <s v="Beauty"/>
    <e v="#N/A"/>
    <e v="#N/A"/>
    <s v="West"/>
    <s v="R030"/>
    <n v="747624.36999999988"/>
    <s v="West"/>
    <s v="Beauty"/>
    <n v="1728"/>
  </r>
  <r>
    <s v="ORD-01556"/>
    <d v="2024-05-28T00:00:00"/>
    <s v="CUST-0069"/>
    <s v="PROD-038"/>
    <s v="R014"/>
    <n v="6"/>
    <n v="5490"/>
    <n v="8"/>
    <n v="30304.799999999999"/>
    <s v="Completed"/>
    <x v="1"/>
    <s v="Home"/>
    <s v="Retail"/>
    <n v="51"/>
    <s v="South"/>
    <s v="R014"/>
    <n v="995713.54000000015"/>
    <s v="South"/>
    <s v="Home"/>
    <n v="2549"/>
  </r>
  <r>
    <s v="ORD-01557"/>
    <d v="2024-11-22T00:00:00"/>
    <s v="CUST-0140"/>
    <s v="PROD-055"/>
    <s v="R018"/>
    <n v="3"/>
    <n v="2860"/>
    <n v="19.899999999999999"/>
    <n v="6872.58"/>
    <s v="Completed"/>
    <x v="5"/>
    <s v="Sports"/>
    <s v="SMB"/>
    <n v="39"/>
    <s v="East"/>
    <s v="R018"/>
    <n v="1112289.6400000001"/>
    <s v="East"/>
    <s v="Sports"/>
    <n v="2028"/>
  </r>
  <r>
    <s v="ORD-01558"/>
    <d v="2024-01-04T00:00:00"/>
    <s v="CUST-0138"/>
    <s v="PROD-010"/>
    <s v="R024"/>
    <n v="3"/>
    <n v="2640"/>
    <n v="29.3"/>
    <n v="5599.44"/>
    <s v="Completed"/>
    <x v="1"/>
    <s v="Electronics"/>
    <s v="Retail"/>
    <n v="24"/>
    <s v="West"/>
    <s v="R024"/>
    <n v="819558.58"/>
    <s v="West"/>
    <s v="Electronics"/>
    <n v="1149"/>
  </r>
  <r>
    <s v="ORD-01559"/>
    <d v="2024-04-02T00:00:00"/>
    <s v="CUST-0277"/>
    <s v="PROD-011"/>
    <s v="R029"/>
    <n v="8"/>
    <n v="3450"/>
    <n v="15.2"/>
    <n v="23404.799999999999"/>
    <s v="Cancelled"/>
    <x v="1"/>
    <s v="Apparel"/>
    <s v="Corporate"/>
    <n v="34"/>
    <s v="West"/>
    <s v="R029"/>
    <n v="1016696.8000000002"/>
    <s v="West"/>
    <s v="Apparel"/>
    <n v="1748"/>
  </r>
  <r>
    <s v="ORD-01560"/>
    <d v="2024-02-27T00:00:00"/>
    <s v="CUST-0017"/>
    <s v="PROD-032"/>
    <s v="R025"/>
    <n v="6"/>
    <n v="370"/>
    <n v="7"/>
    <n v="2064.6"/>
    <s v="Completed"/>
    <x v="2"/>
    <s v="Home"/>
    <s v="SMB"/>
    <n v="38"/>
    <s v="West"/>
    <s v="R025"/>
    <n v="901298.89"/>
    <s v="West"/>
    <s v="Home"/>
    <n v="288"/>
  </r>
  <r>
    <s v="ORD-01561"/>
    <d v="2024-05-27T00:00:00"/>
    <s v="CUST-0170"/>
    <s v="PROD-025"/>
    <s v="R029"/>
    <n v="10"/>
    <n v="4060"/>
    <n v="4.7"/>
    <n v="38691.800000000003"/>
    <s v="Cancelled"/>
    <x v="3"/>
    <s v="Grocery"/>
    <s v="SMB"/>
    <n v="22"/>
    <s v="West"/>
    <s v="R029"/>
    <n v="1016696.8000000002"/>
    <s v="West"/>
    <s v="Grocery"/>
    <n v="2911"/>
  </r>
  <r>
    <s v="ORD-01562"/>
    <d v="2024-05-14T00:00:00"/>
    <s v="CUST-0022"/>
    <s v="PROD-004"/>
    <s v="R024"/>
    <n v="1"/>
    <n v="3870"/>
    <n v="18.2"/>
    <n v="3165.66"/>
    <s v="Pending"/>
    <x v="4"/>
    <s v="Electronics"/>
    <s v="Corporate"/>
    <n v="55"/>
    <s v="West"/>
    <s v="R024"/>
    <n v="819558.58"/>
    <s v="West"/>
    <s v="Electronics"/>
    <n v="1559"/>
  </r>
  <r>
    <s v="ORD-01563"/>
    <d v="2024-04-03T00:00:00"/>
    <s v="CUST-0158"/>
    <s v="PROD-001"/>
    <s v="R006"/>
    <n v="1"/>
    <n v="5330"/>
    <n v="3.9"/>
    <n v="5122.13"/>
    <s v="Refunded"/>
    <x v="0"/>
    <s v="Electronics"/>
    <s v="Corporate"/>
    <n v="42"/>
    <s v="North"/>
    <s v="R006"/>
    <n v="1138648.73"/>
    <s v="North"/>
    <s v="Electronics"/>
    <n v="2405"/>
  </r>
  <r>
    <s v="ORD-01564"/>
    <d v="2024-01-21T00:00:00"/>
    <s v="CUST-0160"/>
    <s v="PROD-032"/>
    <s v="R020"/>
    <n v="8"/>
    <n v="370"/>
    <n v="1.3"/>
    <n v="2921.52"/>
    <s v="Completed"/>
    <x v="5"/>
    <s v="Home"/>
    <s v="Retail"/>
    <n v="27"/>
    <s v="East"/>
    <s v="R020"/>
    <n v="906107.71000000008"/>
    <s v="East"/>
    <s v="Home"/>
    <n v="288"/>
  </r>
  <r>
    <s v="ORD-01565"/>
    <d v="2024-11-26T00:00:00"/>
    <s v="CUST-0009"/>
    <s v="PROD-005"/>
    <s v="R020"/>
    <n v="7"/>
    <n v="300"/>
    <n v="7.1"/>
    <n v="1950.9"/>
    <s v="Completed"/>
    <x v="3"/>
    <s v="Electronics"/>
    <s v="Retail"/>
    <n v="61"/>
    <s v="East"/>
    <s v="R020"/>
    <n v="906107.71000000008"/>
    <s v="East"/>
    <s v="Electronics"/>
    <n v="128"/>
  </r>
  <r>
    <s v="ORD-01566"/>
    <d v="2024-08-04T00:00:00"/>
    <s v="CUST-0151"/>
    <s v="PROD-043"/>
    <s v="R012"/>
    <n v="8"/>
    <n v="3350"/>
    <n v="11.2"/>
    <n v="23798.400000000001"/>
    <s v="Completed"/>
    <x v="3"/>
    <s v="Beauty"/>
    <s v="Retail"/>
    <n v="53"/>
    <s v="South"/>
    <s v="R012"/>
    <n v="901394.32000000007"/>
    <s v="South"/>
    <s v="Beauty"/>
    <n v="1728"/>
  </r>
  <r>
    <s v="ORD-01567"/>
    <d v="2024-08-24T00:00:00"/>
    <s v="CUST-0105"/>
    <s v="PROD-056"/>
    <s v="R009"/>
    <n v="6"/>
    <n v="6940"/>
    <n v="0.3"/>
    <n v="41515.08"/>
    <s v="Completed"/>
    <x v="1"/>
    <s v="Sports"/>
    <s v="SMB"/>
    <n v="51"/>
    <s v="South"/>
    <s v="R009"/>
    <n v="914554.71999999986"/>
    <s v="South"/>
    <s v="Sports"/>
    <n v="2827"/>
  </r>
  <r>
    <s v="ORD-01568"/>
    <d v="2024-07-10T00:00:00"/>
    <s v="CUST-0292"/>
    <s v="PROD-049"/>
    <s v="R008"/>
    <n v="10"/>
    <n v="960"/>
    <n v="9.3000000000000007"/>
    <n v="8707.2000000000007"/>
    <s v="Cancelled"/>
    <x v="4"/>
    <s v="Beauty"/>
    <s v="Retail"/>
    <n v="32"/>
    <s v="North"/>
    <s v="R008"/>
    <n v="861553.33"/>
    <s v="North"/>
    <s v="Beauty"/>
    <n v="675"/>
  </r>
  <r>
    <s v="ORD-01569"/>
    <d v="2024-11-29T00:00:00"/>
    <s v="CUST-0076"/>
    <s v="PROD-021"/>
    <s v="R021"/>
    <n v="10"/>
    <n v="2760"/>
    <n v="17.2"/>
    <n v="22852.799999999999"/>
    <s v="Completed"/>
    <x v="3"/>
    <s v="Grocery"/>
    <s v="Retail"/>
    <n v="38"/>
    <s v="East"/>
    <s v="R021"/>
    <n v="761507.17000000027"/>
    <s v="East"/>
    <s v="Grocery"/>
    <n v="1435"/>
  </r>
  <r>
    <s v="ORD-01570"/>
    <d v="2024-03-07T00:00:00"/>
    <s v="CUST-0152"/>
    <s v="PROD-024"/>
    <s v="R026"/>
    <n v="4"/>
    <n v="2270"/>
    <n v="26.8"/>
    <n v="6646.56"/>
    <s v="Completed"/>
    <x v="4"/>
    <s v="Grocery"/>
    <s v="SMB"/>
    <n v="64"/>
    <s v="West"/>
    <s v="R026"/>
    <n v="576305.08000000019"/>
    <s v="West"/>
    <s v="Grocery"/>
    <n v="1203"/>
  </r>
  <r>
    <s v="ORD-01571"/>
    <d v="2024-02-20T00:00:00"/>
    <s v="CUST-0146"/>
    <s v="PROD-002"/>
    <s v="R021"/>
    <n v="2"/>
    <n v="2600"/>
    <n v="27"/>
    <n v="3796"/>
    <s v="Completed"/>
    <x v="5"/>
    <s v="Electronics"/>
    <s v="Retail"/>
    <n v="22"/>
    <s v="East"/>
    <s v="R021"/>
    <n v="761507.17000000027"/>
    <s v="East"/>
    <s v="Electronics"/>
    <n v="1052"/>
  </r>
  <r>
    <s v="ORD-01572"/>
    <d v="2024-01-13T00:00:00"/>
    <s v="CUST-0127"/>
    <s v="PROD-003"/>
    <s v="R024"/>
    <n v="4"/>
    <n v="3570"/>
    <n v="12.3"/>
    <n v="12523.56"/>
    <s v="Completed"/>
    <x v="4"/>
    <s v="Electronics"/>
    <s v="SMB"/>
    <n v="36"/>
    <s v="West"/>
    <s v="R024"/>
    <n v="819558.58"/>
    <s v="West"/>
    <s v="Electronics"/>
    <n v="1665"/>
  </r>
  <r>
    <s v="ORD-01573"/>
    <d v="2024-01-25T00:00:00"/>
    <s v="CUST-0173"/>
    <s v="PROD-034"/>
    <s v="R016"/>
    <n v="5"/>
    <n v="5080"/>
    <n v="1.3"/>
    <n v="25069.8"/>
    <s v="Completed"/>
    <x v="3"/>
    <s v="Home"/>
    <s v="Retail"/>
    <n v="65"/>
    <s v="South"/>
    <s v="R016"/>
    <n v="814563.7100000002"/>
    <s v="South"/>
    <s v="Home"/>
    <n v="2459"/>
  </r>
  <r>
    <s v="ORD-01574"/>
    <d v="2024-02-18T00:00:00"/>
    <s v="CUST-0206"/>
    <s v="PROD-049"/>
    <s v="R016"/>
    <n v="5"/>
    <n v="960"/>
    <n v="25.2"/>
    <n v="3590.4"/>
    <s v="Completed"/>
    <x v="3"/>
    <s v="Beauty"/>
    <s v="Retail"/>
    <n v="40"/>
    <s v="South"/>
    <s v="R016"/>
    <n v="814563.7100000002"/>
    <s v="South"/>
    <s v="Beauty"/>
    <n v="675"/>
  </r>
  <r>
    <s v="ORD-01575"/>
    <d v="2024-11-08T00:00:00"/>
    <s v="CUST-0072"/>
    <s v="PROD-053"/>
    <s v="R010"/>
    <n v="7"/>
    <n v="470"/>
    <n v="21.6"/>
    <n v="2579.36"/>
    <s v="Completed"/>
    <x v="3"/>
    <s v="Sports"/>
    <s v="Corporate"/>
    <n v="62"/>
    <s v="South"/>
    <s v="R010"/>
    <n v="880345.20000000007"/>
    <s v="South"/>
    <s v="Sports"/>
    <n v="302"/>
  </r>
  <r>
    <s v="ORD-01576"/>
    <d v="2024-11-29T00:00:00"/>
    <s v="CUST-0004"/>
    <s v="PROD-009"/>
    <s v="R027"/>
    <n v="4"/>
    <n v="1220"/>
    <n v="12.6"/>
    <n v="4265.12"/>
    <s v="Completed"/>
    <x v="2"/>
    <s v="Electronics"/>
    <s v="Retail"/>
    <n v="53"/>
    <s v="West"/>
    <s v="R027"/>
    <n v="917092.61999999965"/>
    <s v="West"/>
    <s v="Electronics"/>
    <n v="517"/>
  </r>
  <r>
    <s v="ORD-01577"/>
    <d v="2024-01-02T00:00:00"/>
    <s v="CUST-0249"/>
    <s v="PROD-054"/>
    <s v="R008"/>
    <n v="4"/>
    <n v="1010"/>
    <n v="11.3"/>
    <n v="3583.48"/>
    <s v="Completed"/>
    <x v="3"/>
    <s v="Sports"/>
    <s v="Retail"/>
    <n v="44"/>
    <s v="North"/>
    <s v="R008"/>
    <n v="861553.33"/>
    <s v="North"/>
    <s v="Sports"/>
    <n v="516"/>
  </r>
  <r>
    <s v="ORD-01578"/>
    <d v="2024-06-11T00:00:00"/>
    <s v="CUST-0139"/>
    <s v="PROD-028"/>
    <s v="R005"/>
    <n v="4"/>
    <n v="3660"/>
    <n v="7.2"/>
    <n v="13585.92"/>
    <s v="Completed"/>
    <x v="5"/>
    <s v="Grocery"/>
    <s v="SMB"/>
    <n v="65"/>
    <s v="North"/>
    <s v="R005"/>
    <n v="782445.33"/>
    <s v="North"/>
    <s v="Grocery"/>
    <n v="2214"/>
  </r>
  <r>
    <s v="ORD-01579"/>
    <d v="2024-02-23T00:00:00"/>
    <s v="CUST-0019"/>
    <s v="PROD-038"/>
    <s v="R010"/>
    <n v="4"/>
    <n v="5490"/>
    <n v="8"/>
    <n v="20203.2"/>
    <s v="Completed"/>
    <x v="1"/>
    <s v="Home"/>
    <s v="Retail"/>
    <n v="22"/>
    <s v="South"/>
    <s v="R010"/>
    <n v="880345.20000000007"/>
    <s v="South"/>
    <s v="Home"/>
    <n v="2549"/>
  </r>
  <r>
    <s v="ORD-01580"/>
    <d v="2024-12-19T00:00:00"/>
    <s v="CUST-0210"/>
    <s v="PROD-022"/>
    <s v="R003"/>
    <n v="6"/>
    <n v="2270"/>
    <n v="17.100000000000001"/>
    <n v="11290.98"/>
    <s v="Completed"/>
    <x v="0"/>
    <s v="Grocery"/>
    <s v="Corporate"/>
    <n v="48"/>
    <s v="North"/>
    <s v="R003"/>
    <n v="986692.91"/>
    <s v="North"/>
    <s v="Grocery"/>
    <n v="1412"/>
  </r>
  <r>
    <s v="ORD-01581"/>
    <d v="2024-10-23T00:00:00"/>
    <s v="CUST-0168"/>
    <s v="PROD-022"/>
    <s v="R015"/>
    <n v="8"/>
    <n v="2270"/>
    <n v="11.9"/>
    <n v="15998.96"/>
    <s v="Pending"/>
    <x v="0"/>
    <s v="Grocery"/>
    <s v="Retail"/>
    <n v="25"/>
    <s v="South"/>
    <s v="R015"/>
    <n v="1091740.1799999997"/>
    <s v="South"/>
    <s v="Grocery"/>
    <n v="1412"/>
  </r>
  <r>
    <s v="ORD-01582"/>
    <d v="2024-10-27T00:00:00"/>
    <s v="CUST-0094"/>
    <s v="PROD-002"/>
    <s v="R018"/>
    <n v="6"/>
    <n v="2600"/>
    <n v="5.0999999999999996"/>
    <n v="14804.4"/>
    <s v="Completed"/>
    <x v="0"/>
    <s v="Electronics"/>
    <s v="SMB"/>
    <n v="60"/>
    <s v="East"/>
    <s v="R018"/>
    <n v="1112289.6400000001"/>
    <s v="East"/>
    <s v="Electronics"/>
    <n v="1052"/>
  </r>
  <r>
    <s v="ORD-01583"/>
    <d v="2024-04-21T00:00:00"/>
    <s v="CUST-0259"/>
    <s v="PROD-004"/>
    <s v="R027"/>
    <n v="9"/>
    <n v="3870"/>
    <n v="1.8"/>
    <n v="34203.06"/>
    <s v="Cancelled"/>
    <x v="3"/>
    <s v="Electronics"/>
    <s v="Retail"/>
    <n v="34"/>
    <s v="West"/>
    <s v="R027"/>
    <n v="917092.61999999965"/>
    <s v="West"/>
    <s v="Electronics"/>
    <n v="1559"/>
  </r>
  <r>
    <s v="ORD-01584"/>
    <d v="2024-06-16T00:00:00"/>
    <s v="CUST-0150"/>
    <s v="PROD-006"/>
    <s v="R006"/>
    <n v="3"/>
    <n v="3970"/>
    <n v="8.1999999999999993"/>
    <n v="10933.38"/>
    <s v="Completed"/>
    <x v="0"/>
    <s v="Electronics"/>
    <s v="SMB"/>
    <n v="53"/>
    <s v="North"/>
    <s v="R006"/>
    <n v="1138648.73"/>
    <s v="North"/>
    <s v="Electronics"/>
    <n v="2865"/>
  </r>
  <r>
    <s v="ORD-01585"/>
    <d v="2024-05-26T00:00:00"/>
    <s v="CUST-0040"/>
    <s v="PROD-049"/>
    <s v="R028"/>
    <n v="9"/>
    <n v="960"/>
    <n v="21.7"/>
    <n v="6765.12"/>
    <s v="Cancelled"/>
    <x v="1"/>
    <s v="Beauty"/>
    <s v="Retail"/>
    <n v="28"/>
    <s v="West"/>
    <s v="R028"/>
    <n v="880468.05"/>
    <s v="West"/>
    <s v="Beauty"/>
    <n v="675"/>
  </r>
  <r>
    <s v="ORD-01586"/>
    <d v="2024-12-06T00:00:00"/>
    <s v="CUST-0290"/>
    <s v="PROD-052"/>
    <s v="R025"/>
    <n v="3"/>
    <n v="5410"/>
    <n v="20.3"/>
    <n v="12935.31"/>
    <s v="Completed"/>
    <x v="2"/>
    <s v="Sports"/>
    <s v="Retail"/>
    <n v="63"/>
    <s v="West"/>
    <s v="R025"/>
    <n v="901298.89"/>
    <s v="West"/>
    <s v="Sports"/>
    <n v="2265"/>
  </r>
  <r>
    <s v="ORD-01587"/>
    <d v="2024-10-14T00:00:00"/>
    <s v="CUST-0123"/>
    <s v="PROD-011"/>
    <s v="R005"/>
    <n v="3"/>
    <n v="3450"/>
    <n v="11.6"/>
    <n v="9149.4"/>
    <s v="Completed"/>
    <x v="1"/>
    <s v="Apparel"/>
    <s v="Corporate"/>
    <n v="44"/>
    <s v="North"/>
    <s v="R005"/>
    <n v="782445.33"/>
    <s v="North"/>
    <s v="Apparel"/>
    <n v="1748"/>
  </r>
  <r>
    <s v="ORD-01588"/>
    <d v="2024-04-10T00:00:00"/>
    <s v="CUST-0053"/>
    <s v="PROD-045"/>
    <s v="R008"/>
    <n v="2"/>
    <n v="3020"/>
    <n v="20.8"/>
    <n v="4783.68"/>
    <s v="Pending"/>
    <x v="2"/>
    <s v="Beauty"/>
    <s v="Retail"/>
    <n v="53"/>
    <s v="North"/>
    <s v="R008"/>
    <n v="861553.33"/>
    <s v="North"/>
    <s v="Beauty"/>
    <n v="1626"/>
  </r>
  <r>
    <s v="ORD-01589"/>
    <d v="2024-09-28T00:00:00"/>
    <s v="CUST-0179"/>
    <s v="PROD-060"/>
    <s v="R002"/>
    <n v="3"/>
    <n v="190"/>
    <n v="10.7"/>
    <n v="509.01"/>
    <s v="Completed"/>
    <x v="3"/>
    <s v="Sports"/>
    <s v="SMB"/>
    <n v="54"/>
    <s v="North"/>
    <s v="R002"/>
    <n v="980063.65999999968"/>
    <s v="North"/>
    <s v="Sports"/>
    <n v="147"/>
  </r>
  <r>
    <s v="ORD-01590"/>
    <d v="2024-01-03T00:00:00"/>
    <s v="CUST-0006"/>
    <s v="PROD-031"/>
    <s v="R012"/>
    <n v="4"/>
    <n v="3730"/>
    <n v="6.9"/>
    <n v="13890.52"/>
    <s v="Completed"/>
    <x v="0"/>
    <s v="Home"/>
    <s v="SMB"/>
    <n v="44"/>
    <s v="South"/>
    <s v="R012"/>
    <n v="901394.32000000007"/>
    <s v="South"/>
    <s v="Home"/>
    <n v="2135"/>
  </r>
  <r>
    <s v="ORD-01591"/>
    <d v="2024-07-30T00:00:00"/>
    <s v="CUST-0272"/>
    <s v="PROD-051"/>
    <s v="R025"/>
    <n v="9"/>
    <n v="3450"/>
    <n v="22.2"/>
    <n v="24156.9"/>
    <s v="Cancelled"/>
    <x v="3"/>
    <s v="Sports"/>
    <s v="SMB"/>
    <n v="47"/>
    <s v="West"/>
    <s v="R025"/>
    <n v="901298.89"/>
    <s v="West"/>
    <s v="Sports"/>
    <n v="2467"/>
  </r>
  <r>
    <s v="ORD-01592"/>
    <d v="2024-02-14T00:00:00"/>
    <s v="CUST-0274"/>
    <s v="PROD-006"/>
    <s v="R002"/>
    <n v="3"/>
    <n v="3970"/>
    <n v="6.8"/>
    <n v="11100.12"/>
    <s v="Completed"/>
    <x v="4"/>
    <s v="Electronics"/>
    <s v="Corporate"/>
    <n v="36"/>
    <s v="North"/>
    <s v="R002"/>
    <n v="980063.65999999968"/>
    <s v="North"/>
    <s v="Electronics"/>
    <n v="2865"/>
  </r>
  <r>
    <s v="ORD-01593"/>
    <d v="2024-06-19T00:00:00"/>
    <s v="CUST-0262"/>
    <s v="PROD-035"/>
    <s v="R022"/>
    <n v="3"/>
    <n v="1090"/>
    <n v="23.7"/>
    <n v="2495.0100000000002"/>
    <s v="Completed"/>
    <x v="3"/>
    <s v="Home"/>
    <s v="Retail"/>
    <n v="52"/>
    <s v="East"/>
    <s v="R022"/>
    <n v="1069570.5400000003"/>
    <s v="East"/>
    <s v="Home"/>
    <n v="464"/>
  </r>
  <r>
    <s v="ORD-01594"/>
    <d v="2024-01-09T00:00:00"/>
    <s v="CUST-0087"/>
    <s v="PROD-033"/>
    <s v="R023"/>
    <n v="3"/>
    <n v="2030"/>
    <n v="18.8"/>
    <n v="4945.08"/>
    <s v="Completed"/>
    <x v="0"/>
    <s v="Home"/>
    <s v="SMB"/>
    <n v="49"/>
    <s v="East"/>
    <s v="R023"/>
    <n v="983787.4800000001"/>
    <s v="East"/>
    <s v="Home"/>
    <n v="1143"/>
  </r>
  <r>
    <s v="ORD-01595"/>
    <d v="2024-03-16T00:00:00"/>
    <s v="CUST-0198"/>
    <s v="PROD-026"/>
    <s v="R008"/>
    <n v="2"/>
    <n v="4070"/>
    <n v="14.3"/>
    <n v="6975.98"/>
    <s v="Completed"/>
    <x v="1"/>
    <s v="Grocery"/>
    <s v="Corporate"/>
    <n v="22"/>
    <s v="North"/>
    <s v="R008"/>
    <n v="861553.33"/>
    <s v="North"/>
    <s v="Grocery"/>
    <n v="2027"/>
  </r>
  <r>
    <s v="ORD-01596"/>
    <d v="2024-04-28T00:00:00"/>
    <s v="CUST-0065"/>
    <s v="PROD-014"/>
    <s v="R028"/>
    <n v="3"/>
    <n v="3620"/>
    <n v="13.5"/>
    <n v="9393.9"/>
    <s v="Completed"/>
    <x v="1"/>
    <s v="Apparel"/>
    <s v="Corporate"/>
    <n v="49"/>
    <s v="West"/>
    <s v="R028"/>
    <n v="880468.05"/>
    <s v="West"/>
    <s v="Apparel"/>
    <n v="2509"/>
  </r>
  <r>
    <s v="ORD-01597"/>
    <d v="2024-11-27T00:00:00"/>
    <s v="CUST-0209"/>
    <s v="PROD-054"/>
    <s v="R001"/>
    <n v="4"/>
    <n v="1010"/>
    <n v="3.3"/>
    <n v="3906.68"/>
    <s v="Completed"/>
    <x v="0"/>
    <s v="Sports"/>
    <s v="Retail"/>
    <n v="31"/>
    <s v="North"/>
    <s v="R001"/>
    <n v="789849.60000000009"/>
    <s v="North"/>
    <s v="Sports"/>
    <n v="516"/>
  </r>
  <r>
    <s v="ORD-01598"/>
    <d v="2024-07-18T00:00:00"/>
    <s v="CUST-0181"/>
    <s v="PROD-030"/>
    <s v="R005"/>
    <n v="7"/>
    <n v="970"/>
    <n v="0.1"/>
    <n v="6783.21"/>
    <s v="Completed"/>
    <x v="2"/>
    <s v="Grocery"/>
    <s v="SMB"/>
    <n v="38"/>
    <s v="North"/>
    <s v="R005"/>
    <n v="782445.33"/>
    <s v="North"/>
    <s v="Grocery"/>
    <n v="434"/>
  </r>
  <r>
    <s v="ORD-01599"/>
    <d v="2024-10-06T00:00:00"/>
    <s v="CUST-0007"/>
    <s v="PROD-053"/>
    <s v="R027"/>
    <n v="5"/>
    <n v="470"/>
    <n v="18.3"/>
    <n v="1919.95"/>
    <s v="Refunded"/>
    <x v="4"/>
    <s v="Sports"/>
    <s v="Retail"/>
    <n v="47"/>
    <s v="West"/>
    <s v="R027"/>
    <n v="917092.61999999965"/>
    <s v="West"/>
    <s v="Sports"/>
    <n v="302"/>
  </r>
  <r>
    <s v="ORD-01600"/>
    <d v="2024-04-11T00:00:00"/>
    <s v="CUST-0050"/>
    <s v="PROD-011"/>
    <s v="R010"/>
    <n v="8"/>
    <n v="3450"/>
    <n v="5.0999999999999996"/>
    <n v="26192.400000000001"/>
    <s v="Refunded"/>
    <x v="3"/>
    <s v="Apparel"/>
    <s v="Retail"/>
    <n v="37"/>
    <s v="South"/>
    <s v="R010"/>
    <n v="880345.20000000007"/>
    <s v="South"/>
    <s v="Apparel"/>
    <n v="1748"/>
  </r>
  <r>
    <s v="ORD-01601"/>
    <d v="2024-06-22T00:00:00"/>
    <s v="CUST-0155"/>
    <s v="PROD-010"/>
    <s v="R022"/>
    <n v="1"/>
    <n v="2640"/>
    <n v="5.9"/>
    <n v="2484.2399999999998"/>
    <s v="Completed"/>
    <x v="0"/>
    <s v="Electronics"/>
    <s v="Corporate"/>
    <n v="40"/>
    <s v="East"/>
    <s v="R022"/>
    <n v="1069570.5400000003"/>
    <s v="East"/>
    <s v="Electronics"/>
    <n v="1149"/>
  </r>
  <r>
    <s v="ORD-01602"/>
    <d v="2024-03-03T00:00:00"/>
    <s v="CUST-0085"/>
    <s v="PROD-003"/>
    <s v="R020"/>
    <n v="10"/>
    <n v="3570"/>
    <n v="21.5"/>
    <n v="28024.5"/>
    <s v="Completed"/>
    <x v="1"/>
    <s v="Electronics"/>
    <s v="Retail"/>
    <n v="26"/>
    <s v="East"/>
    <s v="R020"/>
    <n v="906107.71000000008"/>
    <s v="East"/>
    <s v="Electronics"/>
    <n v="1665"/>
  </r>
  <r>
    <s v="ORD-01603"/>
    <d v="2024-10-16T00:00:00"/>
    <s v="CUST-0285"/>
    <s v="PROD-007"/>
    <s v="R016"/>
    <n v="10"/>
    <n v="1430"/>
    <n v="11.4"/>
    <n v="12669.8"/>
    <s v="Cancelled"/>
    <x v="5"/>
    <s v="Electronics"/>
    <s v="Retail"/>
    <n v="22"/>
    <s v="South"/>
    <s v="R016"/>
    <n v="814563.7100000002"/>
    <s v="South"/>
    <s v="Electronics"/>
    <n v="861"/>
  </r>
  <r>
    <s v="ORD-01604"/>
    <d v="2024-12-17T00:00:00"/>
    <s v="CUST-0148"/>
    <s v="PROD-057"/>
    <s v="R013"/>
    <n v="7"/>
    <n v="960"/>
    <n v="22.9"/>
    <n v="5181.12"/>
    <s v="Completed"/>
    <x v="1"/>
    <s v="Sports"/>
    <s v="Retail"/>
    <n v="32"/>
    <s v="South"/>
    <s v="R013"/>
    <n v="811524.37999999989"/>
    <s v="South"/>
    <s v="Sports"/>
    <n v="705"/>
  </r>
  <r>
    <s v="ORD-01605"/>
    <d v="2024-11-10T00:00:00"/>
    <s v="CUST-0252"/>
    <s v="PROD-036"/>
    <s v="R010"/>
    <n v="8"/>
    <n v="3250"/>
    <n v="1.9"/>
    <n v="25506"/>
    <s v="Completed"/>
    <x v="4"/>
    <s v="Home"/>
    <s v="Retail"/>
    <n v="27"/>
    <s v="South"/>
    <s v="R010"/>
    <n v="880345.20000000007"/>
    <s v="South"/>
    <s v="Home"/>
    <n v="1556"/>
  </r>
  <r>
    <s v="ORD-01606"/>
    <d v="2024-03-05T00:00:00"/>
    <s v="CUST-0141"/>
    <s v="PROD-051"/>
    <s v="R018"/>
    <n v="9"/>
    <n v="3450"/>
    <n v="18"/>
    <n v="25461"/>
    <s v="Completed"/>
    <x v="5"/>
    <s v="Sports"/>
    <s v="Corporate"/>
    <n v="22"/>
    <s v="East"/>
    <s v="R018"/>
    <n v="1112289.6400000001"/>
    <s v="East"/>
    <s v="Sports"/>
    <n v="2467"/>
  </r>
  <r>
    <s v="ORD-01607"/>
    <d v="2024-02-21T00:00:00"/>
    <s v="CUST-0101"/>
    <s v="PROD-024"/>
    <s v="R016"/>
    <n v="5"/>
    <n v="2270"/>
    <n v="11.5"/>
    <n v="10044.75"/>
    <s v="Completed"/>
    <x v="5"/>
    <s v="Grocery"/>
    <s v="SMB"/>
    <n v="40"/>
    <s v="South"/>
    <s v="R016"/>
    <n v="814563.7100000002"/>
    <s v="South"/>
    <s v="Grocery"/>
    <n v="1203"/>
  </r>
  <r>
    <s v="ORD-01608"/>
    <d v="2024-06-06T00:00:00"/>
    <s v="CUST-0223"/>
    <s v="PROD-045"/>
    <s v="R019"/>
    <n v="6"/>
    <n v="3020"/>
    <n v="12.6"/>
    <n v="15836.88"/>
    <s v="Completed"/>
    <x v="4"/>
    <s v="Beauty"/>
    <s v="Retail"/>
    <n v="46"/>
    <s v="East"/>
    <s v="R019"/>
    <n v="971183.52000000014"/>
    <s v="East"/>
    <s v="Beauty"/>
    <n v="1626"/>
  </r>
  <r>
    <s v="ORD-01609"/>
    <d v="2024-01-26T00:00:00"/>
    <s v="CUST-0197"/>
    <s v="PROD-010"/>
    <s v="R008"/>
    <n v="8"/>
    <n v="2640"/>
    <n v="14.5"/>
    <n v="18057.599999999999"/>
    <s v="Refunded"/>
    <x v="4"/>
    <s v="Electronics"/>
    <s v="Retail"/>
    <n v="55"/>
    <s v="North"/>
    <s v="R008"/>
    <n v="861553.33"/>
    <s v="North"/>
    <s v="Electronics"/>
    <n v="1149"/>
  </r>
  <r>
    <s v="ORD-01610"/>
    <d v="2024-09-26T00:00:00"/>
    <s v="CUST-0260"/>
    <s v="PROD-024"/>
    <s v="R027"/>
    <n v="2"/>
    <n v="2270"/>
    <n v="27"/>
    <n v="3314.2"/>
    <s v="Completed"/>
    <x v="4"/>
    <s v="Grocery"/>
    <s v="Retail"/>
    <n v="42"/>
    <s v="West"/>
    <s v="R027"/>
    <n v="917092.61999999965"/>
    <s v="West"/>
    <s v="Grocery"/>
    <n v="1203"/>
  </r>
  <r>
    <s v="ORD-01611"/>
    <d v="2024-12-10T00:00:00"/>
    <s v="CUST-0180"/>
    <s v="PROD-021"/>
    <s v="R027"/>
    <n v="8"/>
    <n v="2760"/>
    <n v="18"/>
    <n v="18105.599999999999"/>
    <s v="Cancelled"/>
    <x v="1"/>
    <s v="Grocery"/>
    <s v="Retail"/>
    <n v="36"/>
    <s v="West"/>
    <s v="R027"/>
    <n v="917092.61999999965"/>
    <s v="West"/>
    <s v="Grocery"/>
    <n v="1435"/>
  </r>
  <r>
    <s v="ORD-01612"/>
    <d v="2024-04-16T00:00:00"/>
    <s v="CUST-0166"/>
    <s v="PROD-014"/>
    <s v="R023"/>
    <n v="8"/>
    <n v="3620"/>
    <n v="7.1"/>
    <n v="26903.84"/>
    <s v="Completed"/>
    <x v="5"/>
    <s v="Apparel"/>
    <s v="Retail"/>
    <n v="31"/>
    <s v="East"/>
    <s v="R023"/>
    <n v="983787.4800000001"/>
    <s v="East"/>
    <s v="Apparel"/>
    <n v="2509"/>
  </r>
  <r>
    <s v="ORD-01613"/>
    <d v="2024-07-04T00:00:00"/>
    <s v="CUST-0062"/>
    <s v="PROD-042"/>
    <s v="R021"/>
    <n v="8"/>
    <n v="2290"/>
    <n v="16.399999999999999"/>
    <n v="15315.52"/>
    <s v="Completed"/>
    <x v="0"/>
    <s v="Beauty"/>
    <s v="Retail"/>
    <n v="54"/>
    <s v="East"/>
    <s v="R021"/>
    <n v="761507.17000000027"/>
    <s v="East"/>
    <s v="Beauty"/>
    <n v="1219"/>
  </r>
  <r>
    <s v="ORD-01614"/>
    <d v="2024-06-19T00:00:00"/>
    <s v="CUST-0130"/>
    <s v="PROD-044"/>
    <s v="R019"/>
    <n v="3"/>
    <n v="1650"/>
    <n v="1.8"/>
    <n v="4860.8999999999996"/>
    <s v="Cancelled"/>
    <x v="4"/>
    <s v="Beauty"/>
    <s v="Corporate"/>
    <n v="41"/>
    <s v="East"/>
    <s v="R019"/>
    <n v="971183.52000000014"/>
    <s v="East"/>
    <s v="Beauty"/>
    <n v="1222"/>
  </r>
  <r>
    <s v="ORD-01615"/>
    <d v="2024-12-16T00:00:00"/>
    <s v="CUST-0162"/>
    <s v="PROD-001"/>
    <s v="R018"/>
    <n v="3"/>
    <n v="5330"/>
    <n v="22.2"/>
    <n v="12440.22"/>
    <s v="Completed"/>
    <x v="3"/>
    <s v="Electronics"/>
    <s v="Corporate"/>
    <n v="35"/>
    <s v="East"/>
    <s v="R018"/>
    <n v="1112289.6400000001"/>
    <s v="East"/>
    <s v="Electronics"/>
    <n v="2405"/>
  </r>
  <r>
    <s v="ORD-01616"/>
    <d v="2024-08-30T00:00:00"/>
    <s v="CUST-0153"/>
    <s v="PROD-040"/>
    <s v="R022"/>
    <n v="7"/>
    <n v="1080"/>
    <n v="17.899999999999999"/>
    <n v="6206.76"/>
    <s v="Completed"/>
    <x v="3"/>
    <s v="Home"/>
    <s v="Retail"/>
    <n v="35"/>
    <s v="East"/>
    <s v="R022"/>
    <n v="1069570.5400000003"/>
    <s v="East"/>
    <s v="Home"/>
    <n v="519"/>
  </r>
  <r>
    <s v="ORD-01617"/>
    <d v="2024-06-17T00:00:00"/>
    <s v="CUST-0071"/>
    <s v="PROD-009"/>
    <s v="R022"/>
    <n v="10"/>
    <n v="1220"/>
    <n v="5.7"/>
    <n v="11504.6"/>
    <s v="Completed"/>
    <x v="2"/>
    <s v="Electronics"/>
    <s v="Corporate"/>
    <n v="46"/>
    <s v="East"/>
    <s v="R022"/>
    <n v="1069570.5400000003"/>
    <s v="East"/>
    <s v="Electronics"/>
    <n v="517"/>
  </r>
  <r>
    <s v="ORD-01618"/>
    <d v="2024-12-22T00:00:00"/>
    <s v="CUST-0200"/>
    <s v="PROD-037"/>
    <s v="R030"/>
    <n v="10"/>
    <n v="660"/>
    <n v="7.5"/>
    <n v="6105"/>
    <s v="Completed"/>
    <x v="5"/>
    <s v="Home"/>
    <s v="Corporate"/>
    <n v="46"/>
    <s v="West"/>
    <s v="R030"/>
    <n v="747624.36999999988"/>
    <s v="West"/>
    <s v="Home"/>
    <n v="329"/>
  </r>
  <r>
    <s v="ORD-01619"/>
    <d v="2024-09-22T00:00:00"/>
    <s v="CUST-0266"/>
    <s v="PROD-040"/>
    <s v="R020"/>
    <n v="6"/>
    <n v="1080"/>
    <n v="28.9"/>
    <n v="4607.28"/>
    <s v="Completed"/>
    <x v="0"/>
    <s v="Home"/>
    <s v="Retail"/>
    <n v="65"/>
    <s v="East"/>
    <s v="R020"/>
    <n v="906107.71000000008"/>
    <s v="East"/>
    <s v="Home"/>
    <n v="519"/>
  </r>
  <r>
    <s v="ORD-01620"/>
    <d v="2024-10-19T00:00:00"/>
    <s v="CUST-0171"/>
    <s v="PROD-022"/>
    <s v="R020"/>
    <n v="7"/>
    <n v="2270"/>
    <n v="1.4"/>
    <n v="15667.54"/>
    <s v="Completed"/>
    <x v="1"/>
    <s v="Grocery"/>
    <s v="Corporate"/>
    <n v="30"/>
    <s v="East"/>
    <s v="R020"/>
    <n v="906107.71000000008"/>
    <s v="East"/>
    <s v="Grocery"/>
    <n v="1412"/>
  </r>
  <r>
    <s v="ORD-01621"/>
    <d v="2024-07-02T00:00:00"/>
    <s v="CUST-0221"/>
    <s v="PROD-032"/>
    <s v="R028"/>
    <n v="3"/>
    <n v="370"/>
    <n v="9.6"/>
    <n v="1003.44"/>
    <s v="Refunded"/>
    <x v="2"/>
    <s v="Home"/>
    <s v="SMB"/>
    <n v="29"/>
    <s v="West"/>
    <s v="R028"/>
    <n v="880468.05"/>
    <s v="West"/>
    <s v="Home"/>
    <n v="288"/>
  </r>
  <r>
    <s v="ORD-01622"/>
    <d v="2024-03-14T00:00:00"/>
    <s v="CUST-0038"/>
    <s v="PROD-030"/>
    <s v="R009"/>
    <n v="9"/>
    <n v="970"/>
    <n v="29.7"/>
    <n v="6137.19"/>
    <s v="Completed"/>
    <x v="3"/>
    <s v="Grocery"/>
    <s v="Retail"/>
    <n v="57"/>
    <s v="South"/>
    <s v="R009"/>
    <n v="914554.71999999986"/>
    <s v="South"/>
    <s v="Grocery"/>
    <n v="434"/>
  </r>
  <r>
    <s v="ORD-00613"/>
    <d v="2024-04-23T00:00:00"/>
    <s v="CUST-0174"/>
    <s v="PROD-016"/>
    <s v="R003"/>
    <n v="1"/>
    <n v="620"/>
    <n v="10.4"/>
    <n v="555.52"/>
    <s v="Cancelled"/>
    <x v="0"/>
    <s v="Apparel"/>
    <s v="Retail"/>
    <n v="54"/>
    <s v="North"/>
    <s v="R003"/>
    <n v="986692.91"/>
    <s v="North"/>
    <s v="Apparel"/>
    <n v="396"/>
  </r>
  <r>
    <s v="ORD-01624"/>
    <d v="2024-08-29T00:00:00"/>
    <s v="CUST-0054"/>
    <s v="PROD-028"/>
    <s v="R029"/>
    <n v="5"/>
    <n v="3660"/>
    <n v="8"/>
    <n v="16836"/>
    <s v="Completed"/>
    <x v="3"/>
    <s v="Grocery"/>
    <s v="Corporate"/>
    <n v="62"/>
    <s v="West"/>
    <s v="R029"/>
    <n v="1016696.8000000002"/>
    <s v="West"/>
    <s v="Grocery"/>
    <n v="2214"/>
  </r>
  <r>
    <s v="ORD-01625"/>
    <d v="2024-12-02T00:00:00"/>
    <s v="CUST-0071"/>
    <s v="PROD-029"/>
    <s v="R024"/>
    <n v="7"/>
    <n v="2210"/>
    <n v="13.7"/>
    <n v="13350.61"/>
    <s v="Refunded"/>
    <x v="2"/>
    <s v="Grocery"/>
    <s v="Corporate"/>
    <n v="46"/>
    <s v="West"/>
    <s v="R024"/>
    <n v="819558.58"/>
    <s v="West"/>
    <s v="Grocery"/>
    <n v="1010"/>
  </r>
  <r>
    <s v="ORD-01626"/>
    <d v="2024-12-05T00:00:00"/>
    <s v="CUST-0004"/>
    <s v="PROD-059"/>
    <s v="R028"/>
    <n v="1"/>
    <n v="3780"/>
    <n v="11.5"/>
    <n v="3345.3"/>
    <s v="Completed"/>
    <x v="2"/>
    <s v="Sports"/>
    <s v="Retail"/>
    <n v="53"/>
    <s v="West"/>
    <s v="R028"/>
    <n v="880468.05"/>
    <s v="West"/>
    <s v="Sports"/>
    <n v="1860"/>
  </r>
  <r>
    <s v="ORD-01627"/>
    <d v="2024-11-05T00:00:00"/>
    <s v="CUST-0033"/>
    <s v="PROD-002"/>
    <s v="R005"/>
    <n v="10"/>
    <n v="2600"/>
    <n v="29.4"/>
    <n v="18356"/>
    <s v="Completed"/>
    <x v="2"/>
    <s v="Electronics"/>
    <s v="Retail"/>
    <n v="35"/>
    <s v="North"/>
    <s v="R005"/>
    <n v="782445.33"/>
    <s v="North"/>
    <s v="Electronics"/>
    <n v="1052"/>
  </r>
  <r>
    <s v="ORD-01628"/>
    <d v="2024-03-14T00:00:00"/>
    <s v="CUST-0079"/>
    <s v="PROD-027"/>
    <s v="R017"/>
    <n v="3"/>
    <n v="3780"/>
    <n v="14.4"/>
    <n v="9707.0400000000009"/>
    <s v="Completed"/>
    <x v="3"/>
    <s v="Grocery"/>
    <s v="Corporate"/>
    <n v="60"/>
    <s v="East"/>
    <s v="R017"/>
    <n v="780384.40999999992"/>
    <s v="East"/>
    <s v="Grocery"/>
    <n v="2436"/>
  </r>
  <r>
    <s v="ORD-01629"/>
    <d v="2024-05-09T00:00:00"/>
    <s v="CUST-0176"/>
    <s v="PROD-010"/>
    <s v="R003"/>
    <n v="10"/>
    <n v="2640"/>
    <n v="26.8"/>
    <n v="19324.8"/>
    <s v="Pending"/>
    <x v="4"/>
    <s v="Electronics"/>
    <s v="SMB"/>
    <n v="34"/>
    <s v="North"/>
    <s v="R003"/>
    <n v="986692.91"/>
    <s v="North"/>
    <s v="Electronics"/>
    <n v="1149"/>
  </r>
  <r>
    <s v="ORD-01630"/>
    <d v="2024-02-25T00:00:00"/>
    <s v="CUST-0254"/>
    <s v="PROD-035"/>
    <s v="R013"/>
    <n v="3"/>
    <n v="1090"/>
    <n v="9.1"/>
    <n v="2972.43"/>
    <s v="Completed"/>
    <x v="4"/>
    <s v="Home"/>
    <s v="Retail"/>
    <n v="35"/>
    <s v="South"/>
    <s v="R013"/>
    <n v="811524.37999999989"/>
    <s v="South"/>
    <s v="Home"/>
    <n v="464"/>
  </r>
  <r>
    <s v="ORD-01631"/>
    <d v="2024-10-09T00:00:00"/>
    <s v="CUST-0212"/>
    <s v="PROD-011"/>
    <s v="R024"/>
    <n v="3"/>
    <n v="3450"/>
    <n v="23"/>
    <n v="7969.5"/>
    <s v="Pending"/>
    <x v="1"/>
    <s v="Apparel"/>
    <s v="SMB"/>
    <n v="46"/>
    <s v="West"/>
    <s v="R024"/>
    <n v="819558.58"/>
    <s v="West"/>
    <s v="Apparel"/>
    <n v="1748"/>
  </r>
  <r>
    <s v="ORD-01632"/>
    <d v="2024-03-14T00:00:00"/>
    <s v="CUST-0109"/>
    <s v="PROD-049"/>
    <s v="R015"/>
    <n v="1"/>
    <n v="960"/>
    <n v="1.1000000000000001"/>
    <n v="949.44"/>
    <s v="Completed"/>
    <x v="0"/>
    <s v="Beauty"/>
    <s v="Retail"/>
    <n v="42"/>
    <s v="South"/>
    <s v="R015"/>
    <n v="1091740.1799999997"/>
    <s v="South"/>
    <s v="Beauty"/>
    <n v="675"/>
  </r>
  <r>
    <s v="ORD-01633"/>
    <d v="2024-10-12T00:00:00"/>
    <s v="CUST-0087"/>
    <s v="PROD-028"/>
    <s v="R030"/>
    <n v="9"/>
    <n v="3660"/>
    <n v="9"/>
    <n v="29975.4"/>
    <s v="Completed"/>
    <x v="0"/>
    <s v="Grocery"/>
    <s v="SMB"/>
    <n v="49"/>
    <s v="West"/>
    <s v="R030"/>
    <n v="747624.36999999988"/>
    <s v="West"/>
    <s v="Grocery"/>
    <n v="2214"/>
  </r>
  <r>
    <s v="ORD-01634"/>
    <d v="2024-05-08T00:00:00"/>
    <s v="CUST-0167"/>
    <s v="PROD-031"/>
    <s v="R008"/>
    <n v="3"/>
    <n v="3730"/>
    <n v="15.8"/>
    <n v="9421.98"/>
    <s v="Completed"/>
    <x v="2"/>
    <s v="Home"/>
    <s v="Retail"/>
    <n v="43"/>
    <s v="North"/>
    <s v="R008"/>
    <n v="861553.33"/>
    <s v="North"/>
    <s v="Home"/>
    <n v="2135"/>
  </r>
  <r>
    <s v="ORD-01635"/>
    <d v="2024-02-25T00:00:00"/>
    <s v="CUST-0079"/>
    <s v="PROD-026"/>
    <s v="R004"/>
    <n v="6"/>
    <n v="4070"/>
    <n v="6.2"/>
    <n v="22905.96"/>
    <s v="Completed"/>
    <x v="3"/>
    <s v="Grocery"/>
    <s v="Corporate"/>
    <n v="60"/>
    <s v="North"/>
    <s v="R004"/>
    <n v="589026.2899999998"/>
    <s v="North"/>
    <s v="Grocery"/>
    <n v="2027"/>
  </r>
  <r>
    <s v="ORD-01636"/>
    <d v="2024-02-07T00:00:00"/>
    <s v="CUST-0115"/>
    <s v="PROD-008"/>
    <s v="R022"/>
    <n v="1"/>
    <n v="2660"/>
    <n v="14.6"/>
    <n v="2271.64"/>
    <s v="Completed"/>
    <x v="3"/>
    <s v="Electronics"/>
    <s v="SMB"/>
    <n v="65"/>
    <s v="East"/>
    <s v="R022"/>
    <n v="1069570.5400000003"/>
    <s v="East"/>
    <s v="Electronics"/>
    <n v="1259"/>
  </r>
  <r>
    <s v="ORD-01637"/>
    <d v="2024-03-27T00:00:00"/>
    <s v="CUST-0184"/>
    <s v="PROD-033"/>
    <s v="R003"/>
    <n v="3"/>
    <n v="2030"/>
    <n v="13.3"/>
    <n v="5280.03"/>
    <s v="Cancelled"/>
    <x v="0"/>
    <s v="Home"/>
    <s v="Retail"/>
    <n v="63"/>
    <s v="North"/>
    <s v="R003"/>
    <n v="986692.91"/>
    <s v="North"/>
    <s v="Home"/>
    <n v="1143"/>
  </r>
  <r>
    <s v="ORD-01638"/>
    <d v="2024-04-11T00:00:00"/>
    <s v="CUST-0084"/>
    <s v="PROD-028"/>
    <s v="R001"/>
    <n v="4"/>
    <n v="3660"/>
    <n v="2.2000000000000002"/>
    <n v="14317.92"/>
    <s v="Completed"/>
    <x v="1"/>
    <s v="Grocery"/>
    <s v="Retail"/>
    <n v="28"/>
    <s v="North"/>
    <s v="R001"/>
    <n v="789849.60000000009"/>
    <s v="North"/>
    <s v="Grocery"/>
    <n v="2214"/>
  </r>
  <r>
    <s v="ORD-01639"/>
    <d v="2024-03-13T00:00:00"/>
    <s v="CUST-0186"/>
    <s v="PROD-008"/>
    <s v="R006"/>
    <n v="2"/>
    <n v="2660"/>
    <n v="7.2"/>
    <n v="4936.96"/>
    <s v="Cancelled"/>
    <x v="4"/>
    <s v="Electronics"/>
    <s v="Retail"/>
    <n v="42"/>
    <s v="North"/>
    <s v="R006"/>
    <n v="1138648.73"/>
    <s v="North"/>
    <s v="Electronics"/>
    <n v="1259"/>
  </r>
  <r>
    <s v="ORD-01640"/>
    <d v="2024-11-28T00:00:00"/>
    <s v="CUST-0077"/>
    <s v="PROD-046"/>
    <s v="R013"/>
    <n v="2"/>
    <n v="4880"/>
    <n v="23.8"/>
    <n v="7437.12"/>
    <s v="Completed"/>
    <x v="5"/>
    <s v="Beauty"/>
    <s v="SMB"/>
    <n v="48"/>
    <s v="South"/>
    <s v="R013"/>
    <n v="811524.37999999989"/>
    <s v="South"/>
    <s v="Beauty"/>
    <n v="2768"/>
  </r>
  <r>
    <s v="ORD-01641"/>
    <d v="2024-04-29T00:00:00"/>
    <s v="CUST-0093"/>
    <s v="PROD-011"/>
    <s v="R011"/>
    <n v="1"/>
    <n v="3450"/>
    <n v="1.7"/>
    <n v="3391.35"/>
    <s v="Completed"/>
    <x v="0"/>
    <s v="Apparel"/>
    <s v="Retail"/>
    <n v="36"/>
    <s v="South"/>
    <s v="R011"/>
    <n v="735207.75999999989"/>
    <s v="South"/>
    <s v="Apparel"/>
    <n v="1748"/>
  </r>
  <r>
    <s v="ORD-01642"/>
    <d v="2024-09-15T00:00:00"/>
    <s v="CUST-0018"/>
    <s v="PROD-045"/>
    <s v="R023"/>
    <n v="4"/>
    <n v="3020"/>
    <n v="17.8"/>
    <n v="9929.76"/>
    <s v="Completed"/>
    <x v="0"/>
    <s v="Beauty"/>
    <s v="SMB"/>
    <n v="54"/>
    <s v="East"/>
    <s v="R023"/>
    <n v="983787.4800000001"/>
    <s v="East"/>
    <s v="Beauty"/>
    <n v="1626"/>
  </r>
  <r>
    <s v="ORD-01643"/>
    <d v="2024-08-08T00:00:00"/>
    <s v="CUST-0034"/>
    <s v="PROD-056"/>
    <s v="R021"/>
    <n v="6"/>
    <n v="6940"/>
    <n v="8.9"/>
    <n v="37934.04"/>
    <s v="Completed"/>
    <x v="2"/>
    <s v="Sports"/>
    <s v="Retail"/>
    <n v="47"/>
    <s v="East"/>
    <s v="R021"/>
    <n v="761507.17000000027"/>
    <s v="East"/>
    <s v="Sports"/>
    <n v="2827"/>
  </r>
  <r>
    <s v="ORD-01644"/>
    <d v="2024-08-19T00:00:00"/>
    <s v="CUST-0111"/>
    <s v="PROD-021"/>
    <s v="R023"/>
    <n v="10"/>
    <n v="2760"/>
    <n v="8.9"/>
    <n v="25143.599999999999"/>
    <s v="Completed"/>
    <x v="1"/>
    <s v="Grocery"/>
    <s v="SMB"/>
    <n v="64"/>
    <s v="East"/>
    <s v="R023"/>
    <n v="983787.4800000001"/>
    <s v="East"/>
    <s v="Grocery"/>
    <n v="1435"/>
  </r>
  <r>
    <s v="ORD-01645"/>
    <d v="2024-01-19T00:00:00"/>
    <s v="CUST-0210"/>
    <s v="PROD-049"/>
    <s v="R020"/>
    <n v="8"/>
    <n v="960"/>
    <n v="20.9"/>
    <n v="6074.88"/>
    <s v="Completed"/>
    <x v="0"/>
    <s v="Beauty"/>
    <s v="Corporate"/>
    <n v="48"/>
    <s v="East"/>
    <s v="R020"/>
    <n v="906107.71000000008"/>
    <s v="East"/>
    <s v="Beauty"/>
    <n v="675"/>
  </r>
  <r>
    <s v="ORD-01646"/>
    <d v="2024-07-25T00:00:00"/>
    <s v="CUST-0037"/>
    <s v="PROD-049"/>
    <s v="R012"/>
    <n v="4"/>
    <n v="960"/>
    <n v="29.1"/>
    <n v="2722.56"/>
    <s v="Completed"/>
    <x v="4"/>
    <s v="Beauty"/>
    <s v="Retail"/>
    <n v="52"/>
    <s v="South"/>
    <s v="R012"/>
    <n v="901394.32000000007"/>
    <s v="South"/>
    <s v="Beauty"/>
    <n v="675"/>
  </r>
  <r>
    <s v="ORD-01647"/>
    <d v="2024-04-28T00:00:00"/>
    <s v="CUST-0192"/>
    <s v="PROD-030"/>
    <s v="R021"/>
    <n v="1"/>
    <n v="970"/>
    <n v="8.4"/>
    <n v="888.52"/>
    <s v="Cancelled"/>
    <x v="4"/>
    <s v="Grocery"/>
    <s v="Retail"/>
    <n v="55"/>
    <s v="East"/>
    <s v="R021"/>
    <n v="761507.17000000027"/>
    <s v="East"/>
    <s v="Grocery"/>
    <n v="434"/>
  </r>
  <r>
    <s v="ORD-01648"/>
    <d v="2024-04-18T00:00:00"/>
    <s v="CUST-0038"/>
    <s v="PROD-050"/>
    <s v="R023"/>
    <n v="5"/>
    <n v="6080"/>
    <n v="17.600000000000001"/>
    <n v="25049.599999999999"/>
    <s v="Completed"/>
    <x v="3"/>
    <s v="Beauty"/>
    <s v="Retail"/>
    <n v="57"/>
    <s v="East"/>
    <s v="R023"/>
    <n v="983787.4800000001"/>
    <s v="East"/>
    <s v="Beauty"/>
    <n v="2617"/>
  </r>
  <r>
    <s v="ORD-01649"/>
    <d v="2024-08-21T00:00:00"/>
    <s v="CUST-0034"/>
    <s v="PROD-028"/>
    <s v="R013"/>
    <n v="4"/>
    <n v="3660"/>
    <n v="21.8"/>
    <n v="11448.48"/>
    <s v="Pending"/>
    <x v="2"/>
    <s v="Grocery"/>
    <s v="Retail"/>
    <n v="47"/>
    <s v="South"/>
    <s v="R013"/>
    <n v="811524.37999999989"/>
    <s v="South"/>
    <s v="Grocery"/>
    <n v="2214"/>
  </r>
  <r>
    <s v="ORD-01650"/>
    <d v="2024-06-19T00:00:00"/>
    <s v="CUST-0248"/>
    <s v="PROD-031"/>
    <s v="R008"/>
    <n v="6"/>
    <n v="3730"/>
    <n v="13.3"/>
    <n v="19403.46"/>
    <s v="Cancelled"/>
    <x v="1"/>
    <s v="Home"/>
    <s v="SMB"/>
    <n v="57"/>
    <s v="North"/>
    <s v="R008"/>
    <n v="861553.33"/>
    <s v="North"/>
    <s v="Home"/>
    <n v="2135"/>
  </r>
  <r>
    <s v="ORD-01651"/>
    <d v="2024-11-29T00:00:00"/>
    <s v="CUST-0194"/>
    <s v="PROD-004"/>
    <s v="R029"/>
    <n v="8"/>
    <n v="3870"/>
    <n v="21.2"/>
    <n v="24396.48"/>
    <s v="Pending"/>
    <x v="2"/>
    <s v="Electronics"/>
    <s v="SMB"/>
    <n v="55"/>
    <s v="West"/>
    <s v="R029"/>
    <n v="1016696.8000000002"/>
    <s v="West"/>
    <s v="Electronics"/>
    <n v="1559"/>
  </r>
  <r>
    <s v="ORD-01652"/>
    <d v="2024-04-08T00:00:00"/>
    <s v="CUST-0114"/>
    <s v="PROD-021"/>
    <s v="R016"/>
    <n v="4"/>
    <n v="2760"/>
    <n v="14"/>
    <n v="9494.4"/>
    <s v="Completed"/>
    <x v="4"/>
    <s v="Grocery"/>
    <s v="Corporate"/>
    <n v="42"/>
    <s v="South"/>
    <s v="R016"/>
    <n v="814563.7100000002"/>
    <s v="South"/>
    <s v="Grocery"/>
    <n v="1435"/>
  </r>
  <r>
    <s v="ORD-01653"/>
    <d v="2024-11-01T00:00:00"/>
    <s v="CUST-0118"/>
    <s v="PROD-023"/>
    <s v="R020"/>
    <n v="5"/>
    <n v="2380"/>
    <n v="16.399999999999999"/>
    <n v="9948.4"/>
    <s v="Completed"/>
    <x v="5"/>
    <s v="Grocery"/>
    <s v="Retail"/>
    <n v="26"/>
    <s v="East"/>
    <s v="R020"/>
    <n v="906107.71000000008"/>
    <s v="East"/>
    <s v="Grocery"/>
    <n v="1182"/>
  </r>
  <r>
    <s v="ORD-01654"/>
    <d v="2024-01-16T00:00:00"/>
    <s v="CUST-9719"/>
    <s v="PROD-050"/>
    <s v="R015"/>
    <n v="2"/>
    <n v="6080"/>
    <n v="20.100000000000001"/>
    <n v="9715.84"/>
    <s v="Cancelled"/>
    <x v="3"/>
    <s v="Beauty"/>
    <e v="#N/A"/>
    <e v="#N/A"/>
    <s v="South"/>
    <s v="R015"/>
    <n v="1091740.1799999997"/>
    <s v="South"/>
    <s v="Beauty"/>
    <n v="2617"/>
  </r>
  <r>
    <s v="ORD-01655"/>
    <d v="2024-10-03T00:00:00"/>
    <s v="CUST-0232"/>
    <s v="PROD-016"/>
    <s v="R016"/>
    <n v="2"/>
    <n v="620"/>
    <n v="4.3"/>
    <n v="1186.68"/>
    <s v="Completed"/>
    <x v="5"/>
    <s v="Apparel"/>
    <s v="Retail"/>
    <n v="38"/>
    <s v="South"/>
    <s v="R016"/>
    <n v="814563.7100000002"/>
    <s v="South"/>
    <s v="Apparel"/>
    <n v="396"/>
  </r>
  <r>
    <s v="ORD-01656"/>
    <d v="2024-12-28T00:00:00"/>
    <s v="CUST-0240"/>
    <s v="PROD-004"/>
    <s v="R012"/>
    <n v="7"/>
    <n v="3870"/>
    <n v="5.9"/>
    <n v="25491.69"/>
    <s v="Completed"/>
    <x v="1"/>
    <s v="Electronics"/>
    <s v="Corporate"/>
    <n v="35"/>
    <s v="South"/>
    <s v="R012"/>
    <n v="901394.32000000007"/>
    <s v="South"/>
    <s v="Electronics"/>
    <n v="1559"/>
  </r>
  <r>
    <s v="ORD-01657"/>
    <d v="2024-04-30T00:00:00"/>
    <s v="CUST-0227"/>
    <s v="PROD-003"/>
    <s v="R020"/>
    <n v="8"/>
    <n v="3570"/>
    <n v="24.6"/>
    <n v="21534.240000000002"/>
    <s v="Completed"/>
    <x v="4"/>
    <s v="Electronics"/>
    <s v="SMB"/>
    <n v="44"/>
    <s v="East"/>
    <s v="R020"/>
    <n v="906107.71000000008"/>
    <s v="East"/>
    <s v="Electronics"/>
    <n v="1665"/>
  </r>
  <r>
    <s v="ORD-01658"/>
    <d v="2024-12-27T00:00:00"/>
    <s v="CUST-0234"/>
    <s v="PROD-026"/>
    <s v="R010"/>
    <n v="1"/>
    <n v="4070"/>
    <n v="29.1"/>
    <n v="2885.63"/>
    <s v="Pending"/>
    <x v="4"/>
    <s v="Grocery"/>
    <s v="Retail"/>
    <n v="34"/>
    <s v="South"/>
    <s v="R010"/>
    <n v="880345.20000000007"/>
    <s v="South"/>
    <s v="Grocery"/>
    <n v="2027"/>
  </r>
  <r>
    <s v="ORD-01659"/>
    <d v="2024-10-03T00:00:00"/>
    <s v="CUST-0041"/>
    <s v="PROD-020"/>
    <s v="R017"/>
    <n v="1"/>
    <n v="820"/>
    <n v="17.899999999999999"/>
    <n v="673.22"/>
    <s v="Completed"/>
    <x v="4"/>
    <s v="Apparel"/>
    <s v="SMB"/>
    <n v="26"/>
    <s v="East"/>
    <s v="R017"/>
    <n v="780384.40999999992"/>
    <s v="East"/>
    <s v="Apparel"/>
    <n v="391"/>
  </r>
  <r>
    <s v="ORD-01660"/>
    <d v="2024-12-17T00:00:00"/>
    <s v="CUST-0129"/>
    <s v="PROD-045"/>
    <s v="R029"/>
    <n v="5"/>
    <n v="3020"/>
    <n v="26.2"/>
    <n v="11143.8"/>
    <s v="Completed"/>
    <x v="5"/>
    <s v="Beauty"/>
    <s v="Retail"/>
    <n v="29"/>
    <s v="West"/>
    <s v="R029"/>
    <n v="1016696.8000000002"/>
    <s v="West"/>
    <s v="Beauty"/>
    <n v="1626"/>
  </r>
  <r>
    <s v="ORD-01661"/>
    <d v="2024-04-29T00:00:00"/>
    <s v="CUST-0141"/>
    <s v="PROD-018"/>
    <s v="R022"/>
    <n v="10"/>
    <n v="3560"/>
    <n v="15.4"/>
    <n v="30117.599999999999"/>
    <s v="Refunded"/>
    <x v="5"/>
    <s v="Apparel"/>
    <s v="Corporate"/>
    <n v="22"/>
    <s v="East"/>
    <s v="R022"/>
    <n v="1069570.5400000003"/>
    <s v="East"/>
    <s v="Apparel"/>
    <n v="2629"/>
  </r>
  <r>
    <s v="ORD-01662"/>
    <d v="2024-06-24T00:00:00"/>
    <s v="CUST-0282"/>
    <s v="PROD-043"/>
    <s v="R001"/>
    <n v="3"/>
    <n v="3350"/>
    <n v="8.1"/>
    <n v="9235.9500000000007"/>
    <s v="Completed"/>
    <x v="5"/>
    <s v="Beauty"/>
    <s v="Corporate"/>
    <n v="29"/>
    <s v="North"/>
    <s v="R001"/>
    <n v="789849.60000000009"/>
    <s v="North"/>
    <s v="Beauty"/>
    <n v="1728"/>
  </r>
  <r>
    <s v="ORD-01663"/>
    <d v="2024-09-07T00:00:00"/>
    <s v="CUST-0269"/>
    <s v="PROD-042"/>
    <s v="R025"/>
    <n v="10"/>
    <n v="2290"/>
    <n v="7"/>
    <n v="21297"/>
    <s v="Completed"/>
    <x v="0"/>
    <s v="Beauty"/>
    <s v="Retail"/>
    <n v="48"/>
    <s v="West"/>
    <s v="R025"/>
    <n v="901298.89"/>
    <s v="West"/>
    <s v="Beauty"/>
    <n v="1219"/>
  </r>
  <r>
    <s v="ORD-01664"/>
    <d v="2024-07-10T00:00:00"/>
    <s v="CUST-0239"/>
    <s v="PROD-028"/>
    <s v="R003"/>
    <n v="6"/>
    <n v="3660"/>
    <n v="29.9"/>
    <n v="15393.96"/>
    <s v="Completed"/>
    <x v="3"/>
    <s v="Grocery"/>
    <s v="Retail"/>
    <n v="61"/>
    <s v="North"/>
    <s v="R003"/>
    <n v="986692.91"/>
    <s v="North"/>
    <s v="Grocery"/>
    <n v="2214"/>
  </r>
  <r>
    <s v="ORD-01665"/>
    <d v="2024-05-14T00:00:00"/>
    <s v="CUST-0075"/>
    <s v="PROD-010"/>
    <s v="R013"/>
    <n v="8"/>
    <n v="2640"/>
    <n v="4.2"/>
    <n v="20232.96"/>
    <s v="Refunded"/>
    <x v="3"/>
    <s v="Electronics"/>
    <s v="Corporate"/>
    <n v="55"/>
    <s v="South"/>
    <s v="R013"/>
    <n v="811524.37999999989"/>
    <s v="South"/>
    <s v="Electronics"/>
    <n v="1149"/>
  </r>
  <r>
    <s v="ORD-01666"/>
    <d v="2024-04-04T00:00:00"/>
    <s v="CUST-0184"/>
    <s v="PROD-032"/>
    <s v="R006"/>
    <n v="5"/>
    <n v="370"/>
    <n v="6"/>
    <n v="1739"/>
    <s v="Completed"/>
    <x v="0"/>
    <s v="Home"/>
    <s v="Retail"/>
    <n v="63"/>
    <s v="North"/>
    <s v="R006"/>
    <n v="1138648.73"/>
    <s v="North"/>
    <s v="Home"/>
    <n v="288"/>
  </r>
  <r>
    <s v="ORD-01667"/>
    <d v="2024-03-26T00:00:00"/>
    <s v="CUST-0144"/>
    <s v="PROD-024"/>
    <s v="R007"/>
    <n v="9"/>
    <n v="2270"/>
    <n v="4.7"/>
    <n v="19469.79"/>
    <s v="Completed"/>
    <x v="1"/>
    <s v="Grocery"/>
    <s v="Retail"/>
    <n v="49"/>
    <s v="North"/>
    <s v="R007"/>
    <n v="855749.67999999982"/>
    <s v="North"/>
    <s v="Grocery"/>
    <n v="1203"/>
  </r>
  <r>
    <s v="ORD-01668"/>
    <d v="2024-05-02T00:00:00"/>
    <s v="CUST-0039"/>
    <s v="PROD-037"/>
    <s v="R011"/>
    <n v="5"/>
    <n v="660"/>
    <n v="21"/>
    <n v="2607"/>
    <s v="Completed"/>
    <x v="4"/>
    <s v="Home"/>
    <s v="Retail"/>
    <n v="37"/>
    <s v="South"/>
    <s v="R011"/>
    <n v="735207.75999999989"/>
    <s v="South"/>
    <s v="Home"/>
    <n v="329"/>
  </r>
  <r>
    <s v="ORD-01669"/>
    <d v="2024-04-25T00:00:00"/>
    <s v="CUST-9765"/>
    <s v="PROD-057"/>
    <s v="R003"/>
    <n v="2"/>
    <n v="960"/>
    <n v="7.3"/>
    <n v="1779.84"/>
    <s v="Completed"/>
    <x v="4"/>
    <s v="Sports"/>
    <e v="#N/A"/>
    <e v="#N/A"/>
    <s v="North"/>
    <s v="R003"/>
    <n v="986692.91"/>
    <s v="North"/>
    <s v="Sports"/>
    <n v="705"/>
  </r>
  <r>
    <s v="ORD-01670"/>
    <d v="2024-08-05T00:00:00"/>
    <s v="CUST-0159"/>
    <s v="PROD-048"/>
    <s v="R009"/>
    <n v="3"/>
    <n v="5100"/>
    <n v="21"/>
    <n v="12087"/>
    <s v="Completed"/>
    <x v="5"/>
    <s v="Beauty"/>
    <s v="Retail"/>
    <n v="32"/>
    <s v="South"/>
    <s v="R009"/>
    <n v="914554.71999999986"/>
    <s v="South"/>
    <s v="Beauty"/>
    <n v="2237"/>
  </r>
  <r>
    <s v="ORD-01671"/>
    <d v="2024-10-01T00:00:00"/>
    <s v="CUST-0168"/>
    <s v="PROD-012"/>
    <s v="R004"/>
    <n v="3"/>
    <n v="3160"/>
    <n v="13.5"/>
    <n v="8200.2000000000007"/>
    <s v="Completed"/>
    <x v="0"/>
    <s v="Apparel"/>
    <s v="Retail"/>
    <n v="25"/>
    <s v="North"/>
    <s v="R004"/>
    <n v="589026.2899999998"/>
    <s v="North"/>
    <s v="Apparel"/>
    <n v="1886"/>
  </r>
  <r>
    <s v="ORD-01672"/>
    <d v="2024-08-20T00:00:00"/>
    <s v="CUST-9552"/>
    <s v="PROD-041"/>
    <s v="R005"/>
    <n v="9"/>
    <n v="1540"/>
    <n v="18.2"/>
    <n v="11337.48"/>
    <s v="Cancelled"/>
    <x v="4"/>
    <s v="Beauty"/>
    <e v="#N/A"/>
    <e v="#N/A"/>
    <s v="North"/>
    <s v="R005"/>
    <n v="782445.33"/>
    <s v="North"/>
    <s v="Beauty"/>
    <n v="647"/>
  </r>
  <r>
    <s v="ORD-01673"/>
    <d v="2024-05-19T00:00:00"/>
    <s v="CUST-0056"/>
    <s v="PROD-047"/>
    <s v="R024"/>
    <n v="4"/>
    <n v="3450"/>
    <n v="26.4"/>
    <n v="10156.799999999999"/>
    <s v="Pending"/>
    <x v="4"/>
    <s v="Beauty"/>
    <s v="SMB"/>
    <n v="46"/>
    <s v="West"/>
    <s v="R024"/>
    <n v="819558.58"/>
    <s v="West"/>
    <s v="Beauty"/>
    <n v="2420"/>
  </r>
  <r>
    <s v="ORD-01674"/>
    <d v="2024-11-02T00:00:00"/>
    <s v="CUST-0239"/>
    <s v="PROD-023"/>
    <s v="R026"/>
    <n v="4"/>
    <n v="2380"/>
    <n v="6.9"/>
    <n v="8863.1200000000008"/>
    <s v="Completed"/>
    <x v="3"/>
    <s v="Grocery"/>
    <s v="Retail"/>
    <n v="61"/>
    <s v="West"/>
    <s v="R026"/>
    <n v="576305.08000000019"/>
    <s v="West"/>
    <s v="Grocery"/>
    <n v="1182"/>
  </r>
  <r>
    <s v="ORD-01675"/>
    <d v="2024-05-07T00:00:00"/>
    <s v="CUST-0168"/>
    <s v="PROD-031"/>
    <s v="R003"/>
    <n v="2"/>
    <n v="3730"/>
    <n v="22.9"/>
    <n v="5751.66"/>
    <s v="Completed"/>
    <x v="0"/>
    <s v="Home"/>
    <s v="Retail"/>
    <n v="25"/>
    <s v="North"/>
    <s v="R003"/>
    <n v="986692.91"/>
    <s v="North"/>
    <s v="Home"/>
    <n v="2135"/>
  </r>
  <r>
    <s v="ORD-01676"/>
    <d v="2024-09-14T00:00:00"/>
    <s v="CUST-0012"/>
    <s v="PROD-036"/>
    <s v="R002"/>
    <n v="7"/>
    <n v="3250"/>
    <n v="6"/>
    <n v="21385"/>
    <s v="Completed"/>
    <x v="0"/>
    <s v="Home"/>
    <s v="Retail"/>
    <n v="43"/>
    <s v="North"/>
    <s v="R002"/>
    <n v="980063.65999999968"/>
    <s v="North"/>
    <s v="Home"/>
    <n v="1556"/>
  </r>
  <r>
    <s v="ORD-01677"/>
    <d v="2024-08-15T00:00:00"/>
    <s v="CUST-0057"/>
    <s v="PROD-053"/>
    <s v="R020"/>
    <n v="9"/>
    <n v="470"/>
    <n v="11.6"/>
    <n v="3739.32"/>
    <s v="Completed"/>
    <x v="0"/>
    <s v="Sports"/>
    <s v="Retail"/>
    <n v="35"/>
    <s v="East"/>
    <s v="R020"/>
    <n v="906107.71000000008"/>
    <s v="East"/>
    <s v="Sports"/>
    <n v="302"/>
  </r>
  <r>
    <s v="ORD-01678"/>
    <d v="2024-10-09T00:00:00"/>
    <s v="CUST-0030"/>
    <s v="PROD-042"/>
    <s v="R026"/>
    <n v="5"/>
    <n v="2290"/>
    <n v="27.6"/>
    <n v="8289.7999999999993"/>
    <s v="Completed"/>
    <x v="4"/>
    <s v="Beauty"/>
    <s v="Corporate"/>
    <n v="43"/>
    <s v="West"/>
    <s v="R026"/>
    <n v="576305.08000000019"/>
    <s v="West"/>
    <s v="Beauty"/>
    <n v="1219"/>
  </r>
  <r>
    <s v="ORD-01679"/>
    <d v="2024-06-19T00:00:00"/>
    <s v="CUST-0166"/>
    <s v="PROD-007"/>
    <s v="R029"/>
    <n v="6"/>
    <n v="1430"/>
    <n v="18.399999999999999"/>
    <n v="7001.28"/>
    <s v="Pending"/>
    <x v="5"/>
    <s v="Electronics"/>
    <s v="Retail"/>
    <n v="31"/>
    <s v="West"/>
    <s v="R029"/>
    <n v="1016696.8000000002"/>
    <s v="West"/>
    <s v="Electronics"/>
    <n v="861"/>
  </r>
  <r>
    <s v="ORD-01680"/>
    <d v="2024-02-14T00:00:00"/>
    <s v="CUST-0188"/>
    <s v="PROD-055"/>
    <s v="R002"/>
    <n v="7"/>
    <n v="2860"/>
    <n v="19.5"/>
    <n v="16116.1"/>
    <s v="Completed"/>
    <x v="4"/>
    <s v="Sports"/>
    <s v="Retail"/>
    <n v="54"/>
    <s v="North"/>
    <s v="R002"/>
    <n v="980063.65999999968"/>
    <s v="North"/>
    <s v="Sports"/>
    <n v="2028"/>
  </r>
  <r>
    <s v="ORD-01681"/>
    <d v="2024-05-27T00:00:00"/>
    <s v="CUST-0097"/>
    <s v="PROD-047"/>
    <s v="R020"/>
    <n v="8"/>
    <n v="3450"/>
    <n v="25.5"/>
    <n v="20562"/>
    <s v="Pending"/>
    <x v="3"/>
    <s v="Beauty"/>
    <s v="Retail"/>
    <n v="65"/>
    <s v="East"/>
    <s v="R020"/>
    <n v="906107.71000000008"/>
    <s v="East"/>
    <s v="Beauty"/>
    <n v="2420"/>
  </r>
  <r>
    <s v="ORD-01682"/>
    <d v="2024-10-13T00:00:00"/>
    <s v="CUST-0026"/>
    <s v="PROD-052"/>
    <s v="R019"/>
    <n v="7"/>
    <n v="5410"/>
    <n v="15.2"/>
    <n v="32113.759999999998"/>
    <s v="Cancelled"/>
    <x v="0"/>
    <s v="Sports"/>
    <s v="Retail"/>
    <n v="62"/>
    <s v="East"/>
    <s v="R019"/>
    <n v="971183.52000000014"/>
    <s v="East"/>
    <s v="Sports"/>
    <n v="2265"/>
  </r>
  <r>
    <s v="ORD-01683"/>
    <d v="2024-10-23T00:00:00"/>
    <s v="CUST-0026"/>
    <s v="PROD-040"/>
    <s v="R025"/>
    <n v="3"/>
    <n v="1080"/>
    <n v="26"/>
    <n v="2397.6"/>
    <s v="Completed"/>
    <x v="0"/>
    <s v="Home"/>
    <s v="Retail"/>
    <n v="62"/>
    <s v="West"/>
    <s v="R025"/>
    <n v="901298.89"/>
    <s v="West"/>
    <s v="Home"/>
    <n v="519"/>
  </r>
  <r>
    <s v="ORD-01684"/>
    <d v="2024-03-03T00:00:00"/>
    <s v="CUST-0020"/>
    <s v="PROD-055"/>
    <s v="R019"/>
    <n v="8"/>
    <n v="2860"/>
    <n v="14.8"/>
    <n v="19493.759999999998"/>
    <s v="Completed"/>
    <x v="5"/>
    <s v="Sports"/>
    <s v="Retail"/>
    <n v="46"/>
    <s v="East"/>
    <s v="R019"/>
    <n v="971183.52000000014"/>
    <s v="East"/>
    <s v="Sports"/>
    <n v="2028"/>
  </r>
  <r>
    <s v="ORD-01685"/>
    <d v="2024-02-10T00:00:00"/>
    <s v="CUST-9740"/>
    <s v="PROD-045"/>
    <s v="R013"/>
    <n v="4"/>
    <n v="3020"/>
    <n v="8.1"/>
    <n v="11101.52"/>
    <s v="Completed"/>
    <x v="5"/>
    <s v="Beauty"/>
    <e v="#N/A"/>
    <e v="#N/A"/>
    <s v="South"/>
    <s v="R013"/>
    <n v="811524.37999999989"/>
    <s v="South"/>
    <s v="Beauty"/>
    <n v="1626"/>
  </r>
  <r>
    <s v="ORD-01686"/>
    <d v="2024-12-23T00:00:00"/>
    <s v="CUST-0095"/>
    <s v="PROD-057"/>
    <s v="R025"/>
    <n v="4"/>
    <n v="960"/>
    <n v="6.4"/>
    <n v="3594.24"/>
    <s v="Cancelled"/>
    <x v="3"/>
    <s v="Sports"/>
    <s v="SMB"/>
    <n v="54"/>
    <s v="West"/>
    <s v="R025"/>
    <n v="901298.89"/>
    <s v="West"/>
    <s v="Sports"/>
    <n v="705"/>
  </r>
  <r>
    <s v="ORD-01687"/>
    <d v="2024-10-31T00:00:00"/>
    <s v="CUST-0079"/>
    <s v="PROD-004"/>
    <s v="R029"/>
    <n v="4"/>
    <n v="3870"/>
    <n v="15.9"/>
    <n v="13018.68"/>
    <s v="Completed"/>
    <x v="3"/>
    <s v="Electronics"/>
    <s v="Corporate"/>
    <n v="60"/>
    <s v="West"/>
    <s v="R029"/>
    <n v="1016696.8000000002"/>
    <s v="West"/>
    <s v="Electronics"/>
    <n v="1559"/>
  </r>
  <r>
    <s v="ORD-01688"/>
    <d v="2024-03-27T00:00:00"/>
    <s v="CUST-0060"/>
    <s v="PROD-012"/>
    <s v="R020"/>
    <n v="5"/>
    <n v="3160"/>
    <n v="29.8"/>
    <n v="11091.6"/>
    <s v="Completed"/>
    <x v="0"/>
    <s v="Apparel"/>
    <s v="Retail"/>
    <n v="39"/>
    <s v="East"/>
    <s v="R020"/>
    <n v="906107.71000000008"/>
    <s v="East"/>
    <s v="Apparel"/>
    <n v="1886"/>
  </r>
  <r>
    <s v="ORD-01689"/>
    <d v="2024-04-21T00:00:00"/>
    <s v="CUST-0080"/>
    <s v="PROD-047"/>
    <s v="R027"/>
    <n v="5"/>
    <n v="3450"/>
    <n v="29.4"/>
    <n v="12178.5"/>
    <s v="Completed"/>
    <x v="0"/>
    <s v="Beauty"/>
    <s v="SMB"/>
    <n v="30"/>
    <s v="West"/>
    <s v="R027"/>
    <n v="917092.61999999965"/>
    <s v="West"/>
    <s v="Beauty"/>
    <n v="2420"/>
  </r>
  <r>
    <s v="ORD-01690"/>
    <d v="2024-08-31T00:00:00"/>
    <s v="CUST-0136"/>
    <s v="PROD-049"/>
    <s v="R018"/>
    <n v="10"/>
    <n v="960"/>
    <n v="27"/>
    <n v="7008"/>
    <s v="Cancelled"/>
    <x v="1"/>
    <s v="Beauty"/>
    <s v="SMB"/>
    <n v="26"/>
    <s v="East"/>
    <s v="R018"/>
    <n v="1112289.6400000001"/>
    <s v="East"/>
    <s v="Beauty"/>
    <n v="675"/>
  </r>
  <r>
    <s v="ORD-01691"/>
    <d v="2024-05-17T00:00:00"/>
    <s v="CUST-0074"/>
    <s v="PROD-056"/>
    <s v="R018"/>
    <n v="10"/>
    <n v="6940"/>
    <n v="20.100000000000001"/>
    <n v="55450.6"/>
    <s v="Completed"/>
    <x v="4"/>
    <s v="Sports"/>
    <s v="Retail"/>
    <n v="27"/>
    <s v="East"/>
    <s v="R018"/>
    <n v="1112289.6400000001"/>
    <s v="East"/>
    <s v="Sports"/>
    <n v="2827"/>
  </r>
  <r>
    <s v="ORD-01692"/>
    <d v="2024-05-24T00:00:00"/>
    <s v="CUST-0090"/>
    <s v="PROD-058"/>
    <s v="R009"/>
    <n v="9"/>
    <n v="2400"/>
    <n v="7.8"/>
    <n v="19915.2"/>
    <s v="Completed"/>
    <x v="4"/>
    <s v="Sports"/>
    <s v="Corporate"/>
    <n v="26"/>
    <s v="South"/>
    <s v="R009"/>
    <n v="914554.71999999986"/>
    <s v="South"/>
    <s v="Sports"/>
    <n v="974"/>
  </r>
  <r>
    <s v="ORD-01693"/>
    <d v="2024-04-15T00:00:00"/>
    <s v="CUST-0300"/>
    <s v="PROD-052"/>
    <s v="R017"/>
    <n v="1"/>
    <n v="5410"/>
    <n v="22.8"/>
    <n v="4176.5200000000004"/>
    <s v="Completed"/>
    <x v="3"/>
    <s v="Sports"/>
    <s v="Retail"/>
    <n v="38"/>
    <s v="East"/>
    <s v="R017"/>
    <n v="780384.40999999992"/>
    <s v="East"/>
    <s v="Sports"/>
    <n v="2265"/>
  </r>
  <r>
    <s v="ORD-01694"/>
    <d v="2024-12-03T00:00:00"/>
    <s v="CUST-0188"/>
    <s v="PROD-009"/>
    <s v="R004"/>
    <n v="7"/>
    <n v="1220"/>
    <n v="18.8"/>
    <n v="6934.48"/>
    <s v="Pending"/>
    <x v="4"/>
    <s v="Electronics"/>
    <s v="Retail"/>
    <n v="54"/>
    <s v="North"/>
    <s v="R004"/>
    <n v="589026.2899999998"/>
    <s v="North"/>
    <s v="Electronics"/>
    <n v="517"/>
  </r>
  <r>
    <s v="ORD-01695"/>
    <d v="2024-10-30T00:00:00"/>
    <s v="CUST-0250"/>
    <s v="PROD-035"/>
    <s v="R019"/>
    <n v="1"/>
    <n v="1090"/>
    <n v="23.5"/>
    <n v="833.85"/>
    <s v="Completed"/>
    <x v="2"/>
    <s v="Home"/>
    <s v="Retail"/>
    <n v="31"/>
    <s v="East"/>
    <s v="R019"/>
    <n v="971183.52000000014"/>
    <s v="East"/>
    <s v="Home"/>
    <n v="464"/>
  </r>
  <r>
    <s v="ORD-01696"/>
    <d v="2024-08-27T00:00:00"/>
    <s v="CUST-0195"/>
    <s v="PROD-021"/>
    <s v="R023"/>
    <n v="2"/>
    <n v="2760"/>
    <n v="2.2999999999999998"/>
    <n v="5393.04"/>
    <s v="Completed"/>
    <x v="4"/>
    <s v="Grocery"/>
    <s v="Retail"/>
    <n v="28"/>
    <s v="East"/>
    <s v="R023"/>
    <n v="983787.4800000001"/>
    <s v="East"/>
    <s v="Grocery"/>
    <n v="1435"/>
  </r>
  <r>
    <s v="ORD-01697"/>
    <d v="2024-11-30T00:00:00"/>
    <s v="CUST-0185"/>
    <s v="PROD-003"/>
    <s v="R026"/>
    <n v="3"/>
    <n v="3570"/>
    <n v="18.399999999999999"/>
    <n v="8739.36"/>
    <s v="Refunded"/>
    <x v="5"/>
    <s v="Electronics"/>
    <s v="SMB"/>
    <n v="43"/>
    <s v="West"/>
    <s v="R026"/>
    <n v="576305.08000000019"/>
    <s v="West"/>
    <s v="Electronics"/>
    <n v="1665"/>
  </r>
  <r>
    <s v="ORD-01698"/>
    <d v="2024-07-29T00:00:00"/>
    <s v="CUST-0256"/>
    <s v="PROD-009"/>
    <s v="R004"/>
    <n v="7"/>
    <n v="1220"/>
    <n v="25.8"/>
    <n v="6336.68"/>
    <s v="Refunded"/>
    <x v="5"/>
    <s v="Electronics"/>
    <s v="Retail"/>
    <n v="28"/>
    <s v="North"/>
    <s v="R004"/>
    <n v="589026.2899999998"/>
    <s v="North"/>
    <s v="Electronics"/>
    <n v="517"/>
  </r>
  <r>
    <s v="ORD-01699"/>
    <d v="2024-07-28T00:00:00"/>
    <s v="CUST-0060"/>
    <s v="PROD-051"/>
    <s v="R029"/>
    <n v="6"/>
    <n v="3450"/>
    <n v="13.1"/>
    <n v="17988.3"/>
    <s v="Completed"/>
    <x v="0"/>
    <s v="Sports"/>
    <s v="Retail"/>
    <n v="39"/>
    <s v="West"/>
    <s v="R029"/>
    <n v="1016696.8000000002"/>
    <s v="West"/>
    <s v="Sports"/>
    <n v="2467"/>
  </r>
  <r>
    <s v="ORD-01700"/>
    <d v="2024-05-23T00:00:00"/>
    <s v="CUST-0275"/>
    <s v="PROD-029"/>
    <s v="R004"/>
    <n v="10"/>
    <n v="2210"/>
    <n v="16.600000000000001"/>
    <n v="18431.400000000001"/>
    <s v="Completed"/>
    <x v="3"/>
    <s v="Grocery"/>
    <s v="Retail"/>
    <n v="36"/>
    <s v="North"/>
    <s v="R004"/>
    <n v="589026.2899999998"/>
    <s v="North"/>
    <s v="Grocery"/>
    <n v="1010"/>
  </r>
  <r>
    <s v="ORD-01701"/>
    <d v="2024-01-04T00:00:00"/>
    <s v="CUST-0114"/>
    <s v="PROD-019"/>
    <s v="R027"/>
    <n v="10"/>
    <n v="2480"/>
    <n v="17.5"/>
    <n v="20460"/>
    <s v="Completed"/>
    <x v="4"/>
    <s v="Apparel"/>
    <s v="Corporate"/>
    <n v="42"/>
    <s v="West"/>
    <s v="R027"/>
    <n v="917092.61999999965"/>
    <s v="West"/>
    <s v="Apparel"/>
    <n v="1173"/>
  </r>
  <r>
    <s v="ORD-01702"/>
    <d v="2024-10-01T00:00:00"/>
    <s v="CUST-0060"/>
    <s v="PROD-036"/>
    <s v="R019"/>
    <n v="9"/>
    <n v="3250"/>
    <n v="25.9"/>
    <n v="21674.25"/>
    <s v="Completed"/>
    <x v="0"/>
    <s v="Home"/>
    <s v="Retail"/>
    <n v="39"/>
    <s v="East"/>
    <s v="R019"/>
    <n v="971183.52000000014"/>
    <s v="East"/>
    <s v="Home"/>
    <n v="1556"/>
  </r>
  <r>
    <s v="ORD-01703"/>
    <d v="2024-07-01T00:00:00"/>
    <s v="CUST-0039"/>
    <s v="PROD-058"/>
    <s v="R008"/>
    <n v="3"/>
    <n v="2400"/>
    <n v="17.5"/>
    <n v="5940"/>
    <s v="Completed"/>
    <x v="4"/>
    <s v="Sports"/>
    <s v="Retail"/>
    <n v="37"/>
    <s v="North"/>
    <s v="R008"/>
    <n v="861553.33"/>
    <s v="North"/>
    <s v="Sports"/>
    <n v="974"/>
  </r>
  <r>
    <s v="ORD-01704"/>
    <d v="2024-03-21T00:00:00"/>
    <s v="CUST-0033"/>
    <s v="PROD-052"/>
    <s v="R006"/>
    <n v="8"/>
    <n v="5410"/>
    <n v="8.3000000000000007"/>
    <n v="39687.760000000002"/>
    <s v="Completed"/>
    <x v="2"/>
    <s v="Sports"/>
    <s v="Retail"/>
    <n v="35"/>
    <s v="North"/>
    <s v="R006"/>
    <n v="1138648.73"/>
    <s v="North"/>
    <s v="Sports"/>
    <n v="2265"/>
  </r>
  <r>
    <s v="ORD-01705"/>
    <d v="2024-11-26T00:00:00"/>
    <s v="CUST-0037"/>
    <s v="PROD-002"/>
    <s v="R018"/>
    <n v="1"/>
    <n v="2600"/>
    <n v="5.9"/>
    <n v="2446.6"/>
    <s v="Completed"/>
    <x v="4"/>
    <s v="Electronics"/>
    <s v="Retail"/>
    <n v="52"/>
    <s v="East"/>
    <s v="R018"/>
    <n v="1112289.6400000001"/>
    <s v="East"/>
    <s v="Electronics"/>
    <n v="1052"/>
  </r>
  <r>
    <s v="ORD-01706"/>
    <d v="2024-11-07T00:00:00"/>
    <s v="CUST-0081"/>
    <s v="PROD-025"/>
    <s v="R003"/>
    <n v="10"/>
    <n v="4060"/>
    <n v="2.2999999999999998"/>
    <n v="39666.199999999997"/>
    <s v="Completed"/>
    <x v="3"/>
    <s v="Grocery"/>
    <s v="Retail"/>
    <n v="25"/>
    <s v="North"/>
    <s v="R003"/>
    <n v="986692.91"/>
    <s v="North"/>
    <s v="Grocery"/>
    <n v="2911"/>
  </r>
  <r>
    <s v="ORD-01707"/>
    <d v="2024-03-01T00:00:00"/>
    <s v="CUST-0279"/>
    <s v="PROD-001"/>
    <s v="R020"/>
    <n v="9"/>
    <n v="5330"/>
    <n v="23.5"/>
    <n v="36697.050000000003"/>
    <s v="Completed"/>
    <x v="3"/>
    <s v="Electronics"/>
    <s v="Retail"/>
    <n v="56"/>
    <s v="East"/>
    <s v="R020"/>
    <n v="906107.71000000008"/>
    <s v="East"/>
    <s v="Electronics"/>
    <n v="2405"/>
  </r>
  <r>
    <s v="ORD-01708"/>
    <d v="2024-11-04T00:00:00"/>
    <s v="CUST-0129"/>
    <s v="PROD-043"/>
    <s v="R025"/>
    <n v="7"/>
    <n v="3350"/>
    <n v="13.4"/>
    <n v="20307.7"/>
    <s v="Pending"/>
    <x v="5"/>
    <s v="Beauty"/>
    <s v="Retail"/>
    <n v="29"/>
    <s v="West"/>
    <s v="R025"/>
    <n v="901298.89"/>
    <s v="West"/>
    <s v="Beauty"/>
    <n v="1728"/>
  </r>
  <r>
    <s v="ORD-01709"/>
    <d v="2024-12-05T00:00:00"/>
    <s v="CUST-0010"/>
    <s v="PROD-017"/>
    <s v="R014"/>
    <n v="4"/>
    <n v="2510"/>
    <n v="26.6"/>
    <n v="7369.36"/>
    <s v="Completed"/>
    <x v="3"/>
    <s v="Apparel"/>
    <s v="SMB"/>
    <n v="61"/>
    <s v="South"/>
    <s v="R014"/>
    <n v="995713.54000000015"/>
    <s v="South"/>
    <s v="Apparel"/>
    <n v="1075"/>
  </r>
  <r>
    <s v="ORD-01710"/>
    <d v="2024-06-13T00:00:00"/>
    <s v="CUST-0006"/>
    <s v="PROD-045"/>
    <s v="R021"/>
    <n v="1"/>
    <n v="3020"/>
    <n v="15.2"/>
    <n v="2560.96"/>
    <s v="Cancelled"/>
    <x v="0"/>
    <s v="Beauty"/>
    <s v="SMB"/>
    <n v="44"/>
    <s v="East"/>
    <s v="R021"/>
    <n v="761507.17000000027"/>
    <s v="East"/>
    <s v="Beauty"/>
    <n v="1626"/>
  </r>
  <r>
    <s v="ORD-01711"/>
    <d v="2024-09-04T00:00:00"/>
    <s v="CUST-0206"/>
    <s v="PROD-020"/>
    <s v="R029"/>
    <n v="1"/>
    <n v="820"/>
    <n v="6.3"/>
    <n v="768.34"/>
    <s v="Completed"/>
    <x v="3"/>
    <s v="Apparel"/>
    <s v="Retail"/>
    <n v="40"/>
    <s v="West"/>
    <s v="R029"/>
    <n v="1016696.8000000002"/>
    <s v="West"/>
    <s v="Apparel"/>
    <n v="391"/>
  </r>
  <r>
    <s v="ORD-01712"/>
    <d v="2024-07-15T00:00:00"/>
    <s v="CUST-0034"/>
    <s v="PROD-012"/>
    <s v="R027"/>
    <n v="4"/>
    <n v="3160"/>
    <n v="3.6"/>
    <n v="12184.96"/>
    <s v="Pending"/>
    <x v="2"/>
    <s v="Apparel"/>
    <s v="Retail"/>
    <n v="47"/>
    <s v="West"/>
    <s v="R027"/>
    <n v="917092.61999999965"/>
    <s v="West"/>
    <s v="Apparel"/>
    <n v="1886"/>
  </r>
  <r>
    <s v="ORD-01713"/>
    <d v="2024-03-19T00:00:00"/>
    <s v="CUST-0121"/>
    <s v="PROD-028"/>
    <s v="R012"/>
    <n v="1"/>
    <n v="3660"/>
    <n v="28.2"/>
    <n v="2627.88"/>
    <s v="Pending"/>
    <x v="2"/>
    <s v="Grocery"/>
    <s v="SMB"/>
    <n v="55"/>
    <s v="South"/>
    <s v="R012"/>
    <n v="901394.32000000007"/>
    <s v="South"/>
    <s v="Grocery"/>
    <n v="2214"/>
  </r>
  <r>
    <s v="ORD-01714"/>
    <d v="2024-04-12T00:00:00"/>
    <s v="CUST-0098"/>
    <s v="PROD-020"/>
    <s v="R026"/>
    <n v="2"/>
    <n v="820"/>
    <n v="7"/>
    <n v="1525.2"/>
    <s v="Completed"/>
    <x v="2"/>
    <s v="Apparel"/>
    <s v="Retail"/>
    <n v="52"/>
    <s v="West"/>
    <s v="R026"/>
    <n v="576305.08000000019"/>
    <s v="West"/>
    <s v="Apparel"/>
    <n v="391"/>
  </r>
  <r>
    <s v="ORD-01715"/>
    <d v="2024-06-03T00:00:00"/>
    <s v="CUST-0031"/>
    <s v="PROD-023"/>
    <s v="R022"/>
    <n v="5"/>
    <n v="2380"/>
    <n v="23"/>
    <n v="9163"/>
    <s v="Completed"/>
    <x v="5"/>
    <s v="Grocery"/>
    <s v="Retail"/>
    <n v="53"/>
    <s v="East"/>
    <s v="R022"/>
    <n v="1069570.5400000003"/>
    <s v="East"/>
    <s v="Grocery"/>
    <n v="1182"/>
  </r>
  <r>
    <s v="ORD-01716"/>
    <d v="2024-11-16T00:00:00"/>
    <s v="CUST-0185"/>
    <s v="PROD-004"/>
    <s v="R013"/>
    <n v="1"/>
    <n v="3870"/>
    <n v="27.3"/>
    <n v="2813.49"/>
    <s v="Completed"/>
    <x v="5"/>
    <s v="Electronics"/>
    <s v="SMB"/>
    <n v="43"/>
    <s v="South"/>
    <s v="R013"/>
    <n v="811524.37999999989"/>
    <s v="South"/>
    <s v="Electronics"/>
    <n v="1559"/>
  </r>
  <r>
    <s v="ORD-01717"/>
    <d v="2024-01-10T00:00:00"/>
    <s v="CUST-0011"/>
    <s v="PROD-005"/>
    <s v="R007"/>
    <n v="10"/>
    <n v="300"/>
    <n v="14.1"/>
    <n v="2577"/>
    <s v="Cancelled"/>
    <x v="1"/>
    <s v="Electronics"/>
    <s v="Corporate"/>
    <n v="41"/>
    <s v="North"/>
    <s v="R007"/>
    <n v="855749.67999999982"/>
    <s v="North"/>
    <s v="Electronics"/>
    <n v="128"/>
  </r>
  <r>
    <s v="ORD-01718"/>
    <d v="2024-12-21T00:00:00"/>
    <s v="CUST-0223"/>
    <s v="PROD-048"/>
    <s v="R027"/>
    <n v="10"/>
    <n v="5100"/>
    <n v="12.7"/>
    <n v="44523"/>
    <s v="Completed"/>
    <x v="4"/>
    <s v="Beauty"/>
    <s v="Retail"/>
    <n v="46"/>
    <s v="West"/>
    <s v="R027"/>
    <n v="917092.61999999965"/>
    <s v="West"/>
    <s v="Beauty"/>
    <n v="2237"/>
  </r>
  <r>
    <s v="ORD-01719"/>
    <d v="2024-10-24T00:00:00"/>
    <s v="CUST-0126"/>
    <s v="PROD-021"/>
    <s v="R013"/>
    <n v="1"/>
    <n v="2760"/>
    <n v="17.8"/>
    <n v="2268.7199999999998"/>
    <s v="Refunded"/>
    <x v="3"/>
    <s v="Grocery"/>
    <s v="Retail"/>
    <n v="37"/>
    <s v="South"/>
    <s v="R013"/>
    <n v="811524.37999999989"/>
    <s v="South"/>
    <s v="Grocery"/>
    <n v="1435"/>
  </r>
  <r>
    <s v="ORD-01720"/>
    <d v="2024-03-31T00:00:00"/>
    <s v="CUST-0284"/>
    <s v="PROD-001"/>
    <s v="R002"/>
    <n v="8"/>
    <n v="5330"/>
    <n v="16.399999999999999"/>
    <n v="35647.040000000001"/>
    <s v="Completed"/>
    <x v="5"/>
    <s v="Electronics"/>
    <s v="SMB"/>
    <n v="65"/>
    <s v="North"/>
    <s v="R002"/>
    <n v="980063.65999999968"/>
    <s v="North"/>
    <s v="Electronics"/>
    <n v="2405"/>
  </r>
  <r>
    <s v="ORD-01721"/>
    <d v="2024-06-14T00:00:00"/>
    <s v="CUST-0011"/>
    <s v="PROD-054"/>
    <s v="R016"/>
    <n v="1"/>
    <n v="1010"/>
    <n v="20.399999999999999"/>
    <n v="803.96"/>
    <s v="Cancelled"/>
    <x v="1"/>
    <s v="Sports"/>
    <s v="Corporate"/>
    <n v="41"/>
    <s v="South"/>
    <s v="R016"/>
    <n v="814563.7100000002"/>
    <s v="South"/>
    <s v="Sports"/>
    <n v="516"/>
  </r>
  <r>
    <s v="ORD-01722"/>
    <d v="2024-03-25T00:00:00"/>
    <s v="CUST-0275"/>
    <s v="PROD-008"/>
    <s v="R019"/>
    <n v="10"/>
    <n v="2660"/>
    <n v="29.3"/>
    <n v="18806.2"/>
    <s v="Completed"/>
    <x v="3"/>
    <s v="Electronics"/>
    <s v="Retail"/>
    <n v="36"/>
    <s v="East"/>
    <s v="R019"/>
    <n v="971183.52000000014"/>
    <s v="East"/>
    <s v="Electronics"/>
    <n v="1259"/>
  </r>
  <r>
    <s v="ORD-01723"/>
    <d v="2024-08-02T00:00:00"/>
    <s v="CUST-0259"/>
    <s v="PROD-006"/>
    <s v="R011"/>
    <n v="9"/>
    <n v="3970"/>
    <n v="10.4"/>
    <n v="32014.080000000002"/>
    <s v="Pending"/>
    <x v="3"/>
    <s v="Electronics"/>
    <s v="Retail"/>
    <n v="34"/>
    <s v="South"/>
    <s v="R011"/>
    <n v="735207.75999999989"/>
    <s v="South"/>
    <s v="Electronics"/>
    <n v="2865"/>
  </r>
  <r>
    <s v="ORD-01724"/>
    <d v="2024-06-29T00:00:00"/>
    <s v="CUST-0089"/>
    <s v="PROD-014"/>
    <s v="R008"/>
    <n v="3"/>
    <n v="3620"/>
    <n v="22"/>
    <n v="8470.7999999999993"/>
    <s v="Completed"/>
    <x v="3"/>
    <s v="Apparel"/>
    <s v="SMB"/>
    <n v="43"/>
    <s v="North"/>
    <s v="R008"/>
    <n v="861553.33"/>
    <s v="North"/>
    <s v="Apparel"/>
    <n v="2509"/>
  </r>
  <r>
    <s v="ORD-01725"/>
    <d v="2024-04-01T00:00:00"/>
    <s v="CUST-0232"/>
    <s v="PROD-022"/>
    <s v="R018"/>
    <n v="6"/>
    <n v="2270"/>
    <n v="11.1"/>
    <n v="12108.18"/>
    <s v="Cancelled"/>
    <x v="5"/>
    <s v="Grocery"/>
    <s v="Retail"/>
    <n v="38"/>
    <s v="East"/>
    <s v="R018"/>
    <n v="1112289.6400000001"/>
    <s v="East"/>
    <s v="Grocery"/>
    <n v="1412"/>
  </r>
  <r>
    <s v="ORD-01726"/>
    <d v="2024-09-08T00:00:00"/>
    <s v="CUST-0220"/>
    <s v="PROD-022"/>
    <s v="R014"/>
    <n v="4"/>
    <n v="2270"/>
    <n v="27.2"/>
    <n v="6610.24"/>
    <s v="Pending"/>
    <x v="1"/>
    <s v="Grocery"/>
    <s v="Retail"/>
    <n v="34"/>
    <s v="South"/>
    <s v="R014"/>
    <n v="995713.54000000015"/>
    <s v="South"/>
    <s v="Grocery"/>
    <n v="1412"/>
  </r>
  <r>
    <s v="ORD-01727"/>
    <d v="2024-10-11T00:00:00"/>
    <s v="CUST-0137"/>
    <s v="PROD-039"/>
    <s v="R012"/>
    <n v="8"/>
    <n v="4610"/>
    <n v="24.5"/>
    <n v="27844.400000000001"/>
    <s v="Completed"/>
    <x v="3"/>
    <s v="Home"/>
    <s v="Retail"/>
    <n v="41"/>
    <s v="South"/>
    <s v="R012"/>
    <n v="901394.32000000007"/>
    <s v="South"/>
    <s v="Home"/>
    <n v="1850"/>
  </r>
  <r>
    <s v="ORD-01728"/>
    <d v="2024-03-15T00:00:00"/>
    <s v="CUST-0132"/>
    <s v="PROD-060"/>
    <s v="R020"/>
    <n v="6"/>
    <n v="190"/>
    <n v="8.6999999999999993"/>
    <n v="1040.82"/>
    <s v="Cancelled"/>
    <x v="2"/>
    <s v="Sports"/>
    <s v="Retail"/>
    <n v="41"/>
    <s v="East"/>
    <s v="R020"/>
    <n v="906107.71000000008"/>
    <s v="East"/>
    <s v="Sports"/>
    <n v="147"/>
  </r>
  <r>
    <s v="ORD-01729"/>
    <d v="2024-11-21T00:00:00"/>
    <s v="CUST-0226"/>
    <s v="PROD-033"/>
    <s v="R026"/>
    <n v="5"/>
    <n v="2030"/>
    <n v="0.9"/>
    <n v="10058.65"/>
    <s v="Cancelled"/>
    <x v="1"/>
    <s v="Home"/>
    <s v="Corporate"/>
    <n v="52"/>
    <s v="West"/>
    <s v="R026"/>
    <n v="576305.08000000019"/>
    <s v="West"/>
    <s v="Home"/>
    <n v="1143"/>
  </r>
  <r>
    <s v="ORD-01730"/>
    <d v="2024-11-18T00:00:00"/>
    <s v="CUST-0080"/>
    <s v="PROD-026"/>
    <s v="R020"/>
    <n v="1"/>
    <n v="4070"/>
    <n v="9.3000000000000007"/>
    <n v="3691.49"/>
    <s v="Refunded"/>
    <x v="0"/>
    <s v="Grocery"/>
    <s v="SMB"/>
    <n v="30"/>
    <s v="East"/>
    <s v="R020"/>
    <n v="906107.71000000008"/>
    <s v="East"/>
    <s v="Grocery"/>
    <n v="2027"/>
  </r>
  <r>
    <s v="ORD-01731"/>
    <d v="2024-06-17T00:00:00"/>
    <s v="CUST-0068"/>
    <s v="PROD-042"/>
    <s v="R001"/>
    <n v="3"/>
    <n v="2290"/>
    <n v="12.1"/>
    <n v="6038.73"/>
    <s v="Completed"/>
    <x v="2"/>
    <s v="Beauty"/>
    <s v="SMB"/>
    <n v="48"/>
    <s v="North"/>
    <s v="R001"/>
    <n v="789849.60000000009"/>
    <s v="North"/>
    <s v="Beauty"/>
    <n v="1219"/>
  </r>
  <r>
    <s v="ORD-01732"/>
    <d v="2024-08-10T00:00:00"/>
    <s v="CUST-0146"/>
    <s v="PROD-031"/>
    <s v="R020"/>
    <n v="7"/>
    <n v="3730"/>
    <n v="4.5"/>
    <n v="24935.05"/>
    <s v="Completed"/>
    <x v="5"/>
    <s v="Home"/>
    <s v="Retail"/>
    <n v="22"/>
    <s v="East"/>
    <s v="R020"/>
    <n v="906107.71000000008"/>
    <s v="East"/>
    <s v="Home"/>
    <n v="2135"/>
  </r>
  <r>
    <s v="ORD-01733"/>
    <d v="2024-01-15T00:00:00"/>
    <s v="CUST-0106"/>
    <s v="PROD-016"/>
    <s v="R005"/>
    <n v="5"/>
    <n v="620"/>
    <n v="7.5"/>
    <n v="2867.5"/>
    <s v="Completed"/>
    <x v="0"/>
    <s v="Apparel"/>
    <s v="Retail"/>
    <n v="22"/>
    <s v="North"/>
    <s v="R005"/>
    <n v="782445.33"/>
    <s v="North"/>
    <s v="Apparel"/>
    <n v="396"/>
  </r>
  <r>
    <s v="ORD-01734"/>
    <d v="2024-06-12T00:00:00"/>
    <s v="CUST-0096"/>
    <s v="PROD-010"/>
    <s v="R010"/>
    <n v="8"/>
    <n v="2640"/>
    <n v="16.399999999999999"/>
    <n v="17656.32"/>
    <s v="Completed"/>
    <x v="2"/>
    <s v="Electronics"/>
    <s v="Corporate"/>
    <n v="27"/>
    <s v="South"/>
    <s v="R010"/>
    <n v="880345.20000000007"/>
    <s v="South"/>
    <s v="Electronics"/>
    <n v="1149"/>
  </r>
  <r>
    <s v="ORD-01735"/>
    <d v="2024-09-29T00:00:00"/>
    <s v="CUST-0248"/>
    <s v="PROD-028"/>
    <s v="R004"/>
    <n v="6"/>
    <n v="3660"/>
    <n v="6.2"/>
    <n v="20598.48"/>
    <s v="Completed"/>
    <x v="1"/>
    <s v="Grocery"/>
    <s v="SMB"/>
    <n v="57"/>
    <s v="North"/>
    <s v="R004"/>
    <n v="589026.2899999998"/>
    <s v="North"/>
    <s v="Grocery"/>
    <n v="2214"/>
  </r>
  <r>
    <s v="ORD-01736"/>
    <d v="2024-08-03T00:00:00"/>
    <s v="CUST-0297"/>
    <s v="PROD-020"/>
    <s v="R020"/>
    <n v="2"/>
    <n v="820"/>
    <n v="25.4"/>
    <n v="1223.44"/>
    <s v="Completed"/>
    <x v="5"/>
    <s v="Apparel"/>
    <s v="Retail"/>
    <n v="50"/>
    <s v="East"/>
    <s v="R020"/>
    <n v="906107.71000000008"/>
    <s v="East"/>
    <s v="Apparel"/>
    <n v="391"/>
  </r>
  <r>
    <s v="ORD-01737"/>
    <d v="2024-10-31T00:00:00"/>
    <s v="CUST-0120"/>
    <s v="PROD-019"/>
    <s v="R021"/>
    <n v="3"/>
    <n v="2480"/>
    <n v="28.7"/>
    <n v="5304.72"/>
    <s v="Pending"/>
    <x v="3"/>
    <s v="Apparel"/>
    <s v="Retail"/>
    <n v="29"/>
    <s v="East"/>
    <s v="R021"/>
    <n v="761507.17000000027"/>
    <s v="East"/>
    <s v="Apparel"/>
    <n v="1173"/>
  </r>
  <r>
    <s v="ORD-01738"/>
    <d v="2024-08-30T00:00:00"/>
    <s v="CUST-0148"/>
    <s v="PROD-050"/>
    <s v="R028"/>
    <n v="10"/>
    <n v="6080"/>
    <n v="18.899999999999999"/>
    <n v="49308.800000000003"/>
    <s v="Completed"/>
    <x v="1"/>
    <s v="Beauty"/>
    <s v="Retail"/>
    <n v="32"/>
    <s v="West"/>
    <s v="R028"/>
    <n v="880468.05"/>
    <s v="West"/>
    <s v="Beauty"/>
    <n v="2617"/>
  </r>
  <r>
    <s v="ORD-01739"/>
    <d v="2024-02-14T00:00:00"/>
    <s v="CUST-0008"/>
    <s v="PROD-060"/>
    <s v="R022"/>
    <n v="1"/>
    <n v="190"/>
    <n v="5.7"/>
    <n v="179.17"/>
    <s v="Completed"/>
    <x v="0"/>
    <s v="Sports"/>
    <s v="SMB"/>
    <n v="39"/>
    <s v="East"/>
    <s v="R022"/>
    <n v="1069570.5400000003"/>
    <s v="East"/>
    <s v="Sports"/>
    <n v="147"/>
  </r>
  <r>
    <s v="ORD-01740"/>
    <d v="2024-06-20T00:00:00"/>
    <s v="CUST-0013"/>
    <s v="PROD-059"/>
    <s v="R026"/>
    <n v="2"/>
    <n v="3780"/>
    <n v="11.8"/>
    <n v="6667.92"/>
    <s v="Completed"/>
    <x v="2"/>
    <s v="Sports"/>
    <s v="Retail"/>
    <n v="41"/>
    <s v="West"/>
    <s v="R026"/>
    <n v="576305.08000000019"/>
    <s v="West"/>
    <s v="Sports"/>
    <n v="1860"/>
  </r>
  <r>
    <s v="ORD-01741"/>
    <d v="2024-11-06T00:00:00"/>
    <s v="CUST-0234"/>
    <s v="PROD-036"/>
    <s v="R001"/>
    <n v="5"/>
    <n v="3250"/>
    <n v="19.899999999999999"/>
    <n v="13016.25"/>
    <s v="Completed"/>
    <x v="4"/>
    <s v="Home"/>
    <s v="Retail"/>
    <n v="34"/>
    <s v="North"/>
    <s v="R001"/>
    <n v="789849.60000000009"/>
    <s v="North"/>
    <s v="Home"/>
    <n v="1556"/>
  </r>
  <r>
    <s v="ORD-01742"/>
    <d v="2024-03-14T00:00:00"/>
    <s v="CUST-0207"/>
    <s v="PROD-033"/>
    <s v="R008"/>
    <n v="7"/>
    <n v="2030"/>
    <n v="4.0999999999999996"/>
    <n v="13627.39"/>
    <s v="Completed"/>
    <x v="5"/>
    <s v="Home"/>
    <s v="SMB"/>
    <n v="34"/>
    <s v="North"/>
    <s v="R008"/>
    <n v="861553.33"/>
    <s v="North"/>
    <s v="Home"/>
    <n v="1143"/>
  </r>
  <r>
    <s v="ORD-01743"/>
    <d v="2024-12-25T00:00:00"/>
    <s v="CUST-0245"/>
    <s v="PROD-046"/>
    <s v="R012"/>
    <n v="5"/>
    <n v="4880"/>
    <n v="22.9"/>
    <n v="18812.400000000001"/>
    <s v="Completed"/>
    <x v="5"/>
    <s v="Beauty"/>
    <s v="Retail"/>
    <n v="65"/>
    <s v="South"/>
    <s v="R012"/>
    <n v="901394.32000000007"/>
    <s v="South"/>
    <s v="Beauty"/>
    <n v="2768"/>
  </r>
  <r>
    <s v="ORD-01744"/>
    <d v="2024-01-06T00:00:00"/>
    <s v="CUST-0044"/>
    <s v="PROD-043"/>
    <s v="R020"/>
    <n v="3"/>
    <n v="3350"/>
    <n v="15.2"/>
    <n v="8522.4"/>
    <s v="Pending"/>
    <x v="5"/>
    <s v="Beauty"/>
    <s v="SMB"/>
    <n v="29"/>
    <s v="East"/>
    <s v="R020"/>
    <n v="906107.71000000008"/>
    <s v="East"/>
    <s v="Beauty"/>
    <n v="1728"/>
  </r>
  <r>
    <s v="ORD-01745"/>
    <d v="2024-05-13T00:00:00"/>
    <s v="CUST-0264"/>
    <s v="PROD-055"/>
    <s v="R029"/>
    <n v="10"/>
    <n v="2860"/>
    <n v="15"/>
    <n v="24310"/>
    <s v="Completed"/>
    <x v="0"/>
    <s v="Sports"/>
    <s v="Retail"/>
    <n v="59"/>
    <s v="West"/>
    <s v="R029"/>
    <n v="1016696.8000000002"/>
    <s v="West"/>
    <s v="Sports"/>
    <n v="2028"/>
  </r>
  <r>
    <s v="ORD-01746"/>
    <d v="2024-06-01T00:00:00"/>
    <s v="CUST-0193"/>
    <s v="PROD-047"/>
    <s v="R018"/>
    <n v="5"/>
    <n v="3450"/>
    <n v="2.2999999999999998"/>
    <n v="16853.25"/>
    <s v="Completed"/>
    <x v="4"/>
    <s v="Beauty"/>
    <s v="Retail"/>
    <n v="42"/>
    <s v="East"/>
    <s v="R018"/>
    <n v="1112289.6400000001"/>
    <s v="East"/>
    <s v="Beauty"/>
    <n v="2420"/>
  </r>
  <r>
    <s v="ORD-01747"/>
    <d v="2024-04-15T00:00:00"/>
    <s v="CUST-0006"/>
    <s v="PROD-024"/>
    <s v="R015"/>
    <n v="3"/>
    <n v="2270"/>
    <n v="2.8"/>
    <n v="6619.32"/>
    <s v="Pending"/>
    <x v="0"/>
    <s v="Grocery"/>
    <s v="SMB"/>
    <n v="44"/>
    <s v="South"/>
    <s v="R015"/>
    <n v="1091740.1799999997"/>
    <s v="South"/>
    <s v="Grocery"/>
    <n v="1203"/>
  </r>
  <r>
    <s v="ORD-01748"/>
    <d v="2024-03-03T00:00:00"/>
    <s v="CUST-0221"/>
    <s v="PROD-028"/>
    <s v="R007"/>
    <n v="8"/>
    <n v="3660"/>
    <n v="16.8"/>
    <n v="24360.959999999999"/>
    <s v="Completed"/>
    <x v="2"/>
    <s v="Grocery"/>
    <s v="SMB"/>
    <n v="29"/>
    <s v="North"/>
    <s v="R007"/>
    <n v="855749.67999999982"/>
    <s v="North"/>
    <s v="Grocery"/>
    <n v="2214"/>
  </r>
  <r>
    <s v="ORD-01749"/>
    <d v="2024-06-26T00:00:00"/>
    <s v="CUST-0151"/>
    <s v="PROD-045"/>
    <s v="R008"/>
    <n v="7"/>
    <n v="3020"/>
    <n v="17.8"/>
    <n v="17377.080000000002"/>
    <s v="Completed"/>
    <x v="3"/>
    <s v="Beauty"/>
    <s v="Retail"/>
    <n v="53"/>
    <s v="North"/>
    <s v="R008"/>
    <n v="861553.33"/>
    <s v="North"/>
    <s v="Beauty"/>
    <n v="1626"/>
  </r>
  <r>
    <s v="ORD-01750"/>
    <d v="2024-10-22T00:00:00"/>
    <s v="CUST-0188"/>
    <s v="PROD-040"/>
    <s v="R014"/>
    <n v="7"/>
    <n v="1080"/>
    <n v="12.9"/>
    <n v="6584.76"/>
    <s v="Completed"/>
    <x v="4"/>
    <s v="Home"/>
    <s v="Retail"/>
    <n v="54"/>
    <s v="South"/>
    <s v="R014"/>
    <n v="995713.54000000015"/>
    <s v="South"/>
    <s v="Home"/>
    <n v="519"/>
  </r>
  <r>
    <s v="ORD-01751"/>
    <d v="2024-07-21T00:00:00"/>
    <s v="CUST-0010"/>
    <s v="PROD-022"/>
    <s v="R012"/>
    <n v="2"/>
    <n v="2270"/>
    <n v="8.6"/>
    <n v="4149.5600000000004"/>
    <s v="Cancelled"/>
    <x v="3"/>
    <s v="Grocery"/>
    <s v="SMB"/>
    <n v="61"/>
    <s v="South"/>
    <s v="R012"/>
    <n v="901394.32000000007"/>
    <s v="South"/>
    <s v="Grocery"/>
    <n v="1412"/>
  </r>
  <r>
    <s v="ORD-01752"/>
    <d v="2024-06-02T00:00:00"/>
    <s v="CUST-0018"/>
    <s v="PROD-016"/>
    <s v="R012"/>
    <n v="10"/>
    <n v="620"/>
    <n v="26.1"/>
    <n v="4581.8"/>
    <s v="Completed"/>
    <x v="0"/>
    <s v="Apparel"/>
    <s v="SMB"/>
    <n v="54"/>
    <s v="South"/>
    <s v="R012"/>
    <n v="901394.32000000007"/>
    <s v="South"/>
    <s v="Apparel"/>
    <n v="396"/>
  </r>
  <r>
    <s v="ORD-01753"/>
    <d v="2024-09-26T00:00:00"/>
    <s v="CUST-0262"/>
    <s v="PROD-025"/>
    <s v="R015"/>
    <n v="2"/>
    <n v="4060"/>
    <n v="3.8"/>
    <n v="7811.44"/>
    <s v="Completed"/>
    <x v="3"/>
    <s v="Grocery"/>
    <s v="Retail"/>
    <n v="52"/>
    <s v="South"/>
    <s v="R015"/>
    <n v="1091740.1799999997"/>
    <s v="South"/>
    <s v="Grocery"/>
    <n v="2911"/>
  </r>
  <r>
    <s v="ORD-01754"/>
    <d v="2024-07-15T00:00:00"/>
    <s v="CUST-0282"/>
    <s v="PROD-027"/>
    <s v="R012"/>
    <n v="1"/>
    <n v="3780"/>
    <n v="27.9"/>
    <n v="2725.38"/>
    <s v="Completed"/>
    <x v="5"/>
    <s v="Grocery"/>
    <s v="Corporate"/>
    <n v="29"/>
    <s v="South"/>
    <s v="R012"/>
    <n v="901394.32000000007"/>
    <s v="South"/>
    <s v="Grocery"/>
    <n v="2436"/>
  </r>
  <r>
    <s v="ORD-01755"/>
    <d v="2024-11-21T00:00:00"/>
    <s v="CUST-0194"/>
    <s v="PROD-023"/>
    <s v="R022"/>
    <n v="8"/>
    <n v="2380"/>
    <n v="3.8"/>
    <n v="18316.48"/>
    <s v="Completed"/>
    <x v="2"/>
    <s v="Grocery"/>
    <s v="SMB"/>
    <n v="55"/>
    <s v="East"/>
    <s v="R022"/>
    <n v="1069570.5400000003"/>
    <s v="East"/>
    <s v="Grocery"/>
    <n v="1182"/>
  </r>
  <r>
    <s v="ORD-01756"/>
    <d v="2024-03-27T00:00:00"/>
    <s v="CUST-0161"/>
    <s v="PROD-026"/>
    <s v="R024"/>
    <n v="7"/>
    <n v="4070"/>
    <n v="0.3"/>
    <n v="28404.53"/>
    <s v="Completed"/>
    <x v="1"/>
    <s v="Grocery"/>
    <s v="Retail"/>
    <n v="38"/>
    <s v="West"/>
    <s v="R024"/>
    <n v="819558.58"/>
    <s v="West"/>
    <s v="Grocery"/>
    <n v="2027"/>
  </r>
  <r>
    <s v="ORD-01757"/>
    <d v="2024-06-16T00:00:00"/>
    <s v="CUST-0120"/>
    <s v="PROD-010"/>
    <s v="R020"/>
    <n v="6"/>
    <n v="2640"/>
    <n v="3.4"/>
    <n v="15301.44"/>
    <s v="Completed"/>
    <x v="3"/>
    <s v="Electronics"/>
    <s v="Retail"/>
    <n v="29"/>
    <s v="East"/>
    <s v="R020"/>
    <n v="906107.71000000008"/>
    <s v="East"/>
    <s v="Electronics"/>
    <n v="1149"/>
  </r>
  <r>
    <s v="ORD-01758"/>
    <d v="2024-03-26T00:00:00"/>
    <s v="CUST-0250"/>
    <s v="PROD-059"/>
    <s v="R030"/>
    <n v="10"/>
    <n v="3780"/>
    <n v="13.3"/>
    <n v="32772.6"/>
    <s v="Completed"/>
    <x v="2"/>
    <s v="Sports"/>
    <s v="Retail"/>
    <n v="31"/>
    <s v="West"/>
    <s v="R030"/>
    <n v="747624.36999999988"/>
    <s v="West"/>
    <s v="Sports"/>
    <n v="1860"/>
  </r>
  <r>
    <s v="ORD-01759"/>
    <d v="2024-01-11T00:00:00"/>
    <s v="CUST-0054"/>
    <s v="PROD-043"/>
    <s v="R009"/>
    <n v="9"/>
    <n v="3350"/>
    <n v="12.8"/>
    <n v="26290.799999999999"/>
    <s v="Completed"/>
    <x v="3"/>
    <s v="Beauty"/>
    <s v="Corporate"/>
    <n v="62"/>
    <s v="South"/>
    <s v="R009"/>
    <n v="914554.71999999986"/>
    <s v="South"/>
    <s v="Beauty"/>
    <n v="1728"/>
  </r>
  <r>
    <s v="ORD-01760"/>
    <d v="2024-06-16T00:00:00"/>
    <s v="CUST-0247"/>
    <s v="PROD-012"/>
    <s v="R024"/>
    <n v="7"/>
    <n v="3160"/>
    <n v="15.3"/>
    <n v="18735.64"/>
    <s v="Completed"/>
    <x v="0"/>
    <s v="Apparel"/>
    <s v="SMB"/>
    <n v="35"/>
    <s v="West"/>
    <s v="R024"/>
    <n v="819558.58"/>
    <s v="West"/>
    <s v="Apparel"/>
    <n v="1886"/>
  </r>
  <r>
    <s v="ORD-01761"/>
    <d v="2024-05-16T00:00:00"/>
    <s v="CUST-0127"/>
    <s v="PROD-055"/>
    <s v="R004"/>
    <n v="6"/>
    <n v="2860"/>
    <n v="17.5"/>
    <n v="14157"/>
    <s v="Completed"/>
    <x v="4"/>
    <s v="Sports"/>
    <s v="SMB"/>
    <n v="36"/>
    <s v="North"/>
    <s v="R004"/>
    <n v="589026.2899999998"/>
    <s v="North"/>
    <s v="Sports"/>
    <n v="2028"/>
  </r>
  <r>
    <s v="ORD-01762"/>
    <d v="2024-02-19T00:00:00"/>
    <s v="CUST-0030"/>
    <s v="PROD-005"/>
    <s v="R010"/>
    <n v="9"/>
    <n v="300"/>
    <n v="25.2"/>
    <n v="2019.6"/>
    <s v="Completed"/>
    <x v="4"/>
    <s v="Electronics"/>
    <s v="Corporate"/>
    <n v="43"/>
    <s v="South"/>
    <s v="R010"/>
    <n v="880345.20000000007"/>
    <s v="South"/>
    <s v="Electronics"/>
    <n v="128"/>
  </r>
  <r>
    <s v="ORD-01763"/>
    <d v="2024-01-05T00:00:00"/>
    <s v="CUST-0205"/>
    <s v="PROD-060"/>
    <s v="R020"/>
    <n v="5"/>
    <n v="190"/>
    <n v="1.8"/>
    <n v="932.9"/>
    <s v="Completed"/>
    <x v="0"/>
    <s v="Sports"/>
    <s v="Corporate"/>
    <n v="29"/>
    <s v="East"/>
    <s v="R020"/>
    <n v="906107.71000000008"/>
    <s v="East"/>
    <s v="Sports"/>
    <n v="147"/>
  </r>
  <r>
    <s v="ORD-01764"/>
    <d v="2024-08-29T00:00:00"/>
    <s v="CUST-0172"/>
    <s v="PROD-054"/>
    <s v="R021"/>
    <n v="7"/>
    <n v="1010"/>
    <n v="11.2"/>
    <n v="6278.16"/>
    <s v="Completed"/>
    <x v="0"/>
    <s v="Sports"/>
    <s v="Retail"/>
    <n v="65"/>
    <s v="East"/>
    <s v="R021"/>
    <n v="761507.17000000027"/>
    <s v="East"/>
    <s v="Sports"/>
    <n v="516"/>
  </r>
  <r>
    <s v="ORD-01765"/>
    <d v="2024-08-11T00:00:00"/>
    <s v="CUST-0283"/>
    <s v="PROD-051"/>
    <s v="R001"/>
    <n v="8"/>
    <n v="3450"/>
    <n v="8.4"/>
    <n v="25281.599999999999"/>
    <s v="Completed"/>
    <x v="2"/>
    <s v="Sports"/>
    <s v="SMB"/>
    <n v="50"/>
    <s v="North"/>
    <s v="R001"/>
    <n v="789849.60000000009"/>
    <s v="North"/>
    <s v="Sports"/>
    <n v="2467"/>
  </r>
  <r>
    <s v="ORD-01766"/>
    <d v="2024-11-01T00:00:00"/>
    <s v="CUST-0005"/>
    <s v="PROD-005"/>
    <s v="R001"/>
    <n v="3"/>
    <n v="300"/>
    <n v="7.5"/>
    <n v="832.5"/>
    <s v="Refunded"/>
    <x v="1"/>
    <s v="Electronics"/>
    <s v="Corporate"/>
    <n v="52"/>
    <s v="North"/>
    <s v="R001"/>
    <n v="789849.60000000009"/>
    <s v="North"/>
    <s v="Electronics"/>
    <n v="128"/>
  </r>
  <r>
    <s v="ORD-01767"/>
    <d v="2024-03-19T00:00:00"/>
    <s v="CUST-0095"/>
    <s v="PROD-031"/>
    <s v="R018"/>
    <n v="4"/>
    <n v="3730"/>
    <n v="24.8"/>
    <n v="11219.84"/>
    <s v="Completed"/>
    <x v="3"/>
    <s v="Home"/>
    <s v="SMB"/>
    <n v="54"/>
    <s v="East"/>
    <s v="R018"/>
    <n v="1112289.6400000001"/>
    <s v="East"/>
    <s v="Home"/>
    <n v="2135"/>
  </r>
  <r>
    <s v="ORD-01768"/>
    <d v="2024-06-19T00:00:00"/>
    <s v="CUST-0142"/>
    <s v="PROD-058"/>
    <s v="R020"/>
    <n v="5"/>
    <n v="2400"/>
    <n v="9.1999999999999993"/>
    <n v="10896"/>
    <s v="Completed"/>
    <x v="1"/>
    <s v="Sports"/>
    <s v="Corporate"/>
    <n v="55"/>
    <s v="East"/>
    <s v="R020"/>
    <n v="906107.71000000008"/>
    <s v="East"/>
    <s v="Sports"/>
    <n v="974"/>
  </r>
  <r>
    <s v="ORD-01769"/>
    <d v="2024-11-13T00:00:00"/>
    <s v="CUST-0028"/>
    <s v="PROD-021"/>
    <s v="R001"/>
    <n v="3"/>
    <n v="2760"/>
    <n v="2.4"/>
    <n v="8081.28"/>
    <s v="Completed"/>
    <x v="4"/>
    <s v="Grocery"/>
    <s v="Retail"/>
    <n v="59"/>
    <s v="North"/>
    <s v="R001"/>
    <n v="789849.60000000009"/>
    <s v="North"/>
    <s v="Grocery"/>
    <n v="1435"/>
  </r>
  <r>
    <s v="ORD-01770"/>
    <d v="2024-09-13T00:00:00"/>
    <s v="CUST-0118"/>
    <s v="PROD-053"/>
    <s v="R009"/>
    <n v="8"/>
    <n v="470"/>
    <n v="24.8"/>
    <n v="2827.52"/>
    <s v="Pending"/>
    <x v="5"/>
    <s v="Sports"/>
    <s v="Retail"/>
    <n v="26"/>
    <s v="South"/>
    <s v="R009"/>
    <n v="914554.71999999986"/>
    <s v="South"/>
    <s v="Sports"/>
    <n v="302"/>
  </r>
  <r>
    <s v="ORD-01771"/>
    <d v="2024-12-07T00:00:00"/>
    <s v="CUST-0231"/>
    <s v="PROD-053"/>
    <s v="R027"/>
    <n v="3"/>
    <n v="470"/>
    <n v="18.600000000000001"/>
    <n v="1147.74"/>
    <s v="Completed"/>
    <x v="1"/>
    <s v="Sports"/>
    <s v="Retail"/>
    <n v="61"/>
    <s v="West"/>
    <s v="R027"/>
    <n v="917092.61999999965"/>
    <s v="West"/>
    <s v="Sports"/>
    <n v="302"/>
  </r>
  <r>
    <s v="ORD-01772"/>
    <d v="2024-10-15T00:00:00"/>
    <s v="CUST-0264"/>
    <s v="PROD-032"/>
    <s v="R028"/>
    <n v="2"/>
    <n v="370"/>
    <n v="24"/>
    <n v="562.4"/>
    <s v="Completed"/>
    <x v="0"/>
    <s v="Home"/>
    <s v="Retail"/>
    <n v="59"/>
    <s v="West"/>
    <s v="R028"/>
    <n v="880468.05"/>
    <s v="West"/>
    <s v="Home"/>
    <n v="288"/>
  </r>
  <r>
    <s v="ORD-01773"/>
    <d v="2024-02-07T00:00:00"/>
    <s v="CUST-0120"/>
    <s v="PROD-029"/>
    <s v="R001"/>
    <n v="6"/>
    <n v="2210"/>
    <n v="28.3"/>
    <n v="9507.42"/>
    <s v="Cancelled"/>
    <x v="3"/>
    <s v="Grocery"/>
    <s v="Retail"/>
    <n v="29"/>
    <s v="North"/>
    <s v="R001"/>
    <n v="789849.60000000009"/>
    <s v="North"/>
    <s v="Grocery"/>
    <n v="1010"/>
  </r>
  <r>
    <s v="ORD-01774"/>
    <d v="2024-09-14T00:00:00"/>
    <s v="CUST-0185"/>
    <s v="PROD-056"/>
    <s v="R002"/>
    <n v="3"/>
    <n v="6940"/>
    <n v="27.2"/>
    <n v="15156.96"/>
    <s v="Refunded"/>
    <x v="5"/>
    <s v="Sports"/>
    <s v="SMB"/>
    <n v="43"/>
    <s v="North"/>
    <s v="R002"/>
    <n v="980063.65999999968"/>
    <s v="North"/>
    <s v="Sports"/>
    <n v="2827"/>
  </r>
  <r>
    <s v="ORD-01775"/>
    <d v="2024-05-11T00:00:00"/>
    <s v="CUST-0174"/>
    <s v="PROD-033"/>
    <s v="R018"/>
    <n v="10"/>
    <n v="2030"/>
    <n v="25.6"/>
    <n v="15103.2"/>
    <s v="Completed"/>
    <x v="0"/>
    <s v="Home"/>
    <s v="Retail"/>
    <n v="54"/>
    <s v="East"/>
    <s v="R018"/>
    <n v="1112289.6400000001"/>
    <s v="East"/>
    <s v="Home"/>
    <n v="1143"/>
  </r>
  <r>
    <s v="ORD-01776"/>
    <d v="2024-08-29T00:00:00"/>
    <s v="CUST-0174"/>
    <s v="PROD-054"/>
    <s v="R017"/>
    <n v="9"/>
    <n v="1010"/>
    <n v="9.3000000000000007"/>
    <n v="8244.6299999999992"/>
    <s v="Completed"/>
    <x v="0"/>
    <s v="Sports"/>
    <s v="Retail"/>
    <n v="54"/>
    <s v="East"/>
    <s v="R017"/>
    <n v="780384.40999999992"/>
    <s v="East"/>
    <s v="Sports"/>
    <n v="516"/>
  </r>
  <r>
    <s v="ORD-01777"/>
    <d v="2024-10-06T00:00:00"/>
    <s v="CUST-0084"/>
    <s v="PROD-017"/>
    <s v="R002"/>
    <n v="5"/>
    <n v="2510"/>
    <n v="22.2"/>
    <n v="9763.9"/>
    <s v="Completed"/>
    <x v="1"/>
    <s v="Apparel"/>
    <s v="Retail"/>
    <n v="28"/>
    <s v="North"/>
    <s v="R002"/>
    <n v="980063.65999999968"/>
    <s v="North"/>
    <s v="Apparel"/>
    <n v="1075"/>
  </r>
  <r>
    <s v="ORD-01778"/>
    <d v="2024-05-29T00:00:00"/>
    <s v="CUST-0270"/>
    <s v="PROD-032"/>
    <s v="R002"/>
    <n v="10"/>
    <n v="370"/>
    <n v="29"/>
    <n v="2627"/>
    <s v="Completed"/>
    <x v="4"/>
    <s v="Home"/>
    <s v="Retail"/>
    <n v="29"/>
    <s v="North"/>
    <s v="R002"/>
    <n v="980063.65999999968"/>
    <s v="North"/>
    <s v="Home"/>
    <n v="288"/>
  </r>
  <r>
    <s v="ORD-01779"/>
    <d v="2024-04-21T00:00:00"/>
    <s v="CUST-0178"/>
    <s v="PROD-019"/>
    <s v="R021"/>
    <n v="3"/>
    <n v="2480"/>
    <n v="9.6"/>
    <n v="6725.76"/>
    <s v="Completed"/>
    <x v="5"/>
    <s v="Apparel"/>
    <s v="Retail"/>
    <n v="25"/>
    <s v="East"/>
    <s v="R021"/>
    <n v="761507.17000000027"/>
    <s v="East"/>
    <s v="Apparel"/>
    <n v="1173"/>
  </r>
  <r>
    <s v="ORD-01780"/>
    <d v="2024-12-18T00:00:00"/>
    <s v="CUST-0019"/>
    <s v="PROD-010"/>
    <s v="R017"/>
    <n v="3"/>
    <n v="2640"/>
    <n v="10.199999999999999"/>
    <n v="7112.16"/>
    <s v="Cancelled"/>
    <x v="1"/>
    <s v="Electronics"/>
    <s v="Retail"/>
    <n v="22"/>
    <s v="East"/>
    <s v="R017"/>
    <n v="780384.40999999992"/>
    <s v="East"/>
    <s v="Electronics"/>
    <n v="1149"/>
  </r>
  <r>
    <s v="ORD-01781"/>
    <d v="2024-07-31T00:00:00"/>
    <s v="CUST-0276"/>
    <s v="PROD-035"/>
    <s v="R020"/>
    <n v="1"/>
    <n v="1090"/>
    <n v="21.6"/>
    <n v="854.56"/>
    <s v="Cancelled"/>
    <x v="1"/>
    <s v="Home"/>
    <s v="Retail"/>
    <n v="26"/>
    <s v="East"/>
    <s v="R020"/>
    <n v="906107.71000000008"/>
    <s v="East"/>
    <s v="Home"/>
    <n v="464"/>
  </r>
  <r>
    <s v="ORD-01782"/>
    <d v="2024-11-10T00:00:00"/>
    <s v="CUST-0076"/>
    <s v="PROD-043"/>
    <s v="R002"/>
    <n v="10"/>
    <n v="3350"/>
    <n v="12.1"/>
    <n v="29446.5"/>
    <s v="Completed"/>
    <x v="3"/>
    <s v="Beauty"/>
    <s v="Retail"/>
    <n v="38"/>
    <s v="North"/>
    <s v="R002"/>
    <n v="980063.65999999968"/>
    <s v="North"/>
    <s v="Beauty"/>
    <n v="1728"/>
  </r>
  <r>
    <s v="ORD-01783"/>
    <d v="2024-09-27T00:00:00"/>
    <s v="CUST-0085"/>
    <s v="PROD-050"/>
    <s v="R015"/>
    <n v="4"/>
    <n v="6080"/>
    <n v="26.7"/>
    <n v="17826.560000000001"/>
    <s v="Cancelled"/>
    <x v="1"/>
    <s v="Beauty"/>
    <s v="Retail"/>
    <n v="26"/>
    <s v="South"/>
    <s v="R015"/>
    <n v="1091740.1799999997"/>
    <s v="South"/>
    <s v="Beauty"/>
    <n v="2617"/>
  </r>
  <r>
    <s v="ORD-01784"/>
    <d v="2024-03-21T00:00:00"/>
    <s v="CUST-0245"/>
    <s v="PROD-049"/>
    <s v="R002"/>
    <n v="3"/>
    <n v="960"/>
    <n v="13.2"/>
    <n v="2499.84"/>
    <s v="Completed"/>
    <x v="5"/>
    <s v="Beauty"/>
    <s v="Retail"/>
    <n v="65"/>
    <s v="North"/>
    <s v="R002"/>
    <n v="980063.65999999968"/>
    <s v="North"/>
    <s v="Beauty"/>
    <n v="675"/>
  </r>
  <r>
    <s v="ORD-01785"/>
    <d v="2024-11-14T00:00:00"/>
    <s v="CUST-0135"/>
    <s v="PROD-028"/>
    <s v="R007"/>
    <n v="9"/>
    <n v="3660"/>
    <n v="9.3000000000000007"/>
    <n v="29876.58"/>
    <s v="Cancelled"/>
    <x v="0"/>
    <s v="Grocery"/>
    <s v="SMB"/>
    <n v="24"/>
    <s v="North"/>
    <s v="R007"/>
    <n v="855749.67999999982"/>
    <s v="North"/>
    <s v="Grocery"/>
    <n v="2214"/>
  </r>
  <r>
    <s v="ORD-01786"/>
    <d v="2024-04-06T00:00:00"/>
    <s v="CUST-0224"/>
    <s v="PROD-047"/>
    <s v="R019"/>
    <n v="6"/>
    <n v="3450"/>
    <n v="8.1999999999999993"/>
    <n v="19002.599999999999"/>
    <s v="Completed"/>
    <x v="1"/>
    <s v="Beauty"/>
    <s v="Corporate"/>
    <n v="24"/>
    <s v="East"/>
    <s v="R019"/>
    <n v="971183.52000000014"/>
    <s v="East"/>
    <s v="Beauty"/>
    <n v="2420"/>
  </r>
  <r>
    <s v="ORD-01787"/>
    <d v="2024-05-09T00:00:00"/>
    <s v="CUST-0036"/>
    <s v="PROD-039"/>
    <s v="R020"/>
    <n v="7"/>
    <n v="4610"/>
    <n v="10.4"/>
    <n v="28913.919999999998"/>
    <s v="Completed"/>
    <x v="3"/>
    <s v="Home"/>
    <s v="Retail"/>
    <n v="35"/>
    <s v="East"/>
    <s v="R020"/>
    <n v="906107.71000000008"/>
    <s v="East"/>
    <s v="Home"/>
    <n v="1850"/>
  </r>
  <r>
    <s v="ORD-01788"/>
    <d v="2024-08-25T00:00:00"/>
    <s v="CUST-0197"/>
    <s v="PROD-057"/>
    <s v="R009"/>
    <n v="2"/>
    <n v="960"/>
    <n v="16.5"/>
    <n v="1603.2"/>
    <s v="Completed"/>
    <x v="4"/>
    <s v="Sports"/>
    <s v="Retail"/>
    <n v="55"/>
    <s v="South"/>
    <s v="R009"/>
    <n v="914554.71999999986"/>
    <s v="South"/>
    <s v="Sports"/>
    <n v="705"/>
  </r>
  <r>
    <s v="ORD-01789"/>
    <d v="2024-09-18T00:00:00"/>
    <s v="CUST-0111"/>
    <s v="PROD-032"/>
    <s v="R023"/>
    <n v="7"/>
    <n v="370"/>
    <n v="1.4"/>
    <n v="2553.7399999999998"/>
    <s v="Refunded"/>
    <x v="1"/>
    <s v="Home"/>
    <s v="SMB"/>
    <n v="64"/>
    <s v="East"/>
    <s v="R023"/>
    <n v="983787.4800000001"/>
    <s v="East"/>
    <s v="Home"/>
    <n v="288"/>
  </r>
  <r>
    <s v="ORD-01790"/>
    <d v="2024-08-31T00:00:00"/>
    <s v="CUST-0198"/>
    <s v="PROD-024"/>
    <s v="R004"/>
    <n v="3"/>
    <n v="2270"/>
    <n v="12.6"/>
    <n v="5951.94"/>
    <s v="Completed"/>
    <x v="1"/>
    <s v="Grocery"/>
    <s v="Corporate"/>
    <n v="22"/>
    <s v="North"/>
    <s v="R004"/>
    <n v="589026.2899999998"/>
    <s v="North"/>
    <s v="Grocery"/>
    <n v="1203"/>
  </r>
  <r>
    <s v="ORD-00268"/>
    <d v="2024-01-10T00:00:00"/>
    <s v="CUST-0049"/>
    <s v="PROD-036"/>
    <s v="R014"/>
    <n v="1"/>
    <n v="3250"/>
    <n v="17.8"/>
    <n v="2671.5"/>
    <s v="Completed"/>
    <x v="3"/>
    <s v="Home"/>
    <s v="Corporate"/>
    <n v="42"/>
    <s v="South"/>
    <s v="R014"/>
    <n v="995713.54000000015"/>
    <s v="South"/>
    <s v="Home"/>
    <n v="1556"/>
  </r>
  <r>
    <s v="ORD-01792"/>
    <d v="2024-04-22T00:00:00"/>
    <s v="CUST-0029"/>
    <s v="PROD-016"/>
    <s v="R018"/>
    <n v="5"/>
    <n v="620"/>
    <n v="19.399999999999999"/>
    <n v="2498.6"/>
    <s v="Pending"/>
    <x v="1"/>
    <s v="Apparel"/>
    <s v="Corporate"/>
    <n v="54"/>
    <s v="East"/>
    <s v="R018"/>
    <n v="1112289.6400000001"/>
    <s v="East"/>
    <s v="Apparel"/>
    <n v="396"/>
  </r>
  <r>
    <s v="ORD-01793"/>
    <d v="2024-11-04T00:00:00"/>
    <s v="CUST-0018"/>
    <s v="PROD-008"/>
    <s v="R005"/>
    <n v="6"/>
    <n v="2660"/>
    <n v="14.9"/>
    <n v="13581.96"/>
    <s v="Completed"/>
    <x v="0"/>
    <s v="Electronics"/>
    <s v="SMB"/>
    <n v="54"/>
    <s v="North"/>
    <s v="R005"/>
    <n v="782445.33"/>
    <s v="North"/>
    <s v="Electronics"/>
    <n v="1259"/>
  </r>
  <r>
    <s v="ORD-01794"/>
    <d v="2024-08-22T00:00:00"/>
    <s v="CUST-0007"/>
    <s v="PROD-014"/>
    <s v="R001"/>
    <n v="5"/>
    <n v="3620"/>
    <n v="21"/>
    <n v="14299"/>
    <s v="Cancelled"/>
    <x v="4"/>
    <s v="Apparel"/>
    <s v="Retail"/>
    <n v="47"/>
    <s v="North"/>
    <s v="R001"/>
    <n v="789849.60000000009"/>
    <s v="North"/>
    <s v="Apparel"/>
    <n v="2509"/>
  </r>
  <r>
    <s v="ORD-01795"/>
    <d v="2024-10-15T00:00:00"/>
    <s v="CUST-0014"/>
    <s v="PROD-013"/>
    <s v="R021"/>
    <n v="1"/>
    <n v="3640"/>
    <n v="15.8"/>
    <n v="3064.88"/>
    <s v="Completed"/>
    <x v="4"/>
    <s v="Apparel"/>
    <s v="Retail"/>
    <n v="48"/>
    <s v="East"/>
    <s v="R021"/>
    <n v="761507.17000000027"/>
    <s v="East"/>
    <s v="Apparel"/>
    <n v="2611"/>
  </r>
  <r>
    <s v="ORD-01796"/>
    <d v="2024-06-01T00:00:00"/>
    <s v="CUST-0215"/>
    <s v="PROD-009"/>
    <s v="R007"/>
    <n v="1"/>
    <n v="1220"/>
    <n v="0.6"/>
    <n v="1212.68"/>
    <s v="Refunded"/>
    <x v="5"/>
    <s v="Electronics"/>
    <s v="Retail"/>
    <n v="52"/>
    <s v="North"/>
    <s v="R007"/>
    <n v="855749.67999999982"/>
    <s v="North"/>
    <s v="Electronics"/>
    <n v="517"/>
  </r>
  <r>
    <s v="ORD-01797"/>
    <d v="2024-02-28T00:00:00"/>
    <s v="CUST-0056"/>
    <s v="PROD-019"/>
    <s v="R002"/>
    <n v="10"/>
    <n v="2480"/>
    <n v="0.6"/>
    <n v="24651.200000000001"/>
    <s v="Completed"/>
    <x v="4"/>
    <s v="Apparel"/>
    <s v="SMB"/>
    <n v="46"/>
    <s v="North"/>
    <s v="R002"/>
    <n v="980063.65999999968"/>
    <s v="North"/>
    <s v="Apparel"/>
    <n v="1173"/>
  </r>
  <r>
    <s v="ORD-01798"/>
    <d v="2024-12-08T00:00:00"/>
    <s v="CUST-0231"/>
    <s v="PROD-044"/>
    <s v="R027"/>
    <n v="9"/>
    <n v="1650"/>
    <n v="26.8"/>
    <n v="10870.2"/>
    <s v="Completed"/>
    <x v="1"/>
    <s v="Beauty"/>
    <s v="Retail"/>
    <n v="61"/>
    <s v="West"/>
    <s v="R027"/>
    <n v="917092.61999999965"/>
    <s v="West"/>
    <s v="Beauty"/>
    <n v="1222"/>
  </r>
  <r>
    <s v="ORD-01799"/>
    <d v="2024-09-25T00:00:00"/>
    <s v="CUST-0138"/>
    <s v="PROD-045"/>
    <s v="R008"/>
    <n v="10"/>
    <n v="3020"/>
    <n v="2.6"/>
    <n v="29414.799999999999"/>
    <s v="Completed"/>
    <x v="1"/>
    <s v="Beauty"/>
    <s v="Retail"/>
    <n v="24"/>
    <s v="North"/>
    <s v="R008"/>
    <n v="861553.33"/>
    <s v="North"/>
    <s v="Beauty"/>
    <n v="1626"/>
  </r>
  <r>
    <s v="ORD-01800"/>
    <d v="2024-09-09T00:00:00"/>
    <s v="CUST-0007"/>
    <s v="PROD-011"/>
    <s v="R014"/>
    <n v="5"/>
    <n v="3450"/>
    <n v="25.3"/>
    <n v="12885.75"/>
    <s v="Completed"/>
    <x v="4"/>
    <s v="Apparel"/>
    <s v="Retail"/>
    <n v="47"/>
    <s v="South"/>
    <s v="R014"/>
    <n v="995713.54000000015"/>
    <s v="South"/>
    <s v="Apparel"/>
    <n v="1748"/>
  </r>
  <r>
    <s v="ORD-01801"/>
    <d v="2024-06-14T00:00:00"/>
    <s v="CUST-0118"/>
    <s v="PROD-009"/>
    <s v="R019"/>
    <n v="7"/>
    <n v="1220"/>
    <n v="13.1"/>
    <n v="7421.26"/>
    <s v="Completed"/>
    <x v="5"/>
    <s v="Electronics"/>
    <s v="Retail"/>
    <n v="26"/>
    <s v="East"/>
    <s v="R019"/>
    <n v="971183.52000000014"/>
    <s v="East"/>
    <s v="Electronics"/>
    <n v="517"/>
  </r>
  <r>
    <s v="ORD-01802"/>
    <d v="2024-10-13T00:00:00"/>
    <s v="CUST-0064"/>
    <s v="PROD-027"/>
    <s v="R005"/>
    <n v="10"/>
    <n v="3780"/>
    <n v="23.7"/>
    <n v="28841.4"/>
    <s v="Completed"/>
    <x v="5"/>
    <s v="Grocery"/>
    <s v="SMB"/>
    <n v="40"/>
    <s v="North"/>
    <s v="R005"/>
    <n v="782445.33"/>
    <s v="North"/>
    <s v="Grocery"/>
    <n v="2436"/>
  </r>
  <r>
    <s v="ORD-01803"/>
    <d v="2024-04-23T00:00:00"/>
    <s v="CUST-0298"/>
    <s v="PROD-008"/>
    <s v="R002"/>
    <n v="8"/>
    <n v="2660"/>
    <n v="16.100000000000001"/>
    <n v="17853.919999999998"/>
    <s v="Completed"/>
    <x v="2"/>
    <s v="Electronics"/>
    <s v="Retail"/>
    <n v="44"/>
    <s v="North"/>
    <s v="R002"/>
    <n v="980063.65999999968"/>
    <s v="North"/>
    <s v="Electronics"/>
    <n v="1259"/>
  </r>
  <r>
    <s v="ORD-01804"/>
    <d v="2024-02-16T00:00:00"/>
    <s v="CUST-0020"/>
    <s v="PROD-035"/>
    <s v="R008"/>
    <n v="6"/>
    <n v="1090"/>
    <n v="20"/>
    <n v="5232"/>
    <s v="Pending"/>
    <x v="5"/>
    <s v="Home"/>
    <s v="Retail"/>
    <n v="46"/>
    <s v="North"/>
    <s v="R008"/>
    <n v="861553.33"/>
    <s v="North"/>
    <s v="Home"/>
    <n v="464"/>
  </r>
  <r>
    <s v="ORD-01805"/>
    <d v="2024-02-02T00:00:00"/>
    <s v="CUST-9725"/>
    <s v="PROD-037"/>
    <s v="R016"/>
    <n v="2"/>
    <n v="660"/>
    <n v="18.7"/>
    <n v="1073.1600000000001"/>
    <s v="Completed"/>
    <x v="3"/>
    <s v="Home"/>
    <e v="#N/A"/>
    <e v="#N/A"/>
    <s v="South"/>
    <s v="R016"/>
    <n v="814563.7100000002"/>
    <s v="South"/>
    <s v="Home"/>
    <n v="329"/>
  </r>
  <r>
    <s v="ORD-01806"/>
    <d v="2024-02-10T00:00:00"/>
    <s v="CUST-0063"/>
    <s v="PROD-035"/>
    <s v="R015"/>
    <n v="7"/>
    <n v="1090"/>
    <n v="19.399999999999999"/>
    <n v="6149.78"/>
    <s v="Pending"/>
    <x v="3"/>
    <s v="Home"/>
    <s v="SMB"/>
    <n v="53"/>
    <s v="South"/>
    <s v="R015"/>
    <n v="1091740.1799999997"/>
    <s v="South"/>
    <s v="Home"/>
    <n v="464"/>
  </r>
  <r>
    <s v="ORD-01807"/>
    <d v="2024-05-17T00:00:00"/>
    <s v="CUST-0193"/>
    <s v="PROD-029"/>
    <s v="R015"/>
    <n v="3"/>
    <n v="2210"/>
    <n v="11"/>
    <n v="5900.7"/>
    <s v="Completed"/>
    <x v="4"/>
    <s v="Grocery"/>
    <s v="Retail"/>
    <n v="42"/>
    <s v="South"/>
    <s v="R015"/>
    <n v="1091740.1799999997"/>
    <s v="South"/>
    <s v="Grocery"/>
    <n v="1010"/>
  </r>
  <r>
    <s v="ORD-01808"/>
    <d v="2024-05-08T00:00:00"/>
    <s v="CUST-0142"/>
    <s v="PROD-006"/>
    <s v="R029"/>
    <n v="2"/>
    <n v="3970"/>
    <n v="24.9"/>
    <n v="5962.94"/>
    <s v="Completed"/>
    <x v="1"/>
    <s v="Electronics"/>
    <s v="Corporate"/>
    <n v="55"/>
    <s v="West"/>
    <s v="R029"/>
    <n v="1016696.8000000002"/>
    <s v="West"/>
    <s v="Electronics"/>
    <n v="2865"/>
  </r>
  <r>
    <s v="ORD-01809"/>
    <d v="2024-04-21T00:00:00"/>
    <s v="CUST-0264"/>
    <s v="PROD-039"/>
    <s v="R021"/>
    <n v="7"/>
    <n v="4610"/>
    <n v="6.3"/>
    <n v="30236.99"/>
    <s v="Completed"/>
    <x v="0"/>
    <s v="Home"/>
    <s v="Retail"/>
    <n v="59"/>
    <s v="East"/>
    <s v="R021"/>
    <n v="761507.17000000027"/>
    <s v="East"/>
    <s v="Home"/>
    <n v="1850"/>
  </r>
  <r>
    <s v="ORD-01810"/>
    <d v="2024-04-21T00:00:00"/>
    <s v="CUST-0121"/>
    <s v="PROD-049"/>
    <s v="R026"/>
    <n v="10"/>
    <n v="960"/>
    <n v="14.6"/>
    <n v="8198.4"/>
    <s v="Completed"/>
    <x v="2"/>
    <s v="Beauty"/>
    <s v="SMB"/>
    <n v="55"/>
    <s v="West"/>
    <s v="R026"/>
    <n v="576305.08000000019"/>
    <s v="West"/>
    <s v="Beauty"/>
    <n v="675"/>
  </r>
  <r>
    <s v="ORD-01811"/>
    <d v="2024-11-04T00:00:00"/>
    <s v="CUST-0152"/>
    <s v="PROD-045"/>
    <s v="R016"/>
    <n v="8"/>
    <n v="3020"/>
    <n v="14.5"/>
    <n v="20656.8"/>
    <s v="Completed"/>
    <x v="4"/>
    <s v="Beauty"/>
    <s v="SMB"/>
    <n v="64"/>
    <s v="South"/>
    <s v="R016"/>
    <n v="814563.7100000002"/>
    <s v="South"/>
    <s v="Beauty"/>
    <n v="1626"/>
  </r>
  <r>
    <s v="ORD-01812"/>
    <d v="2024-12-03T00:00:00"/>
    <s v="CUST-0008"/>
    <s v="PROD-019"/>
    <s v="R026"/>
    <n v="7"/>
    <n v="2480"/>
    <n v="17.3"/>
    <n v="14356.72"/>
    <s v="Completed"/>
    <x v="0"/>
    <s v="Apparel"/>
    <s v="SMB"/>
    <n v="39"/>
    <s v="West"/>
    <s v="R026"/>
    <n v="576305.08000000019"/>
    <s v="West"/>
    <s v="Apparel"/>
    <n v="1173"/>
  </r>
  <r>
    <s v="ORD-01813"/>
    <d v="2024-02-08T00:00:00"/>
    <s v="CUST-0285"/>
    <s v="PROD-004"/>
    <s v="R013"/>
    <n v="10"/>
    <n v="3870"/>
    <n v="22.4"/>
    <n v="30031.200000000001"/>
    <s v="Pending"/>
    <x v="5"/>
    <s v="Electronics"/>
    <s v="Retail"/>
    <n v="22"/>
    <s v="South"/>
    <s v="R013"/>
    <n v="811524.37999999989"/>
    <s v="South"/>
    <s v="Electronics"/>
    <n v="1559"/>
  </r>
  <r>
    <s v="ORD-01814"/>
    <d v="2024-09-16T00:00:00"/>
    <s v="CUST-0072"/>
    <s v="PROD-037"/>
    <s v="R022"/>
    <n v="6"/>
    <n v="660"/>
    <n v="27.3"/>
    <n v="2878.92"/>
    <s v="Completed"/>
    <x v="3"/>
    <s v="Home"/>
    <s v="Corporate"/>
    <n v="62"/>
    <s v="East"/>
    <s v="R022"/>
    <n v="1069570.5400000003"/>
    <s v="East"/>
    <s v="Home"/>
    <n v="329"/>
  </r>
  <r>
    <s v="ORD-01815"/>
    <d v="2024-01-30T00:00:00"/>
    <s v="CUST-9630"/>
    <s v="PROD-004"/>
    <s v="R026"/>
    <n v="3"/>
    <n v="3870"/>
    <n v="7.6"/>
    <n v="10727.64"/>
    <s v="Cancelled"/>
    <x v="1"/>
    <s v="Electronics"/>
    <e v="#N/A"/>
    <e v="#N/A"/>
    <s v="West"/>
    <s v="R026"/>
    <n v="576305.08000000019"/>
    <s v="West"/>
    <s v="Electronics"/>
    <n v="1559"/>
  </r>
  <r>
    <s v="ORD-01816"/>
    <d v="2024-09-07T00:00:00"/>
    <s v="CUST-0243"/>
    <s v="PROD-019"/>
    <s v="R006"/>
    <n v="10"/>
    <n v="2480"/>
    <n v="21.5"/>
    <n v="19468"/>
    <s v="Pending"/>
    <x v="0"/>
    <s v="Apparel"/>
    <s v="SMB"/>
    <n v="44"/>
    <s v="North"/>
    <s v="R006"/>
    <n v="1138648.73"/>
    <s v="North"/>
    <s v="Apparel"/>
    <n v="1173"/>
  </r>
  <r>
    <s v="ORD-01817"/>
    <d v="2024-12-17T00:00:00"/>
    <s v="CUST-0231"/>
    <s v="PROD-010"/>
    <s v="R001"/>
    <n v="8"/>
    <n v="2640"/>
    <n v="22.3"/>
    <n v="16410.240000000002"/>
    <s v="Completed"/>
    <x v="1"/>
    <s v="Electronics"/>
    <s v="Retail"/>
    <n v="61"/>
    <s v="North"/>
    <s v="R001"/>
    <n v="789849.60000000009"/>
    <s v="North"/>
    <s v="Electronics"/>
    <n v="1149"/>
  </r>
  <r>
    <s v="ORD-01818"/>
    <d v="2024-09-24T00:00:00"/>
    <s v="CUST-0229"/>
    <s v="PROD-030"/>
    <s v="R001"/>
    <n v="8"/>
    <n v="970"/>
    <n v="13.1"/>
    <n v="6743.44"/>
    <s v="Completed"/>
    <x v="5"/>
    <s v="Grocery"/>
    <s v="SMB"/>
    <n v="25"/>
    <s v="North"/>
    <s v="R001"/>
    <n v="789849.60000000009"/>
    <s v="North"/>
    <s v="Grocery"/>
    <n v="434"/>
  </r>
  <r>
    <s v="ORD-01819"/>
    <d v="2024-05-04T00:00:00"/>
    <s v="CUST-0218"/>
    <s v="PROD-057"/>
    <s v="R001"/>
    <n v="6"/>
    <n v="960"/>
    <n v="3.2"/>
    <n v="5575.68"/>
    <s v="Completed"/>
    <x v="3"/>
    <s v="Sports"/>
    <s v="Retail"/>
    <n v="39"/>
    <s v="North"/>
    <s v="R001"/>
    <n v="789849.60000000009"/>
    <s v="North"/>
    <s v="Sports"/>
    <n v="705"/>
  </r>
  <r>
    <s v="ORD-01820"/>
    <d v="2024-06-26T00:00:00"/>
    <s v="CUST-0015"/>
    <s v="PROD-033"/>
    <s v="R008"/>
    <n v="9"/>
    <n v="2030"/>
    <n v="12.6"/>
    <n v="15967.98"/>
    <s v="Cancelled"/>
    <x v="1"/>
    <s v="Home"/>
    <s v="Retail"/>
    <n v="31"/>
    <s v="North"/>
    <s v="R008"/>
    <n v="861553.33"/>
    <s v="North"/>
    <s v="Home"/>
    <n v="1143"/>
  </r>
  <r>
    <s v="ORD-01821"/>
    <d v="2024-04-05T00:00:00"/>
    <s v="CUST-0291"/>
    <s v="PROD-042"/>
    <s v="R024"/>
    <n v="10"/>
    <n v="2290"/>
    <n v="22.2"/>
    <n v="17816.2"/>
    <s v="Completed"/>
    <x v="0"/>
    <s v="Beauty"/>
    <s v="SMB"/>
    <n v="29"/>
    <s v="West"/>
    <s v="R024"/>
    <n v="819558.58"/>
    <s v="West"/>
    <s v="Beauty"/>
    <n v="1219"/>
  </r>
  <r>
    <s v="ORD-01822"/>
    <d v="2024-03-22T00:00:00"/>
    <s v="CUST-0276"/>
    <s v="PROD-020"/>
    <s v="R027"/>
    <n v="7"/>
    <n v="820"/>
    <n v="6.4"/>
    <n v="5372.64"/>
    <s v="Refunded"/>
    <x v="1"/>
    <s v="Apparel"/>
    <s v="Retail"/>
    <n v="26"/>
    <s v="West"/>
    <s v="R027"/>
    <n v="917092.61999999965"/>
    <s v="West"/>
    <s v="Apparel"/>
    <n v="391"/>
  </r>
  <r>
    <s v="ORD-01823"/>
    <d v="2024-11-18T00:00:00"/>
    <s v="CUST-0139"/>
    <s v="PROD-040"/>
    <s v="R030"/>
    <n v="5"/>
    <n v="1080"/>
    <n v="6"/>
    <n v="5076"/>
    <s v="Completed"/>
    <x v="5"/>
    <s v="Home"/>
    <s v="SMB"/>
    <n v="65"/>
    <s v="West"/>
    <s v="R030"/>
    <n v="747624.36999999988"/>
    <s v="West"/>
    <s v="Home"/>
    <n v="519"/>
  </r>
  <r>
    <s v="ORD-01824"/>
    <d v="2024-01-19T00:00:00"/>
    <s v="CUST-0087"/>
    <s v="PROD-060"/>
    <s v="R028"/>
    <n v="4"/>
    <n v="190"/>
    <n v="6.3"/>
    <n v="712.12"/>
    <s v="Refunded"/>
    <x v="0"/>
    <s v="Sports"/>
    <s v="SMB"/>
    <n v="49"/>
    <s v="West"/>
    <s v="R028"/>
    <n v="880468.05"/>
    <s v="West"/>
    <s v="Sports"/>
    <n v="147"/>
  </r>
  <r>
    <s v="ORD-01825"/>
    <d v="2024-01-28T00:00:00"/>
    <s v="CUST-0203"/>
    <s v="PROD-017"/>
    <s v="R029"/>
    <n v="6"/>
    <n v="2510"/>
    <n v="11.5"/>
    <n v="13328.1"/>
    <s v="Completed"/>
    <x v="1"/>
    <s v="Apparel"/>
    <s v="SMB"/>
    <n v="55"/>
    <s v="West"/>
    <s v="R029"/>
    <n v="1016696.8000000002"/>
    <s v="West"/>
    <s v="Apparel"/>
    <n v="1075"/>
  </r>
  <r>
    <s v="ORD-01826"/>
    <d v="2024-01-08T00:00:00"/>
    <s v="CUST-0180"/>
    <s v="PROD-018"/>
    <s v="R015"/>
    <n v="2"/>
    <n v="3560"/>
    <n v="10.5"/>
    <n v="6372.4"/>
    <s v="Completed"/>
    <x v="1"/>
    <s v="Apparel"/>
    <s v="Retail"/>
    <n v="36"/>
    <s v="South"/>
    <s v="R015"/>
    <n v="1091740.1799999997"/>
    <s v="South"/>
    <s v="Apparel"/>
    <n v="2629"/>
  </r>
  <r>
    <s v="ORD-01827"/>
    <d v="2024-09-21T00:00:00"/>
    <s v="CUST-0130"/>
    <s v="PROD-020"/>
    <s v="R013"/>
    <n v="3"/>
    <n v="820"/>
    <n v="13"/>
    <n v="2140.1999999999998"/>
    <s v="Cancelled"/>
    <x v="4"/>
    <s v="Apparel"/>
    <s v="Corporate"/>
    <n v="41"/>
    <s v="South"/>
    <s v="R013"/>
    <n v="811524.37999999989"/>
    <s v="South"/>
    <s v="Apparel"/>
    <n v="391"/>
  </r>
  <r>
    <s v="ORD-01828"/>
    <d v="2024-07-27T00:00:00"/>
    <s v="CUST-0049"/>
    <s v="PROD-013"/>
    <s v="R003"/>
    <n v="6"/>
    <n v="3640"/>
    <n v="14"/>
    <n v="18782.400000000001"/>
    <s v="Completed"/>
    <x v="3"/>
    <s v="Apparel"/>
    <s v="Corporate"/>
    <n v="42"/>
    <s v="North"/>
    <s v="R003"/>
    <n v="986692.91"/>
    <s v="North"/>
    <s v="Apparel"/>
    <n v="2611"/>
  </r>
  <r>
    <s v="ORD-01829"/>
    <d v="2024-03-19T00:00:00"/>
    <s v="CUST-0182"/>
    <s v="PROD-028"/>
    <s v="R019"/>
    <n v="5"/>
    <n v="3660"/>
    <n v="28.7"/>
    <n v="13047.9"/>
    <s v="Completed"/>
    <x v="3"/>
    <s v="Grocery"/>
    <s v="Retail"/>
    <n v="54"/>
    <s v="East"/>
    <s v="R019"/>
    <n v="971183.52000000014"/>
    <s v="East"/>
    <s v="Grocery"/>
    <n v="2214"/>
  </r>
  <r>
    <s v="ORD-01830"/>
    <d v="2024-08-17T00:00:00"/>
    <s v="CUST-0291"/>
    <s v="PROD-055"/>
    <s v="R030"/>
    <n v="2"/>
    <n v="2860"/>
    <n v="21.1"/>
    <n v="4513.08"/>
    <s v="Completed"/>
    <x v="0"/>
    <s v="Sports"/>
    <s v="SMB"/>
    <n v="29"/>
    <s v="West"/>
    <s v="R030"/>
    <n v="747624.36999999988"/>
    <s v="West"/>
    <s v="Sports"/>
    <n v="2028"/>
  </r>
  <r>
    <s v="ORD-01831"/>
    <d v="2024-07-08T00:00:00"/>
    <s v="CUST-0167"/>
    <s v="PROD-015"/>
    <s v="R019"/>
    <n v="1"/>
    <n v="2720"/>
    <n v="22.1"/>
    <n v="2118.88"/>
    <s v="Completed"/>
    <x v="2"/>
    <s v="Apparel"/>
    <s v="Retail"/>
    <n v="43"/>
    <s v="East"/>
    <s v="R019"/>
    <n v="971183.52000000014"/>
    <s v="East"/>
    <s v="Apparel"/>
    <n v="1962"/>
  </r>
  <r>
    <s v="ORD-01832"/>
    <d v="2024-12-07T00:00:00"/>
    <s v="CUST-0223"/>
    <s v="PROD-055"/>
    <s v="R004"/>
    <n v="6"/>
    <n v="2860"/>
    <n v="10.5"/>
    <n v="15358.2"/>
    <s v="Cancelled"/>
    <x v="4"/>
    <s v="Sports"/>
    <s v="Retail"/>
    <n v="46"/>
    <s v="North"/>
    <s v="R004"/>
    <n v="589026.2899999998"/>
    <s v="North"/>
    <s v="Sports"/>
    <n v="2028"/>
  </r>
  <r>
    <s v="ORD-01833"/>
    <d v="2024-01-14T00:00:00"/>
    <s v="CUST-0050"/>
    <s v="PROD-017"/>
    <s v="R020"/>
    <n v="1"/>
    <n v="2510"/>
    <n v="12"/>
    <n v="2208.8000000000002"/>
    <s v="Completed"/>
    <x v="3"/>
    <s v="Apparel"/>
    <s v="Retail"/>
    <n v="37"/>
    <s v="East"/>
    <s v="R020"/>
    <n v="906107.71000000008"/>
    <s v="East"/>
    <s v="Apparel"/>
    <n v="1075"/>
  </r>
  <r>
    <s v="ORD-01834"/>
    <d v="2024-10-28T00:00:00"/>
    <s v="CUST-0242"/>
    <s v="PROD-017"/>
    <s v="R020"/>
    <n v="4"/>
    <n v="2510"/>
    <n v="23.2"/>
    <n v="7710.72"/>
    <s v="Completed"/>
    <x v="1"/>
    <s v="Apparel"/>
    <s v="SMB"/>
    <n v="59"/>
    <s v="East"/>
    <s v="R020"/>
    <n v="906107.71000000008"/>
    <s v="East"/>
    <s v="Apparel"/>
    <n v="1075"/>
  </r>
  <r>
    <s v="ORD-01835"/>
    <d v="2024-09-20T00:00:00"/>
    <s v="CUST-0144"/>
    <s v="PROD-049"/>
    <s v="R005"/>
    <n v="8"/>
    <n v="960"/>
    <n v="20.3"/>
    <n v="6120.96"/>
    <s v="Pending"/>
    <x v="1"/>
    <s v="Beauty"/>
    <s v="Retail"/>
    <n v="49"/>
    <s v="North"/>
    <s v="R005"/>
    <n v="782445.33"/>
    <s v="North"/>
    <s v="Beauty"/>
    <n v="675"/>
  </r>
  <r>
    <s v="ORD-01836"/>
    <d v="2024-04-24T00:00:00"/>
    <s v="CUST-0140"/>
    <s v="PROD-038"/>
    <s v="R010"/>
    <n v="3"/>
    <n v="5490"/>
    <n v="25.2"/>
    <n v="12319.56"/>
    <s v="Completed"/>
    <x v="5"/>
    <s v="Home"/>
    <s v="SMB"/>
    <n v="39"/>
    <s v="South"/>
    <s v="R010"/>
    <n v="880345.20000000007"/>
    <s v="South"/>
    <s v="Home"/>
    <n v="2549"/>
  </r>
  <r>
    <s v="ORD-01837"/>
    <d v="2024-12-21T00:00:00"/>
    <s v="CUST-0174"/>
    <s v="PROD-017"/>
    <s v="R006"/>
    <n v="2"/>
    <n v="2510"/>
    <n v="28.2"/>
    <n v="3604.36"/>
    <s v="Completed"/>
    <x v="0"/>
    <s v="Apparel"/>
    <s v="Retail"/>
    <n v="54"/>
    <s v="North"/>
    <s v="R006"/>
    <n v="1138648.73"/>
    <s v="North"/>
    <s v="Apparel"/>
    <n v="1075"/>
  </r>
  <r>
    <s v="ORD-01838"/>
    <d v="2024-04-04T00:00:00"/>
    <s v="CUST-0290"/>
    <s v="PROD-020"/>
    <s v="R011"/>
    <n v="1"/>
    <n v="820"/>
    <n v="4.7"/>
    <n v="781.46"/>
    <s v="Completed"/>
    <x v="2"/>
    <s v="Apparel"/>
    <s v="Retail"/>
    <n v="63"/>
    <s v="South"/>
    <s v="R011"/>
    <n v="735207.75999999989"/>
    <s v="South"/>
    <s v="Apparel"/>
    <n v="391"/>
  </r>
  <r>
    <s v="ORD-01839"/>
    <d v="2024-06-10T00:00:00"/>
    <s v="CUST-0170"/>
    <s v="PROD-005"/>
    <s v="R018"/>
    <n v="6"/>
    <n v="300"/>
    <n v="13.3"/>
    <n v="1560.6"/>
    <s v="Completed"/>
    <x v="3"/>
    <s v="Electronics"/>
    <s v="SMB"/>
    <n v="22"/>
    <s v="East"/>
    <s v="R018"/>
    <n v="1112289.6400000001"/>
    <s v="East"/>
    <s v="Electronics"/>
    <n v="128"/>
  </r>
  <r>
    <s v="ORD-01840"/>
    <d v="2024-07-19T00:00:00"/>
    <s v="CUST-0180"/>
    <s v="PROD-043"/>
    <s v="R016"/>
    <n v="4"/>
    <n v="3350"/>
    <n v="5.8"/>
    <n v="12622.8"/>
    <s v="Pending"/>
    <x v="1"/>
    <s v="Beauty"/>
    <s v="Retail"/>
    <n v="36"/>
    <s v="South"/>
    <s v="R016"/>
    <n v="814563.7100000002"/>
    <s v="South"/>
    <s v="Beauty"/>
    <n v="1728"/>
  </r>
  <r>
    <s v="ORD-01841"/>
    <d v="2024-11-09T00:00:00"/>
    <s v="CUST-0286"/>
    <s v="PROD-036"/>
    <s v="R025"/>
    <n v="3"/>
    <n v="3250"/>
    <n v="19.600000000000001"/>
    <n v="7839"/>
    <s v="Pending"/>
    <x v="2"/>
    <s v="Home"/>
    <s v="Retail"/>
    <n v="62"/>
    <s v="West"/>
    <s v="R025"/>
    <n v="901298.89"/>
    <s v="West"/>
    <s v="Home"/>
    <n v="1556"/>
  </r>
  <r>
    <s v="ORD-01842"/>
    <d v="2024-02-22T00:00:00"/>
    <s v="CUST-0056"/>
    <s v="PROD-044"/>
    <s v="R027"/>
    <n v="10"/>
    <n v="1650"/>
    <n v="22.5"/>
    <n v="12787.5"/>
    <s v="Cancelled"/>
    <x v="4"/>
    <s v="Beauty"/>
    <s v="SMB"/>
    <n v="46"/>
    <s v="West"/>
    <s v="R027"/>
    <n v="917092.61999999965"/>
    <s v="West"/>
    <s v="Beauty"/>
    <n v="1222"/>
  </r>
  <r>
    <s v="ORD-01843"/>
    <d v="2024-08-02T00:00:00"/>
    <s v="CUST-0292"/>
    <s v="PROD-009"/>
    <s v="R026"/>
    <n v="2"/>
    <n v="1220"/>
    <n v="10.5"/>
    <n v="2183.8000000000002"/>
    <s v="Completed"/>
    <x v="4"/>
    <s v="Electronics"/>
    <s v="Retail"/>
    <n v="32"/>
    <s v="West"/>
    <s v="R026"/>
    <n v="576305.08000000019"/>
    <s v="West"/>
    <s v="Electronics"/>
    <n v="517"/>
  </r>
  <r>
    <s v="ORD-01844"/>
    <d v="2024-08-17T00:00:00"/>
    <s v="CUST-0020"/>
    <s v="PROD-049"/>
    <s v="R026"/>
    <n v="7"/>
    <n v="960"/>
    <n v="5.4"/>
    <n v="6357.12"/>
    <s v="Refunded"/>
    <x v="5"/>
    <s v="Beauty"/>
    <s v="Retail"/>
    <n v="46"/>
    <s v="West"/>
    <s v="R026"/>
    <n v="576305.08000000019"/>
    <s v="West"/>
    <s v="Beauty"/>
    <n v="675"/>
  </r>
  <r>
    <s v="ORD-01845"/>
    <d v="2024-04-07T00:00:00"/>
    <s v="CUST-0089"/>
    <s v="PROD-046"/>
    <s v="R014"/>
    <n v="3"/>
    <n v="4880"/>
    <n v="17.100000000000001"/>
    <n v="12136.56"/>
    <s v="Completed"/>
    <x v="3"/>
    <s v="Beauty"/>
    <s v="SMB"/>
    <n v="43"/>
    <s v="South"/>
    <s v="R014"/>
    <n v="995713.54000000015"/>
    <s v="South"/>
    <s v="Beauty"/>
    <n v="2768"/>
  </r>
  <r>
    <s v="ORD-01846"/>
    <d v="2024-04-08T00:00:00"/>
    <s v="CUST-0242"/>
    <s v="PROD-024"/>
    <s v="R028"/>
    <n v="5"/>
    <n v="2270"/>
    <n v="12.4"/>
    <n v="9942.6"/>
    <s v="Completed"/>
    <x v="1"/>
    <s v="Grocery"/>
    <s v="SMB"/>
    <n v="59"/>
    <s v="West"/>
    <s v="R028"/>
    <n v="880468.05"/>
    <s v="West"/>
    <s v="Grocery"/>
    <n v="1203"/>
  </r>
  <r>
    <s v="ORD-01847"/>
    <d v="2024-05-01T00:00:00"/>
    <s v="CUST-0249"/>
    <s v="PROD-035"/>
    <s v="R028"/>
    <n v="1"/>
    <n v="1090"/>
    <n v="17.3"/>
    <n v="901.43"/>
    <s v="Completed"/>
    <x v="3"/>
    <s v="Home"/>
    <s v="Retail"/>
    <n v="44"/>
    <s v="West"/>
    <s v="R028"/>
    <n v="880468.05"/>
    <s v="West"/>
    <s v="Home"/>
    <n v="464"/>
  </r>
  <r>
    <s v="ORD-01848"/>
    <d v="2024-08-31T00:00:00"/>
    <s v="CUST-0032"/>
    <s v="PROD-034"/>
    <s v="R029"/>
    <n v="8"/>
    <n v="5080"/>
    <n v="0.9"/>
    <n v="40274.239999999998"/>
    <s v="Completed"/>
    <x v="5"/>
    <s v="Home"/>
    <s v="Retail"/>
    <n v="28"/>
    <s v="West"/>
    <s v="R029"/>
    <n v="1016696.8000000002"/>
    <s v="West"/>
    <s v="Home"/>
    <n v="2459"/>
  </r>
  <r>
    <s v="ORD-01849"/>
    <d v="2024-10-04T00:00:00"/>
    <s v="CUST-0217"/>
    <s v="PROD-039"/>
    <s v="R017"/>
    <n v="7"/>
    <n v="4610"/>
    <n v="0.9"/>
    <n v="31979.57"/>
    <s v="Completed"/>
    <x v="0"/>
    <s v="Home"/>
    <s v="SMB"/>
    <n v="59"/>
    <s v="East"/>
    <s v="R017"/>
    <n v="780384.40999999992"/>
    <s v="East"/>
    <s v="Home"/>
    <n v="1850"/>
  </r>
  <r>
    <s v="ORD-01850"/>
    <d v="2024-08-23T00:00:00"/>
    <s v="CUST-0284"/>
    <s v="PROD-045"/>
    <s v="R028"/>
    <n v="1"/>
    <n v="3020"/>
    <n v="10.3"/>
    <n v="2708.94"/>
    <s v="Completed"/>
    <x v="5"/>
    <s v="Beauty"/>
    <s v="SMB"/>
    <n v="65"/>
    <s v="West"/>
    <s v="R028"/>
    <n v="880468.05"/>
    <s v="West"/>
    <s v="Beauty"/>
    <n v="1626"/>
  </r>
  <r>
    <s v="ORD-01851"/>
    <d v="2024-06-10T00:00:00"/>
    <s v="CUST-0167"/>
    <s v="PROD-022"/>
    <s v="R028"/>
    <n v="6"/>
    <n v="2270"/>
    <n v="23.1"/>
    <n v="10473.780000000001"/>
    <s v="Completed"/>
    <x v="2"/>
    <s v="Grocery"/>
    <s v="Retail"/>
    <n v="43"/>
    <s v="West"/>
    <s v="R028"/>
    <n v="880468.05"/>
    <s v="West"/>
    <s v="Grocery"/>
    <n v="1412"/>
  </r>
  <r>
    <s v="ORD-01852"/>
    <d v="2024-11-09T00:00:00"/>
    <s v="CUST-0008"/>
    <s v="PROD-026"/>
    <s v="R010"/>
    <n v="6"/>
    <n v="4070"/>
    <n v="28.9"/>
    <n v="17362.62"/>
    <s v="Completed"/>
    <x v="0"/>
    <s v="Grocery"/>
    <s v="SMB"/>
    <n v="39"/>
    <s v="South"/>
    <s v="R010"/>
    <n v="880345.20000000007"/>
    <s v="South"/>
    <s v="Grocery"/>
    <n v="2027"/>
  </r>
  <r>
    <s v="ORD-01853"/>
    <d v="2024-12-24T00:00:00"/>
    <s v="CUST-0277"/>
    <s v="PROD-009"/>
    <s v="R017"/>
    <n v="5"/>
    <n v="1220"/>
    <n v="18.7"/>
    <n v="4959.3"/>
    <s v="Completed"/>
    <x v="1"/>
    <s v="Electronics"/>
    <s v="Corporate"/>
    <n v="34"/>
    <s v="East"/>
    <s v="R017"/>
    <n v="780384.40999999992"/>
    <s v="East"/>
    <s v="Electronics"/>
    <n v="517"/>
  </r>
  <r>
    <s v="ORD-01854"/>
    <d v="2024-04-30T00:00:00"/>
    <s v="CUST-0025"/>
    <s v="PROD-019"/>
    <s v="R024"/>
    <n v="8"/>
    <n v="2480"/>
    <n v="3.2"/>
    <n v="19205.12"/>
    <s v="Cancelled"/>
    <x v="4"/>
    <s v="Apparel"/>
    <s v="Retail"/>
    <n v="23"/>
    <s v="West"/>
    <s v="R024"/>
    <n v="819558.58"/>
    <s v="West"/>
    <s v="Apparel"/>
    <n v="1173"/>
  </r>
  <r>
    <s v="ORD-01855"/>
    <d v="2024-09-19T00:00:00"/>
    <s v="CUST-0228"/>
    <s v="PROD-055"/>
    <s v="R007"/>
    <n v="7"/>
    <n v="2860"/>
    <n v="8.4"/>
    <n v="18338.32"/>
    <s v="Completed"/>
    <x v="0"/>
    <s v="Sports"/>
    <s v="Corporate"/>
    <n v="37"/>
    <s v="North"/>
    <s v="R007"/>
    <n v="855749.67999999982"/>
    <s v="North"/>
    <s v="Sports"/>
    <n v="2028"/>
  </r>
  <r>
    <s v="ORD-01856"/>
    <d v="2024-03-14T00:00:00"/>
    <s v="CUST-0078"/>
    <s v="PROD-027"/>
    <s v="R024"/>
    <n v="1"/>
    <n v="3780"/>
    <n v="16.3"/>
    <n v="3163.86"/>
    <s v="Cancelled"/>
    <x v="2"/>
    <s v="Grocery"/>
    <s v="Retail"/>
    <n v="31"/>
    <s v="West"/>
    <s v="R024"/>
    <n v="819558.58"/>
    <s v="West"/>
    <s v="Grocery"/>
    <n v="2436"/>
  </r>
  <r>
    <s v="ORD-01857"/>
    <d v="2024-07-31T00:00:00"/>
    <s v="CUST-0205"/>
    <s v="PROD-055"/>
    <s v="R025"/>
    <n v="6"/>
    <n v="2860"/>
    <n v="10.7"/>
    <n v="15323.88"/>
    <s v="Completed"/>
    <x v="0"/>
    <s v="Sports"/>
    <s v="Corporate"/>
    <n v="29"/>
    <s v="West"/>
    <s v="R025"/>
    <n v="901298.89"/>
    <s v="West"/>
    <s v="Sports"/>
    <n v="2028"/>
  </r>
  <r>
    <s v="ORD-01858"/>
    <d v="2024-12-26T00:00:00"/>
    <s v="CUST-0044"/>
    <s v="PROD-058"/>
    <s v="R027"/>
    <n v="3"/>
    <n v="2400"/>
    <n v="20.7"/>
    <n v="5709.6"/>
    <s v="Completed"/>
    <x v="5"/>
    <s v="Sports"/>
    <s v="SMB"/>
    <n v="29"/>
    <s v="West"/>
    <s v="R027"/>
    <n v="917092.61999999965"/>
    <s v="West"/>
    <s v="Sports"/>
    <n v="974"/>
  </r>
  <r>
    <s v="ORD-01859"/>
    <d v="2024-02-08T00:00:00"/>
    <s v="CUST-0188"/>
    <s v="PROD-023"/>
    <s v="R025"/>
    <n v="8"/>
    <n v="2380"/>
    <n v="22.3"/>
    <n v="14794.08"/>
    <s v="Refunded"/>
    <x v="4"/>
    <s v="Grocery"/>
    <s v="Retail"/>
    <n v="54"/>
    <s v="West"/>
    <s v="R025"/>
    <n v="901298.89"/>
    <s v="West"/>
    <s v="Grocery"/>
    <n v="1182"/>
  </r>
  <r>
    <s v="ORD-01860"/>
    <d v="2024-08-29T00:00:00"/>
    <s v="CUST-0165"/>
    <s v="PROD-048"/>
    <s v="R006"/>
    <n v="7"/>
    <n v="5100"/>
    <n v="22.9"/>
    <n v="27524.7"/>
    <s v="Cancelled"/>
    <x v="0"/>
    <s v="Beauty"/>
    <s v="Retail"/>
    <n v="29"/>
    <s v="North"/>
    <s v="R006"/>
    <n v="1138648.73"/>
    <s v="North"/>
    <s v="Beauty"/>
    <n v="2237"/>
  </r>
  <r>
    <s v="ORD-01861"/>
    <d v="2024-06-20T00:00:00"/>
    <s v="CUST-0059"/>
    <s v="PROD-005"/>
    <s v="R015"/>
    <n v="7"/>
    <n v="300"/>
    <n v="15.3"/>
    <n v="1778.7"/>
    <s v="Completed"/>
    <x v="0"/>
    <s v="Electronics"/>
    <s v="Corporate"/>
    <n v="29"/>
    <s v="South"/>
    <s v="R015"/>
    <n v="1091740.1799999997"/>
    <s v="South"/>
    <s v="Electronics"/>
    <n v="128"/>
  </r>
  <r>
    <s v="ORD-01862"/>
    <d v="2024-05-16T00:00:00"/>
    <s v="CUST-0280"/>
    <s v="PROD-051"/>
    <s v="R010"/>
    <n v="5"/>
    <n v="3450"/>
    <n v="16.8"/>
    <n v="14352"/>
    <s v="Completed"/>
    <x v="2"/>
    <s v="Sports"/>
    <s v="SMB"/>
    <n v="27"/>
    <s v="South"/>
    <s v="R010"/>
    <n v="880345.20000000007"/>
    <s v="South"/>
    <s v="Sports"/>
    <n v="2467"/>
  </r>
  <r>
    <s v="ORD-01863"/>
    <d v="2024-12-08T00:00:00"/>
    <s v="CUST-0153"/>
    <s v="PROD-055"/>
    <s v="R014"/>
    <n v="4"/>
    <n v="2860"/>
    <n v="14.3"/>
    <n v="9804.08"/>
    <s v="Completed"/>
    <x v="3"/>
    <s v="Sports"/>
    <s v="Retail"/>
    <n v="35"/>
    <s v="South"/>
    <s v="R014"/>
    <n v="995713.54000000015"/>
    <s v="South"/>
    <s v="Sports"/>
    <n v="2028"/>
  </r>
  <r>
    <s v="ORD-01864"/>
    <d v="2024-12-01T00:00:00"/>
    <s v="CUST-0251"/>
    <s v="PROD-015"/>
    <s v="R001"/>
    <n v="6"/>
    <n v="2720"/>
    <n v="25.1"/>
    <n v="12223.68"/>
    <s v="Cancelled"/>
    <x v="3"/>
    <s v="Apparel"/>
    <s v="Retail"/>
    <n v="44"/>
    <s v="North"/>
    <s v="R001"/>
    <n v="789849.60000000009"/>
    <s v="North"/>
    <s v="Apparel"/>
    <n v="1962"/>
  </r>
  <r>
    <s v="ORD-01865"/>
    <d v="2024-05-17T00:00:00"/>
    <s v="CUST-0255"/>
    <s v="PROD-031"/>
    <s v="R028"/>
    <n v="3"/>
    <n v="3730"/>
    <n v="24.8"/>
    <n v="8414.8799999999992"/>
    <s v="Completed"/>
    <x v="1"/>
    <s v="Home"/>
    <s v="Corporate"/>
    <n v="51"/>
    <s v="West"/>
    <s v="R028"/>
    <n v="880468.05"/>
    <s v="West"/>
    <s v="Home"/>
    <n v="2135"/>
  </r>
  <r>
    <s v="ORD-01866"/>
    <d v="2024-12-22T00:00:00"/>
    <s v="CUST-0076"/>
    <s v="PROD-025"/>
    <s v="R002"/>
    <n v="2"/>
    <n v="4060"/>
    <n v="11.3"/>
    <n v="7202.44"/>
    <s v="Completed"/>
    <x v="3"/>
    <s v="Grocery"/>
    <s v="Retail"/>
    <n v="38"/>
    <s v="North"/>
    <s v="R002"/>
    <n v="980063.65999999968"/>
    <s v="North"/>
    <s v="Grocery"/>
    <n v="2911"/>
  </r>
  <r>
    <s v="ORD-01867"/>
    <d v="2024-01-04T00:00:00"/>
    <s v="CUST-0195"/>
    <s v="PROD-042"/>
    <s v="R018"/>
    <n v="6"/>
    <n v="2290"/>
    <n v="26.8"/>
    <n v="10057.68"/>
    <s v="Refunded"/>
    <x v="4"/>
    <s v="Beauty"/>
    <s v="Retail"/>
    <n v="28"/>
    <s v="East"/>
    <s v="R018"/>
    <n v="1112289.6400000001"/>
    <s v="East"/>
    <s v="Beauty"/>
    <n v="1219"/>
  </r>
  <r>
    <s v="ORD-01868"/>
    <d v="2024-05-06T00:00:00"/>
    <s v="CUST-0164"/>
    <s v="PROD-056"/>
    <s v="R013"/>
    <n v="1"/>
    <n v="6940"/>
    <n v="15.7"/>
    <n v="5850.42"/>
    <s v="Completed"/>
    <x v="1"/>
    <s v="Sports"/>
    <s v="Retail"/>
    <n v="60"/>
    <s v="South"/>
    <s v="R013"/>
    <n v="811524.37999999989"/>
    <s v="South"/>
    <s v="Sports"/>
    <n v="2827"/>
  </r>
  <r>
    <s v="ORD-01869"/>
    <d v="2024-11-27T00:00:00"/>
    <s v="CUST-0239"/>
    <s v="PROD-031"/>
    <s v="R009"/>
    <n v="3"/>
    <n v="3730"/>
    <n v="18.100000000000001"/>
    <n v="9164.61"/>
    <s v="Completed"/>
    <x v="3"/>
    <s v="Home"/>
    <s v="Retail"/>
    <n v="61"/>
    <s v="South"/>
    <s v="R009"/>
    <n v="914554.71999999986"/>
    <s v="South"/>
    <s v="Home"/>
    <n v="2135"/>
  </r>
  <r>
    <s v="ORD-01870"/>
    <d v="2024-08-24T00:00:00"/>
    <s v="CUST-0133"/>
    <s v="PROD-031"/>
    <s v="R002"/>
    <n v="8"/>
    <n v="3730"/>
    <n v="12.5"/>
    <n v="26110"/>
    <s v="Completed"/>
    <x v="1"/>
    <s v="Home"/>
    <s v="Retail"/>
    <n v="26"/>
    <s v="North"/>
    <s v="R002"/>
    <n v="980063.65999999968"/>
    <s v="North"/>
    <s v="Home"/>
    <n v="2135"/>
  </r>
  <r>
    <s v="ORD-01871"/>
    <d v="2024-12-18T00:00:00"/>
    <s v="CUST-0286"/>
    <s v="PROD-023"/>
    <s v="R015"/>
    <n v="9"/>
    <n v="2380"/>
    <n v="8.1"/>
    <n v="19684.98"/>
    <s v="Cancelled"/>
    <x v="2"/>
    <s v="Grocery"/>
    <s v="Retail"/>
    <n v="62"/>
    <s v="South"/>
    <s v="R015"/>
    <n v="1091740.1799999997"/>
    <s v="South"/>
    <s v="Grocery"/>
    <n v="1182"/>
  </r>
  <r>
    <s v="ORD-01872"/>
    <d v="2024-07-02T00:00:00"/>
    <s v="CUST-0122"/>
    <s v="PROD-040"/>
    <s v="R002"/>
    <n v="6"/>
    <n v="1080"/>
    <n v="8.8000000000000007"/>
    <n v="5909.76"/>
    <s v="Completed"/>
    <x v="3"/>
    <s v="Home"/>
    <s v="Retail"/>
    <n v="44"/>
    <s v="North"/>
    <s v="R002"/>
    <n v="980063.65999999968"/>
    <s v="North"/>
    <s v="Home"/>
    <n v="519"/>
  </r>
  <r>
    <s v="ORD-01712"/>
    <d v="2024-04-19T00:00:00"/>
    <s v="CUST-0285"/>
    <s v="PROD-053"/>
    <s v="R013"/>
    <n v="5"/>
    <n v="470"/>
    <n v="1.3"/>
    <n v="2319.4499999999998"/>
    <s v="Completed"/>
    <x v="5"/>
    <s v="Sports"/>
    <s v="Retail"/>
    <n v="22"/>
    <s v="South"/>
    <s v="R013"/>
    <n v="811524.37999999989"/>
    <s v="South"/>
    <s v="Sports"/>
    <n v="302"/>
  </r>
  <r>
    <s v="ORD-01874"/>
    <d v="2024-08-12T00:00:00"/>
    <s v="CUST-0174"/>
    <s v="PROD-032"/>
    <s v="R026"/>
    <n v="4"/>
    <n v="370"/>
    <n v="13.1"/>
    <n v="1286.1199999999999"/>
    <s v="Completed"/>
    <x v="0"/>
    <s v="Home"/>
    <s v="Retail"/>
    <n v="54"/>
    <s v="West"/>
    <s v="R026"/>
    <n v="576305.08000000019"/>
    <s v="West"/>
    <s v="Home"/>
    <n v="288"/>
  </r>
  <r>
    <s v="ORD-01875"/>
    <d v="2024-08-13T00:00:00"/>
    <s v="CUST-0115"/>
    <s v="PROD-012"/>
    <s v="R007"/>
    <n v="7"/>
    <n v="3160"/>
    <n v="12.3"/>
    <n v="19399.240000000002"/>
    <s v="Completed"/>
    <x v="3"/>
    <s v="Apparel"/>
    <s v="SMB"/>
    <n v="65"/>
    <s v="North"/>
    <s v="R007"/>
    <n v="855749.67999999982"/>
    <s v="North"/>
    <s v="Apparel"/>
    <n v="1886"/>
  </r>
  <r>
    <s v="ORD-01876"/>
    <d v="2024-12-19T00:00:00"/>
    <s v="CUST-0028"/>
    <s v="PROD-018"/>
    <s v="R024"/>
    <n v="5"/>
    <n v="3560"/>
    <n v="24"/>
    <n v="13528"/>
    <s v="Completed"/>
    <x v="4"/>
    <s v="Apparel"/>
    <s v="Retail"/>
    <n v="59"/>
    <s v="West"/>
    <s v="R024"/>
    <n v="819558.58"/>
    <s v="West"/>
    <s v="Apparel"/>
    <n v="2629"/>
  </r>
  <r>
    <s v="ORD-01877"/>
    <d v="2024-05-05T00:00:00"/>
    <s v="CUST-0111"/>
    <s v="PROD-033"/>
    <s v="R021"/>
    <n v="6"/>
    <n v="2030"/>
    <n v="20.5"/>
    <n v="9683.1"/>
    <s v="Completed"/>
    <x v="1"/>
    <s v="Home"/>
    <s v="SMB"/>
    <n v="64"/>
    <s v="East"/>
    <s v="R021"/>
    <n v="761507.17000000027"/>
    <s v="East"/>
    <s v="Home"/>
    <n v="1143"/>
  </r>
  <r>
    <s v="ORD-01878"/>
    <d v="2024-02-29T00:00:00"/>
    <s v="CUST-0240"/>
    <s v="PROD-010"/>
    <s v="R018"/>
    <n v="5"/>
    <n v="2640"/>
    <n v="21.3"/>
    <n v="10388.4"/>
    <s v="Pending"/>
    <x v="1"/>
    <s v="Electronics"/>
    <s v="Corporate"/>
    <n v="35"/>
    <s v="East"/>
    <s v="R018"/>
    <n v="1112289.6400000001"/>
    <s v="East"/>
    <s v="Electronics"/>
    <n v="1149"/>
  </r>
  <r>
    <s v="ORD-01879"/>
    <d v="2024-12-03T00:00:00"/>
    <s v="CUST-0222"/>
    <s v="PROD-022"/>
    <s v="R002"/>
    <n v="4"/>
    <n v="2270"/>
    <n v="15.8"/>
    <n v="7645.36"/>
    <s v="Completed"/>
    <x v="1"/>
    <s v="Grocery"/>
    <s v="Retail"/>
    <n v="37"/>
    <s v="North"/>
    <s v="R002"/>
    <n v="980063.65999999968"/>
    <s v="North"/>
    <s v="Grocery"/>
    <n v="1412"/>
  </r>
  <r>
    <s v="ORD-01880"/>
    <d v="2024-10-23T00:00:00"/>
    <s v="CUST-0251"/>
    <s v="PROD-032"/>
    <s v="R002"/>
    <n v="1"/>
    <n v="370"/>
    <n v="27"/>
    <n v="270.10000000000002"/>
    <s v="Pending"/>
    <x v="3"/>
    <s v="Home"/>
    <s v="Retail"/>
    <n v="44"/>
    <s v="North"/>
    <s v="R002"/>
    <n v="980063.65999999968"/>
    <s v="North"/>
    <s v="Home"/>
    <n v="288"/>
  </r>
  <r>
    <s v="ORD-01881"/>
    <d v="2024-03-15T00:00:00"/>
    <s v="CUST-0203"/>
    <s v="PROD-048"/>
    <s v="R017"/>
    <n v="9"/>
    <n v="5100"/>
    <n v="2.4"/>
    <n v="44798.400000000001"/>
    <s v="Completed"/>
    <x v="1"/>
    <s v="Beauty"/>
    <s v="SMB"/>
    <n v="55"/>
    <s v="East"/>
    <s v="R017"/>
    <n v="780384.40999999992"/>
    <s v="East"/>
    <s v="Beauty"/>
    <n v="2237"/>
  </r>
  <r>
    <s v="ORD-01882"/>
    <d v="2024-01-31T00:00:00"/>
    <s v="CUST-0285"/>
    <s v="PROD-032"/>
    <s v="R023"/>
    <n v="6"/>
    <n v="370"/>
    <n v="18.7"/>
    <n v="1804.86"/>
    <s v="Cancelled"/>
    <x v="5"/>
    <s v="Home"/>
    <s v="Retail"/>
    <n v="22"/>
    <s v="East"/>
    <s v="R023"/>
    <n v="983787.4800000001"/>
    <s v="East"/>
    <s v="Home"/>
    <n v="288"/>
  </r>
  <r>
    <s v="ORD-01883"/>
    <d v="2024-06-22T00:00:00"/>
    <s v="CUST-0135"/>
    <s v="PROD-030"/>
    <s v="R004"/>
    <n v="6"/>
    <n v="970"/>
    <n v="21.6"/>
    <n v="4562.88"/>
    <s v="Completed"/>
    <x v="0"/>
    <s v="Grocery"/>
    <s v="SMB"/>
    <n v="24"/>
    <s v="North"/>
    <s v="R004"/>
    <n v="589026.2899999998"/>
    <s v="North"/>
    <s v="Grocery"/>
    <n v="434"/>
  </r>
  <r>
    <s v="ORD-01884"/>
    <d v="2024-11-26T00:00:00"/>
    <s v="CUST-9967"/>
    <s v="PROD-029"/>
    <s v="R029"/>
    <n v="3"/>
    <n v="2210"/>
    <n v="8.5"/>
    <n v="6066.45"/>
    <s v="Completed"/>
    <x v="2"/>
    <s v="Grocery"/>
    <e v="#N/A"/>
    <e v="#N/A"/>
    <s v="West"/>
    <s v="R029"/>
    <n v="1016696.8000000002"/>
    <s v="West"/>
    <s v="Grocery"/>
    <n v="1010"/>
  </r>
  <r>
    <s v="ORD-01885"/>
    <d v="2024-06-14T00:00:00"/>
    <s v="CUST-0096"/>
    <s v="PROD-044"/>
    <s v="R002"/>
    <n v="1"/>
    <n v="1650"/>
    <n v="19.7"/>
    <n v="1324.95"/>
    <s v="Completed"/>
    <x v="2"/>
    <s v="Beauty"/>
    <s v="Corporate"/>
    <n v="27"/>
    <s v="North"/>
    <s v="R002"/>
    <n v="980063.65999999968"/>
    <s v="North"/>
    <s v="Beauty"/>
    <n v="1222"/>
  </r>
  <r>
    <s v="ORD-01886"/>
    <d v="2024-07-07T00:00:00"/>
    <s v="CUST-0266"/>
    <s v="PROD-056"/>
    <s v="R003"/>
    <n v="5"/>
    <n v="6940"/>
    <n v="7.7"/>
    <n v="32028.1"/>
    <s v="Completed"/>
    <x v="0"/>
    <s v="Sports"/>
    <s v="Retail"/>
    <n v="65"/>
    <s v="North"/>
    <s v="R003"/>
    <n v="986692.91"/>
    <s v="North"/>
    <s v="Sports"/>
    <n v="2827"/>
  </r>
  <r>
    <s v="ORD-01887"/>
    <d v="2024-04-10T00:00:00"/>
    <s v="CUST-0059"/>
    <s v="PROD-029"/>
    <s v="R022"/>
    <n v="2"/>
    <n v="2210"/>
    <n v="5.6"/>
    <n v="4172.4799999999996"/>
    <s v="Cancelled"/>
    <x v="0"/>
    <s v="Grocery"/>
    <s v="Corporate"/>
    <n v="29"/>
    <s v="East"/>
    <s v="R022"/>
    <n v="1069570.5400000003"/>
    <s v="East"/>
    <s v="Grocery"/>
    <n v="1010"/>
  </r>
  <r>
    <s v="ORD-01888"/>
    <d v="2024-03-29T00:00:00"/>
    <s v="CUST-0094"/>
    <s v="PROD-002"/>
    <s v="R014"/>
    <n v="9"/>
    <n v="2600"/>
    <n v="3.1"/>
    <n v="22674.6"/>
    <s v="Completed"/>
    <x v="0"/>
    <s v="Electronics"/>
    <s v="SMB"/>
    <n v="60"/>
    <s v="South"/>
    <s v="R014"/>
    <n v="995713.54000000015"/>
    <s v="South"/>
    <s v="Electronics"/>
    <n v="1052"/>
  </r>
  <r>
    <s v="ORD-01889"/>
    <d v="2024-07-21T00:00:00"/>
    <s v="CUST-0254"/>
    <s v="PROD-059"/>
    <s v="R003"/>
    <n v="7"/>
    <n v="3780"/>
    <n v="13.3"/>
    <n v="22940.82"/>
    <s v="Completed"/>
    <x v="4"/>
    <s v="Sports"/>
    <s v="Retail"/>
    <n v="35"/>
    <s v="North"/>
    <s v="R003"/>
    <n v="986692.91"/>
    <s v="North"/>
    <s v="Sports"/>
    <n v="1860"/>
  </r>
  <r>
    <s v="ORD-01890"/>
    <d v="2024-11-25T00:00:00"/>
    <s v="CUST-0022"/>
    <s v="PROD-058"/>
    <s v="R013"/>
    <n v="4"/>
    <n v="2400"/>
    <n v="16.600000000000001"/>
    <n v="8006.4"/>
    <s v="Pending"/>
    <x v="4"/>
    <s v="Sports"/>
    <s v="Corporate"/>
    <n v="55"/>
    <s v="South"/>
    <s v="R013"/>
    <n v="811524.37999999989"/>
    <s v="South"/>
    <s v="Sports"/>
    <n v="974"/>
  </r>
  <r>
    <s v="ORD-01891"/>
    <d v="2024-11-07T00:00:00"/>
    <s v="CUST-0168"/>
    <s v="PROD-005"/>
    <s v="R005"/>
    <n v="10"/>
    <n v="300"/>
    <n v="23.9"/>
    <n v="2283"/>
    <s v="Completed"/>
    <x v="0"/>
    <s v="Electronics"/>
    <s v="Retail"/>
    <n v="25"/>
    <s v="North"/>
    <s v="R005"/>
    <n v="782445.33"/>
    <s v="North"/>
    <s v="Electronics"/>
    <n v="128"/>
  </r>
  <r>
    <s v="ORD-01892"/>
    <d v="2024-12-14T00:00:00"/>
    <s v="CUST-0175"/>
    <s v="PROD-028"/>
    <s v="R010"/>
    <n v="1"/>
    <n v="3660"/>
    <n v="1.5"/>
    <n v="3605.1"/>
    <s v="Pending"/>
    <x v="2"/>
    <s v="Grocery"/>
    <s v="Corporate"/>
    <n v="55"/>
    <s v="South"/>
    <s v="R010"/>
    <n v="880345.20000000007"/>
    <s v="South"/>
    <s v="Grocery"/>
    <n v="2214"/>
  </r>
  <r>
    <s v="ORD-01893"/>
    <d v="2024-08-30T00:00:00"/>
    <s v="CUST-0193"/>
    <s v="PROD-051"/>
    <s v="R011"/>
    <n v="9"/>
    <n v="3450"/>
    <n v="21.8"/>
    <n v="24281.1"/>
    <s v="Completed"/>
    <x v="4"/>
    <s v="Sports"/>
    <s v="Retail"/>
    <n v="42"/>
    <s v="South"/>
    <s v="R011"/>
    <n v="735207.75999999989"/>
    <s v="South"/>
    <s v="Sports"/>
    <n v="2467"/>
  </r>
  <r>
    <s v="ORD-01894"/>
    <d v="2024-04-28T00:00:00"/>
    <s v="CUST-0284"/>
    <s v="PROD-011"/>
    <s v="R007"/>
    <n v="10"/>
    <n v="3450"/>
    <n v="15.7"/>
    <n v="29083.5"/>
    <s v="Cancelled"/>
    <x v="5"/>
    <s v="Apparel"/>
    <s v="SMB"/>
    <n v="65"/>
    <s v="North"/>
    <s v="R007"/>
    <n v="855749.67999999982"/>
    <s v="North"/>
    <s v="Apparel"/>
    <n v="1748"/>
  </r>
  <r>
    <s v="ORD-01895"/>
    <d v="2024-04-30T00:00:00"/>
    <s v="CUST-0071"/>
    <s v="PROD-026"/>
    <s v="R008"/>
    <n v="2"/>
    <n v="4070"/>
    <n v="10.8"/>
    <n v="7260.88"/>
    <s v="Completed"/>
    <x v="2"/>
    <s v="Grocery"/>
    <s v="Corporate"/>
    <n v="46"/>
    <s v="North"/>
    <s v="R008"/>
    <n v="861553.33"/>
    <s v="North"/>
    <s v="Grocery"/>
    <n v="2027"/>
  </r>
  <r>
    <s v="ORD-01896"/>
    <d v="2024-03-21T00:00:00"/>
    <s v="CUST-0102"/>
    <s v="PROD-059"/>
    <s v="R023"/>
    <n v="4"/>
    <n v="3780"/>
    <n v="17.100000000000001"/>
    <n v="12534.48"/>
    <s v="Completed"/>
    <x v="1"/>
    <s v="Sports"/>
    <s v="SMB"/>
    <n v="62"/>
    <s v="East"/>
    <s v="R023"/>
    <n v="983787.4800000001"/>
    <s v="East"/>
    <s v="Sports"/>
    <n v="1860"/>
  </r>
  <r>
    <s v="ORD-01897"/>
    <d v="2024-11-26T00:00:00"/>
    <s v="CUST-0036"/>
    <s v="PROD-021"/>
    <s v="R004"/>
    <n v="1"/>
    <n v="2760"/>
    <n v="2.5"/>
    <n v="2691"/>
    <s v="Cancelled"/>
    <x v="3"/>
    <s v="Grocery"/>
    <s v="Retail"/>
    <n v="35"/>
    <s v="North"/>
    <s v="R004"/>
    <n v="589026.2899999998"/>
    <s v="North"/>
    <s v="Grocery"/>
    <n v="1435"/>
  </r>
  <r>
    <s v="ORD-01898"/>
    <d v="2024-07-20T00:00:00"/>
    <s v="CUST-0273"/>
    <s v="PROD-046"/>
    <s v="R030"/>
    <n v="2"/>
    <n v="4880"/>
    <n v="11"/>
    <n v="8686.4"/>
    <s v="Completed"/>
    <x v="5"/>
    <s v="Beauty"/>
    <s v="Corporate"/>
    <n v="32"/>
    <s v="West"/>
    <s v="R030"/>
    <n v="747624.36999999988"/>
    <s v="West"/>
    <s v="Beauty"/>
    <n v="2768"/>
  </r>
  <r>
    <s v="ORD-01899"/>
    <d v="2024-10-15T00:00:00"/>
    <s v="CUST-0262"/>
    <s v="PROD-023"/>
    <s v="R022"/>
    <n v="10"/>
    <n v="2380"/>
    <n v="28.3"/>
    <n v="17064.599999999999"/>
    <s v="Completed"/>
    <x v="3"/>
    <s v="Grocery"/>
    <s v="Retail"/>
    <n v="52"/>
    <s v="East"/>
    <s v="R022"/>
    <n v="1069570.5400000003"/>
    <s v="East"/>
    <s v="Grocery"/>
    <n v="1182"/>
  </r>
  <r>
    <s v="ORD-01900"/>
    <d v="2024-06-06T00:00:00"/>
    <s v="CUST-0083"/>
    <s v="PROD-042"/>
    <s v="R003"/>
    <n v="3"/>
    <n v="2290"/>
    <n v="11.1"/>
    <n v="6107.43"/>
    <s v="Cancelled"/>
    <x v="4"/>
    <s v="Beauty"/>
    <s v="Corporate"/>
    <n v="31"/>
    <s v="North"/>
    <s v="R003"/>
    <n v="986692.91"/>
    <s v="North"/>
    <s v="Beauty"/>
    <n v="1219"/>
  </r>
  <r>
    <s v="ORD-01901"/>
    <d v="2024-05-05T00:00:00"/>
    <s v="CUST-0273"/>
    <s v="PROD-021"/>
    <s v="R004"/>
    <n v="6"/>
    <n v="2760"/>
    <n v="16.5"/>
    <n v="13827.6"/>
    <s v="Completed"/>
    <x v="5"/>
    <s v="Grocery"/>
    <s v="Corporate"/>
    <n v="32"/>
    <s v="North"/>
    <s v="R004"/>
    <n v="589026.2899999998"/>
    <s v="North"/>
    <s v="Grocery"/>
    <n v="1435"/>
  </r>
  <r>
    <s v="ORD-01902"/>
    <d v="2024-08-19T00:00:00"/>
    <s v="CUST-0047"/>
    <s v="PROD-025"/>
    <s v="R027"/>
    <n v="5"/>
    <n v="4060"/>
    <n v="22.5"/>
    <n v="15732.5"/>
    <s v="Completed"/>
    <x v="0"/>
    <s v="Grocery"/>
    <s v="Retail"/>
    <n v="49"/>
    <s v="West"/>
    <s v="R027"/>
    <n v="917092.61999999965"/>
    <s v="West"/>
    <s v="Grocery"/>
    <n v="2911"/>
  </r>
  <r>
    <s v="ORD-01903"/>
    <d v="2024-03-16T00:00:00"/>
    <s v="CUST-0084"/>
    <s v="PROD-010"/>
    <s v="R006"/>
    <n v="8"/>
    <n v="2640"/>
    <n v="11.8"/>
    <n v="18627.84"/>
    <s v="Completed"/>
    <x v="1"/>
    <s v="Electronics"/>
    <s v="Retail"/>
    <n v="28"/>
    <s v="North"/>
    <s v="R006"/>
    <n v="1138648.73"/>
    <s v="North"/>
    <s v="Electronics"/>
    <n v="1149"/>
  </r>
  <r>
    <s v="ORD-01904"/>
    <d v="2024-01-18T00:00:00"/>
    <s v="CUST-0093"/>
    <s v="PROD-039"/>
    <s v="R005"/>
    <n v="2"/>
    <n v="4610"/>
    <n v="10.4"/>
    <n v="8261.1200000000008"/>
    <s v="Pending"/>
    <x v="0"/>
    <s v="Home"/>
    <s v="Retail"/>
    <n v="36"/>
    <s v="North"/>
    <s v="R005"/>
    <n v="782445.33"/>
    <s v="North"/>
    <s v="Home"/>
    <n v="1850"/>
  </r>
  <r>
    <s v="ORD-01905"/>
    <d v="2024-04-01T00:00:00"/>
    <s v="CUST-0282"/>
    <s v="PROD-029"/>
    <s v="R028"/>
    <n v="6"/>
    <n v="2210"/>
    <n v="22.5"/>
    <n v="10276.5"/>
    <s v="Cancelled"/>
    <x v="5"/>
    <s v="Grocery"/>
    <s v="Corporate"/>
    <n v="29"/>
    <s v="West"/>
    <s v="R028"/>
    <n v="880468.05"/>
    <s v="West"/>
    <s v="Grocery"/>
    <n v="1010"/>
  </r>
  <r>
    <s v="ORD-01906"/>
    <d v="2024-05-08T00:00:00"/>
    <s v="CUST-0246"/>
    <s v="PROD-029"/>
    <s v="R011"/>
    <n v="4"/>
    <n v="2210"/>
    <n v="21.5"/>
    <n v="6939.4"/>
    <s v="Pending"/>
    <x v="2"/>
    <s v="Grocery"/>
    <s v="SMB"/>
    <n v="29"/>
    <s v="South"/>
    <s v="R011"/>
    <n v="735207.75999999989"/>
    <s v="South"/>
    <s v="Grocery"/>
    <n v="1010"/>
  </r>
  <r>
    <s v="ORD-01907"/>
    <d v="2024-04-18T00:00:00"/>
    <s v="CUST-0243"/>
    <s v="PROD-035"/>
    <s v="R013"/>
    <n v="6"/>
    <n v="1090"/>
    <n v="28.3"/>
    <n v="4689.18"/>
    <s v="Completed"/>
    <x v="0"/>
    <s v="Home"/>
    <s v="SMB"/>
    <n v="44"/>
    <s v="South"/>
    <s v="R013"/>
    <n v="811524.37999999989"/>
    <s v="South"/>
    <s v="Home"/>
    <n v="464"/>
  </r>
  <r>
    <s v="ORD-01908"/>
    <d v="2024-11-29T00:00:00"/>
    <s v="CUST-0298"/>
    <s v="PROD-032"/>
    <s v="R003"/>
    <n v="9"/>
    <n v="370"/>
    <n v="13.8"/>
    <n v="2870.46"/>
    <s v="Completed"/>
    <x v="2"/>
    <s v="Home"/>
    <s v="Retail"/>
    <n v="44"/>
    <s v="North"/>
    <s v="R003"/>
    <n v="986692.91"/>
    <s v="North"/>
    <s v="Home"/>
    <n v="288"/>
  </r>
  <r>
    <s v="ORD-01909"/>
    <d v="2024-09-20T00:00:00"/>
    <s v="CUST-0124"/>
    <s v="PROD-003"/>
    <s v="R025"/>
    <n v="10"/>
    <n v="3570"/>
    <n v="3"/>
    <n v="34629"/>
    <s v="Cancelled"/>
    <x v="0"/>
    <s v="Electronics"/>
    <s v="Retail"/>
    <n v="57"/>
    <s v="West"/>
    <s v="R025"/>
    <n v="901298.89"/>
    <s v="West"/>
    <s v="Electronics"/>
    <n v="1665"/>
  </r>
  <r>
    <s v="ORD-01910"/>
    <d v="2024-08-05T00:00:00"/>
    <s v="CUST-0070"/>
    <s v="PROD-036"/>
    <s v="R016"/>
    <n v="10"/>
    <n v="3250"/>
    <n v="20.3"/>
    <n v="25902.5"/>
    <s v="Completed"/>
    <x v="3"/>
    <s v="Home"/>
    <s v="Retail"/>
    <n v="42"/>
    <s v="South"/>
    <s v="R016"/>
    <n v="814563.7100000002"/>
    <s v="South"/>
    <s v="Home"/>
    <n v="1556"/>
  </r>
  <r>
    <s v="ORD-01911"/>
    <d v="2024-05-24T00:00:00"/>
    <s v="CUST-0054"/>
    <s v="PROD-036"/>
    <s v="R028"/>
    <n v="6"/>
    <n v="3250"/>
    <n v="25.8"/>
    <n v="14469"/>
    <s v="Pending"/>
    <x v="3"/>
    <s v="Home"/>
    <s v="Corporate"/>
    <n v="62"/>
    <s v="West"/>
    <s v="R028"/>
    <n v="880468.05"/>
    <s v="West"/>
    <s v="Home"/>
    <n v="1556"/>
  </r>
  <r>
    <s v="ORD-01912"/>
    <d v="2024-11-14T00:00:00"/>
    <s v="CUST-0208"/>
    <s v="PROD-057"/>
    <s v="R024"/>
    <n v="9"/>
    <n v="960"/>
    <n v="29"/>
    <n v="6134.4"/>
    <s v="Completed"/>
    <x v="3"/>
    <s v="Sports"/>
    <s v="Retail"/>
    <n v="49"/>
    <s v="West"/>
    <s v="R024"/>
    <n v="819558.58"/>
    <s v="West"/>
    <s v="Sports"/>
    <n v="705"/>
  </r>
  <r>
    <s v="ORD-01913"/>
    <d v="2024-08-31T00:00:00"/>
    <s v="CUST-0181"/>
    <s v="PROD-050"/>
    <s v="R015"/>
    <n v="9"/>
    <n v="6080"/>
    <n v="21"/>
    <n v="43228.800000000003"/>
    <s v="Completed"/>
    <x v="2"/>
    <s v="Beauty"/>
    <s v="SMB"/>
    <n v="38"/>
    <s v="South"/>
    <s v="R015"/>
    <n v="1091740.1799999997"/>
    <s v="South"/>
    <s v="Beauty"/>
    <n v="2617"/>
  </r>
  <r>
    <s v="ORD-01914"/>
    <d v="2024-03-15T00:00:00"/>
    <s v="CUST-0259"/>
    <s v="PROD-039"/>
    <s v="R020"/>
    <n v="6"/>
    <n v="4610"/>
    <n v="13.5"/>
    <n v="23925.9"/>
    <s v="Completed"/>
    <x v="3"/>
    <s v="Home"/>
    <s v="Retail"/>
    <n v="34"/>
    <s v="East"/>
    <s v="R020"/>
    <n v="906107.71000000008"/>
    <s v="East"/>
    <s v="Home"/>
    <n v="1850"/>
  </r>
  <r>
    <s v="ORD-01915"/>
    <d v="2024-06-03T00:00:00"/>
    <s v="CUST-0277"/>
    <s v="PROD-034"/>
    <s v="R021"/>
    <n v="7"/>
    <n v="5080"/>
    <n v="25.4"/>
    <n v="26527.759999999998"/>
    <s v="Completed"/>
    <x v="1"/>
    <s v="Home"/>
    <s v="Corporate"/>
    <n v="34"/>
    <s v="East"/>
    <s v="R021"/>
    <n v="761507.17000000027"/>
    <s v="East"/>
    <s v="Home"/>
    <n v="2459"/>
  </r>
  <r>
    <s v="ORD-01916"/>
    <d v="2024-09-15T00:00:00"/>
    <s v="CUST-0173"/>
    <s v="PROD-043"/>
    <s v="R017"/>
    <n v="5"/>
    <n v="3350"/>
    <n v="2.2000000000000002"/>
    <n v="16381.5"/>
    <s v="Completed"/>
    <x v="3"/>
    <s v="Beauty"/>
    <s v="Retail"/>
    <n v="65"/>
    <s v="East"/>
    <s v="R017"/>
    <n v="780384.40999999992"/>
    <s v="East"/>
    <s v="Beauty"/>
    <n v="1728"/>
  </r>
  <r>
    <s v="ORD-01917"/>
    <d v="2024-11-04T00:00:00"/>
    <s v="CUST-0091"/>
    <s v="PROD-027"/>
    <s v="R014"/>
    <n v="1"/>
    <n v="3780"/>
    <n v="13.7"/>
    <n v="3262.14"/>
    <s v="Completed"/>
    <x v="2"/>
    <s v="Grocery"/>
    <s v="Retail"/>
    <n v="55"/>
    <s v="South"/>
    <s v="R014"/>
    <n v="995713.54000000015"/>
    <s v="South"/>
    <s v="Grocery"/>
    <n v="2436"/>
  </r>
  <r>
    <s v="ORD-01918"/>
    <d v="2024-03-01T00:00:00"/>
    <s v="CUST-0142"/>
    <s v="PROD-046"/>
    <s v="R020"/>
    <n v="4"/>
    <n v="4880"/>
    <n v="11.6"/>
    <n v="17255.68"/>
    <s v="Completed"/>
    <x v="1"/>
    <s v="Beauty"/>
    <s v="Corporate"/>
    <n v="55"/>
    <s v="East"/>
    <s v="R020"/>
    <n v="906107.71000000008"/>
    <s v="East"/>
    <s v="Beauty"/>
    <n v="2768"/>
  </r>
  <r>
    <s v="ORD-01919"/>
    <d v="2024-04-03T00:00:00"/>
    <s v="CUST-0011"/>
    <s v="PROD-048"/>
    <s v="R029"/>
    <n v="3"/>
    <n v="5100"/>
    <n v="24.2"/>
    <n v="11597.4"/>
    <s v="Completed"/>
    <x v="7"/>
    <s v="Beauty"/>
    <s v="Corporate"/>
    <n v="41"/>
    <s v="West"/>
    <s v="R029"/>
    <n v="1016696.8000000002"/>
    <s v="West"/>
    <s v="Beauty"/>
    <n v="2237"/>
  </r>
  <r>
    <s v="ORD-01920"/>
    <d v="2024-12-08T00:00:00"/>
    <s v="CUST-0074"/>
    <s v="PROD-008"/>
    <s v="R023"/>
    <n v="5"/>
    <n v="2660"/>
    <n v="4.7"/>
    <n v="12674.9"/>
    <s v="Completed"/>
    <x v="4"/>
    <s v="Electronics"/>
    <s v="Retail"/>
    <n v="27"/>
    <s v="East"/>
    <s v="R023"/>
    <n v="983787.4800000001"/>
    <s v="East"/>
    <s v="Electronics"/>
    <n v="1259"/>
  </r>
  <r>
    <s v="ORD-01921"/>
    <d v="2024-06-01T00:00:00"/>
    <s v="CUST-0131"/>
    <s v="PROD-023"/>
    <s v="R017"/>
    <n v="10"/>
    <n v="2380"/>
    <n v="1"/>
    <n v="23562"/>
    <s v="Completed"/>
    <x v="2"/>
    <s v="Grocery"/>
    <s v="SMB"/>
    <n v="28"/>
    <s v="East"/>
    <s v="R017"/>
    <n v="780384.40999999992"/>
    <s v="East"/>
    <s v="Grocery"/>
    <n v="1182"/>
  </r>
  <r>
    <s v="ORD-01922"/>
    <d v="2024-09-18T00:00:00"/>
    <s v="CUST-0093"/>
    <s v="PROD-046"/>
    <s v="R002"/>
    <n v="9"/>
    <n v="4880"/>
    <n v="7.2"/>
    <n v="40757.760000000002"/>
    <s v="Completed"/>
    <x v="0"/>
    <s v="Beauty"/>
    <s v="Retail"/>
    <n v="36"/>
    <s v="North"/>
    <s v="R002"/>
    <n v="980063.65999999968"/>
    <s v="North"/>
    <s v="Beauty"/>
    <n v="2768"/>
  </r>
  <r>
    <s v="ORD-01923"/>
    <d v="2024-04-29T00:00:00"/>
    <s v="CUST-0229"/>
    <s v="PROD-031"/>
    <s v="R014"/>
    <n v="1"/>
    <n v="3730"/>
    <n v="15.3"/>
    <n v="3159.31"/>
    <s v="Completed"/>
    <x v="5"/>
    <s v="Home"/>
    <s v="SMB"/>
    <n v="25"/>
    <s v="South"/>
    <s v="R014"/>
    <n v="995713.54000000015"/>
    <s v="South"/>
    <s v="Home"/>
    <n v="2135"/>
  </r>
  <r>
    <s v="ORD-01924"/>
    <d v="2024-05-30T00:00:00"/>
    <s v="CUST-0293"/>
    <s v="PROD-059"/>
    <s v="R003"/>
    <n v="10"/>
    <n v="3780"/>
    <n v="2.7"/>
    <n v="36779.4"/>
    <s v="Completed"/>
    <x v="4"/>
    <s v="Sports"/>
    <s v="Retail"/>
    <n v="27"/>
    <s v="North"/>
    <s v="R003"/>
    <n v="986692.91"/>
    <s v="North"/>
    <s v="Sports"/>
    <n v="1860"/>
  </r>
  <r>
    <s v="ORD-01925"/>
    <d v="2024-03-30T00:00:00"/>
    <s v="CUST-0105"/>
    <s v="PROD-014"/>
    <s v="R023"/>
    <n v="2"/>
    <n v="3620"/>
    <n v="23"/>
    <n v="5574.8"/>
    <s v="Completed"/>
    <x v="1"/>
    <s v="Apparel"/>
    <s v="SMB"/>
    <n v="51"/>
    <s v="East"/>
    <s v="R023"/>
    <n v="983787.4800000001"/>
    <s v="East"/>
    <s v="Apparel"/>
    <n v="2509"/>
  </r>
  <r>
    <s v="ORD-01926"/>
    <d v="2024-09-01T00:00:00"/>
    <s v="CUST-0003"/>
    <s v="PROD-034"/>
    <s v="R021"/>
    <n v="9"/>
    <n v="5080"/>
    <n v="19.899999999999999"/>
    <n v="36621.72"/>
    <s v="Completed"/>
    <x v="3"/>
    <s v="Home"/>
    <s v="Retail"/>
    <n v="33"/>
    <s v="East"/>
    <s v="R021"/>
    <n v="761507.17000000027"/>
    <s v="East"/>
    <s v="Home"/>
    <n v="2459"/>
  </r>
  <r>
    <s v="ORD-01927"/>
    <d v="2024-09-26T00:00:00"/>
    <s v="CUST-0092"/>
    <s v="PROD-018"/>
    <s v="R024"/>
    <n v="2"/>
    <n v="3560"/>
    <n v="5.5"/>
    <n v="6728.4"/>
    <s v="Completed"/>
    <x v="4"/>
    <s v="Apparel"/>
    <s v="SMB"/>
    <n v="28"/>
    <s v="West"/>
    <s v="R024"/>
    <n v="819558.58"/>
    <s v="West"/>
    <s v="Apparel"/>
    <n v="2629"/>
  </r>
  <r>
    <s v="ORD-01928"/>
    <d v="2024-02-27T00:00:00"/>
    <s v="CUST-0050"/>
    <s v="PROD-030"/>
    <s v="R001"/>
    <n v="6"/>
    <n v="970"/>
    <n v="22.5"/>
    <n v="4510.5"/>
    <s v="Refunded"/>
    <x v="3"/>
    <s v="Grocery"/>
    <s v="Retail"/>
    <n v="37"/>
    <s v="North"/>
    <s v="R001"/>
    <n v="789849.60000000009"/>
    <s v="North"/>
    <s v="Grocery"/>
    <n v="434"/>
  </r>
  <r>
    <s v="ORD-01929"/>
    <d v="2024-12-24T00:00:00"/>
    <s v="CUST-0237"/>
    <s v="PROD-043"/>
    <s v="R014"/>
    <n v="9"/>
    <n v="3350"/>
    <n v="5.0999999999999996"/>
    <n v="28612.35"/>
    <s v="Completed"/>
    <x v="3"/>
    <s v="Beauty"/>
    <s v="Retail"/>
    <n v="49"/>
    <s v="South"/>
    <s v="R014"/>
    <n v="995713.54000000015"/>
    <s v="South"/>
    <s v="Beauty"/>
    <n v="1728"/>
  </r>
  <r>
    <s v="ORD-01930"/>
    <d v="2024-08-21T00:00:00"/>
    <s v="CUST-9905"/>
    <s v="PROD-032"/>
    <s v="R011"/>
    <n v="6"/>
    <n v="370"/>
    <n v="17.8"/>
    <n v="1824.84"/>
    <s v="Completed"/>
    <x v="3"/>
    <s v="Home"/>
    <e v="#N/A"/>
    <e v="#N/A"/>
    <s v="South"/>
    <s v="R011"/>
    <n v="735207.75999999989"/>
    <s v="South"/>
    <s v="Home"/>
    <n v="288"/>
  </r>
  <r>
    <s v="ORD-01931"/>
    <d v="2024-03-14T00:00:00"/>
    <s v="CUST-0175"/>
    <s v="PROD-024"/>
    <s v="R011"/>
    <n v="3"/>
    <n v="2270"/>
    <n v="8.4"/>
    <n v="6237.96"/>
    <s v="Pending"/>
    <x v="2"/>
    <s v="Grocery"/>
    <s v="Corporate"/>
    <n v="55"/>
    <s v="South"/>
    <s v="R011"/>
    <n v="735207.75999999989"/>
    <s v="South"/>
    <s v="Grocery"/>
    <n v="1203"/>
  </r>
  <r>
    <s v="ORD-01932"/>
    <d v="2024-06-21T00:00:00"/>
    <s v="CUST-0271"/>
    <s v="PROD-051"/>
    <s v="R021"/>
    <n v="3"/>
    <n v="3450"/>
    <n v="7.2"/>
    <n v="9604.7999999999993"/>
    <s v="Completed"/>
    <x v="4"/>
    <s v="Sports"/>
    <s v="Corporate"/>
    <n v="41"/>
    <s v="East"/>
    <s v="R021"/>
    <n v="761507.17000000027"/>
    <s v="East"/>
    <s v="Sports"/>
    <n v="2467"/>
  </r>
  <r>
    <s v="ORD-01933"/>
    <d v="2024-12-07T00:00:00"/>
    <s v="CUST-0129"/>
    <s v="PROD-054"/>
    <s v="R008"/>
    <n v="9"/>
    <n v="1010"/>
    <n v="17.8"/>
    <n v="7471.98"/>
    <s v="Completed"/>
    <x v="5"/>
    <s v="Sports"/>
    <s v="Retail"/>
    <n v="29"/>
    <s v="North"/>
    <s v="R008"/>
    <n v="861553.33"/>
    <s v="North"/>
    <s v="Sports"/>
    <n v="516"/>
  </r>
  <r>
    <s v="ORD-01934"/>
    <d v="2024-03-22T00:00:00"/>
    <s v="CUST-0156"/>
    <s v="PROD-039"/>
    <s v="R003"/>
    <n v="5"/>
    <n v="4610"/>
    <n v="29.8"/>
    <n v="16181.1"/>
    <s v="Cancelled"/>
    <x v="3"/>
    <s v="Home"/>
    <s v="Retail"/>
    <n v="33"/>
    <s v="North"/>
    <s v="R003"/>
    <n v="986692.91"/>
    <s v="North"/>
    <s v="Home"/>
    <n v="1850"/>
  </r>
  <r>
    <s v="ORD-01935"/>
    <d v="2024-07-24T00:00:00"/>
    <s v="CUST-0048"/>
    <s v="PROD-032"/>
    <s v="R003"/>
    <n v="6"/>
    <n v="370"/>
    <n v="17.899999999999999"/>
    <n v="1822.62"/>
    <s v="Completed"/>
    <x v="2"/>
    <s v="Home"/>
    <s v="Retail"/>
    <n v="59"/>
    <s v="North"/>
    <s v="R003"/>
    <n v="986692.91"/>
    <s v="North"/>
    <s v="Home"/>
    <n v="288"/>
  </r>
  <r>
    <s v="ORD-01936"/>
    <d v="2024-03-01T00:00:00"/>
    <s v="CUST-0224"/>
    <s v="PROD-023"/>
    <s v="R026"/>
    <n v="6"/>
    <n v="2380"/>
    <n v="13.6"/>
    <n v="12337.92"/>
    <s v="Cancelled"/>
    <x v="1"/>
    <s v="Grocery"/>
    <s v="Corporate"/>
    <n v="24"/>
    <s v="West"/>
    <s v="R026"/>
    <n v="576305.08000000019"/>
    <s v="West"/>
    <s v="Grocery"/>
    <n v="1182"/>
  </r>
  <r>
    <s v="ORD-01937"/>
    <d v="2024-03-28T00:00:00"/>
    <s v="CUST-0101"/>
    <s v="PROD-049"/>
    <s v="R023"/>
    <n v="6"/>
    <n v="960"/>
    <n v="15"/>
    <n v="4896"/>
    <s v="Pending"/>
    <x v="5"/>
    <s v="Beauty"/>
    <s v="SMB"/>
    <n v="40"/>
    <s v="East"/>
    <s v="R023"/>
    <n v="983787.4800000001"/>
    <s v="East"/>
    <s v="Beauty"/>
    <n v="675"/>
  </r>
  <r>
    <s v="ORD-01938"/>
    <d v="2024-05-10T00:00:00"/>
    <s v="CUST-0269"/>
    <s v="PROD-057"/>
    <s v="R002"/>
    <n v="3"/>
    <n v="960"/>
    <n v="12.3"/>
    <n v="2525.7600000000002"/>
    <s v="Completed"/>
    <x v="0"/>
    <s v="Sports"/>
    <s v="Retail"/>
    <n v="48"/>
    <s v="North"/>
    <s v="R002"/>
    <n v="980063.65999999968"/>
    <s v="North"/>
    <s v="Sports"/>
    <n v="705"/>
  </r>
  <r>
    <s v="ORD-01939"/>
    <d v="2024-05-01T00:00:00"/>
    <s v="CUST-0097"/>
    <s v="PROD-016"/>
    <s v="R029"/>
    <n v="7"/>
    <n v="620"/>
    <n v="5.8"/>
    <n v="4088.28"/>
    <s v="Completed"/>
    <x v="3"/>
    <s v="Apparel"/>
    <s v="Retail"/>
    <n v="65"/>
    <s v="West"/>
    <s v="R029"/>
    <n v="1016696.8000000002"/>
    <s v="West"/>
    <s v="Apparel"/>
    <n v="396"/>
  </r>
  <r>
    <s v="ORD-01940"/>
    <d v="2024-06-24T00:00:00"/>
    <s v="CUST-0062"/>
    <s v="PROD-057"/>
    <s v="R020"/>
    <n v="1"/>
    <n v="960"/>
    <n v="4.5999999999999996"/>
    <n v="915.84"/>
    <s v="Completed"/>
    <x v="0"/>
    <s v="Sports"/>
    <s v="Retail"/>
    <n v="54"/>
    <s v="East"/>
    <s v="R020"/>
    <n v="906107.71000000008"/>
    <s v="East"/>
    <s v="Sports"/>
    <n v="705"/>
  </r>
  <r>
    <s v="ORD-01941"/>
    <d v="2024-08-16T00:00:00"/>
    <s v="CUST-0124"/>
    <s v="PROD-047"/>
    <s v="R028"/>
    <n v="4"/>
    <n v="3450"/>
    <n v="13.3"/>
    <n v="11964.6"/>
    <s v="Completed"/>
    <x v="0"/>
    <s v="Beauty"/>
    <s v="Retail"/>
    <n v="57"/>
    <s v="West"/>
    <s v="R028"/>
    <n v="880468.05"/>
    <s v="West"/>
    <s v="Beauty"/>
    <n v="2420"/>
  </r>
  <r>
    <s v="ORD-01942"/>
    <d v="2024-11-30T00:00:00"/>
    <s v="CUST-0185"/>
    <s v="PROD-015"/>
    <s v="R019"/>
    <n v="10"/>
    <n v="2720"/>
    <n v="3.4"/>
    <n v="26275.200000000001"/>
    <s v="Completed"/>
    <x v="5"/>
    <s v="Apparel"/>
    <s v="SMB"/>
    <n v="43"/>
    <s v="East"/>
    <s v="R019"/>
    <n v="971183.52000000014"/>
    <s v="East"/>
    <s v="Apparel"/>
    <n v="1962"/>
  </r>
  <r>
    <s v="ORD-01943"/>
    <d v="2024-06-09T00:00:00"/>
    <s v="CUST-0115"/>
    <s v="PROD-047"/>
    <s v="R019"/>
    <n v="1"/>
    <n v="3450"/>
    <n v="29.4"/>
    <n v="2435.6999999999998"/>
    <s v="Completed"/>
    <x v="3"/>
    <s v="Beauty"/>
    <s v="SMB"/>
    <n v="65"/>
    <s v="East"/>
    <s v="R019"/>
    <n v="971183.52000000014"/>
    <s v="East"/>
    <s v="Beauty"/>
    <n v="2420"/>
  </r>
  <r>
    <s v="ORD-01944"/>
    <d v="2024-08-25T00:00:00"/>
    <s v="CUST-0097"/>
    <s v="PROD-044"/>
    <s v="R024"/>
    <n v="5"/>
    <n v="1650"/>
    <n v="29.4"/>
    <n v="5824.5"/>
    <s v="Completed"/>
    <x v="3"/>
    <s v="Beauty"/>
    <s v="Retail"/>
    <n v="65"/>
    <s v="West"/>
    <s v="R024"/>
    <n v="819558.58"/>
    <s v="West"/>
    <s v="Beauty"/>
    <n v="1222"/>
  </r>
  <r>
    <s v="ORD-01945"/>
    <d v="2024-12-13T00:00:00"/>
    <s v="CUST-0221"/>
    <s v="PROD-014"/>
    <s v="R009"/>
    <n v="2"/>
    <n v="3620"/>
    <n v="15.6"/>
    <n v="6110.56"/>
    <s v="Completed"/>
    <x v="2"/>
    <s v="Apparel"/>
    <s v="SMB"/>
    <n v="29"/>
    <s v="South"/>
    <s v="R009"/>
    <n v="914554.71999999986"/>
    <s v="South"/>
    <s v="Apparel"/>
    <n v="2509"/>
  </r>
  <r>
    <s v="ORD-01946"/>
    <d v="2024-10-27T00:00:00"/>
    <s v="CUST-0098"/>
    <s v="PROD-005"/>
    <s v="R012"/>
    <n v="3"/>
    <n v="300"/>
    <n v="24.8"/>
    <n v="676.8"/>
    <s v="Completed"/>
    <x v="2"/>
    <s v="Electronics"/>
    <s v="Retail"/>
    <n v="52"/>
    <s v="South"/>
    <s v="R012"/>
    <n v="901394.32000000007"/>
    <s v="South"/>
    <s v="Electronics"/>
    <n v="128"/>
  </r>
  <r>
    <s v="ORD-01947"/>
    <d v="2024-02-16T00:00:00"/>
    <s v="CUST-0203"/>
    <s v="PROD-041"/>
    <s v="R001"/>
    <n v="3"/>
    <n v="1540"/>
    <n v="29.5"/>
    <n v="3257.1"/>
    <s v="Completed"/>
    <x v="1"/>
    <s v="Beauty"/>
    <s v="SMB"/>
    <n v="55"/>
    <s v="North"/>
    <s v="R001"/>
    <n v="789849.60000000009"/>
    <s v="North"/>
    <s v="Beauty"/>
    <n v="647"/>
  </r>
  <r>
    <s v="ORD-01948"/>
    <d v="2024-09-16T00:00:00"/>
    <s v="CUST-0074"/>
    <s v="PROD-024"/>
    <s v="R019"/>
    <n v="10"/>
    <n v="2270"/>
    <n v="5.5"/>
    <n v="21451.5"/>
    <s v="Cancelled"/>
    <x v="4"/>
    <s v="Grocery"/>
    <s v="Retail"/>
    <n v="27"/>
    <s v="East"/>
    <s v="R019"/>
    <n v="971183.52000000014"/>
    <s v="East"/>
    <s v="Grocery"/>
    <n v="1203"/>
  </r>
  <r>
    <s v="ORD-01949"/>
    <d v="2024-02-28T00:00:00"/>
    <s v="CUST-0217"/>
    <s v="PROD-010"/>
    <s v="R008"/>
    <n v="3"/>
    <n v="2640"/>
    <n v="28.2"/>
    <n v="5686.56"/>
    <s v="Refunded"/>
    <x v="0"/>
    <s v="Electronics"/>
    <s v="SMB"/>
    <n v="59"/>
    <s v="North"/>
    <s v="R008"/>
    <n v="861553.33"/>
    <s v="North"/>
    <s v="Electronics"/>
    <n v="1149"/>
  </r>
  <r>
    <s v="ORD-01950"/>
    <d v="2024-08-03T00:00:00"/>
    <s v="CUST-0021"/>
    <s v="PROD-010"/>
    <s v="R015"/>
    <n v="10"/>
    <n v="2640"/>
    <n v="25.9"/>
    <n v="19562.400000000001"/>
    <s v="Completed"/>
    <x v="0"/>
    <s v="Electronics"/>
    <s v="Retail"/>
    <n v="44"/>
    <s v="South"/>
    <s v="R015"/>
    <n v="1091740.1799999997"/>
    <s v="South"/>
    <s v="Electronics"/>
    <n v="1149"/>
  </r>
  <r>
    <s v="ORD-01951"/>
    <d v="2024-09-03T00:00:00"/>
    <s v="CUST-0004"/>
    <s v="PROD-007"/>
    <s v="R030"/>
    <n v="2"/>
    <n v="1430"/>
    <n v="5"/>
    <n v="2717"/>
    <s v="Cancelled"/>
    <x v="2"/>
    <s v="Electronics"/>
    <s v="Retail"/>
    <n v="53"/>
    <s v="West"/>
    <s v="R030"/>
    <n v="747624.36999999988"/>
    <s v="West"/>
    <s v="Electronics"/>
    <n v="861"/>
  </r>
  <r>
    <s v="ORD-01952"/>
    <d v="2024-11-22T00:00:00"/>
    <s v="CUST-0080"/>
    <s v="PROD-003"/>
    <s v="R020"/>
    <n v="6"/>
    <n v="3570"/>
    <n v="28.5"/>
    <n v="15315.3"/>
    <s v="Cancelled"/>
    <x v="0"/>
    <s v="Electronics"/>
    <s v="SMB"/>
    <n v="30"/>
    <s v="East"/>
    <s v="R020"/>
    <n v="906107.71000000008"/>
    <s v="East"/>
    <s v="Electronics"/>
    <n v="1665"/>
  </r>
  <r>
    <s v="ORD-01953"/>
    <d v="2024-06-01T00:00:00"/>
    <s v="CUST-0113"/>
    <s v="PROD-003"/>
    <s v="R024"/>
    <n v="1"/>
    <n v="3570"/>
    <n v="7.7"/>
    <n v="3295.11"/>
    <s v="Completed"/>
    <x v="2"/>
    <s v="Electronics"/>
    <s v="Retail"/>
    <n v="30"/>
    <s v="West"/>
    <s v="R024"/>
    <n v="819558.58"/>
    <s v="West"/>
    <s v="Electronics"/>
    <n v="1665"/>
  </r>
  <r>
    <s v="ORD-01954"/>
    <d v="2024-03-26T00:00:00"/>
    <s v="CUST-0023"/>
    <s v="PROD-004"/>
    <s v="R030"/>
    <n v="9"/>
    <n v="3870"/>
    <n v="11.9"/>
    <n v="30685.23"/>
    <s v="Cancelled"/>
    <x v="1"/>
    <s v="Electronics"/>
    <s v="SMB"/>
    <n v="43"/>
    <s v="West"/>
    <s v="R030"/>
    <n v="747624.36999999988"/>
    <s v="West"/>
    <s v="Electronics"/>
    <n v="1559"/>
  </r>
  <r>
    <s v="ORD-01955"/>
    <d v="2024-08-11T00:00:00"/>
    <s v="CUST-0136"/>
    <s v="PROD-056"/>
    <s v="R014"/>
    <n v="5"/>
    <n v="6940"/>
    <n v="17.399999999999999"/>
    <n v="28662.2"/>
    <s v="Completed"/>
    <x v="1"/>
    <s v="Sports"/>
    <s v="SMB"/>
    <n v="26"/>
    <s v="South"/>
    <s v="R014"/>
    <n v="995713.54000000015"/>
    <s v="South"/>
    <s v="Sports"/>
    <n v="2827"/>
  </r>
  <r>
    <s v="ORD-01956"/>
    <d v="2024-01-21T00:00:00"/>
    <s v="CUST-0031"/>
    <s v="PROD-032"/>
    <s v="R026"/>
    <n v="6"/>
    <n v="370"/>
    <n v="8.1"/>
    <n v="2040.18"/>
    <s v="Cancelled"/>
    <x v="5"/>
    <s v="Home"/>
    <s v="Retail"/>
    <n v="53"/>
    <s v="West"/>
    <s v="R026"/>
    <n v="576305.08000000019"/>
    <s v="West"/>
    <s v="Home"/>
    <n v="288"/>
  </r>
  <r>
    <s v="ORD-01957"/>
    <d v="2024-09-14T00:00:00"/>
    <s v="CUST-0175"/>
    <s v="PROD-018"/>
    <s v="R027"/>
    <n v="8"/>
    <n v="3560"/>
    <n v="23.3"/>
    <n v="21844.16"/>
    <s v="Completed"/>
    <x v="2"/>
    <s v="Apparel"/>
    <s v="Corporate"/>
    <n v="55"/>
    <s v="West"/>
    <s v="R027"/>
    <n v="917092.61999999965"/>
    <s v="West"/>
    <s v="Apparel"/>
    <n v="2629"/>
  </r>
  <r>
    <s v="ORD-01958"/>
    <d v="2024-12-07T00:00:00"/>
    <s v="CUST-0249"/>
    <s v="PROD-009"/>
    <s v="R028"/>
    <n v="4"/>
    <n v="1220"/>
    <n v="2.7"/>
    <n v="4748.24"/>
    <s v="Completed"/>
    <x v="3"/>
    <s v="Electronics"/>
    <s v="Retail"/>
    <n v="44"/>
    <s v="West"/>
    <s v="R028"/>
    <n v="880468.05"/>
    <s v="West"/>
    <s v="Electronics"/>
    <n v="517"/>
  </r>
  <r>
    <s v="ORD-01959"/>
    <d v="2024-11-02T00:00:00"/>
    <s v="CUST-0138"/>
    <s v="PROD-026"/>
    <s v="R020"/>
    <n v="10"/>
    <n v="4070"/>
    <n v="11.6"/>
    <n v="35978.800000000003"/>
    <s v="Completed"/>
    <x v="1"/>
    <s v="Grocery"/>
    <s v="Retail"/>
    <n v="24"/>
    <s v="East"/>
    <s v="R020"/>
    <n v="906107.71000000008"/>
    <s v="East"/>
    <s v="Grocery"/>
    <n v="2027"/>
  </r>
  <r>
    <s v="ORD-01960"/>
    <d v="2024-02-14T00:00:00"/>
    <s v="CUST-0290"/>
    <s v="PROD-028"/>
    <s v="R019"/>
    <n v="10"/>
    <n v="3660"/>
    <n v="28.8"/>
    <n v="26059.200000000001"/>
    <s v="Completed"/>
    <x v="2"/>
    <s v="Grocery"/>
    <s v="Retail"/>
    <n v="63"/>
    <s v="East"/>
    <s v="R019"/>
    <n v="971183.52000000014"/>
    <s v="East"/>
    <s v="Grocery"/>
    <n v="2214"/>
  </r>
  <r>
    <s v="ORD-01961"/>
    <d v="2024-06-06T00:00:00"/>
    <s v="CUST-0151"/>
    <s v="PROD-034"/>
    <s v="R018"/>
    <n v="5"/>
    <n v="5080"/>
    <n v="12.1"/>
    <n v="22326.6"/>
    <s v="Completed"/>
    <x v="3"/>
    <s v="Home"/>
    <s v="Retail"/>
    <n v="53"/>
    <s v="East"/>
    <s v="R018"/>
    <n v="1112289.6400000001"/>
    <s v="East"/>
    <s v="Home"/>
    <n v="2459"/>
  </r>
  <r>
    <s v="ORD-01962"/>
    <d v="2024-02-16T00:00:00"/>
    <s v="CUST-0290"/>
    <s v="PROD-039"/>
    <s v="R013"/>
    <n v="10"/>
    <n v="4610"/>
    <n v="22.5"/>
    <n v="35727.5"/>
    <s v="Completed"/>
    <x v="2"/>
    <s v="Home"/>
    <s v="Retail"/>
    <n v="63"/>
    <s v="South"/>
    <s v="R013"/>
    <n v="811524.37999999989"/>
    <s v="South"/>
    <s v="Home"/>
    <n v="1850"/>
  </r>
  <r>
    <s v="ORD-01963"/>
    <d v="2024-01-26T00:00:00"/>
    <s v="CUST-0074"/>
    <s v="PROD-008"/>
    <s v="R007"/>
    <n v="3"/>
    <n v="2660"/>
    <n v="15"/>
    <n v="6783"/>
    <s v="Completed"/>
    <x v="4"/>
    <s v="Electronics"/>
    <s v="Retail"/>
    <n v="27"/>
    <s v="North"/>
    <s v="R007"/>
    <n v="855749.67999999982"/>
    <s v="North"/>
    <s v="Electronics"/>
    <n v="1259"/>
  </r>
  <r>
    <s v="ORD-01964"/>
    <d v="2024-04-02T00:00:00"/>
    <s v="CUST-0295"/>
    <s v="PROD-012"/>
    <s v="R006"/>
    <n v="5"/>
    <n v="3160"/>
    <n v="1.3"/>
    <n v="15594.6"/>
    <s v="Completed"/>
    <x v="2"/>
    <s v="Apparel"/>
    <s v="SMB"/>
    <n v="48"/>
    <s v="North"/>
    <s v="R006"/>
    <n v="1138648.73"/>
    <s v="North"/>
    <s v="Apparel"/>
    <n v="1886"/>
  </r>
  <r>
    <s v="ORD-01965"/>
    <d v="2024-02-03T00:00:00"/>
    <s v="CUST-0132"/>
    <s v="PROD-032"/>
    <s v="R004"/>
    <n v="10"/>
    <n v="370"/>
    <n v="29"/>
    <n v="2627"/>
    <s v="Completed"/>
    <x v="2"/>
    <s v="Home"/>
    <s v="Retail"/>
    <n v="41"/>
    <s v="North"/>
    <s v="R004"/>
    <n v="589026.2899999998"/>
    <s v="North"/>
    <s v="Home"/>
    <n v="288"/>
  </r>
  <r>
    <s v="ORD-01966"/>
    <d v="2024-03-07T00:00:00"/>
    <s v="CUST-0289"/>
    <s v="PROD-054"/>
    <s v="R008"/>
    <n v="10"/>
    <n v="1010"/>
    <n v="14.1"/>
    <n v="8675.9"/>
    <s v="Refunded"/>
    <x v="3"/>
    <s v="Sports"/>
    <s v="Retail"/>
    <n v="54"/>
    <s v="North"/>
    <s v="R008"/>
    <n v="861553.33"/>
    <s v="North"/>
    <s v="Sports"/>
    <n v="516"/>
  </r>
  <r>
    <s v="ORD-01967"/>
    <d v="2024-10-21T00:00:00"/>
    <s v="CUST-0139"/>
    <s v="PROD-018"/>
    <s v="R030"/>
    <n v="3"/>
    <n v="3560"/>
    <n v="23.6"/>
    <n v="8159.52"/>
    <s v="Completed"/>
    <x v="5"/>
    <s v="Apparel"/>
    <s v="SMB"/>
    <n v="65"/>
    <s v="West"/>
    <s v="R030"/>
    <n v="747624.36999999988"/>
    <s v="West"/>
    <s v="Apparel"/>
    <n v="2629"/>
  </r>
  <r>
    <s v="ORD-01968"/>
    <d v="2024-02-18T00:00:00"/>
    <s v="CUST-0032"/>
    <s v="PROD-009"/>
    <s v="R028"/>
    <n v="9"/>
    <n v="1220"/>
    <n v="16.600000000000001"/>
    <n v="9157.32"/>
    <s v="Completed"/>
    <x v="5"/>
    <s v="Electronics"/>
    <s v="Retail"/>
    <n v="28"/>
    <s v="West"/>
    <s v="R028"/>
    <n v="880468.05"/>
    <s v="West"/>
    <s v="Electronics"/>
    <n v="517"/>
  </r>
  <r>
    <s v="ORD-01969"/>
    <d v="2024-02-21T00:00:00"/>
    <s v="CUST-0109"/>
    <s v="PROD-060"/>
    <s v="R008"/>
    <n v="8"/>
    <n v="190"/>
    <n v="22.3"/>
    <n v="1181.04"/>
    <s v="Completed"/>
    <x v="0"/>
    <s v="Sports"/>
    <s v="Retail"/>
    <n v="42"/>
    <s v="North"/>
    <s v="R008"/>
    <n v="861553.33"/>
    <s v="North"/>
    <s v="Sports"/>
    <n v="147"/>
  </r>
  <r>
    <s v="ORD-01970"/>
    <d v="2024-06-25T00:00:00"/>
    <s v="CUST-0224"/>
    <s v="PROD-054"/>
    <s v="R002"/>
    <n v="2"/>
    <n v="1010"/>
    <n v="3.8"/>
    <n v="1943.24"/>
    <s v="Completed"/>
    <x v="1"/>
    <s v="Sports"/>
    <s v="Corporate"/>
    <n v="24"/>
    <s v="North"/>
    <s v="R002"/>
    <n v="980063.65999999968"/>
    <s v="North"/>
    <s v="Sports"/>
    <n v="516"/>
  </r>
  <r>
    <s v="ORD-01971"/>
    <d v="2024-05-27T00:00:00"/>
    <s v="CUST-0038"/>
    <s v="PROD-002"/>
    <s v="R009"/>
    <n v="4"/>
    <n v="2600"/>
    <n v="29.1"/>
    <n v="7373.6"/>
    <s v="Completed"/>
    <x v="3"/>
    <s v="Electronics"/>
    <s v="Retail"/>
    <n v="57"/>
    <s v="South"/>
    <s v="R009"/>
    <n v="914554.71999999986"/>
    <s v="South"/>
    <s v="Electronics"/>
    <n v="1052"/>
  </r>
  <r>
    <s v="ORD-01972"/>
    <d v="2024-08-13T00:00:00"/>
    <s v="CUST-0132"/>
    <s v="PROD-011"/>
    <s v="R029"/>
    <n v="7"/>
    <n v="3450"/>
    <n v="4"/>
    <n v="23184"/>
    <s v="Completed"/>
    <x v="2"/>
    <s v="Apparel"/>
    <s v="Retail"/>
    <n v="41"/>
    <s v="West"/>
    <s v="R029"/>
    <n v="1016696.8000000002"/>
    <s v="West"/>
    <s v="Apparel"/>
    <n v="1748"/>
  </r>
  <r>
    <s v="ORD-01973"/>
    <d v="2024-01-20T00:00:00"/>
    <s v="CUST-0226"/>
    <s v="PROD-017"/>
    <s v="R019"/>
    <n v="6"/>
    <n v="2510"/>
    <n v="12.7"/>
    <n v="13147.38"/>
    <s v="Completed"/>
    <x v="1"/>
    <s v="Apparel"/>
    <s v="Corporate"/>
    <n v="52"/>
    <s v="East"/>
    <s v="R019"/>
    <n v="971183.52000000014"/>
    <s v="East"/>
    <s v="Apparel"/>
    <n v="1075"/>
  </r>
  <r>
    <s v="ORD-01974"/>
    <d v="2024-09-25T00:00:00"/>
    <s v="CUST-0275"/>
    <s v="PROD-060"/>
    <s v="R027"/>
    <n v="6"/>
    <n v="190"/>
    <n v="20"/>
    <n v="912"/>
    <s v="Cancelled"/>
    <x v="3"/>
    <s v="Sports"/>
    <s v="Retail"/>
    <n v="36"/>
    <s v="West"/>
    <s v="R027"/>
    <n v="917092.61999999965"/>
    <s v="West"/>
    <s v="Sports"/>
    <n v="147"/>
  </r>
  <r>
    <s v="ORD-01975"/>
    <d v="2024-08-25T00:00:00"/>
    <s v="CUST-0109"/>
    <s v="PROD-044"/>
    <s v="R029"/>
    <n v="10"/>
    <n v="1650"/>
    <n v="21.5"/>
    <n v="12952.5"/>
    <s v="Completed"/>
    <x v="0"/>
    <s v="Beauty"/>
    <s v="Retail"/>
    <n v="42"/>
    <s v="West"/>
    <s v="R029"/>
    <n v="1016696.8000000002"/>
    <s v="West"/>
    <s v="Beauty"/>
    <n v="1222"/>
  </r>
  <r>
    <s v="ORD-01976"/>
    <d v="2024-02-22T00:00:00"/>
    <s v="CUST-0281"/>
    <s v="PROD-055"/>
    <s v="R009"/>
    <n v="4"/>
    <n v="2860"/>
    <n v="15.2"/>
    <n v="9701.1200000000008"/>
    <s v="Completed"/>
    <x v="4"/>
    <s v="Sports"/>
    <s v="Corporate"/>
    <n v="57"/>
    <s v="South"/>
    <s v="R009"/>
    <n v="914554.71999999986"/>
    <s v="South"/>
    <s v="Sports"/>
    <n v="2028"/>
  </r>
  <r>
    <s v="ORD-01977"/>
    <d v="2024-10-24T00:00:00"/>
    <s v="CUST-0174"/>
    <s v="PROD-053"/>
    <s v="R028"/>
    <n v="3"/>
    <n v="470"/>
    <n v="14.2"/>
    <n v="1209.78"/>
    <s v="Completed"/>
    <x v="0"/>
    <s v="Sports"/>
    <s v="Retail"/>
    <n v="54"/>
    <s v="West"/>
    <s v="R028"/>
    <n v="880468.05"/>
    <s v="West"/>
    <s v="Sports"/>
    <n v="302"/>
  </r>
  <r>
    <s v="ORD-01978"/>
    <d v="2024-06-26T00:00:00"/>
    <s v="CUST-0103"/>
    <s v="PROD-055"/>
    <s v="R030"/>
    <n v="2"/>
    <n v="2860"/>
    <n v="17.899999999999999"/>
    <n v="4696.12"/>
    <s v="Completed"/>
    <x v="5"/>
    <s v="Sports"/>
    <s v="Corporate"/>
    <n v="54"/>
    <s v="West"/>
    <s v="R030"/>
    <n v="747624.36999999988"/>
    <s v="West"/>
    <s v="Sports"/>
    <n v="2028"/>
  </r>
  <r>
    <s v="ORD-01979"/>
    <d v="2024-04-25T00:00:00"/>
    <s v="CUST-0076"/>
    <s v="PROD-019"/>
    <s v="R018"/>
    <n v="2"/>
    <n v="2480"/>
    <n v="11.5"/>
    <n v="4389.6000000000004"/>
    <s v="Cancelled"/>
    <x v="3"/>
    <s v="Apparel"/>
    <s v="Retail"/>
    <n v="38"/>
    <s v="East"/>
    <s v="R018"/>
    <n v="1112289.6400000001"/>
    <s v="East"/>
    <s v="Apparel"/>
    <n v="1173"/>
  </r>
  <r>
    <s v="ORD-01980"/>
    <d v="2024-12-09T00:00:00"/>
    <s v="CUST-0227"/>
    <s v="PROD-033"/>
    <s v="R006"/>
    <n v="10"/>
    <n v="2030"/>
    <n v="29.2"/>
    <n v="14372.4"/>
    <s v="Completed"/>
    <x v="4"/>
    <s v="Home"/>
    <s v="SMB"/>
    <n v="44"/>
    <s v="North"/>
    <s v="R006"/>
    <n v="1138648.73"/>
    <s v="North"/>
    <s v="Home"/>
    <n v="1143"/>
  </r>
  <r>
    <s v="ORD-01981"/>
    <d v="2024-07-16T00:00:00"/>
    <s v="CUST-0006"/>
    <s v="PROD-047"/>
    <s v="R012"/>
    <n v="6"/>
    <n v="3450"/>
    <n v="3.5"/>
    <n v="19975.5"/>
    <s v="Refunded"/>
    <x v="0"/>
    <s v="Beauty"/>
    <s v="SMB"/>
    <n v="44"/>
    <s v="South"/>
    <s v="R012"/>
    <n v="901394.32000000007"/>
    <s v="South"/>
    <s v="Beauty"/>
    <n v="2420"/>
  </r>
  <r>
    <s v="ORD-01982"/>
    <d v="2024-03-05T00:00:00"/>
    <s v="CUST-0231"/>
    <s v="PROD-007"/>
    <s v="R011"/>
    <n v="10"/>
    <n v="1430"/>
    <n v="3.5"/>
    <n v="13799.5"/>
    <s v="Completed"/>
    <x v="1"/>
    <s v="Electronics"/>
    <s v="Retail"/>
    <n v="61"/>
    <s v="South"/>
    <s v="R011"/>
    <n v="735207.75999999989"/>
    <s v="South"/>
    <s v="Electronics"/>
    <n v="861"/>
  </r>
  <r>
    <s v="ORD-01983"/>
    <d v="2024-05-10T00:00:00"/>
    <s v="CUST-0085"/>
    <s v="PROD-020"/>
    <s v="R017"/>
    <n v="1"/>
    <n v="820"/>
    <n v="14.5"/>
    <n v="701.1"/>
    <s v="Cancelled"/>
    <x v="1"/>
    <s v="Apparel"/>
    <s v="Retail"/>
    <n v="26"/>
    <s v="East"/>
    <s v="R017"/>
    <n v="780384.40999999992"/>
    <s v="East"/>
    <s v="Apparel"/>
    <n v="391"/>
  </r>
  <r>
    <s v="ORD-01984"/>
    <d v="2024-02-11T00:00:00"/>
    <s v="CUST-0022"/>
    <s v="PROD-046"/>
    <s v="R023"/>
    <n v="5"/>
    <n v="4880"/>
    <n v="1.8"/>
    <n v="23960.799999999999"/>
    <s v="Completed"/>
    <x v="4"/>
    <s v="Beauty"/>
    <s v="Corporate"/>
    <n v="55"/>
    <s v="East"/>
    <s v="R023"/>
    <n v="983787.4800000001"/>
    <s v="East"/>
    <s v="Beauty"/>
    <n v="2768"/>
  </r>
  <r>
    <s v="ORD-01985"/>
    <d v="2024-04-03T00:00:00"/>
    <s v="CUST-0275"/>
    <s v="PROD-043"/>
    <s v="R016"/>
    <n v="8"/>
    <n v="3350"/>
    <n v="26.3"/>
    <n v="19751.599999999999"/>
    <s v="Cancelled"/>
    <x v="3"/>
    <s v="Beauty"/>
    <s v="Retail"/>
    <n v="36"/>
    <s v="South"/>
    <s v="R016"/>
    <n v="814563.7100000002"/>
    <s v="South"/>
    <s v="Beauty"/>
    <n v="1728"/>
  </r>
  <r>
    <s v="ORD-01986"/>
    <d v="2024-01-07T00:00:00"/>
    <s v="CUST-0159"/>
    <s v="PROD-019"/>
    <s v="R022"/>
    <n v="9"/>
    <n v="2480"/>
    <n v="24.3"/>
    <n v="16896.240000000002"/>
    <s v="Completed"/>
    <x v="5"/>
    <s v="Apparel"/>
    <s v="Retail"/>
    <n v="32"/>
    <s v="East"/>
    <s v="R022"/>
    <n v="1069570.5400000003"/>
    <s v="East"/>
    <s v="Apparel"/>
    <n v="1173"/>
  </r>
  <r>
    <s v="ORD-01987"/>
    <d v="2024-07-27T00:00:00"/>
    <s v="CUST-0152"/>
    <s v="PROD-039"/>
    <s v="R024"/>
    <n v="9"/>
    <n v="4610"/>
    <n v="10"/>
    <n v="37341"/>
    <s v="Completed"/>
    <x v="4"/>
    <s v="Home"/>
    <s v="SMB"/>
    <n v="64"/>
    <s v="West"/>
    <s v="R024"/>
    <n v="819558.58"/>
    <s v="West"/>
    <s v="Home"/>
    <n v="1850"/>
  </r>
  <r>
    <s v="ORD-01988"/>
    <d v="2024-04-27T00:00:00"/>
    <s v="CUST-0289"/>
    <s v="PROD-027"/>
    <s v="R004"/>
    <n v="1"/>
    <n v="3780"/>
    <n v="2.2000000000000002"/>
    <n v="3696.84"/>
    <s v="Completed"/>
    <x v="3"/>
    <s v="Grocery"/>
    <s v="Retail"/>
    <n v="54"/>
    <s v="North"/>
    <s v="R004"/>
    <n v="589026.2899999998"/>
    <s v="North"/>
    <s v="Grocery"/>
    <n v="2436"/>
  </r>
  <r>
    <s v="ORD-01989"/>
    <d v="2024-04-19T00:00:00"/>
    <s v="CUST-0004"/>
    <s v="PROD-045"/>
    <s v="R026"/>
    <n v="3"/>
    <n v="3020"/>
    <n v="21.4"/>
    <n v="7121.16"/>
    <s v="Cancelled"/>
    <x v="2"/>
    <s v="Beauty"/>
    <s v="Retail"/>
    <n v="53"/>
    <s v="West"/>
    <s v="R026"/>
    <n v="576305.08000000019"/>
    <s v="West"/>
    <s v="Beauty"/>
    <n v="1626"/>
  </r>
  <r>
    <s v="ORD-01990"/>
    <d v="2024-12-19T00:00:00"/>
    <s v="CUST-0159"/>
    <s v="PROD-035"/>
    <s v="R006"/>
    <n v="10"/>
    <n v="1090"/>
    <n v="29.2"/>
    <n v="7717.2"/>
    <s v="Cancelled"/>
    <x v="5"/>
    <s v="Home"/>
    <s v="Retail"/>
    <n v="32"/>
    <s v="North"/>
    <s v="R006"/>
    <n v="1138648.73"/>
    <s v="North"/>
    <s v="Home"/>
    <n v="464"/>
  </r>
  <r>
    <s v="ORD-01991"/>
    <d v="2024-11-20T00:00:00"/>
    <s v="CUST-0083"/>
    <s v="PROD-048"/>
    <s v="R013"/>
    <n v="5"/>
    <n v="5100"/>
    <n v="28.4"/>
    <n v="18258"/>
    <s v="Completed"/>
    <x v="4"/>
    <s v="Beauty"/>
    <s v="Corporate"/>
    <n v="31"/>
    <s v="South"/>
    <s v="R013"/>
    <n v="811524.37999999989"/>
    <s v="South"/>
    <s v="Beauty"/>
    <n v="2237"/>
  </r>
  <r>
    <s v="ORD-01992"/>
    <d v="2024-03-01T00:00:00"/>
    <s v="CUST-0242"/>
    <s v="PROD-046"/>
    <s v="R008"/>
    <n v="6"/>
    <n v="4880"/>
    <n v="16.8"/>
    <n v="24360.959999999999"/>
    <s v="Completed"/>
    <x v="1"/>
    <s v="Beauty"/>
    <s v="SMB"/>
    <n v="59"/>
    <s v="North"/>
    <s v="R008"/>
    <n v="861553.33"/>
    <s v="North"/>
    <s v="Beauty"/>
    <n v="2768"/>
  </r>
  <r>
    <s v="ORD-01993"/>
    <d v="2024-06-08T00:00:00"/>
    <s v="CUST-0245"/>
    <s v="PROD-001"/>
    <s v="R027"/>
    <n v="1"/>
    <n v="5330"/>
    <n v="27.5"/>
    <n v="3864.25"/>
    <s v="Completed"/>
    <x v="5"/>
    <s v="Electronics"/>
    <s v="Retail"/>
    <n v="65"/>
    <s v="West"/>
    <s v="R027"/>
    <n v="917092.61999999965"/>
    <s v="West"/>
    <s v="Electronics"/>
    <n v="2405"/>
  </r>
  <r>
    <s v="ORD-01994"/>
    <d v="2024-07-04T00:00:00"/>
    <s v="CUST-0008"/>
    <s v="PROD-033"/>
    <s v="R029"/>
    <n v="7"/>
    <n v="2030"/>
    <n v="5.3"/>
    <n v="13456.87"/>
    <s v="Cancelled"/>
    <x v="0"/>
    <s v="Home"/>
    <s v="SMB"/>
    <n v="39"/>
    <s v="West"/>
    <s v="R029"/>
    <n v="1016696.8000000002"/>
    <s v="West"/>
    <s v="Home"/>
    <n v="1143"/>
  </r>
  <r>
    <s v="ORD-01995"/>
    <d v="2024-03-09T00:00:00"/>
    <s v="CUST-0260"/>
    <s v="PROD-043"/>
    <s v="R024"/>
    <n v="7"/>
    <n v="3350"/>
    <n v="0.4"/>
    <n v="23356.2"/>
    <s v="Completed"/>
    <x v="4"/>
    <s v="Beauty"/>
    <s v="Retail"/>
    <n v="42"/>
    <s v="West"/>
    <s v="R024"/>
    <n v="819558.58"/>
    <s v="West"/>
    <s v="Beauty"/>
    <n v="1728"/>
  </r>
  <r>
    <s v="ORD-01996"/>
    <d v="2024-01-01T00:00:00"/>
    <s v="CUST-0265"/>
    <s v="PROD-031"/>
    <s v="R015"/>
    <n v="6"/>
    <n v="3730"/>
    <n v="13.8"/>
    <n v="19291.560000000001"/>
    <s v="Completed"/>
    <x v="1"/>
    <s v="Home"/>
    <s v="Retail"/>
    <n v="49"/>
    <s v="South"/>
    <s v="R015"/>
    <n v="1091740.1799999997"/>
    <s v="South"/>
    <s v="Home"/>
    <n v="2135"/>
  </r>
  <r>
    <s v="ORD-01997"/>
    <d v="2024-10-20T00:00:00"/>
    <s v="CUST-0135"/>
    <s v="PROD-006"/>
    <s v="R017"/>
    <n v="6"/>
    <n v="3970"/>
    <n v="5.8"/>
    <n v="22438.44"/>
    <s v="Pending"/>
    <x v="0"/>
    <s v="Electronics"/>
    <s v="SMB"/>
    <n v="24"/>
    <s v="East"/>
    <s v="R017"/>
    <n v="780384.40999999992"/>
    <s v="East"/>
    <s v="Electronics"/>
    <n v="2865"/>
  </r>
  <r>
    <s v="ORD-01998"/>
    <d v="2024-10-27T00:00:00"/>
    <s v="CUST-0030"/>
    <s v="PROD-029"/>
    <s v="R011"/>
    <n v="4"/>
    <n v="2210"/>
    <n v="18.2"/>
    <n v="7231.12"/>
    <s v="Pending"/>
    <x v="4"/>
    <s v="Grocery"/>
    <s v="Corporate"/>
    <n v="43"/>
    <s v="South"/>
    <s v="R011"/>
    <n v="735207.75999999989"/>
    <s v="South"/>
    <s v="Grocery"/>
    <n v="1010"/>
  </r>
  <r>
    <s v="ORD-01999"/>
    <d v="2024-03-19T00:00:00"/>
    <s v="CUST-0167"/>
    <s v="PROD-052"/>
    <s v="R008"/>
    <n v="6"/>
    <n v="5410"/>
    <n v="15.5"/>
    <n v="27428.7"/>
    <s v="Completed"/>
    <x v="2"/>
    <s v="Sports"/>
    <s v="Retail"/>
    <n v="43"/>
    <s v="North"/>
    <s v="R008"/>
    <n v="861553.33"/>
    <s v="North"/>
    <s v="Sports"/>
    <n v="2265"/>
  </r>
  <r>
    <s v="ORD-02000"/>
    <d v="2024-02-03T00:00:00"/>
    <s v="CUST-0238"/>
    <s v="PROD-034"/>
    <s v="R023"/>
    <n v="6"/>
    <n v="5080"/>
    <n v="28.1"/>
    <n v="21915.119999999999"/>
    <s v="Completed"/>
    <x v="2"/>
    <s v="Home"/>
    <s v="Retail"/>
    <n v="49"/>
    <s v="East"/>
    <s v="R023"/>
    <n v="983787.4800000001"/>
    <s v="East"/>
    <s v="Home"/>
    <n v="24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9" firstHeaderRow="1" firstDataRow="2" firstDataCol="1"/>
  <pivotFields count="19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>
      <items count="31">
        <item x="19"/>
        <item x="25"/>
        <item x="11"/>
        <item x="10"/>
        <item x="1"/>
        <item x="3"/>
        <item x="0"/>
        <item x="4"/>
        <item x="18"/>
        <item x="9"/>
        <item x="23"/>
        <item x="27"/>
        <item x="22"/>
        <item x="2"/>
        <item x="15"/>
        <item x="29"/>
        <item x="21"/>
        <item x="26"/>
        <item x="7"/>
        <item x="16"/>
        <item x="13"/>
        <item x="24"/>
        <item x="12"/>
        <item x="6"/>
        <item x="5"/>
        <item x="17"/>
        <item x="28"/>
        <item x="8"/>
        <item x="20"/>
        <item x="14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7">
        <item x="0"/>
        <item x="5"/>
        <item x="4"/>
        <item x="2"/>
        <item x="3"/>
        <item x="1"/>
        <item t="default"/>
      </items>
    </pivotField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final_amount" fld="8" showDataAs="percentOfRow" baseField="1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4" firstHeaderRow="1" firstDataRow="1" firstDataCol="0" rowPageCount="1" colPageCount="1"/>
  <pivotFields count="21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9">
        <item x="7"/>
        <item x="6"/>
        <item x="4"/>
        <item x="1"/>
        <item x="2"/>
        <item x="5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Items count="1">
    <i/>
  </rowItems>
  <colItems count="1">
    <i/>
  </colItems>
  <pageFields count="1">
    <pageField fld="10" item="1" hier="-1"/>
  </pageFields>
  <dataFields count="1">
    <dataField name="Average of profit_margin" fld="20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opLeftCell="A33" workbookViewId="0">
      <selection activeCell="A3" sqref="A3"/>
    </sheetView>
  </sheetViews>
  <sheetFormatPr defaultRowHeight="14.5" x14ac:dyDescent="0.35"/>
  <cols>
    <col min="1" max="1" width="14" customWidth="1"/>
    <col min="2" max="2" width="26" customWidth="1"/>
    <col min="3" max="3" width="42" customWidth="1"/>
    <col min="4" max="4" width="30" customWidth="1"/>
    <col min="5" max="8" width="15" customWidth="1"/>
  </cols>
  <sheetData>
    <row r="1" spans="1:8" ht="20" x14ac:dyDescent="0.4">
      <c r="A1" s="1" t="s">
        <v>3004</v>
      </c>
    </row>
    <row r="2" spans="1:8" ht="16.5" x14ac:dyDescent="0.35">
      <c r="A2" s="2" t="s">
        <v>3005</v>
      </c>
    </row>
    <row r="3" spans="1:8" x14ac:dyDescent="0.35">
      <c r="A3" s="3" t="s">
        <v>3006</v>
      </c>
    </row>
    <row r="5" spans="1:8" ht="15.5" x14ac:dyDescent="0.35">
      <c r="A5" s="49" t="s">
        <v>0</v>
      </c>
      <c r="B5" s="48"/>
      <c r="C5" s="48"/>
      <c r="D5" s="48"/>
      <c r="E5" s="48"/>
      <c r="F5" s="48"/>
    </row>
    <row r="6" spans="1:8" x14ac:dyDescent="0.35">
      <c r="A6" s="47" t="s">
        <v>1</v>
      </c>
      <c r="B6" s="48"/>
      <c r="C6" s="48"/>
      <c r="D6" s="48"/>
      <c r="E6" s="48"/>
      <c r="F6" s="48"/>
      <c r="G6" s="48"/>
      <c r="H6" s="48"/>
    </row>
    <row r="7" spans="1:8" x14ac:dyDescent="0.35">
      <c r="A7" s="47" t="s">
        <v>3007</v>
      </c>
      <c r="B7" s="48"/>
      <c r="C7" s="48"/>
      <c r="D7" s="48"/>
      <c r="E7" s="48"/>
      <c r="F7" s="48"/>
      <c r="G7" s="48"/>
      <c r="H7" s="48"/>
    </row>
    <row r="8" spans="1:8" x14ac:dyDescent="0.35">
      <c r="A8" s="47" t="s">
        <v>2</v>
      </c>
      <c r="B8" s="48"/>
      <c r="C8" s="48"/>
      <c r="D8" s="48"/>
      <c r="E8" s="48"/>
      <c r="F8" s="48"/>
      <c r="G8" s="48"/>
      <c r="H8" s="48"/>
    </row>
    <row r="9" spans="1:8" x14ac:dyDescent="0.35">
      <c r="A9" s="47"/>
      <c r="B9" s="48"/>
      <c r="C9" s="48"/>
      <c r="D9" s="48"/>
      <c r="E9" s="48"/>
      <c r="F9" s="48"/>
      <c r="G9" s="48"/>
      <c r="H9" s="48"/>
    </row>
    <row r="10" spans="1:8" x14ac:dyDescent="0.35">
      <c r="A10" s="47" t="s">
        <v>3</v>
      </c>
      <c r="B10" s="48"/>
      <c r="C10" s="48"/>
      <c r="D10" s="48"/>
      <c r="E10" s="48"/>
      <c r="F10" s="48"/>
      <c r="G10" s="48"/>
      <c r="H10" s="48"/>
    </row>
    <row r="11" spans="1:8" x14ac:dyDescent="0.35">
      <c r="A11" s="47" t="s">
        <v>3008</v>
      </c>
      <c r="B11" s="48"/>
      <c r="C11" s="48"/>
      <c r="D11" s="48"/>
      <c r="E11" s="48"/>
      <c r="F11" s="48"/>
      <c r="G11" s="48"/>
      <c r="H11" s="48"/>
    </row>
    <row r="12" spans="1:8" x14ac:dyDescent="0.35">
      <c r="A12" s="47" t="s">
        <v>4</v>
      </c>
      <c r="B12" s="48"/>
      <c r="C12" s="48"/>
      <c r="D12" s="48"/>
      <c r="E12" s="48"/>
      <c r="F12" s="48"/>
      <c r="G12" s="48"/>
      <c r="H12" s="48"/>
    </row>
    <row r="14" spans="1:8" ht="15.5" x14ac:dyDescent="0.35">
      <c r="A14" s="4" t="s">
        <v>5</v>
      </c>
    </row>
    <row r="15" spans="1:8" x14ac:dyDescent="0.35">
      <c r="A15" s="47" t="s">
        <v>6</v>
      </c>
      <c r="B15" s="48"/>
      <c r="C15" s="48"/>
      <c r="D15" s="48"/>
      <c r="E15" s="48"/>
      <c r="F15" s="48"/>
      <c r="G15" s="48"/>
      <c r="H15" s="48"/>
    </row>
    <row r="16" spans="1:8" x14ac:dyDescent="0.35">
      <c r="A16" s="47" t="s">
        <v>7</v>
      </c>
      <c r="B16" s="48"/>
      <c r="C16" s="48"/>
      <c r="D16" s="48"/>
      <c r="E16" s="48"/>
      <c r="F16" s="48"/>
      <c r="G16" s="48"/>
      <c r="H16" s="48"/>
    </row>
    <row r="17" spans="1:8" x14ac:dyDescent="0.35">
      <c r="A17" s="47" t="s">
        <v>8</v>
      </c>
      <c r="B17" s="48"/>
      <c r="C17" s="48"/>
      <c r="D17" s="48"/>
      <c r="E17" s="48"/>
      <c r="F17" s="48"/>
      <c r="G17" s="48"/>
      <c r="H17" s="48"/>
    </row>
    <row r="18" spans="1:8" x14ac:dyDescent="0.35">
      <c r="A18" s="47" t="s">
        <v>3009</v>
      </c>
      <c r="B18" s="48"/>
      <c r="C18" s="48"/>
      <c r="D18" s="48"/>
      <c r="E18" s="48"/>
      <c r="F18" s="48"/>
      <c r="G18" s="48"/>
      <c r="H18" s="48"/>
    </row>
    <row r="19" spans="1:8" x14ac:dyDescent="0.35">
      <c r="A19" s="47" t="s">
        <v>9</v>
      </c>
      <c r="B19" s="48"/>
      <c r="C19" s="48"/>
      <c r="D19" s="48"/>
      <c r="E19" s="48"/>
      <c r="F19" s="48"/>
      <c r="G19" s="48"/>
      <c r="H19" s="48"/>
    </row>
    <row r="20" spans="1:8" x14ac:dyDescent="0.35">
      <c r="A20" s="47" t="s">
        <v>3010</v>
      </c>
      <c r="B20" s="48"/>
      <c r="C20" s="48"/>
      <c r="D20" s="48"/>
      <c r="E20" s="48"/>
      <c r="F20" s="48"/>
      <c r="G20" s="48"/>
      <c r="H20" s="48"/>
    </row>
    <row r="22" spans="1:8" ht="15.5" x14ac:dyDescent="0.35">
      <c r="A22" s="4" t="s">
        <v>10</v>
      </c>
    </row>
    <row r="23" spans="1:8" x14ac:dyDescent="0.35">
      <c r="A23" s="5" t="s">
        <v>11</v>
      </c>
      <c r="B23" s="6" t="s">
        <v>12</v>
      </c>
      <c r="C23" s="5" t="s">
        <v>13</v>
      </c>
      <c r="D23" s="5" t="s">
        <v>14</v>
      </c>
    </row>
    <row r="24" spans="1:8" x14ac:dyDescent="0.35">
      <c r="A24" s="7" t="s">
        <v>15</v>
      </c>
      <c r="B24" s="8" t="s">
        <v>16</v>
      </c>
      <c r="C24" s="7" t="s">
        <v>17</v>
      </c>
      <c r="D24" s="7" t="s">
        <v>18</v>
      </c>
    </row>
    <row r="25" spans="1:8" x14ac:dyDescent="0.35">
      <c r="A25" s="7" t="s">
        <v>19</v>
      </c>
      <c r="B25" s="8" t="s">
        <v>20</v>
      </c>
      <c r="C25" s="7" t="s">
        <v>21</v>
      </c>
      <c r="D25" s="7" t="s">
        <v>22</v>
      </c>
    </row>
    <row r="26" spans="1:8" x14ac:dyDescent="0.35">
      <c r="A26" s="7" t="s">
        <v>23</v>
      </c>
      <c r="B26" s="8" t="s">
        <v>24</v>
      </c>
      <c r="C26" s="7" t="s">
        <v>21</v>
      </c>
      <c r="D26" s="7" t="s">
        <v>18</v>
      </c>
    </row>
    <row r="27" spans="1:8" x14ac:dyDescent="0.35">
      <c r="A27" s="7" t="s">
        <v>25</v>
      </c>
      <c r="B27" s="8" t="s">
        <v>26</v>
      </c>
      <c r="C27" s="7" t="s">
        <v>27</v>
      </c>
      <c r="D27" s="7" t="s">
        <v>22</v>
      </c>
    </row>
    <row r="28" spans="1:8" x14ac:dyDescent="0.35">
      <c r="A28" s="7" t="s">
        <v>28</v>
      </c>
      <c r="B28" s="8" t="s">
        <v>29</v>
      </c>
      <c r="C28" s="7" t="s">
        <v>27</v>
      </c>
      <c r="D28" s="7" t="s">
        <v>30</v>
      </c>
    </row>
    <row r="29" spans="1:8" x14ac:dyDescent="0.35">
      <c r="A29" s="9"/>
      <c r="B29" s="10" t="s">
        <v>31</v>
      </c>
      <c r="C29" s="9" t="s">
        <v>32</v>
      </c>
      <c r="D29" s="9" t="s">
        <v>33</v>
      </c>
    </row>
    <row r="32" spans="1:8" ht="15.5" x14ac:dyDescent="0.35">
      <c r="A32" s="4" t="s">
        <v>34</v>
      </c>
    </row>
    <row r="33" spans="1:4" x14ac:dyDescent="0.35">
      <c r="A33" s="5" t="s">
        <v>14</v>
      </c>
      <c r="B33" s="5" t="s">
        <v>35</v>
      </c>
      <c r="C33" s="6" t="s">
        <v>36</v>
      </c>
    </row>
    <row r="34" spans="1:4" x14ac:dyDescent="0.35">
      <c r="A34" s="7" t="s">
        <v>37</v>
      </c>
      <c r="B34" s="7" t="s">
        <v>38</v>
      </c>
      <c r="C34" s="8" t="s">
        <v>3011</v>
      </c>
    </row>
    <row r="35" spans="1:4" x14ac:dyDescent="0.35">
      <c r="A35" s="7" t="s">
        <v>39</v>
      </c>
      <c r="B35" s="7" t="s">
        <v>40</v>
      </c>
      <c r="C35" s="8" t="s">
        <v>41</v>
      </c>
    </row>
    <row r="36" spans="1:4" x14ac:dyDescent="0.35">
      <c r="A36" s="7" t="s">
        <v>42</v>
      </c>
      <c r="B36" s="7" t="s">
        <v>43</v>
      </c>
      <c r="C36" s="8" t="s">
        <v>3012</v>
      </c>
    </row>
    <row r="37" spans="1:4" x14ac:dyDescent="0.35">
      <c r="A37" s="7" t="s">
        <v>44</v>
      </c>
      <c r="B37" s="7" t="s">
        <v>45</v>
      </c>
      <c r="C37" s="8" t="s">
        <v>3013</v>
      </c>
    </row>
    <row r="38" spans="1:4" x14ac:dyDescent="0.35">
      <c r="A38" s="7" t="s">
        <v>46</v>
      </c>
      <c r="B38" s="7" t="s">
        <v>47</v>
      </c>
      <c r="C38" s="8" t="s">
        <v>3014</v>
      </c>
    </row>
    <row r="41" spans="1:4" ht="15.5" x14ac:dyDescent="0.35">
      <c r="A41" s="4" t="s">
        <v>48</v>
      </c>
    </row>
    <row r="42" spans="1:4" x14ac:dyDescent="0.35">
      <c r="A42" s="11" t="s">
        <v>49</v>
      </c>
      <c r="B42" s="11" t="s">
        <v>50</v>
      </c>
      <c r="C42" s="11" t="s">
        <v>51</v>
      </c>
      <c r="D42" s="11" t="s">
        <v>52</v>
      </c>
    </row>
    <row r="43" spans="1:4" ht="37.5" x14ac:dyDescent="0.35">
      <c r="A43" s="12" t="s">
        <v>53</v>
      </c>
      <c r="B43" s="12" t="s">
        <v>54</v>
      </c>
      <c r="C43" s="12" t="s">
        <v>55</v>
      </c>
      <c r="D43" s="12" t="s">
        <v>56</v>
      </c>
    </row>
    <row r="44" spans="1:4" ht="25" x14ac:dyDescent="0.35">
      <c r="A44" s="12" t="s">
        <v>57</v>
      </c>
      <c r="B44" s="12" t="s">
        <v>58</v>
      </c>
      <c r="C44" s="12" t="s">
        <v>59</v>
      </c>
      <c r="D44" s="12" t="s">
        <v>60</v>
      </c>
    </row>
    <row r="45" spans="1:4" ht="25" x14ac:dyDescent="0.35">
      <c r="A45" s="12" t="s">
        <v>61</v>
      </c>
      <c r="B45" s="12" t="s">
        <v>62</v>
      </c>
      <c r="C45" s="12" t="s">
        <v>63</v>
      </c>
      <c r="D45" s="12" t="s">
        <v>64</v>
      </c>
    </row>
    <row r="46" spans="1:4" ht="25" x14ac:dyDescent="0.35">
      <c r="A46" s="12" t="s">
        <v>65</v>
      </c>
      <c r="B46" s="12" t="s">
        <v>32</v>
      </c>
      <c r="C46" s="12" t="s">
        <v>66</v>
      </c>
      <c r="D46" s="12" t="s">
        <v>67</v>
      </c>
    </row>
    <row r="47" spans="1:4" ht="25" x14ac:dyDescent="0.35">
      <c r="A47" s="12" t="s">
        <v>68</v>
      </c>
      <c r="B47" s="12" t="s">
        <v>69</v>
      </c>
      <c r="C47" s="12" t="s">
        <v>70</v>
      </c>
      <c r="D47" s="12" t="s">
        <v>71</v>
      </c>
    </row>
  </sheetData>
  <mergeCells count="14">
    <mergeCell ref="A20:H20"/>
    <mergeCell ref="A5:F5"/>
    <mergeCell ref="A16:H16"/>
    <mergeCell ref="A10:H10"/>
    <mergeCell ref="A19:H19"/>
    <mergeCell ref="A11:H11"/>
    <mergeCell ref="A8:H8"/>
    <mergeCell ref="A6:H6"/>
    <mergeCell ref="A17:H17"/>
    <mergeCell ref="A9:H9"/>
    <mergeCell ref="A12:H12"/>
    <mergeCell ref="A18:H18"/>
    <mergeCell ref="A15:H15"/>
    <mergeCell ref="A7:H7"/>
  </mergeCells>
  <pageMargins left="0.5" right="0.5" top="0.5" bottom="0.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9"/>
  <sheetViews>
    <sheetView zoomScale="85" zoomScaleNormal="85" workbookViewId="0">
      <selection activeCell="B6" sqref="B6"/>
    </sheetView>
  </sheetViews>
  <sheetFormatPr defaultRowHeight="14.5" x14ac:dyDescent="0.35"/>
  <cols>
    <col min="1" max="1" width="18.6328125" customWidth="1"/>
    <col min="2" max="2" width="15.81640625" customWidth="1"/>
    <col min="3" max="3" width="7.26953125" customWidth="1"/>
    <col min="4" max="4" width="10.26953125" customWidth="1"/>
    <col min="5" max="5" width="7.7265625" customWidth="1"/>
    <col min="6" max="7" width="7.26953125" customWidth="1"/>
    <col min="8" max="8" width="10.81640625" customWidth="1"/>
    <col min="9" max="10" width="10.54296875" customWidth="1"/>
    <col min="11" max="11" width="9.54296875" bestFit="1" customWidth="1"/>
    <col min="12" max="15" width="10.54296875" customWidth="1"/>
    <col min="16" max="16" width="11.6328125" customWidth="1"/>
    <col min="17" max="18" width="10.54296875" customWidth="1"/>
    <col min="19" max="19" width="11.6328125" customWidth="1"/>
    <col min="20" max="22" width="10.54296875" customWidth="1"/>
    <col min="23" max="23" width="11.6328125" customWidth="1"/>
    <col min="24" max="31" width="10.54296875" customWidth="1"/>
    <col min="32" max="32" width="11.6328125" bestFit="1" customWidth="1"/>
  </cols>
  <sheetData>
    <row r="3" spans="1:8" x14ac:dyDescent="0.35">
      <c r="A3" s="41" t="s">
        <v>3036</v>
      </c>
      <c r="B3" s="41" t="s">
        <v>3035</v>
      </c>
    </row>
    <row r="4" spans="1:8" x14ac:dyDescent="0.35">
      <c r="A4" s="41" t="s">
        <v>3033</v>
      </c>
      <c r="B4" s="38" t="s">
        <v>2795</v>
      </c>
      <c r="C4" s="38" t="s">
        <v>2828</v>
      </c>
      <c r="D4" s="38" t="s">
        <v>2784</v>
      </c>
      <c r="E4" s="38" t="s">
        <v>2806</v>
      </c>
      <c r="F4" s="38" t="s">
        <v>2817</v>
      </c>
      <c r="G4" s="38" t="s">
        <v>2839</v>
      </c>
      <c r="H4" s="38" t="s">
        <v>3034</v>
      </c>
    </row>
    <row r="5" spans="1:8" x14ac:dyDescent="0.35">
      <c r="A5" s="42" t="s">
        <v>2871</v>
      </c>
      <c r="B5" s="45">
        <v>0.13071896595084243</v>
      </c>
      <c r="C5" s="45">
        <v>0.19304259931843007</v>
      </c>
      <c r="D5" s="45">
        <v>0.18449706876052649</v>
      </c>
      <c r="E5" s="45">
        <v>0.17739103767693512</v>
      </c>
      <c r="F5" s="45">
        <v>0.17073082520832161</v>
      </c>
      <c r="G5" s="45">
        <v>0.14361950308494426</v>
      </c>
      <c r="H5" s="45">
        <v>1</v>
      </c>
    </row>
    <row r="6" spans="1:8" x14ac:dyDescent="0.35">
      <c r="A6" s="42" t="s">
        <v>2855</v>
      </c>
      <c r="B6" s="45">
        <v>0.14023150471988344</v>
      </c>
      <c r="C6" s="45">
        <v>0.22281122714554163</v>
      </c>
      <c r="D6" s="45">
        <v>0.20771830127127197</v>
      </c>
      <c r="E6" s="45">
        <v>0.16021751414329996</v>
      </c>
      <c r="F6" s="45">
        <v>0.12414513230158122</v>
      </c>
      <c r="G6" s="45">
        <v>0.1448763204184218</v>
      </c>
      <c r="H6" s="45">
        <v>1</v>
      </c>
    </row>
    <row r="7" spans="1:8" x14ac:dyDescent="0.35">
      <c r="A7" s="42" t="s">
        <v>2862</v>
      </c>
      <c r="B7" s="45">
        <v>0.1347463130530476</v>
      </c>
      <c r="C7" s="45">
        <v>0.22262229487995266</v>
      </c>
      <c r="D7" s="45">
        <v>0.18391873093357558</v>
      </c>
      <c r="E7" s="45">
        <v>0.14575149260001524</v>
      </c>
      <c r="F7" s="45">
        <v>0.15959003615962439</v>
      </c>
      <c r="G7" s="45">
        <v>0.15337113237378452</v>
      </c>
      <c r="H7" s="45">
        <v>1</v>
      </c>
    </row>
    <row r="8" spans="1:8" x14ac:dyDescent="0.35">
      <c r="A8" s="42" t="s">
        <v>2879</v>
      </c>
      <c r="B8" s="45">
        <v>0.14818799316179956</v>
      </c>
      <c r="C8" s="45">
        <v>0.20284195525611987</v>
      </c>
      <c r="D8" s="45">
        <v>0.16949061722333192</v>
      </c>
      <c r="E8" s="45">
        <v>0.17020963720672549</v>
      </c>
      <c r="F8" s="45">
        <v>0.16306542780775893</v>
      </c>
      <c r="G8" s="45">
        <v>0.14620436934426434</v>
      </c>
      <c r="H8" s="45">
        <v>1</v>
      </c>
    </row>
    <row r="9" spans="1:8" x14ac:dyDescent="0.35">
      <c r="A9" s="42" t="s">
        <v>3034</v>
      </c>
      <c r="B9" s="45">
        <v>0.13815371604118806</v>
      </c>
      <c r="C9" s="45">
        <v>0.21098069389229457</v>
      </c>
      <c r="D9" s="45">
        <v>0.18713592005572038</v>
      </c>
      <c r="E9" s="45">
        <v>0.16278661846034831</v>
      </c>
      <c r="F9" s="45">
        <v>0.15380123271380178</v>
      </c>
      <c r="G9" s="45">
        <v>0.14714181883664676</v>
      </c>
      <c r="H9" s="45">
        <v>1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2" sqref="A2:A4"/>
    </sheetView>
  </sheetViews>
  <sheetFormatPr defaultRowHeight="14.5" x14ac:dyDescent="0.35"/>
  <cols>
    <col min="1" max="1" width="22" bestFit="1" customWidth="1"/>
    <col min="2" max="2" width="8.26953125" bestFit="1" customWidth="1"/>
  </cols>
  <sheetData>
    <row r="1" spans="1:2" x14ac:dyDescent="0.35">
      <c r="A1" s="41" t="s">
        <v>82</v>
      </c>
      <c r="B1" s="38" t="s">
        <v>1431</v>
      </c>
    </row>
    <row r="3" spans="1:2" x14ac:dyDescent="0.35">
      <c r="A3" t="s">
        <v>3038</v>
      </c>
    </row>
    <row r="4" spans="1:2" x14ac:dyDescent="0.35">
      <c r="A4" s="43">
        <v>0.51594488188976373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  <pageSetUpPr fitToPage="1"/>
  </sheetPr>
  <dimension ref="A1:AP2001"/>
  <sheetViews>
    <sheetView topLeftCell="Q1" zoomScale="68" zoomScaleNormal="70" workbookViewId="0">
      <pane ySplit="1" topLeftCell="A27" activePane="bottomLeft" state="frozen"/>
      <selection pane="bottomLeft" activeCell="Z49" sqref="Z49"/>
    </sheetView>
  </sheetViews>
  <sheetFormatPr defaultRowHeight="14.5" x14ac:dyDescent="0.35"/>
  <cols>
    <col min="1" max="1" width="11" customWidth="1"/>
    <col min="2" max="2" width="11.453125" customWidth="1"/>
    <col min="3" max="3" width="13.1796875" bestFit="1" customWidth="1"/>
    <col min="4" max="4" width="12" customWidth="1"/>
    <col min="5" max="5" width="14" customWidth="1"/>
    <col min="6" max="6" width="10" customWidth="1"/>
    <col min="7" max="7" width="12" customWidth="1"/>
    <col min="8" max="8" width="13.453125" customWidth="1"/>
    <col min="9" max="9" width="14" customWidth="1"/>
    <col min="10" max="10" width="16" customWidth="1"/>
    <col min="11" max="11" width="11" customWidth="1"/>
    <col min="15" max="15" width="7.54296875" customWidth="1"/>
    <col min="16" max="16" width="13.453125" bestFit="1" customWidth="1"/>
    <col min="17" max="17" width="14.1796875" bestFit="1" customWidth="1"/>
    <col min="22" max="22" width="10.7265625" bestFit="1" customWidth="1"/>
    <col min="23" max="23" width="12.7265625" bestFit="1" customWidth="1"/>
    <col min="24" max="24" width="10.6328125" customWidth="1"/>
    <col min="26" max="26" width="11.54296875" bestFit="1" customWidth="1"/>
  </cols>
  <sheetData>
    <row r="1" spans="1:42" x14ac:dyDescent="0.35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  <c r="L1" s="39" t="s">
        <v>3026</v>
      </c>
      <c r="M1" s="39" t="s">
        <v>3027</v>
      </c>
      <c r="N1" s="39" t="s">
        <v>3028</v>
      </c>
      <c r="O1" s="39" t="s">
        <v>3029</v>
      </c>
      <c r="P1" s="5" t="s">
        <v>76</v>
      </c>
      <c r="Q1" t="s">
        <v>3030</v>
      </c>
      <c r="R1" s="40" t="s">
        <v>3032</v>
      </c>
      <c r="S1" s="40" t="s">
        <v>3026</v>
      </c>
      <c r="T1" t="s">
        <v>3037</v>
      </c>
      <c r="V1" s="5" t="s">
        <v>2849</v>
      </c>
      <c r="W1" t="s">
        <v>3030</v>
      </c>
      <c r="X1" t="s">
        <v>3039</v>
      </c>
    </row>
    <row r="2" spans="1:42" x14ac:dyDescent="0.35">
      <c r="A2" s="13" t="s">
        <v>83</v>
      </c>
      <c r="B2" s="14">
        <v>45549</v>
      </c>
      <c r="C2" s="13" t="s">
        <v>84</v>
      </c>
      <c r="D2" s="13" t="s">
        <v>85</v>
      </c>
      <c r="E2" s="13" t="s">
        <v>86</v>
      </c>
      <c r="F2" s="15">
        <v>8</v>
      </c>
      <c r="G2" s="15">
        <v>3620</v>
      </c>
      <c r="H2" s="15">
        <v>15.4</v>
      </c>
      <c r="I2" s="15">
        <v>24500.16</v>
      </c>
      <c r="J2" s="13" t="s">
        <v>87</v>
      </c>
      <c r="K2" s="13" t="s">
        <v>88</v>
      </c>
      <c r="L2" t="str">
        <f>VLOOKUP(D2,Products!$A$2:$F$61,3,FALSE)</f>
        <v>Apparel</v>
      </c>
      <c r="M2" t="str">
        <f>VLOOKUP(C2,Customers!$A$2:$F$301,5,FALSE)</f>
        <v>SMB</v>
      </c>
      <c r="N2">
        <f>VLOOKUP(C2,Customers!$A$2:$F$301,3,FALSE)</f>
        <v>44</v>
      </c>
      <c r="O2" t="str">
        <f>VLOOKUP(E2,Sales_Reps!$A$2:$E$31,3,FALSE)</f>
        <v>North</v>
      </c>
      <c r="P2" s="13" t="s">
        <v>86</v>
      </c>
      <c r="Q2">
        <f>SUMIFS($I:$I,$E:$E,P2)</f>
        <v>855749.67999999982</v>
      </c>
      <c r="R2" t="str">
        <f>VLOOKUP(E2,Sales_Reps!$A$2:$E$100,3,FALSE)</f>
        <v>North</v>
      </c>
      <c r="S2" t="str">
        <f>L2</f>
        <v>Apparel</v>
      </c>
      <c r="T2">
        <f>VLOOKUP(D2,Products!$A$2:$F$68,4,FALSE)</f>
        <v>2509</v>
      </c>
      <c r="V2" s="13" t="s">
        <v>86</v>
      </c>
      <c r="W2">
        <f>SUMIF($P$2:$P$2001,V2,$I$2:$I$2001)</f>
        <v>855749.67999999982</v>
      </c>
      <c r="X2">
        <f>_xlfn.RANK.EQ(W2,$W$2:$W$31,0)</f>
        <v>19</v>
      </c>
    </row>
    <row r="3" spans="1:42" x14ac:dyDescent="0.35">
      <c r="A3" s="13" t="s">
        <v>89</v>
      </c>
      <c r="B3" s="14">
        <v>45340</v>
      </c>
      <c r="C3" s="13" t="s">
        <v>90</v>
      </c>
      <c r="D3" s="13" t="s">
        <v>91</v>
      </c>
      <c r="E3" s="13" t="s">
        <v>92</v>
      </c>
      <c r="F3" s="15">
        <v>2</v>
      </c>
      <c r="G3" s="15">
        <v>820</v>
      </c>
      <c r="H3" s="15">
        <v>10.8</v>
      </c>
      <c r="I3" s="15">
        <v>1462.88</v>
      </c>
      <c r="J3" s="13" t="s">
        <v>93</v>
      </c>
      <c r="K3" s="13" t="s">
        <v>94</v>
      </c>
      <c r="L3" s="34" t="str">
        <f>VLOOKUP(D3,Products!$A$2:$F$61,3,FALSE)</f>
        <v>Apparel</v>
      </c>
      <c r="M3" s="34" t="str">
        <f>VLOOKUP(C3,Customers!$A$2:$F$301,5,FALSE)</f>
        <v>Retail</v>
      </c>
      <c r="N3" s="34">
        <f>VLOOKUP(C3,Customers!$A$2:$F$301,3,FALSE)</f>
        <v>39</v>
      </c>
      <c r="O3" s="34" t="str">
        <f>VLOOKUP(E3,Sales_Reps!$A$2:$E$31,3,FALSE)</f>
        <v>North</v>
      </c>
      <c r="P3" s="13" t="s">
        <v>92</v>
      </c>
      <c r="Q3" s="34">
        <f t="shared" ref="Q3:Q66" si="0">SUMIFS($I:$I,$E:$E,P3)</f>
        <v>782445.33</v>
      </c>
      <c r="R3" s="34" t="str">
        <f>VLOOKUP(E3,Sales_Reps!$A$2:$E$100,3,FALSE)</f>
        <v>North</v>
      </c>
      <c r="S3" s="34" t="str">
        <f t="shared" ref="S3:S66" si="1">L3</f>
        <v>Apparel</v>
      </c>
      <c r="T3" s="38">
        <f>VLOOKUP(D3,Products!$A$2:$F$68,4,FALSE)</f>
        <v>391</v>
      </c>
      <c r="V3" s="13" t="s">
        <v>92</v>
      </c>
      <c r="W3" s="44">
        <f t="shared" ref="W3:W31" si="2">SUMIF($P$2:$P$2001,V3,$I$2:$I$2001)</f>
        <v>782445.33</v>
      </c>
      <c r="X3" s="44">
        <f t="shared" ref="X3:X31" si="3">_xlfn.RANK.EQ(W3,$W$2:$W$31,0)</f>
        <v>24</v>
      </c>
    </row>
    <row r="4" spans="1:42" x14ac:dyDescent="0.35">
      <c r="A4" s="13" t="s">
        <v>95</v>
      </c>
      <c r="B4" s="14">
        <v>45371</v>
      </c>
      <c r="C4" s="13" t="s">
        <v>96</v>
      </c>
      <c r="D4" s="13" t="s">
        <v>97</v>
      </c>
      <c r="E4" s="13" t="s">
        <v>98</v>
      </c>
      <c r="F4" s="15">
        <v>8</v>
      </c>
      <c r="G4" s="15">
        <v>470</v>
      </c>
      <c r="H4" s="15">
        <v>3.3</v>
      </c>
      <c r="I4" s="15">
        <v>3635.92</v>
      </c>
      <c r="J4" s="13" t="s">
        <v>93</v>
      </c>
      <c r="K4" s="13" t="s">
        <v>99</v>
      </c>
      <c r="L4" s="34" t="str">
        <f>VLOOKUP(D4,Products!$A$2:$F$61,3,FALSE)</f>
        <v>Sports</v>
      </c>
      <c r="M4" s="34" t="str">
        <f>VLOOKUP(C4,Customers!$A$2:$F$301,5,FALSE)</f>
        <v>Retail</v>
      </c>
      <c r="N4" s="34">
        <f>VLOOKUP(C4,Customers!$A$2:$F$301,3,FALSE)</f>
        <v>52</v>
      </c>
      <c r="O4" s="34" t="str">
        <f>VLOOKUP(E4,Sales_Reps!$A$2:$E$31,3,FALSE)</f>
        <v>South</v>
      </c>
      <c r="P4" s="13" t="s">
        <v>98</v>
      </c>
      <c r="Q4" s="34">
        <f t="shared" si="0"/>
        <v>995713.54000000015</v>
      </c>
      <c r="R4" s="34" t="str">
        <f>VLOOKUP(E4,Sales_Reps!$A$2:$E$100,3,FALSE)</f>
        <v>South</v>
      </c>
      <c r="S4" s="34" t="str">
        <f t="shared" si="1"/>
        <v>Sports</v>
      </c>
      <c r="T4" s="38">
        <f>VLOOKUP(D4,Products!$A$2:$F$68,4,FALSE)</f>
        <v>302</v>
      </c>
      <c r="V4" s="13" t="s">
        <v>98</v>
      </c>
      <c r="W4" s="44">
        <f t="shared" si="2"/>
        <v>995713.54000000015</v>
      </c>
      <c r="X4" s="44">
        <f t="shared" si="3"/>
        <v>6</v>
      </c>
    </row>
    <row r="5" spans="1:42" x14ac:dyDescent="0.35">
      <c r="A5" s="13" t="s">
        <v>100</v>
      </c>
      <c r="B5" s="14">
        <v>45413</v>
      </c>
      <c r="C5" s="13" t="s">
        <v>101</v>
      </c>
      <c r="D5" s="13" t="s">
        <v>102</v>
      </c>
      <c r="E5" s="13" t="s">
        <v>103</v>
      </c>
      <c r="F5" s="15">
        <v>1</v>
      </c>
      <c r="G5" s="15">
        <v>3660</v>
      </c>
      <c r="H5" s="15">
        <v>15.7</v>
      </c>
      <c r="I5" s="15">
        <v>3085.38</v>
      </c>
      <c r="J5" s="13" t="s">
        <v>87</v>
      </c>
      <c r="K5" s="13" t="s">
        <v>99</v>
      </c>
      <c r="L5" s="34" t="str">
        <f>VLOOKUP(D5,Products!$A$2:$F$61,3,FALSE)</f>
        <v>Grocery</v>
      </c>
      <c r="M5" s="34" t="str">
        <f>VLOOKUP(C5,Customers!$A$2:$F$301,5,FALSE)</f>
        <v>Corporate</v>
      </c>
      <c r="N5" s="34">
        <f>VLOOKUP(C5,Customers!$A$2:$F$301,3,FALSE)</f>
        <v>46</v>
      </c>
      <c r="O5" s="34" t="str">
        <f>VLOOKUP(E5,Sales_Reps!$A$2:$E$31,3,FALSE)</f>
        <v>North</v>
      </c>
      <c r="P5" s="13" t="s">
        <v>103</v>
      </c>
      <c r="Q5" s="34">
        <f t="shared" si="0"/>
        <v>1138648.73</v>
      </c>
      <c r="R5" s="34" t="str">
        <f>VLOOKUP(E5,Sales_Reps!$A$2:$E$100,3,FALSE)</f>
        <v>North</v>
      </c>
      <c r="S5" s="34" t="str">
        <f t="shared" si="1"/>
        <v>Grocery</v>
      </c>
      <c r="T5" s="38">
        <f>VLOOKUP(D5,Products!$A$2:$F$68,4,FALSE)</f>
        <v>2214</v>
      </c>
      <c r="V5" s="13" t="s">
        <v>103</v>
      </c>
      <c r="W5" s="44">
        <f t="shared" si="2"/>
        <v>1138648.73</v>
      </c>
      <c r="X5" s="44">
        <f t="shared" si="3"/>
        <v>1</v>
      </c>
    </row>
    <row r="6" spans="1:42" x14ac:dyDescent="0.35">
      <c r="A6" s="13" t="s">
        <v>104</v>
      </c>
      <c r="B6" s="14">
        <v>45611</v>
      </c>
      <c r="C6" s="13" t="s">
        <v>105</v>
      </c>
      <c r="D6" s="13" t="s">
        <v>106</v>
      </c>
      <c r="E6" s="13" t="s">
        <v>107</v>
      </c>
      <c r="F6" s="15">
        <v>1</v>
      </c>
      <c r="G6" s="15">
        <v>3160</v>
      </c>
      <c r="H6" s="15">
        <v>26</v>
      </c>
      <c r="I6" s="15">
        <v>2338.4</v>
      </c>
      <c r="J6" s="13" t="s">
        <v>87</v>
      </c>
      <c r="K6" s="13" t="s">
        <v>94</v>
      </c>
      <c r="L6" s="34" t="str">
        <f>VLOOKUP(D6,Products!$A$2:$F$61,3,FALSE)</f>
        <v>Apparel</v>
      </c>
      <c r="M6" s="34" t="str">
        <f>VLOOKUP(C6,Customers!$A$2:$F$301,5,FALSE)</f>
        <v>Retail</v>
      </c>
      <c r="N6" s="34">
        <f>VLOOKUP(C6,Customers!$A$2:$F$301,3,FALSE)</f>
        <v>36</v>
      </c>
      <c r="O6" s="34" t="str">
        <f>VLOOKUP(E6,Sales_Reps!$A$2:$E$31,3,FALSE)</f>
        <v>North</v>
      </c>
      <c r="P6" s="13" t="s">
        <v>107</v>
      </c>
      <c r="Q6" s="34">
        <f t="shared" si="0"/>
        <v>861553.33</v>
      </c>
      <c r="R6" s="34" t="str">
        <f>VLOOKUP(E6,Sales_Reps!$A$2:$E$100,3,FALSE)</f>
        <v>North</v>
      </c>
      <c r="S6" s="34" t="str">
        <f t="shared" si="1"/>
        <v>Apparel</v>
      </c>
      <c r="T6" s="38">
        <f>VLOOKUP(D6,Products!$A$2:$F$68,4,FALSE)</f>
        <v>1886</v>
      </c>
      <c r="V6" s="13" t="s">
        <v>107</v>
      </c>
      <c r="W6" s="44">
        <f t="shared" si="2"/>
        <v>861553.33</v>
      </c>
      <c r="X6" s="44">
        <f t="shared" si="3"/>
        <v>18</v>
      </c>
    </row>
    <row r="7" spans="1:42" x14ac:dyDescent="0.35">
      <c r="A7" s="13" t="s">
        <v>108</v>
      </c>
      <c r="B7" s="14">
        <v>45406</v>
      </c>
      <c r="C7" s="13" t="s">
        <v>109</v>
      </c>
      <c r="D7" s="13" t="s">
        <v>110</v>
      </c>
      <c r="E7" s="13" t="s">
        <v>111</v>
      </c>
      <c r="F7" s="15">
        <v>4</v>
      </c>
      <c r="G7" s="15">
        <v>370</v>
      </c>
      <c r="H7" s="15">
        <v>29</v>
      </c>
      <c r="I7" s="15">
        <v>1050.8</v>
      </c>
      <c r="J7" s="13" t="s">
        <v>87</v>
      </c>
      <c r="K7" s="13" t="s">
        <v>112</v>
      </c>
      <c r="L7" s="34" t="str">
        <f>VLOOKUP(D7,Products!$A$2:$F$61,3,FALSE)</f>
        <v>Home</v>
      </c>
      <c r="M7" s="34" t="str">
        <f>VLOOKUP(C7,Customers!$A$2:$F$301,5,FALSE)</f>
        <v>Retail</v>
      </c>
      <c r="N7" s="34">
        <f>VLOOKUP(C7,Customers!$A$2:$F$301,3,FALSE)</f>
        <v>36</v>
      </c>
      <c r="O7" s="34" t="str">
        <f>VLOOKUP(E7,Sales_Reps!$A$2:$E$31,3,FALSE)</f>
        <v>West</v>
      </c>
      <c r="P7" s="13" t="s">
        <v>111</v>
      </c>
      <c r="Q7" s="34">
        <f t="shared" si="0"/>
        <v>901298.89</v>
      </c>
      <c r="R7" s="34" t="str">
        <f>VLOOKUP(E7,Sales_Reps!$A$2:$E$100,3,FALSE)</f>
        <v>West</v>
      </c>
      <c r="S7" s="34" t="str">
        <f t="shared" si="1"/>
        <v>Home</v>
      </c>
      <c r="T7" s="38">
        <f>VLOOKUP(D7,Products!$A$2:$F$68,4,FALSE)</f>
        <v>288</v>
      </c>
      <c r="V7" s="13" t="s">
        <v>111</v>
      </c>
      <c r="W7" s="44">
        <f t="shared" si="2"/>
        <v>901298.89</v>
      </c>
      <c r="X7" s="44">
        <f t="shared" si="3"/>
        <v>15</v>
      </c>
    </row>
    <row r="8" spans="1:42" x14ac:dyDescent="0.35">
      <c r="A8" s="13" t="s">
        <v>113</v>
      </c>
      <c r="B8" s="14">
        <v>45455</v>
      </c>
      <c r="C8" s="13" t="s">
        <v>114</v>
      </c>
      <c r="D8" s="13" t="s">
        <v>115</v>
      </c>
      <c r="E8" s="13" t="s">
        <v>116</v>
      </c>
      <c r="F8" s="15">
        <v>3</v>
      </c>
      <c r="G8" s="15">
        <v>960</v>
      </c>
      <c r="H8" s="15">
        <v>5.8</v>
      </c>
      <c r="I8" s="15">
        <v>2712.96</v>
      </c>
      <c r="J8" s="13" t="s">
        <v>87</v>
      </c>
      <c r="K8" s="13" t="s">
        <v>117</v>
      </c>
      <c r="L8" s="34" t="str">
        <f>VLOOKUP(D8,Products!$A$2:$F$61,3,FALSE)</f>
        <v>Sports</v>
      </c>
      <c r="M8" s="34" t="str">
        <f>VLOOKUP(C8,Customers!$A$2:$F$301,5,FALSE)</f>
        <v>Retail</v>
      </c>
      <c r="N8" s="34">
        <f>VLOOKUP(C8,Customers!$A$2:$F$301,3,FALSE)</f>
        <v>27</v>
      </c>
      <c r="O8" s="34" t="str">
        <f>VLOOKUP(E8,Sales_Reps!$A$2:$E$31,3,FALSE)</f>
        <v>West</v>
      </c>
      <c r="P8" s="13" t="s">
        <v>116</v>
      </c>
      <c r="Q8" s="34">
        <f t="shared" si="0"/>
        <v>819558.58</v>
      </c>
      <c r="R8" s="34" t="str">
        <f>VLOOKUP(E8,Sales_Reps!$A$2:$E$100,3,FALSE)</f>
        <v>West</v>
      </c>
      <c r="S8" s="34" t="str">
        <f t="shared" si="1"/>
        <v>Sports</v>
      </c>
      <c r="T8" s="38">
        <f>VLOOKUP(D8,Products!$A$2:$F$68,4,FALSE)</f>
        <v>705</v>
      </c>
      <c r="V8" s="13" t="s">
        <v>116</v>
      </c>
      <c r="W8" s="44">
        <f t="shared" si="2"/>
        <v>819558.58</v>
      </c>
      <c r="X8" s="44">
        <f t="shared" si="3"/>
        <v>20</v>
      </c>
      <c r="Y8" s="5"/>
      <c r="Z8" s="5"/>
      <c r="AA8" s="5"/>
      <c r="AB8" s="5"/>
      <c r="AC8" s="5"/>
      <c r="AD8" s="5"/>
      <c r="AE8" s="5"/>
      <c r="AF8" s="5"/>
      <c r="AG8" s="5"/>
      <c r="AH8" s="39"/>
      <c r="AI8" s="39"/>
      <c r="AJ8" s="39"/>
      <c r="AK8" s="39"/>
      <c r="AL8" s="5"/>
      <c r="AM8" s="44"/>
      <c r="AN8" s="40"/>
      <c r="AO8" s="40"/>
      <c r="AP8" s="44"/>
    </row>
    <row r="9" spans="1:42" x14ac:dyDescent="0.35">
      <c r="A9" s="13" t="s">
        <v>118</v>
      </c>
      <c r="B9" s="14">
        <v>45617</v>
      </c>
      <c r="C9" s="13" t="s">
        <v>119</v>
      </c>
      <c r="D9" s="36" t="s">
        <v>120</v>
      </c>
      <c r="E9" s="13" t="s">
        <v>121</v>
      </c>
      <c r="F9" s="15">
        <v>8</v>
      </c>
      <c r="G9" s="15">
        <v>1430</v>
      </c>
      <c r="H9" s="15">
        <v>2.4</v>
      </c>
      <c r="I9" s="15">
        <v>11165.44</v>
      </c>
      <c r="J9" s="13" t="s">
        <v>87</v>
      </c>
      <c r="K9" s="13" t="s">
        <v>117</v>
      </c>
      <c r="L9" s="34" t="str">
        <f>VLOOKUP(D9,Products!$A$2:$F$61,3,FALSE)</f>
        <v>Electronics</v>
      </c>
      <c r="M9" s="34" t="str">
        <f>VLOOKUP(C9,Customers!$A$2:$F$301,5,FALSE)</f>
        <v>Corporate</v>
      </c>
      <c r="N9" s="34">
        <f>VLOOKUP(C9,Customers!$A$2:$F$301,3,FALSE)</f>
        <v>57</v>
      </c>
      <c r="O9" s="34" t="str">
        <f>VLOOKUP(E9,Sales_Reps!$A$2:$E$31,3,FALSE)</f>
        <v>East</v>
      </c>
      <c r="P9" s="13" t="s">
        <v>121</v>
      </c>
      <c r="Q9" s="34">
        <f t="shared" si="0"/>
        <v>971183.52000000014</v>
      </c>
      <c r="R9" s="34" t="str">
        <f>VLOOKUP(E9,Sales_Reps!$A$2:$E$100,3,FALSE)</f>
        <v>East</v>
      </c>
      <c r="S9" s="34" t="str">
        <f t="shared" si="1"/>
        <v>Electronics</v>
      </c>
      <c r="T9" s="38">
        <f>VLOOKUP(D9,Products!$A$2:$F$68,4,FALSE)</f>
        <v>861</v>
      </c>
      <c r="V9" s="13" t="s">
        <v>121</v>
      </c>
      <c r="W9" s="44">
        <f t="shared" si="2"/>
        <v>971183.52000000014</v>
      </c>
      <c r="X9" s="44">
        <f t="shared" si="3"/>
        <v>10</v>
      </c>
    </row>
    <row r="10" spans="1:42" x14ac:dyDescent="0.35">
      <c r="A10" s="13" t="s">
        <v>122</v>
      </c>
      <c r="B10" s="14">
        <v>45549</v>
      </c>
      <c r="C10" s="13" t="s">
        <v>123</v>
      </c>
      <c r="D10" s="13" t="s">
        <v>124</v>
      </c>
      <c r="E10" s="13" t="s">
        <v>107</v>
      </c>
      <c r="F10" s="15">
        <v>3</v>
      </c>
      <c r="G10" s="15">
        <v>5490</v>
      </c>
      <c r="H10" s="15">
        <v>14.2</v>
      </c>
      <c r="I10" s="15">
        <v>14131.26</v>
      </c>
      <c r="J10" s="13" t="s">
        <v>87</v>
      </c>
      <c r="K10" s="13" t="s">
        <v>117</v>
      </c>
      <c r="L10" s="34" t="str">
        <f>VLOOKUP(D10,Products!$A$2:$F$61,3,FALSE)</f>
        <v>Home</v>
      </c>
      <c r="M10" s="34" t="str">
        <f>VLOOKUP(C10,Customers!$A$2:$F$301,5,FALSE)</f>
        <v>Retail</v>
      </c>
      <c r="N10" s="34">
        <f>VLOOKUP(C10,Customers!$A$2:$F$301,3,FALSE)</f>
        <v>42</v>
      </c>
      <c r="O10" s="34" t="str">
        <f>VLOOKUP(E10,Sales_Reps!$A$2:$E$31,3,FALSE)</f>
        <v>North</v>
      </c>
      <c r="P10" s="13" t="s">
        <v>107</v>
      </c>
      <c r="Q10" s="34">
        <f t="shared" si="0"/>
        <v>861553.33</v>
      </c>
      <c r="R10" s="34" t="str">
        <f>VLOOKUP(E10,Sales_Reps!$A$2:$E$100,3,FALSE)</f>
        <v>North</v>
      </c>
      <c r="S10" s="34" t="str">
        <f t="shared" si="1"/>
        <v>Home</v>
      </c>
      <c r="T10" s="38">
        <f>VLOOKUP(D10,Products!$A$2:$F$68,4,FALSE)</f>
        <v>2549</v>
      </c>
      <c r="V10" s="13" t="s">
        <v>128</v>
      </c>
      <c r="W10" s="44">
        <f t="shared" si="2"/>
        <v>880468.05</v>
      </c>
      <c r="X10" s="44">
        <f t="shared" si="3"/>
        <v>16</v>
      </c>
    </row>
    <row r="11" spans="1:42" x14ac:dyDescent="0.35">
      <c r="A11" s="13" t="s">
        <v>125</v>
      </c>
      <c r="B11" s="14">
        <v>45396</v>
      </c>
      <c r="C11" s="13" t="s">
        <v>126</v>
      </c>
      <c r="D11" s="13" t="s">
        <v>127</v>
      </c>
      <c r="E11" s="13" t="s">
        <v>128</v>
      </c>
      <c r="F11" s="15">
        <v>3</v>
      </c>
      <c r="G11" s="15">
        <v>970</v>
      </c>
      <c r="H11" s="15">
        <v>1.2</v>
      </c>
      <c r="I11" s="15">
        <v>2875.08</v>
      </c>
      <c r="J11" s="13" t="s">
        <v>87</v>
      </c>
      <c r="K11" s="13" t="s">
        <v>88</v>
      </c>
      <c r="L11" s="34" t="str">
        <f>VLOOKUP(D11,Products!$A$2:$F$61,3,FALSE)</f>
        <v>Grocery</v>
      </c>
      <c r="M11" s="34" t="str">
        <f>VLOOKUP(C11,Customers!$A$2:$F$301,5,FALSE)</f>
        <v>Retail</v>
      </c>
      <c r="N11" s="34">
        <f>VLOOKUP(C11,Customers!$A$2:$F$301,3,FALSE)</f>
        <v>56</v>
      </c>
      <c r="O11" s="34" t="str">
        <f>VLOOKUP(E11,Sales_Reps!$A$2:$E$31,3,FALSE)</f>
        <v>West</v>
      </c>
      <c r="P11" s="13" t="s">
        <v>128</v>
      </c>
      <c r="Q11" s="34">
        <f t="shared" si="0"/>
        <v>880468.05</v>
      </c>
      <c r="R11" s="34" t="str">
        <f>VLOOKUP(E11,Sales_Reps!$A$2:$E$100,3,FALSE)</f>
        <v>West</v>
      </c>
      <c r="S11" s="34" t="str">
        <f t="shared" si="1"/>
        <v>Grocery</v>
      </c>
      <c r="T11" s="38">
        <f>VLOOKUP(D11,Products!$A$2:$F$68,4,FALSE)</f>
        <v>434</v>
      </c>
      <c r="V11" s="13" t="s">
        <v>132</v>
      </c>
      <c r="W11" s="44">
        <f t="shared" si="2"/>
        <v>880345.20000000007</v>
      </c>
      <c r="X11" s="44">
        <f t="shared" si="3"/>
        <v>17</v>
      </c>
    </row>
    <row r="12" spans="1:42" x14ac:dyDescent="0.35">
      <c r="A12" s="13" t="s">
        <v>129</v>
      </c>
      <c r="B12" s="14">
        <v>45560</v>
      </c>
      <c r="C12" s="13" t="s">
        <v>130</v>
      </c>
      <c r="D12" s="13" t="s">
        <v>131</v>
      </c>
      <c r="E12" s="13" t="s">
        <v>132</v>
      </c>
      <c r="F12" s="15">
        <v>7</v>
      </c>
      <c r="G12" s="15">
        <v>2270</v>
      </c>
      <c r="H12" s="15">
        <v>7.1</v>
      </c>
      <c r="I12" s="15">
        <v>14761.81</v>
      </c>
      <c r="J12" s="13" t="s">
        <v>93</v>
      </c>
      <c r="K12" s="13" t="s">
        <v>133</v>
      </c>
      <c r="L12" s="34" t="str">
        <f>VLOOKUP(D12,Products!$A$2:$F$61,3,FALSE)</f>
        <v>Grocery</v>
      </c>
      <c r="M12" s="34" t="str">
        <f>VLOOKUP(C12,Customers!$A$2:$F$301,5,FALSE)</f>
        <v>Retail</v>
      </c>
      <c r="N12" s="34">
        <f>VLOOKUP(C12,Customers!$A$2:$F$301,3,FALSE)</f>
        <v>60</v>
      </c>
      <c r="O12" s="34" t="str">
        <f>VLOOKUP(E12,Sales_Reps!$A$2:$E$31,3,FALSE)</f>
        <v>South</v>
      </c>
      <c r="P12" s="13" t="s">
        <v>132</v>
      </c>
      <c r="Q12" s="34">
        <f t="shared" si="0"/>
        <v>880345.20000000007</v>
      </c>
      <c r="R12" s="34" t="str">
        <f>VLOOKUP(E12,Sales_Reps!$A$2:$E$100,3,FALSE)</f>
        <v>South</v>
      </c>
      <c r="S12" s="34" t="str">
        <f t="shared" si="1"/>
        <v>Grocery</v>
      </c>
      <c r="T12" s="38">
        <f>VLOOKUP(D12,Products!$A$2:$F$68,4,FALSE)</f>
        <v>1203</v>
      </c>
      <c r="V12" s="13" t="s">
        <v>139</v>
      </c>
      <c r="W12" s="44">
        <f t="shared" si="2"/>
        <v>589026.2899999998</v>
      </c>
      <c r="X12" s="44">
        <f t="shared" si="3"/>
        <v>29</v>
      </c>
    </row>
    <row r="13" spans="1:42" x14ac:dyDescent="0.35">
      <c r="A13" s="13" t="s">
        <v>134</v>
      </c>
      <c r="B13" s="14">
        <v>45332</v>
      </c>
      <c r="C13" s="13" t="s">
        <v>126</v>
      </c>
      <c r="D13" s="13" t="s">
        <v>135</v>
      </c>
      <c r="E13" s="13" t="s">
        <v>116</v>
      </c>
      <c r="F13" s="15">
        <v>9</v>
      </c>
      <c r="G13" s="15">
        <v>2640</v>
      </c>
      <c r="H13" s="15">
        <v>21.7</v>
      </c>
      <c r="I13" s="15">
        <v>18604.080000000002</v>
      </c>
      <c r="J13" s="13" t="s">
        <v>87</v>
      </c>
      <c r="K13" s="13" t="s">
        <v>88</v>
      </c>
      <c r="L13" s="34" t="str">
        <f>VLOOKUP(D13,Products!$A$2:$F$61,3,FALSE)</f>
        <v>Electronics</v>
      </c>
      <c r="M13" s="34" t="str">
        <f>VLOOKUP(C13,Customers!$A$2:$F$301,5,FALSE)</f>
        <v>Retail</v>
      </c>
      <c r="N13" s="34">
        <f>VLOOKUP(C13,Customers!$A$2:$F$301,3,FALSE)</f>
        <v>56</v>
      </c>
      <c r="O13" s="34" t="str">
        <f>VLOOKUP(E13,Sales_Reps!$A$2:$E$31,3,FALSE)</f>
        <v>West</v>
      </c>
      <c r="P13" s="13" t="s">
        <v>116</v>
      </c>
      <c r="Q13" s="34">
        <f t="shared" si="0"/>
        <v>819558.58</v>
      </c>
      <c r="R13" s="34" t="str">
        <f>VLOOKUP(E13,Sales_Reps!$A$2:$E$100,3,FALSE)</f>
        <v>West</v>
      </c>
      <c r="S13" s="34" t="str">
        <f t="shared" si="1"/>
        <v>Electronics</v>
      </c>
      <c r="T13" s="38">
        <f>VLOOKUP(D13,Products!$A$2:$F$68,4,FALSE)</f>
        <v>1149</v>
      </c>
      <c r="V13" s="13" t="s">
        <v>148</v>
      </c>
      <c r="W13" s="44">
        <f t="shared" si="2"/>
        <v>986692.91</v>
      </c>
      <c r="X13" s="44">
        <f t="shared" si="3"/>
        <v>7</v>
      </c>
    </row>
    <row r="14" spans="1:42" x14ac:dyDescent="0.35">
      <c r="A14" s="13" t="s">
        <v>136</v>
      </c>
      <c r="B14" s="14">
        <v>45507</v>
      </c>
      <c r="C14" s="13" t="s">
        <v>137</v>
      </c>
      <c r="D14" s="13" t="s">
        <v>138</v>
      </c>
      <c r="E14" s="13" t="s">
        <v>139</v>
      </c>
      <c r="F14" s="15">
        <v>3</v>
      </c>
      <c r="G14" s="15">
        <v>2600</v>
      </c>
      <c r="H14" s="15">
        <v>4.3</v>
      </c>
      <c r="I14" s="15">
        <v>7464.6</v>
      </c>
      <c r="J14" s="13" t="s">
        <v>140</v>
      </c>
      <c r="K14" s="13" t="s">
        <v>99</v>
      </c>
      <c r="L14" s="34" t="str">
        <f>VLOOKUP(D14,Products!$A$2:$F$61,3,FALSE)</f>
        <v>Electronics</v>
      </c>
      <c r="M14" s="34" t="str">
        <f>VLOOKUP(C14,Customers!$A$2:$F$301,5,FALSE)</f>
        <v>SMB</v>
      </c>
      <c r="N14" s="34">
        <f>VLOOKUP(C14,Customers!$A$2:$F$301,3,FALSE)</f>
        <v>27</v>
      </c>
      <c r="O14" s="34" t="str">
        <f>VLOOKUP(E14,Sales_Reps!$A$2:$E$31,3,FALSE)</f>
        <v>North</v>
      </c>
      <c r="P14" s="13" t="s">
        <v>139</v>
      </c>
      <c r="Q14" s="34">
        <f t="shared" si="0"/>
        <v>589026.2899999998</v>
      </c>
      <c r="R14" s="34" t="str">
        <f>VLOOKUP(E14,Sales_Reps!$A$2:$E$100,3,FALSE)</f>
        <v>North</v>
      </c>
      <c r="S14" s="34" t="str">
        <f t="shared" si="1"/>
        <v>Electronics</v>
      </c>
      <c r="T14" s="38">
        <f>VLOOKUP(D14,Products!$A$2:$F$68,4,FALSE)</f>
        <v>1052</v>
      </c>
      <c r="V14" s="13" t="s">
        <v>154</v>
      </c>
      <c r="W14" s="44">
        <f t="shared" si="2"/>
        <v>983787.4800000001</v>
      </c>
      <c r="X14" s="44">
        <f t="shared" si="3"/>
        <v>8</v>
      </c>
      <c r="AA14">
        <f>SUMIFS($I$2:$I$2001,$B$2:$B$2001,"&lt;="&amp;DATE(2024,8,31))</f>
        <v>18050689.600000005</v>
      </c>
    </row>
    <row r="15" spans="1:42" x14ac:dyDescent="0.35">
      <c r="A15" s="13" t="s">
        <v>141</v>
      </c>
      <c r="B15" s="14">
        <v>45466</v>
      </c>
      <c r="C15" s="13" t="s">
        <v>142</v>
      </c>
      <c r="D15" s="13" t="s">
        <v>143</v>
      </c>
      <c r="E15" s="13" t="s">
        <v>111</v>
      </c>
      <c r="F15" s="15">
        <v>3</v>
      </c>
      <c r="G15" s="15">
        <v>3250</v>
      </c>
      <c r="H15" s="15">
        <v>14.1</v>
      </c>
      <c r="I15" s="15">
        <v>8375.25</v>
      </c>
      <c r="J15" s="13" t="s">
        <v>144</v>
      </c>
      <c r="K15" s="13" t="s">
        <v>88</v>
      </c>
      <c r="L15" s="34" t="str">
        <f>VLOOKUP(D15,Products!$A$2:$F$61,3,FALSE)</f>
        <v>Home</v>
      </c>
      <c r="M15" s="34" t="str">
        <f>VLOOKUP(C15,Customers!$A$2:$F$301,5,FALSE)</f>
        <v>SMB</v>
      </c>
      <c r="N15" s="34">
        <f>VLOOKUP(C15,Customers!$A$2:$F$301,3,FALSE)</f>
        <v>39</v>
      </c>
      <c r="O15" s="34" t="str">
        <f>VLOOKUP(E15,Sales_Reps!$A$2:$E$31,3,FALSE)</f>
        <v>West</v>
      </c>
      <c r="P15" s="13" t="s">
        <v>111</v>
      </c>
      <c r="Q15" s="34">
        <f t="shared" si="0"/>
        <v>901298.89</v>
      </c>
      <c r="R15" s="34" t="str">
        <f>VLOOKUP(E15,Sales_Reps!$A$2:$E$100,3,FALSE)</f>
        <v>West</v>
      </c>
      <c r="S15" s="34" t="str">
        <f t="shared" si="1"/>
        <v>Home</v>
      </c>
      <c r="T15" s="38">
        <f>VLOOKUP(D15,Products!$A$2:$F$68,4,FALSE)</f>
        <v>1556</v>
      </c>
      <c r="V15" s="13" t="s">
        <v>158</v>
      </c>
      <c r="W15" s="44">
        <f t="shared" si="2"/>
        <v>761507.17000000027</v>
      </c>
      <c r="X15" s="44">
        <f t="shared" si="3"/>
        <v>26</v>
      </c>
    </row>
    <row r="16" spans="1:42" x14ac:dyDescent="0.35">
      <c r="A16" s="13" t="s">
        <v>145</v>
      </c>
      <c r="B16" s="14">
        <v>45365</v>
      </c>
      <c r="C16" s="13" t="s">
        <v>146</v>
      </c>
      <c r="D16" s="13" t="s">
        <v>147</v>
      </c>
      <c r="E16" s="13" t="s">
        <v>148</v>
      </c>
      <c r="F16" s="15">
        <v>1</v>
      </c>
      <c r="G16" s="15">
        <v>190</v>
      </c>
      <c r="H16" s="15">
        <v>20.7</v>
      </c>
      <c r="I16" s="15">
        <v>150.66999999999999</v>
      </c>
      <c r="J16" s="13" t="s">
        <v>87</v>
      </c>
      <c r="K16" s="13" t="s">
        <v>88</v>
      </c>
      <c r="L16" s="34" t="str">
        <f>VLOOKUP(D16,Products!$A$2:$F$61,3,FALSE)</f>
        <v>Sports</v>
      </c>
      <c r="M16" s="34" t="str">
        <f>VLOOKUP(C16,Customers!$A$2:$F$301,5,FALSE)</f>
        <v>Retail</v>
      </c>
      <c r="N16" s="34">
        <f>VLOOKUP(C16,Customers!$A$2:$F$301,3,FALSE)</f>
        <v>38</v>
      </c>
      <c r="O16" s="34" t="str">
        <f>VLOOKUP(E16,Sales_Reps!$A$2:$E$31,3,FALSE)</f>
        <v>North</v>
      </c>
      <c r="P16" s="13" t="s">
        <v>148</v>
      </c>
      <c r="Q16" s="34">
        <f t="shared" si="0"/>
        <v>986692.91</v>
      </c>
      <c r="R16" s="34" t="str">
        <f>VLOOKUP(E16,Sales_Reps!$A$2:$E$100,3,FALSE)</f>
        <v>North</v>
      </c>
      <c r="S16" s="34" t="str">
        <f t="shared" si="1"/>
        <v>Sports</v>
      </c>
      <c r="T16" s="38">
        <f>VLOOKUP(D16,Products!$A$2:$F$68,4,FALSE)</f>
        <v>147</v>
      </c>
      <c r="V16" s="13" t="s">
        <v>170</v>
      </c>
      <c r="W16" s="44">
        <f t="shared" si="2"/>
        <v>747624.36999999988</v>
      </c>
      <c r="X16" s="44">
        <f t="shared" si="3"/>
        <v>27</v>
      </c>
      <c r="AA16">
        <f>SUMIFS($I$2:$I$2001,$B$2:$B$2001,"&lt;="&amp;DATE(2024,8,31))</f>
        <v>18050689.600000005</v>
      </c>
    </row>
    <row r="17" spans="1:24" x14ac:dyDescent="0.35">
      <c r="A17" s="13" t="s">
        <v>149</v>
      </c>
      <c r="B17" s="14">
        <v>45546</v>
      </c>
      <c r="C17" s="13" t="s">
        <v>150</v>
      </c>
      <c r="D17" s="13" t="s">
        <v>151</v>
      </c>
      <c r="E17" s="13" t="s">
        <v>98</v>
      </c>
      <c r="F17" s="15">
        <v>7</v>
      </c>
      <c r="G17" s="15">
        <v>2400</v>
      </c>
      <c r="H17" s="15">
        <v>10.199999999999999</v>
      </c>
      <c r="I17" s="15">
        <v>15086.4</v>
      </c>
      <c r="J17" s="13" t="s">
        <v>93</v>
      </c>
      <c r="K17" s="13" t="s">
        <v>88</v>
      </c>
      <c r="L17" s="34" t="str">
        <f>VLOOKUP(D17,Products!$A$2:$F$61,3,FALSE)</f>
        <v>Sports</v>
      </c>
      <c r="M17" s="34" t="str">
        <f>VLOOKUP(C17,Customers!$A$2:$F$301,5,FALSE)</f>
        <v>Retail</v>
      </c>
      <c r="N17" s="34">
        <f>VLOOKUP(C17,Customers!$A$2:$F$301,3,FALSE)</f>
        <v>63</v>
      </c>
      <c r="O17" s="34" t="str">
        <f>VLOOKUP(E17,Sales_Reps!$A$2:$E$31,3,FALSE)</f>
        <v>South</v>
      </c>
      <c r="P17" s="13" t="s">
        <v>98</v>
      </c>
      <c r="Q17" s="34">
        <f t="shared" si="0"/>
        <v>995713.54000000015</v>
      </c>
      <c r="R17" s="34" t="str">
        <f>VLOOKUP(E17,Sales_Reps!$A$2:$E$100,3,FALSE)</f>
        <v>South</v>
      </c>
      <c r="S17" s="34" t="str">
        <f t="shared" si="1"/>
        <v>Sports</v>
      </c>
      <c r="T17" s="38">
        <f>VLOOKUP(D17,Products!$A$2:$F$68,4,FALSE)</f>
        <v>974</v>
      </c>
      <c r="V17" s="13" t="s">
        <v>188</v>
      </c>
      <c r="W17" s="44">
        <f t="shared" si="2"/>
        <v>1091740.1799999997</v>
      </c>
      <c r="X17" s="44">
        <f t="shared" si="3"/>
        <v>3</v>
      </c>
    </row>
    <row r="18" spans="1:24" x14ac:dyDescent="0.35">
      <c r="A18" s="13" t="s">
        <v>152</v>
      </c>
      <c r="B18" s="14">
        <v>45512</v>
      </c>
      <c r="C18" s="13" t="s">
        <v>153</v>
      </c>
      <c r="D18" s="13" t="s">
        <v>102</v>
      </c>
      <c r="E18" s="13" t="s">
        <v>154</v>
      </c>
      <c r="F18" s="15">
        <v>4</v>
      </c>
      <c r="G18" s="15">
        <v>3660</v>
      </c>
      <c r="H18" s="15">
        <v>2.6</v>
      </c>
      <c r="I18" s="15">
        <v>14259.36</v>
      </c>
      <c r="J18" s="13" t="s">
        <v>87</v>
      </c>
      <c r="K18" s="13" t="s">
        <v>117</v>
      </c>
      <c r="L18" s="34" t="str">
        <f>VLOOKUP(D18,Products!$A$2:$F$61,3,FALSE)</f>
        <v>Grocery</v>
      </c>
      <c r="M18" s="34" t="str">
        <f>VLOOKUP(C18,Customers!$A$2:$F$301,5,FALSE)</f>
        <v>SMB</v>
      </c>
      <c r="N18" s="34">
        <f>VLOOKUP(C18,Customers!$A$2:$F$301,3,FALSE)</f>
        <v>46</v>
      </c>
      <c r="O18" s="34" t="str">
        <f>VLOOKUP(E18,Sales_Reps!$A$2:$E$31,3,FALSE)</f>
        <v>East</v>
      </c>
      <c r="P18" s="13" t="s">
        <v>154</v>
      </c>
      <c r="Q18" s="34">
        <f t="shared" si="0"/>
        <v>983787.4800000001</v>
      </c>
      <c r="R18" s="34" t="str">
        <f>VLOOKUP(E18,Sales_Reps!$A$2:$E$100,3,FALSE)</f>
        <v>East</v>
      </c>
      <c r="S18" s="34" t="str">
        <f t="shared" si="1"/>
        <v>Grocery</v>
      </c>
      <c r="T18" s="38">
        <f>VLOOKUP(D18,Products!$A$2:$F$68,4,FALSE)</f>
        <v>2214</v>
      </c>
      <c r="V18" s="13" t="s">
        <v>192</v>
      </c>
      <c r="W18" s="44">
        <f t="shared" si="2"/>
        <v>906107.71000000008</v>
      </c>
      <c r="X18" s="44">
        <f t="shared" si="3"/>
        <v>13</v>
      </c>
    </row>
    <row r="19" spans="1:24" x14ac:dyDescent="0.35">
      <c r="A19" s="13" t="s">
        <v>155</v>
      </c>
      <c r="B19" s="14">
        <v>45654</v>
      </c>
      <c r="C19" s="13" t="s">
        <v>156</v>
      </c>
      <c r="D19" s="13" t="s">
        <v>157</v>
      </c>
      <c r="E19" s="13" t="s">
        <v>158</v>
      </c>
      <c r="F19" s="15">
        <v>8</v>
      </c>
      <c r="G19" s="15">
        <v>3450</v>
      </c>
      <c r="H19" s="15">
        <v>18.5</v>
      </c>
      <c r="I19" s="15">
        <v>22494</v>
      </c>
      <c r="J19" s="13" t="s">
        <v>87</v>
      </c>
      <c r="K19" s="13" t="s">
        <v>133</v>
      </c>
      <c r="L19" s="34" t="str">
        <f>VLOOKUP(D19,Products!$A$2:$F$61,3,FALSE)</f>
        <v>Beauty</v>
      </c>
      <c r="M19" s="34" t="str">
        <f>VLOOKUP(C19,Customers!$A$2:$F$301,5,FALSE)</f>
        <v>Corporate</v>
      </c>
      <c r="N19" s="34">
        <f>VLOOKUP(C19,Customers!$A$2:$F$301,3,FALSE)</f>
        <v>32</v>
      </c>
      <c r="O19" s="34" t="str">
        <f>VLOOKUP(E19,Sales_Reps!$A$2:$E$31,3,FALSE)</f>
        <v>East</v>
      </c>
      <c r="P19" s="13" t="s">
        <v>158</v>
      </c>
      <c r="Q19" s="34">
        <f t="shared" si="0"/>
        <v>761507.17000000027</v>
      </c>
      <c r="R19" s="34" t="str">
        <f>VLOOKUP(E19,Sales_Reps!$A$2:$E$100,3,FALSE)</f>
        <v>East</v>
      </c>
      <c r="S19" s="34" t="str">
        <f t="shared" si="1"/>
        <v>Beauty</v>
      </c>
      <c r="T19" s="38">
        <f>VLOOKUP(D19,Products!$A$2:$F$68,4,FALSE)</f>
        <v>2420</v>
      </c>
      <c r="V19" s="13" t="s">
        <v>201</v>
      </c>
      <c r="W19" s="44">
        <f t="shared" si="2"/>
        <v>576305.08000000019</v>
      </c>
      <c r="X19" s="44">
        <f t="shared" si="3"/>
        <v>30</v>
      </c>
    </row>
    <row r="20" spans="1:24" x14ac:dyDescent="0.35">
      <c r="A20" s="13" t="s">
        <v>159</v>
      </c>
      <c r="B20" s="14">
        <v>45626</v>
      </c>
      <c r="C20" s="13" t="s">
        <v>160</v>
      </c>
      <c r="D20" s="13" t="s">
        <v>161</v>
      </c>
      <c r="E20" s="13" t="s">
        <v>154</v>
      </c>
      <c r="F20" s="15">
        <v>5</v>
      </c>
      <c r="G20" s="15">
        <v>3450</v>
      </c>
      <c r="H20" s="15">
        <v>7.3</v>
      </c>
      <c r="I20" s="15">
        <v>15990.75</v>
      </c>
      <c r="J20" s="13" t="s">
        <v>87</v>
      </c>
      <c r="K20" s="13" t="s">
        <v>112</v>
      </c>
      <c r="L20" s="34" t="str">
        <f>VLOOKUP(D20,Products!$A$2:$F$61,3,FALSE)</f>
        <v>Sports</v>
      </c>
      <c r="M20" s="34" t="str">
        <f>VLOOKUP(C20,Customers!$A$2:$F$301,5,FALSE)</f>
        <v>Retail</v>
      </c>
      <c r="N20" s="34">
        <f>VLOOKUP(C20,Customers!$A$2:$F$301,3,FALSE)</f>
        <v>54</v>
      </c>
      <c r="O20" s="34" t="str">
        <f>VLOOKUP(E20,Sales_Reps!$A$2:$E$31,3,FALSE)</f>
        <v>East</v>
      </c>
      <c r="P20" s="13" t="s">
        <v>154</v>
      </c>
      <c r="Q20" s="34">
        <f t="shared" si="0"/>
        <v>983787.4800000001</v>
      </c>
      <c r="R20" s="34" t="str">
        <f>VLOOKUP(E20,Sales_Reps!$A$2:$E$100,3,FALSE)</f>
        <v>East</v>
      </c>
      <c r="S20" s="34" t="str">
        <f t="shared" si="1"/>
        <v>Sports</v>
      </c>
      <c r="T20" s="38">
        <f>VLOOKUP(D20,Products!$A$2:$F$68,4,FALSE)</f>
        <v>2467</v>
      </c>
      <c r="V20" s="13" t="s">
        <v>204</v>
      </c>
      <c r="W20" s="44">
        <f t="shared" si="2"/>
        <v>914554.71999999986</v>
      </c>
      <c r="X20" s="44">
        <f t="shared" si="3"/>
        <v>12</v>
      </c>
    </row>
    <row r="21" spans="1:24" x14ac:dyDescent="0.35">
      <c r="A21" s="13" t="s">
        <v>162</v>
      </c>
      <c r="B21" s="14">
        <v>45394</v>
      </c>
      <c r="C21" s="13" t="s">
        <v>163</v>
      </c>
      <c r="D21" s="13" t="s">
        <v>164</v>
      </c>
      <c r="E21" s="13" t="s">
        <v>154</v>
      </c>
      <c r="F21" s="15">
        <v>8</v>
      </c>
      <c r="G21" s="15">
        <v>1080</v>
      </c>
      <c r="H21" s="15">
        <v>2.2000000000000002</v>
      </c>
      <c r="I21" s="15">
        <v>8449.92</v>
      </c>
      <c r="J21" s="13" t="s">
        <v>87</v>
      </c>
      <c r="K21" s="13" t="s">
        <v>94</v>
      </c>
      <c r="L21" s="34" t="str">
        <f>VLOOKUP(D21,Products!$A$2:$F$61,3,FALSE)</f>
        <v>Home</v>
      </c>
      <c r="M21" s="34" t="str">
        <f>VLOOKUP(C21,Customers!$A$2:$F$301,5,FALSE)</f>
        <v>Retail</v>
      </c>
      <c r="N21" s="34">
        <f>VLOOKUP(C21,Customers!$A$2:$F$301,3,FALSE)</f>
        <v>49</v>
      </c>
      <c r="O21" s="34" t="str">
        <f>VLOOKUP(E21,Sales_Reps!$A$2:$E$31,3,FALSE)</f>
        <v>East</v>
      </c>
      <c r="P21" s="13" t="s">
        <v>154</v>
      </c>
      <c r="Q21" s="34">
        <f t="shared" si="0"/>
        <v>983787.4800000001</v>
      </c>
      <c r="R21" s="34" t="str">
        <f>VLOOKUP(E21,Sales_Reps!$A$2:$E$100,3,FALSE)</f>
        <v>East</v>
      </c>
      <c r="S21" s="34" t="str">
        <f t="shared" si="1"/>
        <v>Home</v>
      </c>
      <c r="T21" s="38">
        <f>VLOOKUP(D21,Products!$A$2:$F$68,4,FALSE)</f>
        <v>519</v>
      </c>
      <c r="V21" s="13" t="s">
        <v>215</v>
      </c>
      <c r="W21" s="44">
        <f t="shared" si="2"/>
        <v>789849.60000000009</v>
      </c>
      <c r="X21" s="44">
        <f t="shared" si="3"/>
        <v>23</v>
      </c>
    </row>
    <row r="22" spans="1:24" x14ac:dyDescent="0.35">
      <c r="A22" s="13" t="s">
        <v>165</v>
      </c>
      <c r="B22" s="14">
        <v>45470</v>
      </c>
      <c r="C22" s="13" t="s">
        <v>166</v>
      </c>
      <c r="D22" s="13" t="s">
        <v>167</v>
      </c>
      <c r="E22" s="13" t="s">
        <v>103</v>
      </c>
      <c r="F22" s="15">
        <v>7</v>
      </c>
      <c r="G22" s="15">
        <v>2480</v>
      </c>
      <c r="H22" s="15">
        <v>28.7</v>
      </c>
      <c r="I22" s="15">
        <v>12377.68</v>
      </c>
      <c r="J22" s="13" t="s">
        <v>87</v>
      </c>
      <c r="K22" s="13" t="s">
        <v>133</v>
      </c>
      <c r="L22" s="34" t="str">
        <f>VLOOKUP(D22,Products!$A$2:$F$61,3,FALSE)</f>
        <v>Apparel</v>
      </c>
      <c r="M22" s="34" t="str">
        <f>VLOOKUP(C22,Customers!$A$2:$F$301,5,FALSE)</f>
        <v>Retail</v>
      </c>
      <c r="N22" s="34">
        <f>VLOOKUP(C22,Customers!$A$2:$F$301,3,FALSE)</f>
        <v>32</v>
      </c>
      <c r="O22" s="34" t="str">
        <f>VLOOKUP(E22,Sales_Reps!$A$2:$E$31,3,FALSE)</f>
        <v>North</v>
      </c>
      <c r="P22" s="13" t="s">
        <v>103</v>
      </c>
      <c r="Q22" s="34">
        <f t="shared" si="0"/>
        <v>1138648.73</v>
      </c>
      <c r="R22" s="34" t="str">
        <f>VLOOKUP(E22,Sales_Reps!$A$2:$E$100,3,FALSE)</f>
        <v>North</v>
      </c>
      <c r="S22" s="34" t="str">
        <f t="shared" si="1"/>
        <v>Apparel</v>
      </c>
      <c r="T22" s="38">
        <f>VLOOKUP(D22,Products!$A$2:$F$68,4,FALSE)</f>
        <v>1173</v>
      </c>
      <c r="V22" s="13" t="s">
        <v>229</v>
      </c>
      <c r="W22" s="44">
        <f t="shared" si="2"/>
        <v>1016696.8000000002</v>
      </c>
      <c r="X22" s="44">
        <f t="shared" si="3"/>
        <v>5</v>
      </c>
    </row>
    <row r="23" spans="1:24" x14ac:dyDescent="0.35">
      <c r="A23" s="13" t="s">
        <v>168</v>
      </c>
      <c r="B23" s="14">
        <v>45354</v>
      </c>
      <c r="C23" s="13" t="s">
        <v>169</v>
      </c>
      <c r="D23" s="13" t="s">
        <v>143</v>
      </c>
      <c r="E23" s="13" t="s">
        <v>170</v>
      </c>
      <c r="F23" s="15">
        <v>4</v>
      </c>
      <c r="G23" s="15">
        <v>3250</v>
      </c>
      <c r="H23" s="15">
        <v>24.6</v>
      </c>
      <c r="I23" s="15">
        <v>9802</v>
      </c>
      <c r="J23" s="13" t="s">
        <v>87</v>
      </c>
      <c r="K23" s="13" t="s">
        <v>112</v>
      </c>
      <c r="L23" s="34" t="str">
        <f>VLOOKUP(D23,Products!$A$2:$F$61,3,FALSE)</f>
        <v>Home</v>
      </c>
      <c r="M23" s="34" t="str">
        <f>VLOOKUP(C23,Customers!$A$2:$F$301,5,FALSE)</f>
        <v>Retail</v>
      </c>
      <c r="N23" s="34">
        <f>VLOOKUP(C23,Customers!$A$2:$F$301,3,FALSE)</f>
        <v>34</v>
      </c>
      <c r="O23" s="34" t="str">
        <f>VLOOKUP(E23,Sales_Reps!$A$2:$E$31,3,FALSE)</f>
        <v>West</v>
      </c>
      <c r="P23" s="13" t="s">
        <v>170</v>
      </c>
      <c r="Q23" s="34">
        <f t="shared" si="0"/>
        <v>747624.36999999988</v>
      </c>
      <c r="R23" s="34" t="str">
        <f>VLOOKUP(E23,Sales_Reps!$A$2:$E$100,3,FALSE)</f>
        <v>West</v>
      </c>
      <c r="S23" s="34" t="str">
        <f t="shared" si="1"/>
        <v>Home</v>
      </c>
      <c r="T23" s="38">
        <f>VLOOKUP(D23,Products!$A$2:$F$68,4,FALSE)</f>
        <v>1556</v>
      </c>
      <c r="V23" s="13" t="s">
        <v>238</v>
      </c>
      <c r="W23" s="44">
        <f t="shared" si="2"/>
        <v>780384.40999999992</v>
      </c>
      <c r="X23" s="44">
        <f t="shared" si="3"/>
        <v>25</v>
      </c>
    </row>
    <row r="24" spans="1:24" x14ac:dyDescent="0.35">
      <c r="A24" s="13" t="s">
        <v>171</v>
      </c>
      <c r="B24" s="14">
        <v>45530</v>
      </c>
      <c r="C24" s="13" t="s">
        <v>172</v>
      </c>
      <c r="D24" s="13" t="s">
        <v>173</v>
      </c>
      <c r="E24" s="13" t="s">
        <v>170</v>
      </c>
      <c r="F24" s="15">
        <v>9</v>
      </c>
      <c r="G24" s="15">
        <v>2720</v>
      </c>
      <c r="H24" s="15">
        <v>26.2</v>
      </c>
      <c r="I24" s="15">
        <v>18066.240000000002</v>
      </c>
      <c r="J24" s="13" t="s">
        <v>87</v>
      </c>
      <c r="K24" s="13" t="s">
        <v>88</v>
      </c>
      <c r="L24" s="34" t="str">
        <f>VLOOKUP(D24,Products!$A$2:$F$61,3,FALSE)</f>
        <v>Apparel</v>
      </c>
      <c r="M24" s="34" t="str">
        <f>VLOOKUP(C24,Customers!$A$2:$F$301,5,FALSE)</f>
        <v>Retail</v>
      </c>
      <c r="N24" s="34">
        <f>VLOOKUP(C24,Customers!$A$2:$F$301,3,FALSE)</f>
        <v>50</v>
      </c>
      <c r="O24" s="34" t="str">
        <f>VLOOKUP(E24,Sales_Reps!$A$2:$E$31,3,FALSE)</f>
        <v>West</v>
      </c>
      <c r="P24" s="13" t="s">
        <v>170</v>
      </c>
      <c r="Q24" s="34">
        <f t="shared" si="0"/>
        <v>747624.36999999988</v>
      </c>
      <c r="R24" s="34" t="str">
        <f>VLOOKUP(E24,Sales_Reps!$A$2:$E$100,3,FALSE)</f>
        <v>West</v>
      </c>
      <c r="S24" s="34" t="str">
        <f t="shared" si="1"/>
        <v>Apparel</v>
      </c>
      <c r="T24" s="38">
        <f>VLOOKUP(D24,Products!$A$2:$F$68,4,FALSE)</f>
        <v>1962</v>
      </c>
      <c r="V24" s="13" t="s">
        <v>252</v>
      </c>
      <c r="W24" s="44">
        <f t="shared" si="2"/>
        <v>811524.37999999989</v>
      </c>
      <c r="X24" s="44">
        <f t="shared" si="3"/>
        <v>22</v>
      </c>
    </row>
    <row r="25" spans="1:24" x14ac:dyDescent="0.35">
      <c r="A25" s="13" t="s">
        <v>174</v>
      </c>
      <c r="B25" s="14">
        <v>45472</v>
      </c>
      <c r="C25" s="13" t="s">
        <v>175</v>
      </c>
      <c r="D25" s="13" t="s">
        <v>176</v>
      </c>
      <c r="E25" s="13" t="s">
        <v>148</v>
      </c>
      <c r="F25" s="15">
        <v>2</v>
      </c>
      <c r="G25" s="15">
        <v>1650</v>
      </c>
      <c r="H25" s="15">
        <v>9.4</v>
      </c>
      <c r="I25" s="15">
        <v>2989.8</v>
      </c>
      <c r="J25" s="13" t="s">
        <v>87</v>
      </c>
      <c r="K25" s="13" t="s">
        <v>133</v>
      </c>
      <c r="L25" s="34" t="str">
        <f>VLOOKUP(D25,Products!$A$2:$F$61,3,FALSE)</f>
        <v>Beauty</v>
      </c>
      <c r="M25" s="34" t="str">
        <f>VLOOKUP(C25,Customers!$A$2:$F$301,5,FALSE)</f>
        <v>SMB</v>
      </c>
      <c r="N25" s="34">
        <f>VLOOKUP(C25,Customers!$A$2:$F$301,3,FALSE)</f>
        <v>40</v>
      </c>
      <c r="O25" s="34" t="str">
        <f>VLOOKUP(E25,Sales_Reps!$A$2:$E$31,3,FALSE)</f>
        <v>North</v>
      </c>
      <c r="P25" s="13" t="s">
        <v>148</v>
      </c>
      <c r="Q25" s="34">
        <f t="shared" si="0"/>
        <v>986692.91</v>
      </c>
      <c r="R25" s="34" t="str">
        <f>VLOOKUP(E25,Sales_Reps!$A$2:$E$100,3,FALSE)</f>
        <v>North</v>
      </c>
      <c r="S25" s="34" t="str">
        <f t="shared" si="1"/>
        <v>Beauty</v>
      </c>
      <c r="T25" s="38">
        <f>VLOOKUP(D25,Products!$A$2:$F$68,4,FALSE)</f>
        <v>1222</v>
      </c>
      <c r="V25" s="13" t="s">
        <v>273</v>
      </c>
      <c r="W25" s="44">
        <f t="shared" si="2"/>
        <v>735207.75999999989</v>
      </c>
      <c r="X25" s="44">
        <f t="shared" si="3"/>
        <v>28</v>
      </c>
    </row>
    <row r="26" spans="1:24" x14ac:dyDescent="0.35">
      <c r="A26" s="13" t="s">
        <v>177</v>
      </c>
      <c r="B26" s="14">
        <v>45394</v>
      </c>
      <c r="C26" s="13" t="s">
        <v>178</v>
      </c>
      <c r="D26" s="13" t="s">
        <v>179</v>
      </c>
      <c r="E26" s="13" t="s">
        <v>154</v>
      </c>
      <c r="F26" s="15">
        <v>6</v>
      </c>
      <c r="G26" s="15">
        <v>3350</v>
      </c>
      <c r="H26" s="15">
        <v>6.1</v>
      </c>
      <c r="I26" s="15">
        <v>18873.900000000001</v>
      </c>
      <c r="J26" s="13" t="s">
        <v>93</v>
      </c>
      <c r="K26" s="13" t="s">
        <v>94</v>
      </c>
      <c r="L26" s="34" t="str">
        <f>VLOOKUP(D26,Products!$A$2:$F$61,3,FALSE)</f>
        <v>Beauty</v>
      </c>
      <c r="M26" s="34" t="str">
        <f>VLOOKUP(C26,Customers!$A$2:$F$301,5,FALSE)</f>
        <v>Corporate</v>
      </c>
      <c r="N26" s="34">
        <f>VLOOKUP(C26,Customers!$A$2:$F$301,3,FALSE)</f>
        <v>55</v>
      </c>
      <c r="O26" s="34" t="str">
        <f>VLOOKUP(E26,Sales_Reps!$A$2:$E$31,3,FALSE)</f>
        <v>East</v>
      </c>
      <c r="P26" s="13" t="s">
        <v>154</v>
      </c>
      <c r="Q26" s="34">
        <f t="shared" si="0"/>
        <v>983787.4800000001</v>
      </c>
      <c r="R26" s="34" t="str">
        <f>VLOOKUP(E26,Sales_Reps!$A$2:$E$100,3,FALSE)</f>
        <v>East</v>
      </c>
      <c r="S26" s="34" t="str">
        <f t="shared" si="1"/>
        <v>Beauty</v>
      </c>
      <c r="T26" s="38">
        <f>VLOOKUP(D26,Products!$A$2:$F$68,4,FALSE)</f>
        <v>1728</v>
      </c>
      <c r="V26" s="13" t="s">
        <v>285</v>
      </c>
      <c r="W26" s="44">
        <f t="shared" si="2"/>
        <v>1069570.5400000003</v>
      </c>
      <c r="X26" s="44">
        <f t="shared" si="3"/>
        <v>4</v>
      </c>
    </row>
    <row r="27" spans="1:24" x14ac:dyDescent="0.35">
      <c r="A27" s="13" t="s">
        <v>180</v>
      </c>
      <c r="B27" s="14">
        <v>45570</v>
      </c>
      <c r="C27" s="13" t="s">
        <v>181</v>
      </c>
      <c r="D27" s="13" t="s">
        <v>182</v>
      </c>
      <c r="E27" s="13" t="s">
        <v>121</v>
      </c>
      <c r="F27" s="15">
        <v>2</v>
      </c>
      <c r="G27" s="15">
        <v>1010</v>
      </c>
      <c r="H27" s="15">
        <v>16.5</v>
      </c>
      <c r="I27" s="15">
        <v>1686.7</v>
      </c>
      <c r="J27" s="13" t="s">
        <v>140</v>
      </c>
      <c r="K27" s="13" t="s">
        <v>99</v>
      </c>
      <c r="L27" s="34" t="str">
        <f>VLOOKUP(D27,Products!$A$2:$F$61,3,FALSE)</f>
        <v>Sports</v>
      </c>
      <c r="M27" s="34" t="str">
        <f>VLOOKUP(C27,Customers!$A$2:$F$301,5,FALSE)</f>
        <v>Retail</v>
      </c>
      <c r="N27" s="34">
        <f>VLOOKUP(C27,Customers!$A$2:$F$301,3,FALSE)</f>
        <v>31</v>
      </c>
      <c r="O27" s="34" t="str">
        <f>VLOOKUP(E27,Sales_Reps!$A$2:$E$31,3,FALSE)</f>
        <v>East</v>
      </c>
      <c r="P27" s="13" t="s">
        <v>121</v>
      </c>
      <c r="Q27" s="34">
        <f t="shared" si="0"/>
        <v>971183.52000000014</v>
      </c>
      <c r="R27" s="34" t="str">
        <f>VLOOKUP(E27,Sales_Reps!$A$2:$E$100,3,FALSE)</f>
        <v>East</v>
      </c>
      <c r="S27" s="34" t="str">
        <f t="shared" si="1"/>
        <v>Sports</v>
      </c>
      <c r="T27" s="38">
        <f>VLOOKUP(D27,Products!$A$2:$F$68,4,FALSE)</f>
        <v>516</v>
      </c>
      <c r="V27" s="13" t="s">
        <v>297</v>
      </c>
      <c r="W27" s="44">
        <f t="shared" si="2"/>
        <v>980063.65999999968</v>
      </c>
      <c r="X27" s="44">
        <f t="shared" si="3"/>
        <v>9</v>
      </c>
    </row>
    <row r="28" spans="1:24" x14ac:dyDescent="0.35">
      <c r="A28" s="13" t="s">
        <v>183</v>
      </c>
      <c r="B28" s="14">
        <v>45401</v>
      </c>
      <c r="C28" s="13" t="s">
        <v>96</v>
      </c>
      <c r="D28" s="13" t="s">
        <v>184</v>
      </c>
      <c r="E28" s="13" t="s">
        <v>103</v>
      </c>
      <c r="F28" s="15">
        <v>5</v>
      </c>
      <c r="G28" s="15">
        <v>4880</v>
      </c>
      <c r="H28" s="15">
        <v>23.6</v>
      </c>
      <c r="I28" s="15">
        <v>18641.599999999999</v>
      </c>
      <c r="J28" s="13" t="s">
        <v>87</v>
      </c>
      <c r="K28" s="13" t="s">
        <v>99</v>
      </c>
      <c r="L28" s="34" t="str">
        <f>VLOOKUP(D28,Products!$A$2:$F$61,3,FALSE)</f>
        <v>Beauty</v>
      </c>
      <c r="M28" s="34" t="str">
        <f>VLOOKUP(C28,Customers!$A$2:$F$301,5,FALSE)</f>
        <v>Retail</v>
      </c>
      <c r="N28" s="34">
        <f>VLOOKUP(C28,Customers!$A$2:$F$301,3,FALSE)</f>
        <v>52</v>
      </c>
      <c r="O28" s="34" t="str">
        <f>VLOOKUP(E28,Sales_Reps!$A$2:$E$31,3,FALSE)</f>
        <v>North</v>
      </c>
      <c r="P28" s="13" t="s">
        <v>103</v>
      </c>
      <c r="Q28" s="34">
        <f t="shared" si="0"/>
        <v>1138648.73</v>
      </c>
      <c r="R28" s="34" t="str">
        <f>VLOOKUP(E28,Sales_Reps!$A$2:$E$100,3,FALSE)</f>
        <v>North</v>
      </c>
      <c r="S28" s="34" t="str">
        <f t="shared" si="1"/>
        <v>Beauty</v>
      </c>
      <c r="T28" s="38">
        <f>VLOOKUP(D28,Products!$A$2:$F$68,4,FALSE)</f>
        <v>2768</v>
      </c>
      <c r="V28" s="13" t="s">
        <v>303</v>
      </c>
      <c r="W28" s="44">
        <f t="shared" si="2"/>
        <v>1112289.6400000001</v>
      </c>
      <c r="X28" s="44">
        <f t="shared" si="3"/>
        <v>2</v>
      </c>
    </row>
    <row r="29" spans="1:24" x14ac:dyDescent="0.35">
      <c r="A29" s="13" t="s">
        <v>185</v>
      </c>
      <c r="B29" s="14">
        <v>45517</v>
      </c>
      <c r="C29" s="13" t="s">
        <v>186</v>
      </c>
      <c r="D29" s="13" t="s">
        <v>187</v>
      </c>
      <c r="E29" s="13" t="s">
        <v>188</v>
      </c>
      <c r="F29" s="15">
        <v>7</v>
      </c>
      <c r="G29" s="15">
        <v>3570</v>
      </c>
      <c r="H29" s="15">
        <v>5.8</v>
      </c>
      <c r="I29" s="15">
        <v>23540.58</v>
      </c>
      <c r="J29" s="13" t="s">
        <v>140</v>
      </c>
      <c r="K29" s="13" t="s">
        <v>94</v>
      </c>
      <c r="L29" s="34" t="str">
        <f>VLOOKUP(D29,Products!$A$2:$F$61,3,FALSE)</f>
        <v>Electronics</v>
      </c>
      <c r="M29" s="34" t="str">
        <f>VLOOKUP(C29,Customers!$A$2:$F$301,5,FALSE)</f>
        <v>SMB</v>
      </c>
      <c r="N29" s="34">
        <f>VLOOKUP(C29,Customers!$A$2:$F$301,3,FALSE)</f>
        <v>52</v>
      </c>
      <c r="O29" s="34" t="str">
        <f>VLOOKUP(E29,Sales_Reps!$A$2:$E$31,3,FALSE)</f>
        <v>South</v>
      </c>
      <c r="P29" s="13" t="s">
        <v>188</v>
      </c>
      <c r="Q29" s="34">
        <f t="shared" si="0"/>
        <v>1091740.1799999997</v>
      </c>
      <c r="R29" s="34" t="str">
        <f>VLOOKUP(E29,Sales_Reps!$A$2:$E$100,3,FALSE)</f>
        <v>South</v>
      </c>
      <c r="S29" s="34" t="str">
        <f t="shared" si="1"/>
        <v>Electronics</v>
      </c>
      <c r="T29" s="38">
        <f>VLOOKUP(D29,Products!$A$2:$F$68,4,FALSE)</f>
        <v>1665</v>
      </c>
      <c r="V29" s="13" t="s">
        <v>325</v>
      </c>
      <c r="W29" s="44">
        <f t="shared" si="2"/>
        <v>901394.32000000007</v>
      </c>
      <c r="X29" s="44">
        <f t="shared" si="3"/>
        <v>14</v>
      </c>
    </row>
    <row r="30" spans="1:24" x14ac:dyDescent="0.35">
      <c r="A30" s="13" t="s">
        <v>189</v>
      </c>
      <c r="B30" s="14">
        <v>45363</v>
      </c>
      <c r="C30" s="13" t="s">
        <v>190</v>
      </c>
      <c r="D30" s="13" t="s">
        <v>191</v>
      </c>
      <c r="E30" s="13" t="s">
        <v>192</v>
      </c>
      <c r="F30" s="15">
        <v>9</v>
      </c>
      <c r="G30" s="15">
        <v>5100</v>
      </c>
      <c r="H30" s="15">
        <v>16.7</v>
      </c>
      <c r="I30" s="15">
        <v>38234.699999999997</v>
      </c>
      <c r="J30" s="13" t="s">
        <v>87</v>
      </c>
      <c r="K30" s="13" t="s">
        <v>133</v>
      </c>
      <c r="L30" s="34" t="str">
        <f>VLOOKUP(D30,Products!$A$2:$F$61,3,FALSE)</f>
        <v>Beauty</v>
      </c>
      <c r="M30" s="34" t="str">
        <f>VLOOKUP(C30,Customers!$A$2:$F$301,5,FALSE)</f>
        <v>Corporate</v>
      </c>
      <c r="N30" s="34">
        <f>VLOOKUP(C30,Customers!$A$2:$F$301,3,FALSE)</f>
        <v>56</v>
      </c>
      <c r="O30" s="34" t="str">
        <f>VLOOKUP(E30,Sales_Reps!$A$2:$E$31,3,FALSE)</f>
        <v>East</v>
      </c>
      <c r="P30" s="13" t="s">
        <v>192</v>
      </c>
      <c r="Q30" s="34">
        <f t="shared" si="0"/>
        <v>906107.71000000008</v>
      </c>
      <c r="R30" s="34" t="str">
        <f>VLOOKUP(E30,Sales_Reps!$A$2:$E$100,3,FALSE)</f>
        <v>East</v>
      </c>
      <c r="S30" s="34" t="str">
        <f t="shared" si="1"/>
        <v>Beauty</v>
      </c>
      <c r="T30" s="38">
        <f>VLOOKUP(D30,Products!$A$2:$F$68,4,FALSE)</f>
        <v>2237</v>
      </c>
      <c r="V30" s="13" t="s">
        <v>343</v>
      </c>
      <c r="W30" s="44">
        <f t="shared" si="2"/>
        <v>917092.61999999965</v>
      </c>
      <c r="X30" s="44">
        <f t="shared" si="3"/>
        <v>11</v>
      </c>
    </row>
    <row r="31" spans="1:24" x14ac:dyDescent="0.35">
      <c r="A31" s="13" t="s">
        <v>193</v>
      </c>
      <c r="B31" s="14">
        <v>45367</v>
      </c>
      <c r="C31" s="13" t="s">
        <v>194</v>
      </c>
      <c r="D31" s="13" t="s">
        <v>195</v>
      </c>
      <c r="E31" s="13" t="s">
        <v>92</v>
      </c>
      <c r="F31" s="15">
        <v>3</v>
      </c>
      <c r="G31" s="15">
        <v>2860</v>
      </c>
      <c r="H31" s="15">
        <v>25.8</v>
      </c>
      <c r="I31" s="15">
        <v>6366.36</v>
      </c>
      <c r="J31" s="13" t="s">
        <v>87</v>
      </c>
      <c r="K31" s="13" t="s">
        <v>88</v>
      </c>
      <c r="L31" s="34" t="str">
        <f>VLOOKUP(D31,Products!$A$2:$F$61,3,FALSE)</f>
        <v>Sports</v>
      </c>
      <c r="M31" s="34" t="str">
        <f>VLOOKUP(C31,Customers!$A$2:$F$301,5,FALSE)</f>
        <v>SMB</v>
      </c>
      <c r="N31" s="34">
        <f>VLOOKUP(C31,Customers!$A$2:$F$301,3,FALSE)</f>
        <v>44</v>
      </c>
      <c r="O31" s="34" t="str">
        <f>VLOOKUP(E31,Sales_Reps!$A$2:$E$31,3,FALSE)</f>
        <v>North</v>
      </c>
      <c r="P31" s="13" t="s">
        <v>92</v>
      </c>
      <c r="Q31" s="34">
        <f t="shared" si="0"/>
        <v>782445.33</v>
      </c>
      <c r="R31" s="34" t="str">
        <f>VLOOKUP(E31,Sales_Reps!$A$2:$E$100,3,FALSE)</f>
        <v>North</v>
      </c>
      <c r="S31" s="34" t="str">
        <f t="shared" si="1"/>
        <v>Sports</v>
      </c>
      <c r="T31" s="38">
        <f>VLOOKUP(D31,Products!$A$2:$F$68,4,FALSE)</f>
        <v>2028</v>
      </c>
      <c r="V31" s="13" t="s">
        <v>346</v>
      </c>
      <c r="W31" s="44">
        <f t="shared" si="2"/>
        <v>814563.7100000002</v>
      </c>
      <c r="X31" s="44">
        <f t="shared" si="3"/>
        <v>21</v>
      </c>
    </row>
    <row r="32" spans="1:24" x14ac:dyDescent="0.35">
      <c r="A32" s="13" t="s">
        <v>196</v>
      </c>
      <c r="B32" s="14">
        <v>45569</v>
      </c>
      <c r="C32" s="13" t="s">
        <v>197</v>
      </c>
      <c r="D32" s="13" t="s">
        <v>127</v>
      </c>
      <c r="E32" s="13" t="s">
        <v>103</v>
      </c>
      <c r="F32" s="15">
        <v>7</v>
      </c>
      <c r="G32" s="15">
        <v>970</v>
      </c>
      <c r="H32" s="15">
        <v>29.8</v>
      </c>
      <c r="I32" s="15">
        <v>4766.58</v>
      </c>
      <c r="J32" s="13" t="s">
        <v>87</v>
      </c>
      <c r="K32" s="13" t="s">
        <v>88</v>
      </c>
      <c r="L32" s="34" t="str">
        <f>VLOOKUP(D32,Products!$A$2:$F$61,3,FALSE)</f>
        <v>Grocery</v>
      </c>
      <c r="M32" s="34" t="str">
        <f>VLOOKUP(C32,Customers!$A$2:$F$301,5,FALSE)</f>
        <v>Corporate</v>
      </c>
      <c r="N32" s="34">
        <f>VLOOKUP(C32,Customers!$A$2:$F$301,3,FALSE)</f>
        <v>47</v>
      </c>
      <c r="O32" s="34" t="str">
        <f>VLOOKUP(E32,Sales_Reps!$A$2:$E$31,3,FALSE)</f>
        <v>North</v>
      </c>
      <c r="P32" s="13" t="s">
        <v>103</v>
      </c>
      <c r="Q32" s="34">
        <f t="shared" si="0"/>
        <v>1138648.73</v>
      </c>
      <c r="R32" s="34" t="str">
        <f>VLOOKUP(E32,Sales_Reps!$A$2:$E$100,3,FALSE)</f>
        <v>North</v>
      </c>
      <c r="S32" s="34" t="str">
        <f t="shared" si="1"/>
        <v>Grocery</v>
      </c>
      <c r="T32" s="38">
        <f>VLOOKUP(D32,Products!$A$2:$F$68,4,FALSE)</f>
        <v>434</v>
      </c>
    </row>
    <row r="33" spans="1:26" x14ac:dyDescent="0.35">
      <c r="A33" s="13" t="s">
        <v>198</v>
      </c>
      <c r="B33" s="14">
        <v>45641</v>
      </c>
      <c r="C33" s="13" t="s">
        <v>199</v>
      </c>
      <c r="D33" s="13" t="s">
        <v>200</v>
      </c>
      <c r="E33" s="13" t="s">
        <v>201</v>
      </c>
      <c r="F33" s="15">
        <v>4</v>
      </c>
      <c r="G33" s="15">
        <v>2760</v>
      </c>
      <c r="H33" s="15">
        <v>5.9</v>
      </c>
      <c r="I33" s="15">
        <v>10388.64</v>
      </c>
      <c r="J33" s="13" t="s">
        <v>87</v>
      </c>
      <c r="K33" s="13" t="s">
        <v>133</v>
      </c>
      <c r="L33" s="34" t="str">
        <f>VLOOKUP(D33,Products!$A$2:$F$61,3,FALSE)</f>
        <v>Grocery</v>
      </c>
      <c r="M33" s="34" t="str">
        <f>VLOOKUP(C33,Customers!$A$2:$F$301,5,FALSE)</f>
        <v>Retail</v>
      </c>
      <c r="N33" s="34">
        <f>VLOOKUP(C33,Customers!$A$2:$F$301,3,FALSE)</f>
        <v>53</v>
      </c>
      <c r="O33" s="34" t="str">
        <f>VLOOKUP(E33,Sales_Reps!$A$2:$E$31,3,FALSE)</f>
        <v>West</v>
      </c>
      <c r="P33" s="13" t="s">
        <v>201</v>
      </c>
      <c r="Q33" s="34">
        <f t="shared" si="0"/>
        <v>576305.08000000019</v>
      </c>
      <c r="R33" s="34" t="str">
        <f>VLOOKUP(E33,Sales_Reps!$A$2:$E$100,3,FALSE)</f>
        <v>West</v>
      </c>
      <c r="S33" s="34" t="str">
        <f t="shared" si="1"/>
        <v>Grocery</v>
      </c>
      <c r="T33" s="38">
        <f>VLOOKUP(D33,Products!$A$2:$F$68,4,FALSE)</f>
        <v>1435</v>
      </c>
    </row>
    <row r="34" spans="1:26" x14ac:dyDescent="0.35">
      <c r="A34" s="13" t="s">
        <v>202</v>
      </c>
      <c r="B34" s="14">
        <v>45343</v>
      </c>
      <c r="C34" s="13" t="s">
        <v>156</v>
      </c>
      <c r="D34" s="13" t="s">
        <v>203</v>
      </c>
      <c r="E34" s="13" t="s">
        <v>204</v>
      </c>
      <c r="F34" s="15">
        <v>10</v>
      </c>
      <c r="G34" s="15">
        <v>660</v>
      </c>
      <c r="H34" s="15">
        <v>18.3</v>
      </c>
      <c r="I34" s="15">
        <v>5392.2</v>
      </c>
      <c r="J34" s="13" t="s">
        <v>93</v>
      </c>
      <c r="K34" s="13" t="s">
        <v>133</v>
      </c>
      <c r="L34" s="34" t="str">
        <f>VLOOKUP(D34,Products!$A$2:$F$61,3,FALSE)</f>
        <v>Home</v>
      </c>
      <c r="M34" s="34" t="str">
        <f>VLOOKUP(C34,Customers!$A$2:$F$301,5,FALSE)</f>
        <v>Corporate</v>
      </c>
      <c r="N34" s="34">
        <f>VLOOKUP(C34,Customers!$A$2:$F$301,3,FALSE)</f>
        <v>32</v>
      </c>
      <c r="O34" s="34" t="str">
        <f>VLOOKUP(E34,Sales_Reps!$A$2:$E$31,3,FALSE)</f>
        <v>South</v>
      </c>
      <c r="P34" s="13" t="s">
        <v>204</v>
      </c>
      <c r="Q34" s="34">
        <f t="shared" si="0"/>
        <v>914554.71999999986</v>
      </c>
      <c r="R34" s="34" t="str">
        <f>VLOOKUP(E34,Sales_Reps!$A$2:$E$100,3,FALSE)</f>
        <v>South</v>
      </c>
      <c r="S34" s="34" t="str">
        <f t="shared" si="1"/>
        <v>Home</v>
      </c>
      <c r="T34" s="38">
        <f>VLOOKUP(D34,Products!$A$2:$F$68,4,FALSE)</f>
        <v>329</v>
      </c>
      <c r="V34" s="5" t="s">
        <v>75</v>
      </c>
      <c r="W34" t="s">
        <v>3040</v>
      </c>
      <c r="X34" t="s">
        <v>3039</v>
      </c>
    </row>
    <row r="35" spans="1:26" x14ac:dyDescent="0.35">
      <c r="A35" s="13" t="s">
        <v>205</v>
      </c>
      <c r="B35" s="14">
        <v>45576</v>
      </c>
      <c r="C35" s="13" t="s">
        <v>206</v>
      </c>
      <c r="D35" s="13" t="s">
        <v>143</v>
      </c>
      <c r="E35" s="13" t="s">
        <v>121</v>
      </c>
      <c r="F35" s="15">
        <v>1</v>
      </c>
      <c r="G35" s="15">
        <v>3250</v>
      </c>
      <c r="H35" s="15">
        <v>10.7</v>
      </c>
      <c r="I35" s="15">
        <v>2902.25</v>
      </c>
      <c r="J35" s="13" t="s">
        <v>87</v>
      </c>
      <c r="K35" s="13" t="s">
        <v>133</v>
      </c>
      <c r="L35" s="34" t="str">
        <f>VLOOKUP(D35,Products!$A$2:$F$61,3,FALSE)</f>
        <v>Home</v>
      </c>
      <c r="M35" s="34" t="str">
        <f>VLOOKUP(C35,Customers!$A$2:$F$301,5,FALSE)</f>
        <v>SMB</v>
      </c>
      <c r="N35" s="34">
        <f>VLOOKUP(C35,Customers!$A$2:$F$301,3,FALSE)</f>
        <v>40</v>
      </c>
      <c r="O35" s="34" t="str">
        <f>VLOOKUP(E35,Sales_Reps!$A$2:$E$31,3,FALSE)</f>
        <v>East</v>
      </c>
      <c r="P35" s="13" t="s">
        <v>121</v>
      </c>
      <c r="Q35" s="34">
        <f t="shared" si="0"/>
        <v>971183.52000000014</v>
      </c>
      <c r="R35" s="34" t="str">
        <f>VLOOKUP(E35,Sales_Reps!$A$2:$E$100,3,FALSE)</f>
        <v>East</v>
      </c>
      <c r="S35" s="34" t="str">
        <f t="shared" si="1"/>
        <v>Home</v>
      </c>
      <c r="T35" s="38">
        <f>VLOOKUP(D35,Products!$A$2:$F$68,4,FALSE)</f>
        <v>1556</v>
      </c>
      <c r="V35" s="13" t="s">
        <v>364</v>
      </c>
      <c r="W35">
        <f>SUMIFS($I$2:$I$2001,$D$2:$D$2001,V35,$R$2:$R$2001,"West")</f>
        <v>155358.84</v>
      </c>
      <c r="X35">
        <f>_xlfn.RANK.EQ(W35,$W$35:$W$94,0)</f>
        <v>10</v>
      </c>
    </row>
    <row r="36" spans="1:26" x14ac:dyDescent="0.35">
      <c r="A36" s="13" t="s">
        <v>207</v>
      </c>
      <c r="B36" s="14">
        <v>45462</v>
      </c>
      <c r="C36" s="13" t="s">
        <v>208</v>
      </c>
      <c r="D36" s="13" t="s">
        <v>191</v>
      </c>
      <c r="E36" s="13" t="s">
        <v>121</v>
      </c>
      <c r="F36" s="15">
        <v>8</v>
      </c>
      <c r="G36" s="15">
        <v>5100</v>
      </c>
      <c r="H36" s="15">
        <v>26.4</v>
      </c>
      <c r="I36" s="15">
        <v>30028.799999999999</v>
      </c>
      <c r="J36" s="13" t="s">
        <v>140</v>
      </c>
      <c r="K36" s="13" t="s">
        <v>133</v>
      </c>
      <c r="L36" s="34" t="str">
        <f>VLOOKUP(D36,Products!$A$2:$F$61,3,FALSE)</f>
        <v>Beauty</v>
      </c>
      <c r="M36" s="34" t="str">
        <f>VLOOKUP(C36,Customers!$A$2:$F$301,5,FALSE)</f>
        <v>Retail</v>
      </c>
      <c r="N36" s="34">
        <f>VLOOKUP(C36,Customers!$A$2:$F$301,3,FALSE)</f>
        <v>26</v>
      </c>
      <c r="O36" s="34" t="str">
        <f>VLOOKUP(E36,Sales_Reps!$A$2:$E$31,3,FALSE)</f>
        <v>East</v>
      </c>
      <c r="P36" s="13" t="s">
        <v>121</v>
      </c>
      <c r="Q36" s="34">
        <f t="shared" si="0"/>
        <v>971183.52000000014</v>
      </c>
      <c r="R36" s="34" t="str">
        <f>VLOOKUP(E36,Sales_Reps!$A$2:$E$100,3,FALSE)</f>
        <v>East</v>
      </c>
      <c r="S36" s="34" t="str">
        <f t="shared" si="1"/>
        <v>Beauty</v>
      </c>
      <c r="T36" s="38">
        <f>VLOOKUP(D36,Products!$A$2:$F$68,4,FALSE)</f>
        <v>2237</v>
      </c>
      <c r="V36" s="13" t="s">
        <v>138</v>
      </c>
      <c r="W36" s="44">
        <f t="shared" ref="W36:W95" si="4">SUMIFS($I$2:$I$2001,$D$2:$D$2001,V36,$R$2:$R$2001,"West")</f>
        <v>105284.40000000001</v>
      </c>
      <c r="X36" s="44">
        <f t="shared" ref="X36:X95" si="5">_xlfn.RANK.EQ(W36,$W$35:$W$94,0)</f>
        <v>23</v>
      </c>
    </row>
    <row r="37" spans="1:26" x14ac:dyDescent="0.35">
      <c r="A37" s="13" t="s">
        <v>209</v>
      </c>
      <c r="B37" s="14">
        <v>45442</v>
      </c>
      <c r="C37" s="13" t="s">
        <v>210</v>
      </c>
      <c r="D37" s="13" t="s">
        <v>164</v>
      </c>
      <c r="E37" s="13" t="s">
        <v>158</v>
      </c>
      <c r="F37" s="15">
        <v>1</v>
      </c>
      <c r="G37" s="15">
        <v>1080</v>
      </c>
      <c r="H37" s="15">
        <v>5.0999999999999996</v>
      </c>
      <c r="I37" s="15">
        <v>1024.92</v>
      </c>
      <c r="J37" s="13" t="s">
        <v>87</v>
      </c>
      <c r="K37" s="13" t="s">
        <v>99</v>
      </c>
      <c r="L37" s="34" t="str">
        <f>VLOOKUP(D37,Products!$A$2:$F$61,3,FALSE)</f>
        <v>Home</v>
      </c>
      <c r="M37" s="34" t="str">
        <f>VLOOKUP(C37,Customers!$A$2:$F$301,5,FALSE)</f>
        <v>Retail</v>
      </c>
      <c r="N37" s="34">
        <f>VLOOKUP(C37,Customers!$A$2:$F$301,3,FALSE)</f>
        <v>41</v>
      </c>
      <c r="O37" s="34" t="str">
        <f>VLOOKUP(E37,Sales_Reps!$A$2:$E$31,3,FALSE)</f>
        <v>East</v>
      </c>
      <c r="P37" s="13" t="s">
        <v>158</v>
      </c>
      <c r="Q37" s="34">
        <f t="shared" si="0"/>
        <v>761507.17000000027</v>
      </c>
      <c r="R37" s="34" t="str">
        <f>VLOOKUP(E37,Sales_Reps!$A$2:$E$100,3,FALSE)</f>
        <v>East</v>
      </c>
      <c r="S37" s="34" t="str">
        <f t="shared" si="1"/>
        <v>Home</v>
      </c>
      <c r="T37" s="38">
        <f>VLOOKUP(D37,Products!$A$2:$F$68,4,FALSE)</f>
        <v>519</v>
      </c>
      <c r="V37" s="13" t="s">
        <v>187</v>
      </c>
      <c r="W37" s="44">
        <f t="shared" si="4"/>
        <v>248025.75</v>
      </c>
      <c r="X37" s="44">
        <f t="shared" si="5"/>
        <v>2</v>
      </c>
      <c r="Z37" t="str">
        <f>VLOOKUP("PROD-003",Products!$A:$B,2,FALSE)</f>
        <v>Smart Watch</v>
      </c>
    </row>
    <row r="38" spans="1:26" x14ac:dyDescent="0.35">
      <c r="A38" s="13" t="s">
        <v>211</v>
      </c>
      <c r="B38" s="14">
        <v>45646</v>
      </c>
      <c r="C38" s="13" t="s">
        <v>212</v>
      </c>
      <c r="D38" s="13" t="s">
        <v>124</v>
      </c>
      <c r="E38" s="13" t="s">
        <v>204</v>
      </c>
      <c r="F38" s="15">
        <v>2</v>
      </c>
      <c r="G38" s="15">
        <v>5490</v>
      </c>
      <c r="H38" s="15">
        <v>21.1</v>
      </c>
      <c r="I38" s="15">
        <v>8663.2199999999993</v>
      </c>
      <c r="J38" s="13" t="s">
        <v>140</v>
      </c>
      <c r="K38" s="13" t="s">
        <v>112</v>
      </c>
      <c r="L38" s="34" t="str">
        <f>VLOOKUP(D38,Products!$A$2:$F$61,3,FALSE)</f>
        <v>Home</v>
      </c>
      <c r="M38" s="34" t="str">
        <f>VLOOKUP(C38,Customers!$A$2:$F$301,5,FALSE)</f>
        <v>SMB</v>
      </c>
      <c r="N38" s="34">
        <f>VLOOKUP(C38,Customers!$A$2:$F$301,3,FALSE)</f>
        <v>36</v>
      </c>
      <c r="O38" s="34" t="str">
        <f>VLOOKUP(E38,Sales_Reps!$A$2:$E$31,3,FALSE)</f>
        <v>South</v>
      </c>
      <c r="P38" s="13" t="s">
        <v>204</v>
      </c>
      <c r="Q38" s="34">
        <f t="shared" si="0"/>
        <v>914554.71999999986</v>
      </c>
      <c r="R38" s="34" t="str">
        <f>VLOOKUP(E38,Sales_Reps!$A$2:$E$100,3,FALSE)</f>
        <v>South</v>
      </c>
      <c r="S38" s="34" t="str">
        <f t="shared" si="1"/>
        <v>Home</v>
      </c>
      <c r="T38" s="38">
        <f>VLOOKUP(D38,Products!$A$2:$F$68,4,FALSE)</f>
        <v>2549</v>
      </c>
      <c r="V38" s="13" t="s">
        <v>248</v>
      </c>
      <c r="W38" s="44">
        <f t="shared" si="4"/>
        <v>198124.65</v>
      </c>
      <c r="X38" s="44">
        <f t="shared" si="5"/>
        <v>5</v>
      </c>
    </row>
    <row r="39" spans="1:26" x14ac:dyDescent="0.35">
      <c r="A39" s="13" t="s">
        <v>213</v>
      </c>
      <c r="B39" s="14">
        <v>45478</v>
      </c>
      <c r="C39" s="13" t="s">
        <v>214</v>
      </c>
      <c r="D39" s="13" t="s">
        <v>147</v>
      </c>
      <c r="E39" s="13" t="s">
        <v>215</v>
      </c>
      <c r="F39" s="15">
        <v>7</v>
      </c>
      <c r="G39" s="15">
        <v>190</v>
      </c>
      <c r="H39" s="15">
        <v>28.7</v>
      </c>
      <c r="I39" s="15">
        <v>948.29</v>
      </c>
      <c r="J39" s="13" t="s">
        <v>87</v>
      </c>
      <c r="K39" s="13" t="s">
        <v>117</v>
      </c>
      <c r="L39" s="34" t="str">
        <f>VLOOKUP(D39,Products!$A$2:$F$61,3,FALSE)</f>
        <v>Sports</v>
      </c>
      <c r="M39" s="34" t="str">
        <f>VLOOKUP(C39,Customers!$A$2:$F$301,5,FALSE)</f>
        <v>Retail</v>
      </c>
      <c r="N39" s="34">
        <f>VLOOKUP(C39,Customers!$A$2:$F$301,3,FALSE)</f>
        <v>42</v>
      </c>
      <c r="O39" s="34" t="str">
        <f>VLOOKUP(E39,Sales_Reps!$A$2:$E$31,3,FALSE)</f>
        <v>North</v>
      </c>
      <c r="P39" s="13" t="s">
        <v>215</v>
      </c>
      <c r="Q39" s="34">
        <f t="shared" si="0"/>
        <v>789849.60000000009</v>
      </c>
      <c r="R39" s="34" t="str">
        <f>VLOOKUP(E39,Sales_Reps!$A$2:$E$100,3,FALSE)</f>
        <v>North</v>
      </c>
      <c r="S39" s="34" t="str">
        <f t="shared" si="1"/>
        <v>Sports</v>
      </c>
      <c r="T39" s="38">
        <f>VLOOKUP(D39,Products!$A$2:$F$68,4,FALSE)</f>
        <v>147</v>
      </c>
      <c r="V39" s="13" t="s">
        <v>282</v>
      </c>
      <c r="W39" s="44">
        <f t="shared" si="4"/>
        <v>7449.9000000000005</v>
      </c>
      <c r="X39" s="44">
        <f t="shared" si="5"/>
        <v>60</v>
      </c>
    </row>
    <row r="40" spans="1:26" x14ac:dyDescent="0.35">
      <c r="A40" s="13" t="s">
        <v>216</v>
      </c>
      <c r="B40" s="14">
        <v>45355</v>
      </c>
      <c r="C40" s="13" t="s">
        <v>217</v>
      </c>
      <c r="D40" s="13" t="s">
        <v>151</v>
      </c>
      <c r="E40" s="13" t="s">
        <v>188</v>
      </c>
      <c r="F40" s="15">
        <v>6</v>
      </c>
      <c r="G40" s="15">
        <v>2400</v>
      </c>
      <c r="H40" s="15">
        <v>2.7</v>
      </c>
      <c r="I40" s="15">
        <v>14011.2</v>
      </c>
      <c r="J40" s="13" t="s">
        <v>87</v>
      </c>
      <c r="K40" s="13" t="s">
        <v>94</v>
      </c>
      <c r="L40" s="34" t="str">
        <f>VLOOKUP(D40,Products!$A$2:$F$61,3,FALSE)</f>
        <v>Sports</v>
      </c>
      <c r="M40" s="34" t="str">
        <f>VLOOKUP(C40,Customers!$A$2:$F$301,5,FALSE)</f>
        <v>Retail</v>
      </c>
      <c r="N40" s="34">
        <f>VLOOKUP(C40,Customers!$A$2:$F$301,3,FALSE)</f>
        <v>51</v>
      </c>
      <c r="O40" s="34" t="str">
        <f>VLOOKUP(E40,Sales_Reps!$A$2:$E$31,3,FALSE)</f>
        <v>South</v>
      </c>
      <c r="P40" s="13" t="s">
        <v>188</v>
      </c>
      <c r="Q40" s="34">
        <f t="shared" si="0"/>
        <v>1091740.1799999997</v>
      </c>
      <c r="R40" s="34" t="str">
        <f>VLOOKUP(E40,Sales_Reps!$A$2:$E$100,3,FALSE)</f>
        <v>South</v>
      </c>
      <c r="S40" s="34" t="str">
        <f t="shared" si="1"/>
        <v>Sports</v>
      </c>
      <c r="T40" s="38">
        <f>VLOOKUP(D40,Products!$A$2:$F$68,4,FALSE)</f>
        <v>974</v>
      </c>
      <c r="V40" s="13" t="s">
        <v>408</v>
      </c>
      <c r="W40" s="44">
        <f t="shared" si="4"/>
        <v>100869.76000000001</v>
      </c>
      <c r="X40" s="44">
        <f t="shared" si="5"/>
        <v>28</v>
      </c>
    </row>
    <row r="41" spans="1:26" x14ac:dyDescent="0.35">
      <c r="A41" s="13" t="s">
        <v>218</v>
      </c>
      <c r="B41" s="14">
        <v>45599</v>
      </c>
      <c r="C41" s="13" t="s">
        <v>219</v>
      </c>
      <c r="D41" s="13" t="s">
        <v>176</v>
      </c>
      <c r="E41" s="13" t="s">
        <v>154</v>
      </c>
      <c r="F41" s="15">
        <v>9</v>
      </c>
      <c r="G41" s="15">
        <v>1650</v>
      </c>
      <c r="H41" s="15">
        <v>11.6</v>
      </c>
      <c r="I41" s="15">
        <v>13127.4</v>
      </c>
      <c r="J41" s="13" t="s">
        <v>87</v>
      </c>
      <c r="K41" s="13" t="s">
        <v>99</v>
      </c>
      <c r="L41" s="34" t="str">
        <f>VLOOKUP(D41,Products!$A$2:$F$61,3,FALSE)</f>
        <v>Beauty</v>
      </c>
      <c r="M41" s="34" t="str">
        <f>VLOOKUP(C41,Customers!$A$2:$F$301,5,FALSE)</f>
        <v>SMB</v>
      </c>
      <c r="N41" s="34">
        <f>VLOOKUP(C41,Customers!$A$2:$F$301,3,FALSE)</f>
        <v>50</v>
      </c>
      <c r="O41" s="34" t="str">
        <f>VLOOKUP(E41,Sales_Reps!$A$2:$E$31,3,FALSE)</f>
        <v>East</v>
      </c>
      <c r="P41" s="13" t="s">
        <v>154</v>
      </c>
      <c r="Q41" s="34">
        <f t="shared" si="0"/>
        <v>983787.4800000001</v>
      </c>
      <c r="R41" s="34" t="str">
        <f>VLOOKUP(E41,Sales_Reps!$A$2:$E$100,3,FALSE)</f>
        <v>East</v>
      </c>
      <c r="S41" s="34" t="str">
        <f t="shared" si="1"/>
        <v>Beauty</v>
      </c>
      <c r="T41" s="38">
        <f>VLOOKUP(D41,Products!$A$2:$F$68,4,FALSE)</f>
        <v>1222</v>
      </c>
      <c r="V41" s="13" t="s">
        <v>120</v>
      </c>
      <c r="W41" s="44">
        <f t="shared" si="4"/>
        <v>38531.35</v>
      </c>
      <c r="X41" s="44">
        <f t="shared" si="5"/>
        <v>48</v>
      </c>
    </row>
    <row r="42" spans="1:26" x14ac:dyDescent="0.35">
      <c r="A42" s="13" t="s">
        <v>220</v>
      </c>
      <c r="B42" s="14">
        <v>45606</v>
      </c>
      <c r="C42" s="13" t="s">
        <v>221</v>
      </c>
      <c r="D42" s="13" t="s">
        <v>124</v>
      </c>
      <c r="E42" s="13" t="s">
        <v>103</v>
      </c>
      <c r="F42" s="15">
        <v>4</v>
      </c>
      <c r="G42" s="15">
        <v>5490</v>
      </c>
      <c r="H42" s="15">
        <v>12.8</v>
      </c>
      <c r="I42" s="15">
        <v>19149.12</v>
      </c>
      <c r="J42" s="13" t="s">
        <v>140</v>
      </c>
      <c r="K42" s="13" t="s">
        <v>94</v>
      </c>
      <c r="L42" s="34" t="str">
        <f>VLOOKUP(D42,Products!$A$2:$F$61,3,FALSE)</f>
        <v>Home</v>
      </c>
      <c r="M42" s="34" t="e">
        <f>VLOOKUP(C42,Customers!$A$2:$F$301,5,FALSE)</f>
        <v>#N/A</v>
      </c>
      <c r="N42" s="34" t="e">
        <f>VLOOKUP(C42,Customers!$A$2:$F$301,3,FALSE)</f>
        <v>#N/A</v>
      </c>
      <c r="O42" s="34" t="str">
        <f>VLOOKUP(E42,Sales_Reps!$A$2:$E$31,3,FALSE)</f>
        <v>North</v>
      </c>
      <c r="P42" s="13" t="s">
        <v>103</v>
      </c>
      <c r="Q42" s="34">
        <f t="shared" si="0"/>
        <v>1138648.73</v>
      </c>
      <c r="R42" s="34" t="str">
        <f>VLOOKUP(E42,Sales_Reps!$A$2:$E$100,3,FALSE)</f>
        <v>North</v>
      </c>
      <c r="S42" s="34" t="str">
        <f t="shared" si="1"/>
        <v>Home</v>
      </c>
      <c r="T42" s="38">
        <f>VLOOKUP(D42,Products!$A$2:$F$68,4,FALSE)</f>
        <v>2549</v>
      </c>
      <c r="V42" s="13" t="s">
        <v>279</v>
      </c>
      <c r="W42" s="44">
        <f t="shared" si="4"/>
        <v>7807.1</v>
      </c>
      <c r="X42" s="44">
        <f t="shared" si="5"/>
        <v>59</v>
      </c>
    </row>
    <row r="43" spans="1:26" x14ac:dyDescent="0.35">
      <c r="A43" s="13" t="s">
        <v>222</v>
      </c>
      <c r="B43" s="14">
        <v>45432</v>
      </c>
      <c r="C43" s="13" t="s">
        <v>223</v>
      </c>
      <c r="D43" s="13" t="s">
        <v>184</v>
      </c>
      <c r="E43" s="13" t="s">
        <v>98</v>
      </c>
      <c r="F43" s="15">
        <v>10</v>
      </c>
      <c r="G43" s="15">
        <v>4880</v>
      </c>
      <c r="H43" s="15">
        <v>12.7</v>
      </c>
      <c r="I43" s="15">
        <v>42602.400000000001</v>
      </c>
      <c r="J43" s="13" t="s">
        <v>87</v>
      </c>
      <c r="K43" s="13" t="s">
        <v>99</v>
      </c>
      <c r="L43" s="34" t="str">
        <f>VLOOKUP(D43,Products!$A$2:$F$61,3,FALSE)</f>
        <v>Beauty</v>
      </c>
      <c r="M43" s="34" t="str">
        <f>VLOOKUP(C43,Customers!$A$2:$F$301,5,FALSE)</f>
        <v>Retail</v>
      </c>
      <c r="N43" s="34">
        <f>VLOOKUP(C43,Customers!$A$2:$F$301,3,FALSE)</f>
        <v>53</v>
      </c>
      <c r="O43" s="34" t="str">
        <f>VLOOKUP(E43,Sales_Reps!$A$2:$E$31,3,FALSE)</f>
        <v>South</v>
      </c>
      <c r="P43" s="13" t="s">
        <v>98</v>
      </c>
      <c r="Q43" s="34">
        <f t="shared" si="0"/>
        <v>995713.54000000015</v>
      </c>
      <c r="R43" s="34" t="str">
        <f>VLOOKUP(E43,Sales_Reps!$A$2:$E$100,3,FALSE)</f>
        <v>South</v>
      </c>
      <c r="S43" s="34" t="str">
        <f t="shared" si="1"/>
        <v>Beauty</v>
      </c>
      <c r="T43" s="38">
        <f>VLOOKUP(D43,Products!$A$2:$F$68,4,FALSE)</f>
        <v>2768</v>
      </c>
      <c r="V43" s="13" t="s">
        <v>267</v>
      </c>
      <c r="W43" s="44">
        <f t="shared" si="4"/>
        <v>64207.380000000005</v>
      </c>
      <c r="X43" s="44">
        <f t="shared" si="5"/>
        <v>44</v>
      </c>
    </row>
    <row r="44" spans="1:26" x14ac:dyDescent="0.35">
      <c r="A44" s="13" t="s">
        <v>224</v>
      </c>
      <c r="B44" s="14">
        <v>45392</v>
      </c>
      <c r="C44" s="13" t="s">
        <v>225</v>
      </c>
      <c r="D44" s="13" t="s">
        <v>226</v>
      </c>
      <c r="E44" s="13" t="s">
        <v>121</v>
      </c>
      <c r="F44" s="15">
        <v>2</v>
      </c>
      <c r="G44" s="15">
        <v>3730</v>
      </c>
      <c r="H44" s="15">
        <v>25.8</v>
      </c>
      <c r="I44" s="15">
        <v>5535.32</v>
      </c>
      <c r="J44" s="13" t="s">
        <v>87</v>
      </c>
      <c r="K44" s="13" t="s">
        <v>94</v>
      </c>
      <c r="L44" s="34" t="str">
        <f>VLOOKUP(D44,Products!$A$2:$F$61,3,FALSE)</f>
        <v>Home</v>
      </c>
      <c r="M44" s="34" t="str">
        <f>VLOOKUP(C44,Customers!$A$2:$F$301,5,FALSE)</f>
        <v>Retail</v>
      </c>
      <c r="N44" s="34">
        <f>VLOOKUP(C44,Customers!$A$2:$F$301,3,FALSE)</f>
        <v>37</v>
      </c>
      <c r="O44" s="34" t="str">
        <f>VLOOKUP(E44,Sales_Reps!$A$2:$E$31,3,FALSE)</f>
        <v>East</v>
      </c>
      <c r="P44" s="13" t="s">
        <v>121</v>
      </c>
      <c r="Q44" s="34">
        <f t="shared" si="0"/>
        <v>971183.52000000014</v>
      </c>
      <c r="R44" s="34" t="str">
        <f>VLOOKUP(E44,Sales_Reps!$A$2:$E$100,3,FALSE)</f>
        <v>East</v>
      </c>
      <c r="S44" s="34" t="str">
        <f t="shared" si="1"/>
        <v>Home</v>
      </c>
      <c r="T44" s="38">
        <f>VLOOKUP(D44,Products!$A$2:$F$68,4,FALSE)</f>
        <v>2135</v>
      </c>
      <c r="V44" s="13" t="s">
        <v>135</v>
      </c>
      <c r="W44" s="44">
        <f t="shared" si="4"/>
        <v>67393.919999999998</v>
      </c>
      <c r="X44" s="44">
        <f t="shared" si="5"/>
        <v>42</v>
      </c>
    </row>
    <row r="45" spans="1:26" x14ac:dyDescent="0.35">
      <c r="A45" s="13" t="s">
        <v>227</v>
      </c>
      <c r="B45" s="14">
        <v>45396</v>
      </c>
      <c r="C45" s="13" t="s">
        <v>228</v>
      </c>
      <c r="D45" s="13" t="s">
        <v>157</v>
      </c>
      <c r="E45" s="13" t="s">
        <v>229</v>
      </c>
      <c r="F45" s="15">
        <v>4</v>
      </c>
      <c r="G45" s="15">
        <v>3450</v>
      </c>
      <c r="H45" s="15">
        <v>20.7</v>
      </c>
      <c r="I45" s="15">
        <v>10943.4</v>
      </c>
      <c r="J45" s="13" t="s">
        <v>87</v>
      </c>
      <c r="K45" s="13" t="s">
        <v>112</v>
      </c>
      <c r="L45" s="34" t="str">
        <f>VLOOKUP(D45,Products!$A$2:$F$61,3,FALSE)</f>
        <v>Beauty</v>
      </c>
      <c r="M45" s="34" t="str">
        <f>VLOOKUP(C45,Customers!$A$2:$F$301,5,FALSE)</f>
        <v>SMB</v>
      </c>
      <c r="N45" s="34">
        <f>VLOOKUP(C45,Customers!$A$2:$F$301,3,FALSE)</f>
        <v>54</v>
      </c>
      <c r="O45" s="34" t="str">
        <f>VLOOKUP(E45,Sales_Reps!$A$2:$E$31,3,FALSE)</f>
        <v>West</v>
      </c>
      <c r="P45" s="13" t="s">
        <v>229</v>
      </c>
      <c r="Q45" s="34">
        <f t="shared" si="0"/>
        <v>1016696.8000000002</v>
      </c>
      <c r="R45" s="34" t="str">
        <f>VLOOKUP(E45,Sales_Reps!$A$2:$E$100,3,FALSE)</f>
        <v>West</v>
      </c>
      <c r="S45" s="34" t="str">
        <f t="shared" si="1"/>
        <v>Beauty</v>
      </c>
      <c r="T45" s="38">
        <f>VLOOKUP(D45,Products!$A$2:$F$68,4,FALSE)</f>
        <v>2420</v>
      </c>
      <c r="V45" s="13" t="s">
        <v>452</v>
      </c>
      <c r="W45" s="44">
        <f t="shared" si="4"/>
        <v>145224.29999999999</v>
      </c>
      <c r="X45" s="44">
        <f t="shared" si="5"/>
        <v>12</v>
      </c>
    </row>
    <row r="46" spans="1:26" x14ac:dyDescent="0.35">
      <c r="A46" s="13" t="s">
        <v>230</v>
      </c>
      <c r="B46" s="14">
        <v>45373</v>
      </c>
      <c r="C46" s="13" t="s">
        <v>231</v>
      </c>
      <c r="D46" s="13" t="s">
        <v>167</v>
      </c>
      <c r="E46" s="13" t="s">
        <v>121</v>
      </c>
      <c r="F46" s="15">
        <v>2</v>
      </c>
      <c r="G46" s="15">
        <v>2480</v>
      </c>
      <c r="H46" s="15">
        <v>17.3</v>
      </c>
      <c r="I46" s="15">
        <v>4101.92</v>
      </c>
      <c r="J46" s="13" t="s">
        <v>87</v>
      </c>
      <c r="K46" s="13" t="s">
        <v>117</v>
      </c>
      <c r="L46" s="34" t="str">
        <f>VLOOKUP(D46,Products!$A$2:$F$61,3,FALSE)</f>
        <v>Apparel</v>
      </c>
      <c r="M46" s="34" t="str">
        <f>VLOOKUP(C46,Customers!$A$2:$F$301,5,FALSE)</f>
        <v>SMB</v>
      </c>
      <c r="N46" s="34">
        <f>VLOOKUP(C46,Customers!$A$2:$F$301,3,FALSE)</f>
        <v>64</v>
      </c>
      <c r="O46" s="34" t="str">
        <f>VLOOKUP(E46,Sales_Reps!$A$2:$E$31,3,FALSE)</f>
        <v>East</v>
      </c>
      <c r="P46" s="13" t="s">
        <v>121</v>
      </c>
      <c r="Q46" s="34">
        <f t="shared" si="0"/>
        <v>971183.52000000014</v>
      </c>
      <c r="R46" s="34" t="str">
        <f>VLOOKUP(E46,Sales_Reps!$A$2:$E$100,3,FALSE)</f>
        <v>East</v>
      </c>
      <c r="S46" s="34" t="str">
        <f t="shared" si="1"/>
        <v>Apparel</v>
      </c>
      <c r="T46" s="38">
        <f>VLOOKUP(D46,Products!$A$2:$F$68,4,FALSE)</f>
        <v>1173</v>
      </c>
      <c r="V46" s="13" t="s">
        <v>106</v>
      </c>
      <c r="W46" s="44">
        <f t="shared" si="4"/>
        <v>121770.59999999999</v>
      </c>
      <c r="X46" s="44">
        <f t="shared" si="5"/>
        <v>16</v>
      </c>
    </row>
    <row r="47" spans="1:26" x14ac:dyDescent="0.35">
      <c r="A47" s="13" t="s">
        <v>232</v>
      </c>
      <c r="B47" s="14">
        <v>45312</v>
      </c>
      <c r="C47" s="13" t="s">
        <v>233</v>
      </c>
      <c r="D47" s="13" t="s">
        <v>234</v>
      </c>
      <c r="E47" s="13" t="s">
        <v>188</v>
      </c>
      <c r="F47" s="15">
        <v>9</v>
      </c>
      <c r="G47" s="15">
        <v>3780</v>
      </c>
      <c r="H47" s="15">
        <v>8.6999999999999993</v>
      </c>
      <c r="I47" s="15">
        <v>31060.26</v>
      </c>
      <c r="J47" s="13" t="s">
        <v>93</v>
      </c>
      <c r="K47" s="13" t="s">
        <v>88</v>
      </c>
      <c r="L47" s="34" t="str">
        <f>VLOOKUP(D47,Products!$A$2:$F$61,3,FALSE)</f>
        <v>Grocery</v>
      </c>
      <c r="M47" s="34" t="str">
        <f>VLOOKUP(C47,Customers!$A$2:$F$301,5,FALSE)</f>
        <v>SMB</v>
      </c>
      <c r="N47" s="34">
        <f>VLOOKUP(C47,Customers!$A$2:$F$301,3,FALSE)</f>
        <v>29</v>
      </c>
      <c r="O47" s="34" t="str">
        <f>VLOOKUP(E47,Sales_Reps!$A$2:$E$31,3,FALSE)</f>
        <v>South</v>
      </c>
      <c r="P47" s="13" t="s">
        <v>188</v>
      </c>
      <c r="Q47" s="34">
        <f t="shared" si="0"/>
        <v>1091740.1799999997</v>
      </c>
      <c r="R47" s="34" t="str">
        <f>VLOOKUP(E47,Sales_Reps!$A$2:$E$100,3,FALSE)</f>
        <v>South</v>
      </c>
      <c r="S47" s="34" t="str">
        <f t="shared" si="1"/>
        <v>Grocery</v>
      </c>
      <c r="T47" s="38">
        <f>VLOOKUP(D47,Products!$A$2:$F$68,4,FALSE)</f>
        <v>2436</v>
      </c>
      <c r="V47" s="13" t="s">
        <v>237</v>
      </c>
      <c r="W47" s="44">
        <f t="shared" si="4"/>
        <v>85543.640000000014</v>
      </c>
      <c r="X47" s="44">
        <f t="shared" si="5"/>
        <v>34</v>
      </c>
    </row>
    <row r="48" spans="1:26" x14ac:dyDescent="0.35">
      <c r="A48" s="13" t="s">
        <v>235</v>
      </c>
      <c r="B48" s="14">
        <v>45340</v>
      </c>
      <c r="C48" s="13" t="s">
        <v>236</v>
      </c>
      <c r="D48" s="13" t="s">
        <v>237</v>
      </c>
      <c r="E48" s="13" t="s">
        <v>238</v>
      </c>
      <c r="F48" s="15">
        <v>4</v>
      </c>
      <c r="G48" s="15">
        <v>3640</v>
      </c>
      <c r="H48" s="15">
        <v>20.7</v>
      </c>
      <c r="I48" s="15">
        <v>11546.08</v>
      </c>
      <c r="J48" s="13" t="s">
        <v>87</v>
      </c>
      <c r="K48" s="13" t="s">
        <v>133</v>
      </c>
      <c r="L48" s="34" t="str">
        <f>VLOOKUP(D48,Products!$A$2:$F$61,3,FALSE)</f>
        <v>Apparel</v>
      </c>
      <c r="M48" s="34" t="str">
        <f>VLOOKUP(C48,Customers!$A$2:$F$301,5,FALSE)</f>
        <v>Retail</v>
      </c>
      <c r="N48" s="34">
        <f>VLOOKUP(C48,Customers!$A$2:$F$301,3,FALSE)</f>
        <v>64</v>
      </c>
      <c r="O48" s="34" t="str">
        <f>VLOOKUP(E48,Sales_Reps!$A$2:$E$31,3,FALSE)</f>
        <v>East</v>
      </c>
      <c r="P48" s="13" t="s">
        <v>238</v>
      </c>
      <c r="Q48" s="34">
        <f t="shared" si="0"/>
        <v>780384.40999999992</v>
      </c>
      <c r="R48" s="34" t="str">
        <f>VLOOKUP(E48,Sales_Reps!$A$2:$E$100,3,FALSE)</f>
        <v>East</v>
      </c>
      <c r="S48" s="34" t="str">
        <f t="shared" si="1"/>
        <v>Apparel</v>
      </c>
      <c r="T48" s="38">
        <f>VLOOKUP(D48,Products!$A$2:$F$68,4,FALSE)</f>
        <v>2611</v>
      </c>
      <c r="V48" s="13" t="s">
        <v>85</v>
      </c>
      <c r="W48" s="44">
        <f t="shared" si="4"/>
        <v>95390.62</v>
      </c>
      <c r="X48" s="44">
        <f t="shared" si="5"/>
        <v>31</v>
      </c>
    </row>
    <row r="49" spans="1:24" x14ac:dyDescent="0.35">
      <c r="A49" s="13" t="s">
        <v>239</v>
      </c>
      <c r="B49" s="14">
        <v>45370</v>
      </c>
      <c r="C49" s="13" t="s">
        <v>240</v>
      </c>
      <c r="D49" s="13" t="s">
        <v>241</v>
      </c>
      <c r="E49" s="13" t="s">
        <v>148</v>
      </c>
      <c r="F49" s="15">
        <v>8</v>
      </c>
      <c r="G49" s="15">
        <v>6080</v>
      </c>
      <c r="H49" s="15">
        <v>24.4</v>
      </c>
      <c r="I49" s="15">
        <v>36771.839999999997</v>
      </c>
      <c r="J49" s="13" t="s">
        <v>87</v>
      </c>
      <c r="K49" s="13" t="s">
        <v>88</v>
      </c>
      <c r="L49" s="34" t="str">
        <f>VLOOKUP(D49,Products!$A$2:$F$61,3,FALSE)</f>
        <v>Beauty</v>
      </c>
      <c r="M49" s="34" t="e">
        <f>VLOOKUP(C49,Customers!$A$2:$F$301,5,FALSE)</f>
        <v>#N/A</v>
      </c>
      <c r="N49" s="34" t="e">
        <f>VLOOKUP(C49,Customers!$A$2:$F$301,3,FALSE)</f>
        <v>#N/A</v>
      </c>
      <c r="O49" s="34" t="str">
        <f>VLOOKUP(E49,Sales_Reps!$A$2:$E$31,3,FALSE)</f>
        <v>North</v>
      </c>
      <c r="P49" s="13" t="s">
        <v>148</v>
      </c>
      <c r="Q49" s="34">
        <f t="shared" si="0"/>
        <v>986692.91</v>
      </c>
      <c r="R49" s="34" t="str">
        <f>VLOOKUP(E49,Sales_Reps!$A$2:$E$100,3,FALSE)</f>
        <v>North</v>
      </c>
      <c r="S49" s="34" t="str">
        <f t="shared" si="1"/>
        <v>Beauty</v>
      </c>
      <c r="T49" s="38">
        <f>VLOOKUP(D49,Products!$A$2:$F$68,4,FALSE)</f>
        <v>2617</v>
      </c>
      <c r="V49" s="13" t="s">
        <v>173</v>
      </c>
      <c r="W49" s="44">
        <f t="shared" si="4"/>
        <v>108190.72</v>
      </c>
      <c r="X49" s="44">
        <f t="shared" si="5"/>
        <v>22</v>
      </c>
    </row>
    <row r="50" spans="1:24" x14ac:dyDescent="0.35">
      <c r="A50" s="13" t="s">
        <v>242</v>
      </c>
      <c r="B50" s="14">
        <v>45389</v>
      </c>
      <c r="C50" s="13" t="s">
        <v>186</v>
      </c>
      <c r="D50" s="13" t="s">
        <v>127</v>
      </c>
      <c r="E50" s="13" t="s">
        <v>86</v>
      </c>
      <c r="F50" s="15">
        <v>10</v>
      </c>
      <c r="G50" s="15">
        <v>970</v>
      </c>
      <c r="H50" s="15">
        <v>0.6</v>
      </c>
      <c r="I50" s="15">
        <v>9641.7999999999993</v>
      </c>
      <c r="J50" s="13" t="s">
        <v>140</v>
      </c>
      <c r="K50" s="13" t="s">
        <v>94</v>
      </c>
      <c r="L50" s="34" t="str">
        <f>VLOOKUP(D50,Products!$A$2:$F$61,3,FALSE)</f>
        <v>Grocery</v>
      </c>
      <c r="M50" s="34" t="str">
        <f>VLOOKUP(C50,Customers!$A$2:$F$301,5,FALSE)</f>
        <v>SMB</v>
      </c>
      <c r="N50" s="34">
        <f>VLOOKUP(C50,Customers!$A$2:$F$301,3,FALSE)</f>
        <v>52</v>
      </c>
      <c r="O50" s="34" t="str">
        <f>VLOOKUP(E50,Sales_Reps!$A$2:$E$31,3,FALSE)</f>
        <v>North</v>
      </c>
      <c r="P50" s="13" t="s">
        <v>86</v>
      </c>
      <c r="Q50" s="34">
        <f t="shared" si="0"/>
        <v>855749.67999999982</v>
      </c>
      <c r="R50" s="34" t="str">
        <f>VLOOKUP(E50,Sales_Reps!$A$2:$E$100,3,FALSE)</f>
        <v>North</v>
      </c>
      <c r="S50" s="34" t="str">
        <f t="shared" si="1"/>
        <v>Grocery</v>
      </c>
      <c r="T50" s="38">
        <f>VLOOKUP(D50,Products!$A$2:$F$68,4,FALSE)</f>
        <v>434</v>
      </c>
      <c r="V50" s="13" t="s">
        <v>292</v>
      </c>
      <c r="W50" s="44">
        <f t="shared" si="4"/>
        <v>12964.820000000002</v>
      </c>
      <c r="X50" s="44">
        <f t="shared" si="5"/>
        <v>56</v>
      </c>
    </row>
    <row r="51" spans="1:24" x14ac:dyDescent="0.35">
      <c r="A51" s="13" t="s">
        <v>243</v>
      </c>
      <c r="B51" s="14">
        <v>45565</v>
      </c>
      <c r="C51" s="13" t="s">
        <v>244</v>
      </c>
      <c r="D51" s="13" t="s">
        <v>245</v>
      </c>
      <c r="E51" s="13" t="s">
        <v>128</v>
      </c>
      <c r="F51" s="15">
        <v>1</v>
      </c>
      <c r="G51" s="15">
        <v>2270</v>
      </c>
      <c r="H51" s="15">
        <v>11.5</v>
      </c>
      <c r="I51" s="15">
        <v>2008.95</v>
      </c>
      <c r="J51" s="13" t="s">
        <v>93</v>
      </c>
      <c r="K51" s="13" t="s">
        <v>94</v>
      </c>
      <c r="L51" s="34" t="str">
        <f>VLOOKUP(D51,Products!$A$2:$F$61,3,FALSE)</f>
        <v>Grocery</v>
      </c>
      <c r="M51" s="34" t="str">
        <f>VLOOKUP(C51,Customers!$A$2:$F$301,5,FALSE)</f>
        <v>Corporate</v>
      </c>
      <c r="N51" s="34">
        <f>VLOOKUP(C51,Customers!$A$2:$F$301,3,FALSE)</f>
        <v>52</v>
      </c>
      <c r="O51" s="34" t="str">
        <f>VLOOKUP(E51,Sales_Reps!$A$2:$E$31,3,FALSE)</f>
        <v>West</v>
      </c>
      <c r="P51" s="13" t="s">
        <v>128</v>
      </c>
      <c r="Q51" s="34">
        <f t="shared" si="0"/>
        <v>880468.05</v>
      </c>
      <c r="R51" s="34" t="str">
        <f>VLOOKUP(E51,Sales_Reps!$A$2:$E$100,3,FALSE)</f>
        <v>West</v>
      </c>
      <c r="S51" s="34" t="str">
        <f t="shared" si="1"/>
        <v>Grocery</v>
      </c>
      <c r="T51" s="38">
        <f>VLOOKUP(D51,Products!$A$2:$F$68,4,FALSE)</f>
        <v>1412</v>
      </c>
      <c r="V51" s="13" t="s">
        <v>355</v>
      </c>
      <c r="W51" s="44">
        <f t="shared" si="4"/>
        <v>84699.95</v>
      </c>
      <c r="X51" s="44">
        <f t="shared" si="5"/>
        <v>35</v>
      </c>
    </row>
    <row r="52" spans="1:24" x14ac:dyDescent="0.35">
      <c r="A52" s="13" t="s">
        <v>246</v>
      </c>
      <c r="B52" s="14">
        <v>45323</v>
      </c>
      <c r="C52" s="13" t="s">
        <v>247</v>
      </c>
      <c r="D52" s="13" t="s">
        <v>248</v>
      </c>
      <c r="E52" s="13" t="s">
        <v>154</v>
      </c>
      <c r="F52" s="15">
        <v>7</v>
      </c>
      <c r="G52" s="15">
        <v>3870</v>
      </c>
      <c r="H52" s="15">
        <v>0.3</v>
      </c>
      <c r="I52" s="15">
        <v>27008.73</v>
      </c>
      <c r="J52" s="13" t="s">
        <v>140</v>
      </c>
      <c r="K52" s="13" t="s">
        <v>117</v>
      </c>
      <c r="L52" s="34" t="str">
        <f>VLOOKUP(D52,Products!$A$2:$F$61,3,FALSE)</f>
        <v>Electronics</v>
      </c>
      <c r="M52" s="34" t="str">
        <f>VLOOKUP(C52,Customers!$A$2:$F$301,5,FALSE)</f>
        <v>Retail</v>
      </c>
      <c r="N52" s="34">
        <f>VLOOKUP(C52,Customers!$A$2:$F$301,3,FALSE)</f>
        <v>34</v>
      </c>
      <c r="O52" s="34" t="str">
        <f>VLOOKUP(E52,Sales_Reps!$A$2:$E$31,3,FALSE)</f>
        <v>East</v>
      </c>
      <c r="P52" s="13" t="s">
        <v>154</v>
      </c>
      <c r="Q52" s="34">
        <f t="shared" si="0"/>
        <v>983787.4800000001</v>
      </c>
      <c r="R52" s="34" t="str">
        <f>VLOOKUP(E52,Sales_Reps!$A$2:$E$100,3,FALSE)</f>
        <v>East</v>
      </c>
      <c r="S52" s="34" t="str">
        <f t="shared" si="1"/>
        <v>Electronics</v>
      </c>
      <c r="T52" s="38">
        <f>VLOOKUP(D52,Products!$A$2:$F$68,4,FALSE)</f>
        <v>1559</v>
      </c>
      <c r="V52" s="13" t="s">
        <v>659</v>
      </c>
      <c r="W52" s="44">
        <f t="shared" si="4"/>
        <v>100288.76000000001</v>
      </c>
      <c r="X52" s="44">
        <f t="shared" si="5"/>
        <v>29</v>
      </c>
    </row>
    <row r="53" spans="1:24" x14ac:dyDescent="0.35">
      <c r="A53" s="13" t="s">
        <v>249</v>
      </c>
      <c r="B53" s="14">
        <v>45506</v>
      </c>
      <c r="C53" s="13" t="s">
        <v>250</v>
      </c>
      <c r="D53" s="13" t="s">
        <v>184</v>
      </c>
      <c r="E53" s="13" t="s">
        <v>204</v>
      </c>
      <c r="F53" s="15">
        <v>1</v>
      </c>
      <c r="G53" s="15">
        <v>4880</v>
      </c>
      <c r="H53" s="15">
        <v>23.9</v>
      </c>
      <c r="I53" s="15">
        <v>3713.68</v>
      </c>
      <c r="J53" s="13" t="s">
        <v>93</v>
      </c>
      <c r="K53" s="13" t="s">
        <v>117</v>
      </c>
      <c r="L53" s="34" t="str">
        <f>VLOOKUP(D53,Products!$A$2:$F$61,3,FALSE)</f>
        <v>Beauty</v>
      </c>
      <c r="M53" s="34" t="str">
        <f>VLOOKUP(C53,Customers!$A$2:$F$301,5,FALSE)</f>
        <v>SMB</v>
      </c>
      <c r="N53" s="34">
        <f>VLOOKUP(C53,Customers!$A$2:$F$301,3,FALSE)</f>
        <v>34</v>
      </c>
      <c r="O53" s="34" t="str">
        <f>VLOOKUP(E53,Sales_Reps!$A$2:$E$31,3,FALSE)</f>
        <v>South</v>
      </c>
      <c r="P53" s="13" t="s">
        <v>204</v>
      </c>
      <c r="Q53" s="34">
        <f t="shared" si="0"/>
        <v>914554.71999999986</v>
      </c>
      <c r="R53" s="34" t="str">
        <f>VLOOKUP(E53,Sales_Reps!$A$2:$E$100,3,FALSE)</f>
        <v>South</v>
      </c>
      <c r="S53" s="34" t="str">
        <f t="shared" si="1"/>
        <v>Beauty</v>
      </c>
      <c r="T53" s="38">
        <f>VLOOKUP(D53,Products!$A$2:$F$68,4,FALSE)</f>
        <v>2768</v>
      </c>
      <c r="V53" s="13" t="s">
        <v>167</v>
      </c>
      <c r="W53" s="44">
        <f t="shared" si="4"/>
        <v>104993.28</v>
      </c>
      <c r="X53" s="44">
        <f t="shared" si="5"/>
        <v>24</v>
      </c>
    </row>
    <row r="54" spans="1:24" x14ac:dyDescent="0.35">
      <c r="A54" s="13" t="s">
        <v>251</v>
      </c>
      <c r="B54" s="14">
        <v>45616</v>
      </c>
      <c r="C54" s="13" t="s">
        <v>105</v>
      </c>
      <c r="D54" s="13" t="s">
        <v>234</v>
      </c>
      <c r="E54" s="13" t="s">
        <v>252</v>
      </c>
      <c r="F54" s="15">
        <v>5</v>
      </c>
      <c r="G54" s="15">
        <v>3780</v>
      </c>
      <c r="H54" s="15">
        <v>18.5</v>
      </c>
      <c r="I54" s="15">
        <v>15403.5</v>
      </c>
      <c r="J54" s="13" t="s">
        <v>87</v>
      </c>
      <c r="K54" s="13" t="s">
        <v>94</v>
      </c>
      <c r="L54" s="34" t="str">
        <f>VLOOKUP(D54,Products!$A$2:$F$61,3,FALSE)</f>
        <v>Grocery</v>
      </c>
      <c r="M54" s="34" t="str">
        <f>VLOOKUP(C54,Customers!$A$2:$F$301,5,FALSE)</f>
        <v>Retail</v>
      </c>
      <c r="N54" s="34">
        <f>VLOOKUP(C54,Customers!$A$2:$F$301,3,FALSE)</f>
        <v>36</v>
      </c>
      <c r="O54" s="34" t="str">
        <f>VLOOKUP(E54,Sales_Reps!$A$2:$E$31,3,FALSE)</f>
        <v>South</v>
      </c>
      <c r="P54" s="13" t="s">
        <v>252</v>
      </c>
      <c r="Q54" s="34">
        <f t="shared" si="0"/>
        <v>811524.37999999989</v>
      </c>
      <c r="R54" s="34" t="str">
        <f>VLOOKUP(E54,Sales_Reps!$A$2:$E$100,3,FALSE)</f>
        <v>South</v>
      </c>
      <c r="S54" s="34" t="str">
        <f t="shared" si="1"/>
        <v>Grocery</v>
      </c>
      <c r="T54" s="38">
        <f>VLOOKUP(D54,Products!$A$2:$F$68,4,FALSE)</f>
        <v>2436</v>
      </c>
      <c r="V54" s="13" t="s">
        <v>91</v>
      </c>
      <c r="W54" s="44">
        <f t="shared" si="4"/>
        <v>9173.34</v>
      </c>
      <c r="X54" s="44">
        <f t="shared" si="5"/>
        <v>57</v>
      </c>
    </row>
    <row r="55" spans="1:24" x14ac:dyDescent="0.35">
      <c r="A55" s="13" t="s">
        <v>253</v>
      </c>
      <c r="B55" s="14">
        <v>45428</v>
      </c>
      <c r="C55" s="13" t="s">
        <v>254</v>
      </c>
      <c r="D55" s="13" t="s">
        <v>143</v>
      </c>
      <c r="E55" s="13" t="s">
        <v>192</v>
      </c>
      <c r="F55" s="15">
        <v>10</v>
      </c>
      <c r="G55" s="15">
        <v>3250</v>
      </c>
      <c r="H55" s="15">
        <v>25.5</v>
      </c>
      <c r="I55" s="15">
        <v>24212.5</v>
      </c>
      <c r="J55" s="13" t="s">
        <v>87</v>
      </c>
      <c r="K55" s="13" t="s">
        <v>94</v>
      </c>
      <c r="L55" s="34" t="str">
        <f>VLOOKUP(D55,Products!$A$2:$F$61,3,FALSE)</f>
        <v>Home</v>
      </c>
      <c r="M55" s="34" t="str">
        <f>VLOOKUP(C55,Customers!$A$2:$F$301,5,FALSE)</f>
        <v>Retail</v>
      </c>
      <c r="N55" s="34">
        <f>VLOOKUP(C55,Customers!$A$2:$F$301,3,FALSE)</f>
        <v>24</v>
      </c>
      <c r="O55" s="34" t="str">
        <f>VLOOKUP(E55,Sales_Reps!$A$2:$E$31,3,FALSE)</f>
        <v>East</v>
      </c>
      <c r="P55" s="13" t="s">
        <v>192</v>
      </c>
      <c r="Q55" s="34">
        <f t="shared" si="0"/>
        <v>906107.71000000008</v>
      </c>
      <c r="R55" s="34" t="str">
        <f>VLOOKUP(E55,Sales_Reps!$A$2:$E$100,3,FALSE)</f>
        <v>East</v>
      </c>
      <c r="S55" s="34" t="str">
        <f t="shared" si="1"/>
        <v>Home</v>
      </c>
      <c r="T55" s="38">
        <f>VLOOKUP(D55,Products!$A$2:$F$68,4,FALSE)</f>
        <v>1556</v>
      </c>
      <c r="V55" s="13" t="s">
        <v>200</v>
      </c>
      <c r="W55" s="44">
        <f t="shared" si="4"/>
        <v>90555.6</v>
      </c>
      <c r="X55" s="44">
        <f t="shared" si="5"/>
        <v>32</v>
      </c>
    </row>
    <row r="56" spans="1:24" x14ac:dyDescent="0.35">
      <c r="A56" s="13" t="s">
        <v>255</v>
      </c>
      <c r="B56" s="14">
        <v>45515</v>
      </c>
      <c r="C56" s="13" t="s">
        <v>256</v>
      </c>
      <c r="D56" s="13" t="s">
        <v>237</v>
      </c>
      <c r="E56" s="13" t="s">
        <v>86</v>
      </c>
      <c r="F56" s="15">
        <v>4</v>
      </c>
      <c r="G56" s="15">
        <v>3640</v>
      </c>
      <c r="H56" s="15">
        <v>9.9</v>
      </c>
      <c r="I56" s="15">
        <v>13118.56</v>
      </c>
      <c r="J56" s="13" t="s">
        <v>144</v>
      </c>
      <c r="K56" s="13" t="s">
        <v>133</v>
      </c>
      <c r="L56" s="34" t="str">
        <f>VLOOKUP(D56,Products!$A$2:$F$61,3,FALSE)</f>
        <v>Apparel</v>
      </c>
      <c r="M56" s="34" t="str">
        <f>VLOOKUP(C56,Customers!$A$2:$F$301,5,FALSE)</f>
        <v>Retail</v>
      </c>
      <c r="N56" s="34">
        <f>VLOOKUP(C56,Customers!$A$2:$F$301,3,FALSE)</f>
        <v>27</v>
      </c>
      <c r="O56" s="34" t="str">
        <f>VLOOKUP(E56,Sales_Reps!$A$2:$E$31,3,FALSE)</f>
        <v>North</v>
      </c>
      <c r="P56" s="13" t="s">
        <v>86</v>
      </c>
      <c r="Q56" s="34">
        <f t="shared" si="0"/>
        <v>855749.67999999982</v>
      </c>
      <c r="R56" s="34" t="str">
        <f>VLOOKUP(E56,Sales_Reps!$A$2:$E$100,3,FALSE)</f>
        <v>North</v>
      </c>
      <c r="S56" s="34" t="str">
        <f t="shared" si="1"/>
        <v>Apparel</v>
      </c>
      <c r="T56" s="38">
        <f>VLOOKUP(D56,Products!$A$2:$F$68,4,FALSE)</f>
        <v>2611</v>
      </c>
      <c r="V56" s="13" t="s">
        <v>245</v>
      </c>
      <c r="W56" s="44">
        <f t="shared" si="4"/>
        <v>66299.89</v>
      </c>
      <c r="X56" s="44">
        <f t="shared" si="5"/>
        <v>43</v>
      </c>
    </row>
    <row r="57" spans="1:24" x14ac:dyDescent="0.35">
      <c r="A57" s="13" t="s">
        <v>257</v>
      </c>
      <c r="B57" s="14">
        <v>45649</v>
      </c>
      <c r="C57" s="13" t="s">
        <v>258</v>
      </c>
      <c r="D57" s="13" t="s">
        <v>259</v>
      </c>
      <c r="E57" s="13" t="s">
        <v>154</v>
      </c>
      <c r="F57" s="15">
        <v>4</v>
      </c>
      <c r="G57" s="15">
        <v>1540</v>
      </c>
      <c r="H57" s="15">
        <v>28.8</v>
      </c>
      <c r="I57" s="15">
        <v>4385.92</v>
      </c>
      <c r="J57" s="13" t="s">
        <v>87</v>
      </c>
      <c r="K57" s="13" t="s">
        <v>99</v>
      </c>
      <c r="L57" s="34" t="str">
        <f>VLOOKUP(D57,Products!$A$2:$F$61,3,FALSE)</f>
        <v>Beauty</v>
      </c>
      <c r="M57" s="34" t="str">
        <f>VLOOKUP(C57,Customers!$A$2:$F$301,5,FALSE)</f>
        <v>SMB</v>
      </c>
      <c r="N57" s="34">
        <f>VLOOKUP(C57,Customers!$A$2:$F$301,3,FALSE)</f>
        <v>55</v>
      </c>
      <c r="O57" s="34" t="str">
        <f>VLOOKUP(E57,Sales_Reps!$A$2:$E$31,3,FALSE)</f>
        <v>East</v>
      </c>
      <c r="P57" s="13" t="s">
        <v>154</v>
      </c>
      <c r="Q57" s="34">
        <f t="shared" si="0"/>
        <v>983787.4800000001</v>
      </c>
      <c r="R57" s="34" t="str">
        <f>VLOOKUP(E57,Sales_Reps!$A$2:$E$100,3,FALSE)</f>
        <v>East</v>
      </c>
      <c r="S57" s="34" t="str">
        <f t="shared" si="1"/>
        <v>Beauty</v>
      </c>
      <c r="T57" s="38">
        <f>VLOOKUP(D57,Products!$A$2:$F$68,4,FALSE)</f>
        <v>647</v>
      </c>
      <c r="V57" s="13" t="s">
        <v>367</v>
      </c>
      <c r="W57" s="44">
        <f t="shared" si="4"/>
        <v>84480.48000000001</v>
      </c>
      <c r="X57" s="44">
        <f t="shared" si="5"/>
        <v>36</v>
      </c>
    </row>
    <row r="58" spans="1:24" x14ac:dyDescent="0.35">
      <c r="A58" s="13" t="s">
        <v>260</v>
      </c>
      <c r="B58" s="14">
        <v>45616</v>
      </c>
      <c r="C58" s="13" t="s">
        <v>261</v>
      </c>
      <c r="D58" s="13" t="s">
        <v>164</v>
      </c>
      <c r="E58" s="13" t="s">
        <v>238</v>
      </c>
      <c r="F58" s="15">
        <v>1</v>
      </c>
      <c r="G58" s="15">
        <v>1080</v>
      </c>
      <c r="H58" s="15">
        <v>23</v>
      </c>
      <c r="I58" s="15">
        <v>831.6</v>
      </c>
      <c r="J58" s="13" t="s">
        <v>140</v>
      </c>
      <c r="K58" s="13" t="s">
        <v>99</v>
      </c>
      <c r="L58" s="34" t="str">
        <f>VLOOKUP(D58,Products!$A$2:$F$61,3,FALSE)</f>
        <v>Home</v>
      </c>
      <c r="M58" s="34" t="str">
        <f>VLOOKUP(C58,Customers!$A$2:$F$301,5,FALSE)</f>
        <v>Retail</v>
      </c>
      <c r="N58" s="34">
        <f>VLOOKUP(C58,Customers!$A$2:$F$301,3,FALSE)</f>
        <v>54</v>
      </c>
      <c r="O58" s="34" t="str">
        <f>VLOOKUP(E58,Sales_Reps!$A$2:$E$31,3,FALSE)</f>
        <v>East</v>
      </c>
      <c r="P58" s="13" t="s">
        <v>238</v>
      </c>
      <c r="Q58" s="34">
        <f t="shared" si="0"/>
        <v>780384.40999999992</v>
      </c>
      <c r="R58" s="34" t="str">
        <f>VLOOKUP(E58,Sales_Reps!$A$2:$E$100,3,FALSE)</f>
        <v>East</v>
      </c>
      <c r="S58" s="34" t="str">
        <f t="shared" si="1"/>
        <v>Home</v>
      </c>
      <c r="T58" s="38">
        <f>VLOOKUP(D58,Products!$A$2:$F$68,4,FALSE)</f>
        <v>519</v>
      </c>
      <c r="V58" s="13" t="s">
        <v>131</v>
      </c>
      <c r="W58" s="44">
        <f t="shared" si="4"/>
        <v>77055.150000000009</v>
      </c>
      <c r="X58" s="44">
        <f t="shared" si="5"/>
        <v>38</v>
      </c>
    </row>
    <row r="59" spans="1:24" x14ac:dyDescent="0.35">
      <c r="A59" s="13" t="s">
        <v>262</v>
      </c>
      <c r="B59" s="14">
        <v>45573</v>
      </c>
      <c r="C59" s="13" t="s">
        <v>263</v>
      </c>
      <c r="D59" s="13" t="s">
        <v>264</v>
      </c>
      <c r="E59" s="13" t="s">
        <v>86</v>
      </c>
      <c r="F59" s="15">
        <v>1</v>
      </c>
      <c r="G59" s="15">
        <v>4070</v>
      </c>
      <c r="H59" s="15">
        <v>6.7</v>
      </c>
      <c r="I59" s="15">
        <v>3797.31</v>
      </c>
      <c r="J59" s="13" t="s">
        <v>87</v>
      </c>
      <c r="K59" s="13" t="s">
        <v>133</v>
      </c>
      <c r="L59" s="34" t="str">
        <f>VLOOKUP(D59,Products!$A$2:$F$61,3,FALSE)</f>
        <v>Grocery</v>
      </c>
      <c r="M59" s="34" t="str">
        <f>VLOOKUP(C59,Customers!$A$2:$F$301,5,FALSE)</f>
        <v>Retail</v>
      </c>
      <c r="N59" s="34">
        <f>VLOOKUP(C59,Customers!$A$2:$F$301,3,FALSE)</f>
        <v>53</v>
      </c>
      <c r="O59" s="34" t="str">
        <f>VLOOKUP(E59,Sales_Reps!$A$2:$E$31,3,FALSE)</f>
        <v>North</v>
      </c>
      <c r="P59" s="13" t="s">
        <v>86</v>
      </c>
      <c r="Q59" s="34">
        <f t="shared" si="0"/>
        <v>855749.67999999982</v>
      </c>
      <c r="R59" s="34" t="str">
        <f>VLOOKUP(E59,Sales_Reps!$A$2:$E$100,3,FALSE)</f>
        <v>North</v>
      </c>
      <c r="S59" s="34" t="str">
        <f t="shared" si="1"/>
        <v>Grocery</v>
      </c>
      <c r="T59" s="38">
        <f>VLOOKUP(D59,Products!$A$2:$F$68,4,FALSE)</f>
        <v>2027</v>
      </c>
      <c r="V59" s="13" t="s">
        <v>351</v>
      </c>
      <c r="W59" s="44">
        <f t="shared" si="4"/>
        <v>190994.58000000002</v>
      </c>
      <c r="X59" s="44">
        <f t="shared" si="5"/>
        <v>6</v>
      </c>
    </row>
    <row r="60" spans="1:24" x14ac:dyDescent="0.35">
      <c r="A60" s="13" t="s">
        <v>265</v>
      </c>
      <c r="B60" s="14">
        <v>45417</v>
      </c>
      <c r="C60" s="13" t="s">
        <v>266</v>
      </c>
      <c r="D60" s="13" t="s">
        <v>267</v>
      </c>
      <c r="E60" s="13" t="s">
        <v>170</v>
      </c>
      <c r="F60" s="15">
        <v>2</v>
      </c>
      <c r="G60" s="15">
        <v>1220</v>
      </c>
      <c r="H60" s="15">
        <v>11.7</v>
      </c>
      <c r="I60" s="15">
        <v>2154.52</v>
      </c>
      <c r="J60" s="13" t="s">
        <v>140</v>
      </c>
      <c r="K60" s="13" t="s">
        <v>99</v>
      </c>
      <c r="L60" s="34" t="str">
        <f>VLOOKUP(D60,Products!$A$2:$F$61,3,FALSE)</f>
        <v>Electronics</v>
      </c>
      <c r="M60" s="34" t="str">
        <f>VLOOKUP(C60,Customers!$A$2:$F$301,5,FALSE)</f>
        <v>Corporate</v>
      </c>
      <c r="N60" s="34">
        <f>VLOOKUP(C60,Customers!$A$2:$F$301,3,FALSE)</f>
        <v>55</v>
      </c>
      <c r="O60" s="34" t="str">
        <f>VLOOKUP(E60,Sales_Reps!$A$2:$E$31,3,FALSE)</f>
        <v>West</v>
      </c>
      <c r="P60" s="13" t="s">
        <v>170</v>
      </c>
      <c r="Q60" s="34">
        <f t="shared" si="0"/>
        <v>747624.36999999988</v>
      </c>
      <c r="R60" s="34" t="str">
        <f>VLOOKUP(E60,Sales_Reps!$A$2:$E$100,3,FALSE)</f>
        <v>West</v>
      </c>
      <c r="S60" s="34" t="str">
        <f t="shared" si="1"/>
        <v>Electronics</v>
      </c>
      <c r="T60" s="38">
        <f>VLOOKUP(D60,Products!$A$2:$F$68,4,FALSE)</f>
        <v>517</v>
      </c>
      <c r="V60" s="13" t="s">
        <v>264</v>
      </c>
      <c r="W60" s="44">
        <f t="shared" si="4"/>
        <v>179739.34</v>
      </c>
      <c r="X60" s="44">
        <f t="shared" si="5"/>
        <v>7</v>
      </c>
    </row>
    <row r="61" spans="1:24" x14ac:dyDescent="0.35">
      <c r="A61" s="13" t="s">
        <v>268</v>
      </c>
      <c r="B61" s="14">
        <v>45425</v>
      </c>
      <c r="C61" s="13" t="s">
        <v>269</v>
      </c>
      <c r="D61" s="13" t="s">
        <v>270</v>
      </c>
      <c r="E61" s="13" t="s">
        <v>229</v>
      </c>
      <c r="F61" s="15">
        <v>4</v>
      </c>
      <c r="G61" s="15">
        <v>4610</v>
      </c>
      <c r="H61" s="15">
        <v>26.9</v>
      </c>
      <c r="I61" s="15">
        <v>13479.64</v>
      </c>
      <c r="J61" s="13" t="s">
        <v>93</v>
      </c>
      <c r="K61" s="13" t="s">
        <v>112</v>
      </c>
      <c r="L61" s="34" t="str">
        <f>VLOOKUP(D61,Products!$A$2:$F$61,3,FALSE)</f>
        <v>Home</v>
      </c>
      <c r="M61" s="34" t="str">
        <f>VLOOKUP(C61,Customers!$A$2:$F$301,5,FALSE)</f>
        <v>Retail</v>
      </c>
      <c r="N61" s="34">
        <f>VLOOKUP(C61,Customers!$A$2:$F$301,3,FALSE)</f>
        <v>40</v>
      </c>
      <c r="O61" s="34" t="str">
        <f>VLOOKUP(E61,Sales_Reps!$A$2:$E$31,3,FALSE)</f>
        <v>West</v>
      </c>
      <c r="P61" s="13" t="s">
        <v>229</v>
      </c>
      <c r="Q61" s="34">
        <f t="shared" si="0"/>
        <v>1016696.8000000002</v>
      </c>
      <c r="R61" s="34" t="str">
        <f>VLOOKUP(E61,Sales_Reps!$A$2:$E$100,3,FALSE)</f>
        <v>West</v>
      </c>
      <c r="S61" s="34" t="str">
        <f t="shared" si="1"/>
        <v>Home</v>
      </c>
      <c r="T61" s="38">
        <f>VLOOKUP(D61,Products!$A$2:$F$68,4,FALSE)</f>
        <v>1850</v>
      </c>
      <c r="V61" s="13" t="s">
        <v>234</v>
      </c>
      <c r="W61" s="44">
        <f t="shared" si="4"/>
        <v>39599.279999999999</v>
      </c>
      <c r="X61" s="44">
        <f t="shared" si="5"/>
        <v>47</v>
      </c>
    </row>
    <row r="62" spans="1:24" x14ac:dyDescent="0.35">
      <c r="A62" s="13" t="s">
        <v>271</v>
      </c>
      <c r="B62" s="14">
        <v>45589</v>
      </c>
      <c r="C62" s="13" t="s">
        <v>272</v>
      </c>
      <c r="D62" s="13" t="s">
        <v>164</v>
      </c>
      <c r="E62" s="13" t="s">
        <v>273</v>
      </c>
      <c r="F62" s="15">
        <v>8</v>
      </c>
      <c r="G62" s="15">
        <v>1080</v>
      </c>
      <c r="H62" s="15">
        <v>28.4</v>
      </c>
      <c r="I62" s="15">
        <v>6186.24</v>
      </c>
      <c r="J62" s="13" t="s">
        <v>87</v>
      </c>
      <c r="K62" s="13" t="s">
        <v>94</v>
      </c>
      <c r="L62" s="34" t="str">
        <f>VLOOKUP(D62,Products!$A$2:$F$61,3,FALSE)</f>
        <v>Home</v>
      </c>
      <c r="M62" s="34" t="str">
        <f>VLOOKUP(C62,Customers!$A$2:$F$301,5,FALSE)</f>
        <v>SMB</v>
      </c>
      <c r="N62" s="34">
        <f>VLOOKUP(C62,Customers!$A$2:$F$301,3,FALSE)</f>
        <v>55</v>
      </c>
      <c r="O62" s="34" t="str">
        <f>VLOOKUP(E62,Sales_Reps!$A$2:$E$31,3,FALSE)</f>
        <v>South</v>
      </c>
      <c r="P62" s="13" t="s">
        <v>273</v>
      </c>
      <c r="Q62" s="34">
        <f t="shared" si="0"/>
        <v>735207.75999999989</v>
      </c>
      <c r="R62" s="34" t="str">
        <f>VLOOKUP(E62,Sales_Reps!$A$2:$E$100,3,FALSE)</f>
        <v>South</v>
      </c>
      <c r="S62" s="34" t="str">
        <f t="shared" si="1"/>
        <v>Home</v>
      </c>
      <c r="T62" s="38">
        <f>VLOOKUP(D62,Products!$A$2:$F$68,4,FALSE)</f>
        <v>519</v>
      </c>
      <c r="V62" s="13" t="s">
        <v>102</v>
      </c>
      <c r="W62" s="44">
        <f t="shared" si="4"/>
        <v>112574.28</v>
      </c>
      <c r="X62" s="44">
        <f t="shared" si="5"/>
        <v>19</v>
      </c>
    </row>
    <row r="63" spans="1:24" x14ac:dyDescent="0.35">
      <c r="A63" s="13" t="s">
        <v>274</v>
      </c>
      <c r="B63" s="14">
        <v>45488</v>
      </c>
      <c r="C63" s="13" t="s">
        <v>275</v>
      </c>
      <c r="D63" s="13" t="s">
        <v>276</v>
      </c>
      <c r="E63" s="13" t="s">
        <v>103</v>
      </c>
      <c r="F63" s="15">
        <v>10</v>
      </c>
      <c r="G63" s="15">
        <v>3020</v>
      </c>
      <c r="H63" s="15">
        <v>25.4</v>
      </c>
      <c r="I63" s="15">
        <v>22529.200000000001</v>
      </c>
      <c r="J63" s="13" t="s">
        <v>87</v>
      </c>
      <c r="K63" s="13" t="s">
        <v>88</v>
      </c>
      <c r="L63" s="34" t="str">
        <f>VLOOKUP(D63,Products!$A$2:$F$61,3,FALSE)</f>
        <v>Beauty</v>
      </c>
      <c r="M63" s="34" t="str">
        <f>VLOOKUP(C63,Customers!$A$2:$F$301,5,FALSE)</f>
        <v>Retail</v>
      </c>
      <c r="N63" s="34">
        <f>VLOOKUP(C63,Customers!$A$2:$F$301,3,FALSE)</f>
        <v>44</v>
      </c>
      <c r="O63" s="34" t="str">
        <f>VLOOKUP(E63,Sales_Reps!$A$2:$E$31,3,FALSE)</f>
        <v>North</v>
      </c>
      <c r="P63" s="13" t="s">
        <v>103</v>
      </c>
      <c r="Q63" s="34">
        <f t="shared" si="0"/>
        <v>1138648.73</v>
      </c>
      <c r="R63" s="34" t="str">
        <f>VLOOKUP(E63,Sales_Reps!$A$2:$E$100,3,FALSE)</f>
        <v>North</v>
      </c>
      <c r="S63" s="34" t="str">
        <f t="shared" si="1"/>
        <v>Beauty</v>
      </c>
      <c r="T63" s="38">
        <f>VLOOKUP(D63,Products!$A$2:$F$68,4,FALSE)</f>
        <v>1626</v>
      </c>
      <c r="V63" s="13" t="s">
        <v>338</v>
      </c>
      <c r="W63" s="44">
        <f t="shared" si="4"/>
        <v>118562.08</v>
      </c>
      <c r="X63" s="44">
        <f t="shared" si="5"/>
        <v>18</v>
      </c>
    </row>
    <row r="64" spans="1:24" x14ac:dyDescent="0.35">
      <c r="A64" s="13" t="s">
        <v>277</v>
      </c>
      <c r="B64" s="14">
        <v>45465</v>
      </c>
      <c r="C64" s="13" t="s">
        <v>278</v>
      </c>
      <c r="D64" s="13" t="s">
        <v>279</v>
      </c>
      <c r="E64" s="13" t="s">
        <v>238</v>
      </c>
      <c r="F64" s="15">
        <v>7</v>
      </c>
      <c r="G64" s="15">
        <v>2660</v>
      </c>
      <c r="H64" s="15">
        <v>5.3</v>
      </c>
      <c r="I64" s="15">
        <v>17633.14</v>
      </c>
      <c r="J64" s="13" t="s">
        <v>87</v>
      </c>
      <c r="K64" s="13" t="s">
        <v>133</v>
      </c>
      <c r="L64" s="34" t="str">
        <f>VLOOKUP(D64,Products!$A$2:$F$61,3,FALSE)</f>
        <v>Electronics</v>
      </c>
      <c r="M64" s="34" t="str">
        <f>VLOOKUP(C64,Customers!$A$2:$F$301,5,FALSE)</f>
        <v>Corporate</v>
      </c>
      <c r="N64" s="34">
        <f>VLOOKUP(C64,Customers!$A$2:$F$301,3,FALSE)</f>
        <v>29</v>
      </c>
      <c r="O64" s="34" t="str">
        <f>VLOOKUP(E64,Sales_Reps!$A$2:$E$31,3,FALSE)</f>
        <v>East</v>
      </c>
      <c r="P64" s="13" t="s">
        <v>238</v>
      </c>
      <c r="Q64" s="34">
        <f t="shared" si="0"/>
        <v>780384.40999999992</v>
      </c>
      <c r="R64" s="34" t="str">
        <f>VLOOKUP(E64,Sales_Reps!$A$2:$E$100,3,FALSE)</f>
        <v>East</v>
      </c>
      <c r="S64" s="34" t="str">
        <f t="shared" si="1"/>
        <v>Electronics</v>
      </c>
      <c r="T64" s="38">
        <f>VLOOKUP(D64,Products!$A$2:$F$68,4,FALSE)</f>
        <v>1259</v>
      </c>
      <c r="V64" s="13" t="s">
        <v>127</v>
      </c>
      <c r="W64" s="44">
        <f t="shared" si="4"/>
        <v>37405.14</v>
      </c>
      <c r="X64" s="44">
        <f t="shared" si="5"/>
        <v>49</v>
      </c>
    </row>
    <row r="65" spans="1:24" x14ac:dyDescent="0.35">
      <c r="A65" s="13" t="s">
        <v>280</v>
      </c>
      <c r="B65" s="14">
        <v>45599</v>
      </c>
      <c r="C65" s="13" t="s">
        <v>281</v>
      </c>
      <c r="D65" s="13" t="s">
        <v>282</v>
      </c>
      <c r="E65" s="13" t="s">
        <v>148</v>
      </c>
      <c r="F65" s="15">
        <v>9</v>
      </c>
      <c r="G65" s="15">
        <v>300</v>
      </c>
      <c r="H65" s="15">
        <v>25.3</v>
      </c>
      <c r="I65" s="15">
        <v>2016.9</v>
      </c>
      <c r="J65" s="13" t="s">
        <v>87</v>
      </c>
      <c r="K65" s="13" t="s">
        <v>88</v>
      </c>
      <c r="L65" s="34" t="str">
        <f>VLOOKUP(D65,Products!$A$2:$F$61,3,FALSE)</f>
        <v>Electronics</v>
      </c>
      <c r="M65" s="34" t="str">
        <f>VLOOKUP(C65,Customers!$A$2:$F$301,5,FALSE)</f>
        <v>Retail</v>
      </c>
      <c r="N65" s="34">
        <f>VLOOKUP(C65,Customers!$A$2:$F$301,3,FALSE)</f>
        <v>25</v>
      </c>
      <c r="O65" s="34" t="str">
        <f>VLOOKUP(E65,Sales_Reps!$A$2:$E$31,3,FALSE)</f>
        <v>North</v>
      </c>
      <c r="P65" s="13" t="s">
        <v>148</v>
      </c>
      <c r="Q65" s="34">
        <f t="shared" si="0"/>
        <v>986692.91</v>
      </c>
      <c r="R65" s="34" t="str">
        <f>VLOOKUP(E65,Sales_Reps!$A$2:$E$100,3,FALSE)</f>
        <v>North</v>
      </c>
      <c r="S65" s="34" t="str">
        <f t="shared" si="1"/>
        <v>Electronics</v>
      </c>
      <c r="T65" s="38">
        <f>VLOOKUP(D65,Products!$A$2:$F$68,4,FALSE)</f>
        <v>128</v>
      </c>
      <c r="V65" s="13" t="s">
        <v>226</v>
      </c>
      <c r="W65" s="44">
        <f t="shared" si="4"/>
        <v>102321.36</v>
      </c>
      <c r="X65" s="44">
        <f t="shared" si="5"/>
        <v>27</v>
      </c>
    </row>
    <row r="66" spans="1:24" x14ac:dyDescent="0.35">
      <c r="A66" s="13" t="s">
        <v>283</v>
      </c>
      <c r="B66" s="14">
        <v>45317</v>
      </c>
      <c r="C66" s="13" t="s">
        <v>284</v>
      </c>
      <c r="D66" s="13" t="s">
        <v>135</v>
      </c>
      <c r="E66" s="13" t="s">
        <v>285</v>
      </c>
      <c r="F66" s="15">
        <v>10</v>
      </c>
      <c r="G66" s="15">
        <v>2640</v>
      </c>
      <c r="H66" s="15">
        <v>18.7</v>
      </c>
      <c r="I66" s="15">
        <v>21463.200000000001</v>
      </c>
      <c r="J66" s="13" t="s">
        <v>140</v>
      </c>
      <c r="K66" s="13" t="s">
        <v>94</v>
      </c>
      <c r="L66" s="34" t="str">
        <f>VLOOKUP(D66,Products!$A$2:$F$61,3,FALSE)</f>
        <v>Electronics</v>
      </c>
      <c r="M66" s="34" t="str">
        <f>VLOOKUP(C66,Customers!$A$2:$F$301,5,FALSE)</f>
        <v>Retail</v>
      </c>
      <c r="N66" s="34">
        <f>VLOOKUP(C66,Customers!$A$2:$F$301,3,FALSE)</f>
        <v>28</v>
      </c>
      <c r="O66" s="34" t="str">
        <f>VLOOKUP(E66,Sales_Reps!$A$2:$E$31,3,FALSE)</f>
        <v>East</v>
      </c>
      <c r="P66" s="13" t="s">
        <v>285</v>
      </c>
      <c r="Q66" s="34">
        <f t="shared" si="0"/>
        <v>1069570.5400000003</v>
      </c>
      <c r="R66" s="34" t="str">
        <f>VLOOKUP(E66,Sales_Reps!$A$2:$E$100,3,FALSE)</f>
        <v>East</v>
      </c>
      <c r="S66" s="34" t="str">
        <f t="shared" si="1"/>
        <v>Electronics</v>
      </c>
      <c r="T66" s="38">
        <f>VLOOKUP(D66,Products!$A$2:$F$68,4,FALSE)</f>
        <v>1149</v>
      </c>
      <c r="V66" s="13" t="s">
        <v>110</v>
      </c>
      <c r="W66" s="44">
        <f t="shared" si="4"/>
        <v>20402.170000000002</v>
      </c>
      <c r="X66" s="44">
        <f t="shared" si="5"/>
        <v>53</v>
      </c>
    </row>
    <row r="67" spans="1:24" x14ac:dyDescent="0.35">
      <c r="A67" s="13" t="s">
        <v>286</v>
      </c>
      <c r="B67" s="14">
        <v>45462</v>
      </c>
      <c r="C67" s="13" t="s">
        <v>219</v>
      </c>
      <c r="D67" s="13" t="s">
        <v>91</v>
      </c>
      <c r="E67" s="13" t="s">
        <v>192</v>
      </c>
      <c r="F67" s="15">
        <v>8</v>
      </c>
      <c r="G67" s="15">
        <v>820</v>
      </c>
      <c r="H67" s="15">
        <v>24</v>
      </c>
      <c r="I67" s="15">
        <v>4985.6000000000004</v>
      </c>
      <c r="J67" s="13" t="s">
        <v>87</v>
      </c>
      <c r="K67" s="13" t="s">
        <v>99</v>
      </c>
      <c r="L67" s="34" t="str">
        <f>VLOOKUP(D67,Products!$A$2:$F$61,3,FALSE)</f>
        <v>Apparel</v>
      </c>
      <c r="M67" s="34" t="str">
        <f>VLOOKUP(C67,Customers!$A$2:$F$301,5,FALSE)</f>
        <v>SMB</v>
      </c>
      <c r="N67" s="34">
        <f>VLOOKUP(C67,Customers!$A$2:$F$301,3,FALSE)</f>
        <v>50</v>
      </c>
      <c r="O67" s="34" t="str">
        <f>VLOOKUP(E67,Sales_Reps!$A$2:$E$31,3,FALSE)</f>
        <v>East</v>
      </c>
      <c r="P67" s="13" t="s">
        <v>192</v>
      </c>
      <c r="Q67" s="34">
        <f t="shared" ref="Q67:Q130" si="6">SUMIFS($I:$I,$E:$E,P67)</f>
        <v>906107.71000000008</v>
      </c>
      <c r="R67" s="34" t="str">
        <f>VLOOKUP(E67,Sales_Reps!$A$2:$E$100,3,FALSE)</f>
        <v>East</v>
      </c>
      <c r="S67" s="34" t="str">
        <f t="shared" ref="S67:S130" si="7">L67</f>
        <v>Apparel</v>
      </c>
      <c r="T67" s="38">
        <f>VLOOKUP(D67,Products!$A$2:$F$68,4,FALSE)</f>
        <v>391</v>
      </c>
      <c r="V67" s="13" t="s">
        <v>295</v>
      </c>
      <c r="W67" s="44">
        <f t="shared" si="4"/>
        <v>137585.28</v>
      </c>
      <c r="X67" s="44">
        <f t="shared" si="5"/>
        <v>14</v>
      </c>
    </row>
    <row r="68" spans="1:24" x14ac:dyDescent="0.35">
      <c r="A68" s="13" t="s">
        <v>287</v>
      </c>
      <c r="B68" s="14">
        <v>45499</v>
      </c>
      <c r="C68" s="13" t="s">
        <v>90</v>
      </c>
      <c r="D68" s="13" t="s">
        <v>200</v>
      </c>
      <c r="E68" s="13" t="s">
        <v>128</v>
      </c>
      <c r="F68" s="15">
        <v>1</v>
      </c>
      <c r="G68" s="15">
        <v>2760</v>
      </c>
      <c r="H68" s="15">
        <v>4.8</v>
      </c>
      <c r="I68" s="15">
        <v>2627.52</v>
      </c>
      <c r="J68" s="13" t="s">
        <v>87</v>
      </c>
      <c r="K68" s="13" t="s">
        <v>94</v>
      </c>
      <c r="L68" s="34" t="str">
        <f>VLOOKUP(D68,Products!$A$2:$F$61,3,FALSE)</f>
        <v>Grocery</v>
      </c>
      <c r="M68" s="34" t="str">
        <f>VLOOKUP(C68,Customers!$A$2:$F$301,5,FALSE)</f>
        <v>Retail</v>
      </c>
      <c r="N68" s="34">
        <f>VLOOKUP(C68,Customers!$A$2:$F$301,3,FALSE)</f>
        <v>39</v>
      </c>
      <c r="O68" s="34" t="str">
        <f>VLOOKUP(E68,Sales_Reps!$A$2:$E$31,3,FALSE)</f>
        <v>West</v>
      </c>
      <c r="P68" s="13" t="s">
        <v>128</v>
      </c>
      <c r="Q68" s="34">
        <f t="shared" si="6"/>
        <v>880468.05</v>
      </c>
      <c r="R68" s="34" t="str">
        <f>VLOOKUP(E68,Sales_Reps!$A$2:$E$100,3,FALSE)</f>
        <v>West</v>
      </c>
      <c r="S68" s="34" t="str">
        <f t="shared" si="7"/>
        <v>Grocery</v>
      </c>
      <c r="T68" s="38">
        <f>VLOOKUP(D68,Products!$A$2:$F$68,4,FALSE)</f>
        <v>1435</v>
      </c>
      <c r="V68" s="13" t="s">
        <v>443</v>
      </c>
      <c r="W68" s="44">
        <f t="shared" si="4"/>
        <v>221112.07999999996</v>
      </c>
      <c r="X68" s="44">
        <f t="shared" si="5"/>
        <v>4</v>
      </c>
    </row>
    <row r="69" spans="1:24" x14ac:dyDescent="0.35">
      <c r="A69" s="13" t="s">
        <v>288</v>
      </c>
      <c r="B69" s="14">
        <v>45328</v>
      </c>
      <c r="C69" s="13" t="s">
        <v>289</v>
      </c>
      <c r="D69" s="13" t="s">
        <v>85</v>
      </c>
      <c r="E69" s="13" t="s">
        <v>238</v>
      </c>
      <c r="F69" s="15">
        <v>2</v>
      </c>
      <c r="G69" s="15">
        <v>3620</v>
      </c>
      <c r="H69" s="15">
        <v>19.100000000000001</v>
      </c>
      <c r="I69" s="15">
        <v>5857.16</v>
      </c>
      <c r="J69" s="13" t="s">
        <v>87</v>
      </c>
      <c r="K69" s="13" t="s">
        <v>94</v>
      </c>
      <c r="L69" s="34" t="str">
        <f>VLOOKUP(D69,Products!$A$2:$F$61,3,FALSE)</f>
        <v>Apparel</v>
      </c>
      <c r="M69" s="34" t="str">
        <f>VLOOKUP(C69,Customers!$A$2:$F$301,5,FALSE)</f>
        <v>Retail</v>
      </c>
      <c r="N69" s="34">
        <f>VLOOKUP(C69,Customers!$A$2:$F$301,3,FALSE)</f>
        <v>38</v>
      </c>
      <c r="O69" s="34" t="str">
        <f>VLOOKUP(E69,Sales_Reps!$A$2:$E$31,3,FALSE)</f>
        <v>East</v>
      </c>
      <c r="P69" s="13" t="s">
        <v>238</v>
      </c>
      <c r="Q69" s="34">
        <f t="shared" si="6"/>
        <v>780384.40999999992</v>
      </c>
      <c r="R69" s="34" t="str">
        <f>VLOOKUP(E69,Sales_Reps!$A$2:$E$100,3,FALSE)</f>
        <v>East</v>
      </c>
      <c r="S69" s="34" t="str">
        <f t="shared" si="7"/>
        <v>Apparel</v>
      </c>
      <c r="T69" s="38">
        <f>VLOOKUP(D69,Products!$A$2:$F$68,4,FALSE)</f>
        <v>2509</v>
      </c>
      <c r="V69" s="13" t="s">
        <v>502</v>
      </c>
      <c r="W69" s="44">
        <f t="shared" si="4"/>
        <v>26929.54</v>
      </c>
      <c r="X69" s="44">
        <f t="shared" si="5"/>
        <v>51</v>
      </c>
    </row>
    <row r="70" spans="1:24" x14ac:dyDescent="0.35">
      <c r="A70" s="13" t="s">
        <v>290</v>
      </c>
      <c r="B70" s="14">
        <v>45459</v>
      </c>
      <c r="C70" s="13" t="s">
        <v>291</v>
      </c>
      <c r="D70" s="13" t="s">
        <v>292</v>
      </c>
      <c r="E70" s="13" t="s">
        <v>111</v>
      </c>
      <c r="F70" s="15">
        <v>1</v>
      </c>
      <c r="G70" s="15">
        <v>620</v>
      </c>
      <c r="H70" s="15">
        <v>1</v>
      </c>
      <c r="I70" s="15">
        <v>613.79999999999995</v>
      </c>
      <c r="J70" s="13" t="s">
        <v>87</v>
      </c>
      <c r="K70" s="13" t="s">
        <v>99</v>
      </c>
      <c r="L70" s="34" t="str">
        <f>VLOOKUP(D70,Products!$A$2:$F$61,3,FALSE)</f>
        <v>Apparel</v>
      </c>
      <c r="M70" s="34" t="str">
        <f>VLOOKUP(C70,Customers!$A$2:$F$301,5,FALSE)</f>
        <v>Retail</v>
      </c>
      <c r="N70" s="34">
        <f>VLOOKUP(C70,Customers!$A$2:$F$301,3,FALSE)</f>
        <v>35</v>
      </c>
      <c r="O70" s="34" t="str">
        <f>VLOOKUP(E70,Sales_Reps!$A$2:$E$31,3,FALSE)</f>
        <v>West</v>
      </c>
      <c r="P70" s="13" t="s">
        <v>111</v>
      </c>
      <c r="Q70" s="34">
        <f t="shared" si="6"/>
        <v>901298.89</v>
      </c>
      <c r="R70" s="34" t="str">
        <f>VLOOKUP(E70,Sales_Reps!$A$2:$E$100,3,FALSE)</f>
        <v>West</v>
      </c>
      <c r="S70" s="34" t="str">
        <f t="shared" si="7"/>
        <v>Apparel</v>
      </c>
      <c r="T70" s="38">
        <f>VLOOKUP(D70,Products!$A$2:$F$68,4,FALSE)</f>
        <v>396</v>
      </c>
      <c r="V70" s="13" t="s">
        <v>143</v>
      </c>
      <c r="W70" s="44">
        <f t="shared" si="4"/>
        <v>88426</v>
      </c>
      <c r="X70" s="44">
        <f t="shared" si="5"/>
        <v>33</v>
      </c>
    </row>
    <row r="71" spans="1:24" x14ac:dyDescent="0.35">
      <c r="A71" s="13" t="s">
        <v>293</v>
      </c>
      <c r="B71" s="14">
        <v>45398</v>
      </c>
      <c r="C71" s="13" t="s">
        <v>294</v>
      </c>
      <c r="D71" s="13" t="s">
        <v>295</v>
      </c>
      <c r="E71" s="13" t="s">
        <v>170</v>
      </c>
      <c r="F71" s="15">
        <v>1</v>
      </c>
      <c r="G71" s="15">
        <v>2030</v>
      </c>
      <c r="H71" s="15">
        <v>3.3</v>
      </c>
      <c r="I71" s="15">
        <v>1963.01</v>
      </c>
      <c r="J71" s="13" t="s">
        <v>87</v>
      </c>
      <c r="K71" s="13" t="s">
        <v>133</v>
      </c>
      <c r="L71" s="34" t="str">
        <f>VLOOKUP(D71,Products!$A$2:$F$61,3,FALSE)</f>
        <v>Home</v>
      </c>
      <c r="M71" s="34" t="str">
        <f>VLOOKUP(C71,Customers!$A$2:$F$301,5,FALSE)</f>
        <v>SMB</v>
      </c>
      <c r="N71" s="34">
        <f>VLOOKUP(C71,Customers!$A$2:$F$301,3,FALSE)</f>
        <v>43</v>
      </c>
      <c r="O71" s="34" t="str">
        <f>VLOOKUP(E71,Sales_Reps!$A$2:$E$31,3,FALSE)</f>
        <v>West</v>
      </c>
      <c r="P71" s="13" t="s">
        <v>170</v>
      </c>
      <c r="Q71" s="34">
        <f t="shared" si="6"/>
        <v>747624.36999999988</v>
      </c>
      <c r="R71" s="34" t="str">
        <f>VLOOKUP(E71,Sales_Reps!$A$2:$E$100,3,FALSE)</f>
        <v>West</v>
      </c>
      <c r="S71" s="34" t="str">
        <f t="shared" si="7"/>
        <v>Home</v>
      </c>
      <c r="T71" s="38">
        <f>VLOOKUP(D71,Products!$A$2:$F$68,4,FALSE)</f>
        <v>1143</v>
      </c>
      <c r="V71" s="13" t="s">
        <v>203</v>
      </c>
      <c r="W71" s="44">
        <f t="shared" si="4"/>
        <v>13841.52</v>
      </c>
      <c r="X71" s="44">
        <f t="shared" si="5"/>
        <v>55</v>
      </c>
    </row>
    <row r="72" spans="1:24" x14ac:dyDescent="0.35">
      <c r="A72" s="13" t="s">
        <v>296</v>
      </c>
      <c r="B72" s="14">
        <v>45470</v>
      </c>
      <c r="C72" s="13" t="s">
        <v>105</v>
      </c>
      <c r="D72" s="13" t="s">
        <v>106</v>
      </c>
      <c r="E72" s="13" t="s">
        <v>297</v>
      </c>
      <c r="F72" s="15">
        <v>10</v>
      </c>
      <c r="G72" s="15">
        <v>3160</v>
      </c>
      <c r="H72" s="15">
        <v>15.8</v>
      </c>
      <c r="I72" s="15">
        <v>26607.200000000001</v>
      </c>
      <c r="J72" s="13" t="s">
        <v>87</v>
      </c>
      <c r="K72" s="13" t="s">
        <v>94</v>
      </c>
      <c r="L72" s="34" t="str">
        <f>VLOOKUP(D72,Products!$A$2:$F$61,3,FALSE)</f>
        <v>Apparel</v>
      </c>
      <c r="M72" s="34" t="str">
        <f>VLOOKUP(C72,Customers!$A$2:$F$301,5,FALSE)</f>
        <v>Retail</v>
      </c>
      <c r="N72" s="34">
        <f>VLOOKUP(C72,Customers!$A$2:$F$301,3,FALSE)</f>
        <v>36</v>
      </c>
      <c r="O72" s="34" t="str">
        <f>VLOOKUP(E72,Sales_Reps!$A$2:$E$31,3,FALSE)</f>
        <v>North</v>
      </c>
      <c r="P72" s="13" t="s">
        <v>297</v>
      </c>
      <c r="Q72" s="34">
        <f t="shared" si="6"/>
        <v>980063.65999999968</v>
      </c>
      <c r="R72" s="34" t="str">
        <f>VLOOKUP(E72,Sales_Reps!$A$2:$E$100,3,FALSE)</f>
        <v>North</v>
      </c>
      <c r="S72" s="34" t="str">
        <f t="shared" si="7"/>
        <v>Apparel</v>
      </c>
      <c r="T72" s="38">
        <f>VLOOKUP(D72,Products!$A$2:$F$68,4,FALSE)</f>
        <v>1886</v>
      </c>
      <c r="V72" s="13" t="s">
        <v>124</v>
      </c>
      <c r="W72" s="44">
        <f t="shared" si="4"/>
        <v>119445.93</v>
      </c>
      <c r="X72" s="44">
        <f t="shared" si="5"/>
        <v>17</v>
      </c>
    </row>
    <row r="73" spans="1:24" x14ac:dyDescent="0.35">
      <c r="A73" s="13" t="s">
        <v>298</v>
      </c>
      <c r="B73" s="14">
        <v>45346</v>
      </c>
      <c r="C73" s="13" t="s">
        <v>299</v>
      </c>
      <c r="D73" s="13" t="s">
        <v>127</v>
      </c>
      <c r="E73" s="13" t="s">
        <v>215</v>
      </c>
      <c r="F73" s="15">
        <v>5</v>
      </c>
      <c r="G73" s="15">
        <v>970</v>
      </c>
      <c r="H73" s="15">
        <v>12.2</v>
      </c>
      <c r="I73" s="15">
        <v>4258.3</v>
      </c>
      <c r="J73" s="13" t="s">
        <v>87</v>
      </c>
      <c r="K73" s="13" t="s">
        <v>133</v>
      </c>
      <c r="L73" s="34" t="str">
        <f>VLOOKUP(D73,Products!$A$2:$F$61,3,FALSE)</f>
        <v>Grocery</v>
      </c>
      <c r="M73" s="34" t="str">
        <f>VLOOKUP(C73,Customers!$A$2:$F$301,5,FALSE)</f>
        <v>Retail</v>
      </c>
      <c r="N73" s="34">
        <f>VLOOKUP(C73,Customers!$A$2:$F$301,3,FALSE)</f>
        <v>29</v>
      </c>
      <c r="O73" s="34" t="str">
        <f>VLOOKUP(E73,Sales_Reps!$A$2:$E$31,3,FALSE)</f>
        <v>North</v>
      </c>
      <c r="P73" s="13" t="s">
        <v>215</v>
      </c>
      <c r="Q73" s="34">
        <f t="shared" si="6"/>
        <v>789849.60000000009</v>
      </c>
      <c r="R73" s="34" t="str">
        <f>VLOOKUP(E73,Sales_Reps!$A$2:$E$100,3,FALSE)</f>
        <v>North</v>
      </c>
      <c r="S73" s="34" t="str">
        <f t="shared" si="7"/>
        <v>Grocery</v>
      </c>
      <c r="T73" s="38">
        <f>VLOOKUP(D73,Products!$A$2:$F$68,4,FALSE)</f>
        <v>434</v>
      </c>
      <c r="V73" s="13" t="s">
        <v>270</v>
      </c>
      <c r="W73" s="44">
        <f t="shared" si="4"/>
        <v>177512.66</v>
      </c>
      <c r="X73" s="44">
        <f t="shared" si="5"/>
        <v>8</v>
      </c>
    </row>
    <row r="74" spans="1:24" x14ac:dyDescent="0.35">
      <c r="A74" s="13" t="s">
        <v>300</v>
      </c>
      <c r="B74" s="14">
        <v>45483</v>
      </c>
      <c r="C74" s="13" t="s">
        <v>301</v>
      </c>
      <c r="D74" s="13" t="s">
        <v>179</v>
      </c>
      <c r="E74" s="13" t="s">
        <v>148</v>
      </c>
      <c r="F74" s="15">
        <v>9</v>
      </c>
      <c r="G74" s="15">
        <v>3350</v>
      </c>
      <c r="H74" s="15">
        <v>25.8</v>
      </c>
      <c r="I74" s="15">
        <v>22371.3</v>
      </c>
      <c r="J74" s="13" t="s">
        <v>93</v>
      </c>
      <c r="K74" s="13" t="s">
        <v>94</v>
      </c>
      <c r="L74" s="34" t="str">
        <f>VLOOKUP(D74,Products!$A$2:$F$61,3,FALSE)</f>
        <v>Beauty</v>
      </c>
      <c r="M74" s="34" t="str">
        <f>VLOOKUP(C74,Customers!$A$2:$F$301,5,FALSE)</f>
        <v>Retail</v>
      </c>
      <c r="N74" s="34">
        <f>VLOOKUP(C74,Customers!$A$2:$F$301,3,FALSE)</f>
        <v>41</v>
      </c>
      <c r="O74" s="34" t="str">
        <f>VLOOKUP(E74,Sales_Reps!$A$2:$E$31,3,FALSE)</f>
        <v>North</v>
      </c>
      <c r="P74" s="13" t="s">
        <v>148</v>
      </c>
      <c r="Q74" s="34">
        <f t="shared" si="6"/>
        <v>986692.91</v>
      </c>
      <c r="R74" s="34" t="str">
        <f>VLOOKUP(E74,Sales_Reps!$A$2:$E$100,3,FALSE)</f>
        <v>North</v>
      </c>
      <c r="S74" s="34" t="str">
        <f t="shared" si="7"/>
        <v>Beauty</v>
      </c>
      <c r="T74" s="38">
        <f>VLOOKUP(D74,Products!$A$2:$F$68,4,FALSE)</f>
        <v>1728</v>
      </c>
      <c r="V74" s="13" t="s">
        <v>164</v>
      </c>
      <c r="W74" s="44">
        <f t="shared" si="4"/>
        <v>47831.039999999994</v>
      </c>
      <c r="X74" s="44">
        <f t="shared" si="5"/>
        <v>46</v>
      </c>
    </row>
    <row r="75" spans="1:24" x14ac:dyDescent="0.35">
      <c r="A75" s="13" t="s">
        <v>302</v>
      </c>
      <c r="B75" s="14">
        <v>45585</v>
      </c>
      <c r="C75" s="13" t="s">
        <v>258</v>
      </c>
      <c r="D75" s="13" t="s">
        <v>110</v>
      </c>
      <c r="E75" s="13" t="s">
        <v>303</v>
      </c>
      <c r="F75" s="15">
        <v>1</v>
      </c>
      <c r="G75" s="15">
        <v>370</v>
      </c>
      <c r="H75" s="15">
        <v>28.9</v>
      </c>
      <c r="I75" s="15">
        <v>263.07</v>
      </c>
      <c r="J75" s="13" t="s">
        <v>87</v>
      </c>
      <c r="K75" s="13" t="s">
        <v>99</v>
      </c>
      <c r="L75" s="34" t="str">
        <f>VLOOKUP(D75,Products!$A$2:$F$61,3,FALSE)</f>
        <v>Home</v>
      </c>
      <c r="M75" s="34" t="str">
        <f>VLOOKUP(C75,Customers!$A$2:$F$301,5,FALSE)</f>
        <v>SMB</v>
      </c>
      <c r="N75" s="34">
        <f>VLOOKUP(C75,Customers!$A$2:$F$301,3,FALSE)</f>
        <v>55</v>
      </c>
      <c r="O75" s="34" t="str">
        <f>VLOOKUP(E75,Sales_Reps!$A$2:$E$31,3,FALSE)</f>
        <v>East</v>
      </c>
      <c r="P75" s="13" t="s">
        <v>303</v>
      </c>
      <c r="Q75" s="34">
        <f t="shared" si="6"/>
        <v>1112289.6400000001</v>
      </c>
      <c r="R75" s="34" t="str">
        <f>VLOOKUP(E75,Sales_Reps!$A$2:$E$100,3,FALSE)</f>
        <v>East</v>
      </c>
      <c r="S75" s="34" t="str">
        <f t="shared" si="7"/>
        <v>Home</v>
      </c>
      <c r="T75" s="38">
        <f>VLOOKUP(D75,Products!$A$2:$F$68,4,FALSE)</f>
        <v>288</v>
      </c>
      <c r="V75" s="13" t="s">
        <v>259</v>
      </c>
      <c r="W75" s="44">
        <f t="shared" si="4"/>
        <v>80488.099999999991</v>
      </c>
      <c r="X75" s="44">
        <f t="shared" si="5"/>
        <v>37</v>
      </c>
    </row>
    <row r="76" spans="1:24" x14ac:dyDescent="0.35">
      <c r="A76" s="13" t="s">
        <v>304</v>
      </c>
      <c r="B76" s="14">
        <v>45500</v>
      </c>
      <c r="C76" s="13" t="s">
        <v>305</v>
      </c>
      <c r="D76" s="13" t="s">
        <v>127</v>
      </c>
      <c r="E76" s="13" t="s">
        <v>132</v>
      </c>
      <c r="F76" s="15">
        <v>3</v>
      </c>
      <c r="G76" s="15">
        <v>970</v>
      </c>
      <c r="H76" s="15">
        <v>4.3</v>
      </c>
      <c r="I76" s="15">
        <v>2784.87</v>
      </c>
      <c r="J76" s="13" t="s">
        <v>140</v>
      </c>
      <c r="K76" s="13" t="s">
        <v>133</v>
      </c>
      <c r="L76" s="34" t="str">
        <f>VLOOKUP(D76,Products!$A$2:$F$61,3,FALSE)</f>
        <v>Grocery</v>
      </c>
      <c r="M76" s="34" t="str">
        <f>VLOOKUP(C76,Customers!$A$2:$F$301,5,FALSE)</f>
        <v>Corporate</v>
      </c>
      <c r="N76" s="34">
        <f>VLOOKUP(C76,Customers!$A$2:$F$301,3,FALSE)</f>
        <v>46</v>
      </c>
      <c r="O76" s="34" t="str">
        <f>VLOOKUP(E76,Sales_Reps!$A$2:$E$31,3,FALSE)</f>
        <v>South</v>
      </c>
      <c r="P76" s="13" t="s">
        <v>132</v>
      </c>
      <c r="Q76" s="34">
        <f t="shared" si="6"/>
        <v>880345.20000000007</v>
      </c>
      <c r="R76" s="34" t="str">
        <f>VLOOKUP(E76,Sales_Reps!$A$2:$E$100,3,FALSE)</f>
        <v>South</v>
      </c>
      <c r="S76" s="34" t="str">
        <f t="shared" si="7"/>
        <v>Grocery</v>
      </c>
      <c r="T76" s="38">
        <f>VLOOKUP(D76,Products!$A$2:$F$68,4,FALSE)</f>
        <v>434</v>
      </c>
      <c r="V76" s="13" t="s">
        <v>386</v>
      </c>
      <c r="W76" s="44">
        <f t="shared" si="4"/>
        <v>138799.19000000003</v>
      </c>
      <c r="X76" s="44">
        <f t="shared" si="5"/>
        <v>13</v>
      </c>
    </row>
    <row r="77" spans="1:24" x14ac:dyDescent="0.35">
      <c r="A77" s="13" t="s">
        <v>306</v>
      </c>
      <c r="B77" s="14">
        <v>45375</v>
      </c>
      <c r="C77" s="13" t="s">
        <v>142</v>
      </c>
      <c r="D77" s="13" t="s">
        <v>200</v>
      </c>
      <c r="E77" s="13" t="s">
        <v>285</v>
      </c>
      <c r="F77" s="15">
        <v>6</v>
      </c>
      <c r="G77" s="15">
        <v>2760</v>
      </c>
      <c r="H77" s="15">
        <v>19.899999999999999</v>
      </c>
      <c r="I77" s="15">
        <v>13264.56</v>
      </c>
      <c r="J77" s="13" t="s">
        <v>93</v>
      </c>
      <c r="K77" s="13" t="s">
        <v>88</v>
      </c>
      <c r="L77" s="34" t="str">
        <f>VLOOKUP(D77,Products!$A$2:$F$61,3,FALSE)</f>
        <v>Grocery</v>
      </c>
      <c r="M77" s="34" t="str">
        <f>VLOOKUP(C77,Customers!$A$2:$F$301,5,FALSE)</f>
        <v>SMB</v>
      </c>
      <c r="N77" s="34">
        <f>VLOOKUP(C77,Customers!$A$2:$F$301,3,FALSE)</f>
        <v>39</v>
      </c>
      <c r="O77" s="34" t="str">
        <f>VLOOKUP(E77,Sales_Reps!$A$2:$E$31,3,FALSE)</f>
        <v>East</v>
      </c>
      <c r="P77" s="13" t="s">
        <v>285</v>
      </c>
      <c r="Q77" s="34">
        <f t="shared" si="6"/>
        <v>1069570.5400000003</v>
      </c>
      <c r="R77" s="34" t="str">
        <f>VLOOKUP(E77,Sales_Reps!$A$2:$E$100,3,FALSE)</f>
        <v>East</v>
      </c>
      <c r="S77" s="34" t="str">
        <f t="shared" si="7"/>
        <v>Grocery</v>
      </c>
      <c r="T77" s="38">
        <f>VLOOKUP(D77,Products!$A$2:$F$68,4,FALSE)</f>
        <v>1435</v>
      </c>
      <c r="V77" s="13" t="s">
        <v>179</v>
      </c>
      <c r="W77" s="44">
        <f t="shared" si="4"/>
        <v>104386</v>
      </c>
      <c r="X77" s="44">
        <f t="shared" si="5"/>
        <v>25</v>
      </c>
    </row>
    <row r="78" spans="1:24" x14ac:dyDescent="0.35">
      <c r="A78" s="13" t="s">
        <v>307</v>
      </c>
      <c r="B78" s="14">
        <v>45443</v>
      </c>
      <c r="C78" s="13" t="s">
        <v>308</v>
      </c>
      <c r="D78" s="13" t="s">
        <v>200</v>
      </c>
      <c r="E78" s="13" t="s">
        <v>121</v>
      </c>
      <c r="F78" s="15">
        <v>7</v>
      </c>
      <c r="G78" s="15">
        <v>2760</v>
      </c>
      <c r="H78" s="15">
        <v>25.2</v>
      </c>
      <c r="I78" s="15">
        <v>14451.36</v>
      </c>
      <c r="J78" s="13" t="s">
        <v>87</v>
      </c>
      <c r="K78" s="13" t="s">
        <v>88</v>
      </c>
      <c r="L78" s="34" t="str">
        <f>VLOOKUP(D78,Products!$A$2:$F$61,3,FALSE)</f>
        <v>Grocery</v>
      </c>
      <c r="M78" s="34" t="str">
        <f>VLOOKUP(C78,Customers!$A$2:$F$301,5,FALSE)</f>
        <v>SMB</v>
      </c>
      <c r="N78" s="34">
        <f>VLOOKUP(C78,Customers!$A$2:$F$301,3,FALSE)</f>
        <v>54</v>
      </c>
      <c r="O78" s="34" t="str">
        <f>VLOOKUP(E78,Sales_Reps!$A$2:$E$31,3,FALSE)</f>
        <v>East</v>
      </c>
      <c r="P78" s="13" t="s">
        <v>121</v>
      </c>
      <c r="Q78" s="34">
        <f t="shared" si="6"/>
        <v>971183.52000000014</v>
      </c>
      <c r="R78" s="34" t="str">
        <f>VLOOKUP(E78,Sales_Reps!$A$2:$E$100,3,FALSE)</f>
        <v>East</v>
      </c>
      <c r="S78" s="34" t="str">
        <f t="shared" si="7"/>
        <v>Grocery</v>
      </c>
      <c r="T78" s="38">
        <f>VLOOKUP(D78,Products!$A$2:$F$68,4,FALSE)</f>
        <v>1435</v>
      </c>
      <c r="V78" s="13" t="s">
        <v>176</v>
      </c>
      <c r="W78" s="44">
        <f t="shared" si="4"/>
        <v>68328.149999999994</v>
      </c>
      <c r="X78" s="44">
        <f t="shared" si="5"/>
        <v>41</v>
      </c>
    </row>
    <row r="79" spans="1:24" x14ac:dyDescent="0.35">
      <c r="A79" s="13" t="s">
        <v>309</v>
      </c>
      <c r="B79" s="14">
        <v>45390</v>
      </c>
      <c r="C79" s="13" t="s">
        <v>310</v>
      </c>
      <c r="D79" s="13" t="s">
        <v>267</v>
      </c>
      <c r="E79" s="13" t="s">
        <v>285</v>
      </c>
      <c r="F79" s="15">
        <v>4</v>
      </c>
      <c r="G79" s="15">
        <v>1220</v>
      </c>
      <c r="H79" s="15">
        <v>8.4</v>
      </c>
      <c r="I79" s="15">
        <v>4470.08</v>
      </c>
      <c r="J79" s="13" t="s">
        <v>87</v>
      </c>
      <c r="K79" s="13" t="s">
        <v>117</v>
      </c>
      <c r="L79" s="34" t="str">
        <f>VLOOKUP(D79,Products!$A$2:$F$61,3,FALSE)</f>
        <v>Electronics</v>
      </c>
      <c r="M79" s="34" t="str">
        <f>VLOOKUP(C79,Customers!$A$2:$F$301,5,FALSE)</f>
        <v>Retail</v>
      </c>
      <c r="N79" s="34">
        <f>VLOOKUP(C79,Customers!$A$2:$F$301,3,FALSE)</f>
        <v>42</v>
      </c>
      <c r="O79" s="34" t="str">
        <f>VLOOKUP(E79,Sales_Reps!$A$2:$E$31,3,FALSE)</f>
        <v>East</v>
      </c>
      <c r="P79" s="13" t="s">
        <v>285</v>
      </c>
      <c r="Q79" s="34">
        <f t="shared" si="6"/>
        <v>1069570.5400000003</v>
      </c>
      <c r="R79" s="34" t="str">
        <f>VLOOKUP(E79,Sales_Reps!$A$2:$E$100,3,FALSE)</f>
        <v>East</v>
      </c>
      <c r="S79" s="34" t="str">
        <f t="shared" si="7"/>
        <v>Electronics</v>
      </c>
      <c r="T79" s="38">
        <f>VLOOKUP(D79,Products!$A$2:$F$68,4,FALSE)</f>
        <v>517</v>
      </c>
      <c r="V79" s="13" t="s">
        <v>276</v>
      </c>
      <c r="W79" s="44">
        <f t="shared" si="4"/>
        <v>102894.42000000001</v>
      </c>
      <c r="X79" s="44">
        <f t="shared" si="5"/>
        <v>26</v>
      </c>
    </row>
    <row r="80" spans="1:24" x14ac:dyDescent="0.35">
      <c r="A80" s="13" t="s">
        <v>311</v>
      </c>
      <c r="B80" s="14">
        <v>45615</v>
      </c>
      <c r="C80" s="13" t="s">
        <v>312</v>
      </c>
      <c r="D80" s="13" t="s">
        <v>138</v>
      </c>
      <c r="E80" s="13" t="s">
        <v>128</v>
      </c>
      <c r="F80" s="15">
        <v>2</v>
      </c>
      <c r="G80" s="15">
        <v>2600</v>
      </c>
      <c r="H80" s="15">
        <v>1.9</v>
      </c>
      <c r="I80" s="15">
        <v>5101.2</v>
      </c>
      <c r="J80" s="13" t="s">
        <v>93</v>
      </c>
      <c r="K80" s="13" t="s">
        <v>133</v>
      </c>
      <c r="L80" s="34" t="str">
        <f>VLOOKUP(D80,Products!$A$2:$F$61,3,FALSE)</f>
        <v>Electronics</v>
      </c>
      <c r="M80" s="34" t="str">
        <f>VLOOKUP(C80,Customers!$A$2:$F$301,5,FALSE)</f>
        <v>Retail</v>
      </c>
      <c r="N80" s="34">
        <f>VLOOKUP(C80,Customers!$A$2:$F$301,3,FALSE)</f>
        <v>46</v>
      </c>
      <c r="O80" s="34" t="str">
        <f>VLOOKUP(E80,Sales_Reps!$A$2:$E$31,3,FALSE)</f>
        <v>West</v>
      </c>
      <c r="P80" s="13" t="s">
        <v>128</v>
      </c>
      <c r="Q80" s="34">
        <f t="shared" si="6"/>
        <v>880468.05</v>
      </c>
      <c r="R80" s="34" t="str">
        <f>VLOOKUP(E80,Sales_Reps!$A$2:$E$100,3,FALSE)</f>
        <v>West</v>
      </c>
      <c r="S80" s="34" t="str">
        <f t="shared" si="7"/>
        <v>Electronics</v>
      </c>
      <c r="T80" s="38">
        <f>VLOOKUP(D80,Products!$A$2:$F$68,4,FALSE)</f>
        <v>1052</v>
      </c>
      <c r="V80" s="13" t="s">
        <v>184</v>
      </c>
      <c r="W80" s="44">
        <f t="shared" si="4"/>
        <v>100035.12</v>
      </c>
      <c r="X80" s="44">
        <f t="shared" si="5"/>
        <v>30</v>
      </c>
    </row>
    <row r="81" spans="1:24" x14ac:dyDescent="0.35">
      <c r="A81" s="13" t="s">
        <v>313</v>
      </c>
      <c r="B81" s="14">
        <v>45498</v>
      </c>
      <c r="C81" s="13" t="s">
        <v>314</v>
      </c>
      <c r="D81" s="13" t="s">
        <v>264</v>
      </c>
      <c r="E81" s="13" t="s">
        <v>170</v>
      </c>
      <c r="F81" s="15">
        <v>9</v>
      </c>
      <c r="G81" s="15">
        <v>4070</v>
      </c>
      <c r="H81" s="15">
        <v>28.8</v>
      </c>
      <c r="I81" s="15">
        <v>26080.560000000001</v>
      </c>
      <c r="J81" s="13" t="s">
        <v>87</v>
      </c>
      <c r="K81" s="13" t="s">
        <v>88</v>
      </c>
      <c r="L81" s="34" t="str">
        <f>VLOOKUP(D81,Products!$A$2:$F$61,3,FALSE)</f>
        <v>Grocery</v>
      </c>
      <c r="M81" s="34" t="str">
        <f>VLOOKUP(C81,Customers!$A$2:$F$301,5,FALSE)</f>
        <v>Corporate</v>
      </c>
      <c r="N81" s="34">
        <f>VLOOKUP(C81,Customers!$A$2:$F$301,3,FALSE)</f>
        <v>33</v>
      </c>
      <c r="O81" s="34" t="str">
        <f>VLOOKUP(E81,Sales_Reps!$A$2:$E$31,3,FALSE)</f>
        <v>West</v>
      </c>
      <c r="P81" s="13" t="s">
        <v>170</v>
      </c>
      <c r="Q81" s="34">
        <f t="shared" si="6"/>
        <v>747624.36999999988</v>
      </c>
      <c r="R81" s="34" t="str">
        <f>VLOOKUP(E81,Sales_Reps!$A$2:$E$100,3,FALSE)</f>
        <v>West</v>
      </c>
      <c r="S81" s="34" t="str">
        <f t="shared" si="7"/>
        <v>Grocery</v>
      </c>
      <c r="T81" s="38">
        <f>VLOOKUP(D81,Products!$A$2:$F$68,4,FALSE)</f>
        <v>2027</v>
      </c>
      <c r="V81" s="13" t="s">
        <v>157</v>
      </c>
      <c r="W81" s="44">
        <f t="shared" si="4"/>
        <v>167780.4</v>
      </c>
      <c r="X81" s="44">
        <f t="shared" si="5"/>
        <v>9</v>
      </c>
    </row>
    <row r="82" spans="1:24" x14ac:dyDescent="0.35">
      <c r="A82" s="13" t="s">
        <v>315</v>
      </c>
      <c r="B82" s="14">
        <v>45515</v>
      </c>
      <c r="C82" s="13" t="s">
        <v>316</v>
      </c>
      <c r="D82" s="13" t="s">
        <v>131</v>
      </c>
      <c r="E82" s="13" t="s">
        <v>92</v>
      </c>
      <c r="F82" s="15">
        <v>2</v>
      </c>
      <c r="G82" s="15">
        <v>2270</v>
      </c>
      <c r="H82" s="15">
        <v>18</v>
      </c>
      <c r="I82" s="15">
        <v>3722.8</v>
      </c>
      <c r="J82" s="13" t="s">
        <v>144</v>
      </c>
      <c r="K82" s="13" t="s">
        <v>88</v>
      </c>
      <c r="L82" s="34" t="str">
        <f>VLOOKUP(D82,Products!$A$2:$F$61,3,FALSE)</f>
        <v>Grocery</v>
      </c>
      <c r="M82" s="34" t="str">
        <f>VLOOKUP(C82,Customers!$A$2:$F$301,5,FALSE)</f>
        <v>SMB</v>
      </c>
      <c r="N82" s="34">
        <f>VLOOKUP(C82,Customers!$A$2:$F$301,3,FALSE)</f>
        <v>60</v>
      </c>
      <c r="O82" s="34" t="str">
        <f>VLOOKUP(E82,Sales_Reps!$A$2:$E$31,3,FALSE)</f>
        <v>North</v>
      </c>
      <c r="P82" s="13" t="s">
        <v>92</v>
      </c>
      <c r="Q82" s="34">
        <f t="shared" si="6"/>
        <v>782445.33</v>
      </c>
      <c r="R82" s="34" t="str">
        <f>VLOOKUP(E82,Sales_Reps!$A$2:$E$100,3,FALSE)</f>
        <v>North</v>
      </c>
      <c r="S82" s="34" t="str">
        <f t="shared" si="7"/>
        <v>Grocery</v>
      </c>
      <c r="T82" s="38">
        <f>VLOOKUP(D82,Products!$A$2:$F$68,4,FALSE)</f>
        <v>1203</v>
      </c>
      <c r="V82" s="13" t="s">
        <v>191</v>
      </c>
      <c r="W82" s="44">
        <f t="shared" si="4"/>
        <v>244351.19999999998</v>
      </c>
      <c r="X82" s="44">
        <f t="shared" si="5"/>
        <v>3</v>
      </c>
    </row>
    <row r="83" spans="1:24" x14ac:dyDescent="0.35">
      <c r="A83" s="13" t="s">
        <v>317</v>
      </c>
      <c r="B83" s="14">
        <v>45528</v>
      </c>
      <c r="C83" s="13" t="s">
        <v>318</v>
      </c>
      <c r="D83" s="13" t="s">
        <v>106</v>
      </c>
      <c r="E83" s="13" t="s">
        <v>238</v>
      </c>
      <c r="F83" s="15">
        <v>2</v>
      </c>
      <c r="G83" s="15">
        <v>3160</v>
      </c>
      <c r="H83" s="15">
        <v>18.3</v>
      </c>
      <c r="I83" s="15">
        <v>5163.4399999999996</v>
      </c>
      <c r="J83" s="13" t="s">
        <v>87</v>
      </c>
      <c r="K83" s="13" t="s">
        <v>94</v>
      </c>
      <c r="L83" s="34" t="str">
        <f>VLOOKUP(D83,Products!$A$2:$F$61,3,FALSE)</f>
        <v>Apparel</v>
      </c>
      <c r="M83" s="34" t="str">
        <f>VLOOKUP(C83,Customers!$A$2:$F$301,5,FALSE)</f>
        <v>SMB</v>
      </c>
      <c r="N83" s="34">
        <f>VLOOKUP(C83,Customers!$A$2:$F$301,3,FALSE)</f>
        <v>57</v>
      </c>
      <c r="O83" s="34" t="str">
        <f>VLOOKUP(E83,Sales_Reps!$A$2:$E$31,3,FALSE)</f>
        <v>East</v>
      </c>
      <c r="P83" s="13" t="s">
        <v>238</v>
      </c>
      <c r="Q83" s="34">
        <f t="shared" si="6"/>
        <v>780384.40999999992</v>
      </c>
      <c r="R83" s="34" t="str">
        <f>VLOOKUP(E83,Sales_Reps!$A$2:$E$100,3,FALSE)</f>
        <v>East</v>
      </c>
      <c r="S83" s="34" t="str">
        <f t="shared" si="7"/>
        <v>Apparel</v>
      </c>
      <c r="T83" s="38">
        <f>VLOOKUP(D83,Products!$A$2:$F$68,4,FALSE)</f>
        <v>1886</v>
      </c>
      <c r="V83" s="13" t="s">
        <v>380</v>
      </c>
      <c r="W83" s="44">
        <f t="shared" si="4"/>
        <v>56751.360000000008</v>
      </c>
      <c r="X83" s="44">
        <f t="shared" si="5"/>
        <v>45</v>
      </c>
    </row>
    <row r="84" spans="1:24" x14ac:dyDescent="0.35">
      <c r="A84" s="13" t="s">
        <v>319</v>
      </c>
      <c r="B84" s="14">
        <v>45402</v>
      </c>
      <c r="C84" s="13" t="s">
        <v>320</v>
      </c>
      <c r="D84" s="13" t="s">
        <v>167</v>
      </c>
      <c r="E84" s="13" t="s">
        <v>86</v>
      </c>
      <c r="F84" s="15">
        <v>4</v>
      </c>
      <c r="G84" s="15">
        <v>2480</v>
      </c>
      <c r="H84" s="15">
        <v>1.1000000000000001</v>
      </c>
      <c r="I84" s="15">
        <v>9810.8799999999992</v>
      </c>
      <c r="J84" s="13" t="s">
        <v>93</v>
      </c>
      <c r="K84" s="13" t="s">
        <v>133</v>
      </c>
      <c r="L84" s="34" t="str">
        <f>VLOOKUP(D84,Products!$A$2:$F$61,3,FALSE)</f>
        <v>Apparel</v>
      </c>
      <c r="M84" s="34" t="str">
        <f>VLOOKUP(C84,Customers!$A$2:$F$301,5,FALSE)</f>
        <v>SMB</v>
      </c>
      <c r="N84" s="34">
        <f>VLOOKUP(C84,Customers!$A$2:$F$301,3,FALSE)</f>
        <v>36</v>
      </c>
      <c r="O84" s="34" t="str">
        <f>VLOOKUP(E84,Sales_Reps!$A$2:$E$31,3,FALSE)</f>
        <v>North</v>
      </c>
      <c r="P84" s="13" t="s">
        <v>86</v>
      </c>
      <c r="Q84" s="34">
        <f t="shared" si="6"/>
        <v>855749.67999999982</v>
      </c>
      <c r="R84" s="34" t="str">
        <f>VLOOKUP(E84,Sales_Reps!$A$2:$E$100,3,FALSE)</f>
        <v>North</v>
      </c>
      <c r="S84" s="34" t="str">
        <f t="shared" si="7"/>
        <v>Apparel</v>
      </c>
      <c r="T84" s="38">
        <f>VLOOKUP(D84,Products!$A$2:$F$68,4,FALSE)</f>
        <v>1173</v>
      </c>
      <c r="V84" s="13" t="s">
        <v>241</v>
      </c>
      <c r="W84" s="44">
        <f t="shared" si="4"/>
        <v>124646.07999999999</v>
      </c>
      <c r="X84" s="44">
        <f t="shared" si="5"/>
        <v>15</v>
      </c>
    </row>
    <row r="85" spans="1:24" x14ac:dyDescent="0.35">
      <c r="A85" s="13" t="s">
        <v>321</v>
      </c>
      <c r="B85" s="14">
        <v>45547</v>
      </c>
      <c r="C85" s="13" t="s">
        <v>322</v>
      </c>
      <c r="D85" s="13" t="s">
        <v>279</v>
      </c>
      <c r="E85" s="13" t="s">
        <v>201</v>
      </c>
      <c r="F85" s="15">
        <v>1</v>
      </c>
      <c r="G85" s="15">
        <v>2660</v>
      </c>
      <c r="H85" s="15">
        <v>21</v>
      </c>
      <c r="I85" s="15">
        <v>2101.4</v>
      </c>
      <c r="J85" s="13" t="s">
        <v>87</v>
      </c>
      <c r="K85" s="13" t="s">
        <v>99</v>
      </c>
      <c r="L85" s="34" t="str">
        <f>VLOOKUP(D85,Products!$A$2:$F$61,3,FALSE)</f>
        <v>Electronics</v>
      </c>
      <c r="M85" s="34" t="str">
        <f>VLOOKUP(C85,Customers!$A$2:$F$301,5,FALSE)</f>
        <v>Retail</v>
      </c>
      <c r="N85" s="34">
        <f>VLOOKUP(C85,Customers!$A$2:$F$301,3,FALSE)</f>
        <v>31</v>
      </c>
      <c r="O85" s="34" t="str">
        <f>VLOOKUP(E85,Sales_Reps!$A$2:$E$31,3,FALSE)</f>
        <v>West</v>
      </c>
      <c r="P85" s="13" t="s">
        <v>201</v>
      </c>
      <c r="Q85" s="34">
        <f t="shared" si="6"/>
        <v>576305.08000000019</v>
      </c>
      <c r="R85" s="34" t="str">
        <f>VLOOKUP(E85,Sales_Reps!$A$2:$E$100,3,FALSE)</f>
        <v>West</v>
      </c>
      <c r="S85" s="34" t="str">
        <f t="shared" si="7"/>
        <v>Electronics</v>
      </c>
      <c r="T85" s="38">
        <f>VLOOKUP(D85,Products!$A$2:$F$68,4,FALSE)</f>
        <v>1259</v>
      </c>
      <c r="V85" s="13" t="s">
        <v>161</v>
      </c>
      <c r="W85" s="44">
        <f t="shared" si="4"/>
        <v>109233.90000000001</v>
      </c>
      <c r="X85" s="44">
        <f t="shared" si="5"/>
        <v>21</v>
      </c>
    </row>
    <row r="86" spans="1:24" x14ac:dyDescent="0.35">
      <c r="A86" s="13" t="s">
        <v>323</v>
      </c>
      <c r="B86" s="14">
        <v>45424</v>
      </c>
      <c r="C86" s="13" t="s">
        <v>324</v>
      </c>
      <c r="D86" s="13" t="s">
        <v>276</v>
      </c>
      <c r="E86" s="13" t="s">
        <v>325</v>
      </c>
      <c r="F86" s="15">
        <v>5</v>
      </c>
      <c r="G86" s="15">
        <v>3020</v>
      </c>
      <c r="H86" s="15">
        <v>22.2</v>
      </c>
      <c r="I86" s="15">
        <v>11747.8</v>
      </c>
      <c r="J86" s="13" t="s">
        <v>87</v>
      </c>
      <c r="K86" s="13" t="s">
        <v>133</v>
      </c>
      <c r="L86" s="34" t="str">
        <f>VLOOKUP(D86,Products!$A$2:$F$61,3,FALSE)</f>
        <v>Beauty</v>
      </c>
      <c r="M86" s="34" t="str">
        <f>VLOOKUP(C86,Customers!$A$2:$F$301,5,FALSE)</f>
        <v>Retail</v>
      </c>
      <c r="N86" s="34">
        <f>VLOOKUP(C86,Customers!$A$2:$F$301,3,FALSE)</f>
        <v>28</v>
      </c>
      <c r="O86" s="34" t="str">
        <f>VLOOKUP(E86,Sales_Reps!$A$2:$E$31,3,FALSE)</f>
        <v>South</v>
      </c>
      <c r="P86" s="13" t="s">
        <v>325</v>
      </c>
      <c r="Q86" s="34">
        <f t="shared" si="6"/>
        <v>901394.32000000007</v>
      </c>
      <c r="R86" s="34" t="str">
        <f>VLOOKUP(E86,Sales_Reps!$A$2:$E$100,3,FALSE)</f>
        <v>South</v>
      </c>
      <c r="S86" s="34" t="str">
        <f t="shared" si="7"/>
        <v>Beauty</v>
      </c>
      <c r="T86" s="38">
        <f>VLOOKUP(D86,Products!$A$2:$F$68,4,FALSE)</f>
        <v>1626</v>
      </c>
      <c r="V86" s="13" t="s">
        <v>360</v>
      </c>
      <c r="W86" s="44">
        <f t="shared" si="4"/>
        <v>74614.720000000001</v>
      </c>
      <c r="X86" s="44">
        <f t="shared" si="5"/>
        <v>39</v>
      </c>
    </row>
    <row r="87" spans="1:24" x14ac:dyDescent="0.35">
      <c r="A87" s="13" t="s">
        <v>326</v>
      </c>
      <c r="B87" s="14">
        <v>45461</v>
      </c>
      <c r="C87" s="13" t="s">
        <v>194</v>
      </c>
      <c r="D87" s="13" t="s">
        <v>292</v>
      </c>
      <c r="E87" s="13" t="s">
        <v>170</v>
      </c>
      <c r="F87" s="15">
        <v>9</v>
      </c>
      <c r="G87" s="15">
        <v>620</v>
      </c>
      <c r="H87" s="15">
        <v>23.3</v>
      </c>
      <c r="I87" s="15">
        <v>4279.8599999999997</v>
      </c>
      <c r="J87" s="13" t="s">
        <v>87</v>
      </c>
      <c r="K87" s="13" t="s">
        <v>88</v>
      </c>
      <c r="L87" s="34" t="str">
        <f>VLOOKUP(D87,Products!$A$2:$F$61,3,FALSE)</f>
        <v>Apparel</v>
      </c>
      <c r="M87" s="34" t="str">
        <f>VLOOKUP(C87,Customers!$A$2:$F$301,5,FALSE)</f>
        <v>SMB</v>
      </c>
      <c r="N87" s="34">
        <f>VLOOKUP(C87,Customers!$A$2:$F$301,3,FALSE)</f>
        <v>44</v>
      </c>
      <c r="O87" s="34" t="str">
        <f>VLOOKUP(E87,Sales_Reps!$A$2:$E$31,3,FALSE)</f>
        <v>West</v>
      </c>
      <c r="P87" s="13" t="s">
        <v>170</v>
      </c>
      <c r="Q87" s="34">
        <f t="shared" si="6"/>
        <v>747624.36999999988</v>
      </c>
      <c r="R87" s="34" t="str">
        <f>VLOOKUP(E87,Sales_Reps!$A$2:$E$100,3,FALSE)</f>
        <v>West</v>
      </c>
      <c r="S87" s="34" t="str">
        <f t="shared" si="7"/>
        <v>Apparel</v>
      </c>
      <c r="T87" s="38">
        <f>VLOOKUP(D87,Products!$A$2:$F$68,4,FALSE)</f>
        <v>396</v>
      </c>
      <c r="V87" s="13" t="s">
        <v>97</v>
      </c>
      <c r="W87" s="44">
        <f t="shared" si="4"/>
        <v>21160.81</v>
      </c>
      <c r="X87" s="44">
        <f t="shared" si="5"/>
        <v>52</v>
      </c>
    </row>
    <row r="88" spans="1:24" x14ac:dyDescent="0.35">
      <c r="A88" s="13" t="s">
        <v>327</v>
      </c>
      <c r="B88" s="14">
        <v>45600</v>
      </c>
      <c r="C88" s="13" t="s">
        <v>328</v>
      </c>
      <c r="D88" s="13" t="s">
        <v>97</v>
      </c>
      <c r="E88" s="13" t="s">
        <v>201</v>
      </c>
      <c r="F88" s="15">
        <v>2</v>
      </c>
      <c r="G88" s="15">
        <v>470</v>
      </c>
      <c r="H88" s="15">
        <v>5.4</v>
      </c>
      <c r="I88" s="15">
        <v>889.24</v>
      </c>
      <c r="J88" s="13" t="s">
        <v>87</v>
      </c>
      <c r="K88" s="13" t="s">
        <v>94</v>
      </c>
      <c r="L88" s="34" t="str">
        <f>VLOOKUP(D88,Products!$A$2:$F$61,3,FALSE)</f>
        <v>Sports</v>
      </c>
      <c r="M88" s="34" t="str">
        <f>VLOOKUP(C88,Customers!$A$2:$F$301,5,FALSE)</f>
        <v>Retail</v>
      </c>
      <c r="N88" s="34">
        <f>VLOOKUP(C88,Customers!$A$2:$F$301,3,FALSE)</f>
        <v>28</v>
      </c>
      <c r="O88" s="34" t="str">
        <f>VLOOKUP(E88,Sales_Reps!$A$2:$E$31,3,FALSE)</f>
        <v>West</v>
      </c>
      <c r="P88" s="13" t="s">
        <v>201</v>
      </c>
      <c r="Q88" s="34">
        <f t="shared" si="6"/>
        <v>576305.08000000019</v>
      </c>
      <c r="R88" s="34" t="str">
        <f>VLOOKUP(E88,Sales_Reps!$A$2:$E$100,3,FALSE)</f>
        <v>West</v>
      </c>
      <c r="S88" s="34" t="str">
        <f t="shared" si="7"/>
        <v>Sports</v>
      </c>
      <c r="T88" s="38">
        <f>VLOOKUP(D88,Products!$A$2:$F$68,4,FALSE)</f>
        <v>302</v>
      </c>
      <c r="V88" s="13" t="s">
        <v>182</v>
      </c>
      <c r="W88" s="44">
        <f t="shared" si="4"/>
        <v>19529.36</v>
      </c>
      <c r="X88" s="44">
        <f t="shared" si="5"/>
        <v>54</v>
      </c>
    </row>
    <row r="89" spans="1:24" x14ac:dyDescent="0.35">
      <c r="A89" s="13" t="s">
        <v>329</v>
      </c>
      <c r="B89" s="14">
        <v>45587</v>
      </c>
      <c r="C89" s="13" t="s">
        <v>172</v>
      </c>
      <c r="D89" s="13" t="s">
        <v>120</v>
      </c>
      <c r="E89" s="13" t="s">
        <v>132</v>
      </c>
      <c r="F89" s="15">
        <v>3</v>
      </c>
      <c r="G89" s="15">
        <v>1430</v>
      </c>
      <c r="H89" s="15">
        <v>6.5</v>
      </c>
      <c r="I89" s="15">
        <v>4011.15</v>
      </c>
      <c r="J89" s="13" t="s">
        <v>87</v>
      </c>
      <c r="K89" s="13" t="s">
        <v>88</v>
      </c>
      <c r="L89" s="34" t="str">
        <f>VLOOKUP(D89,Products!$A$2:$F$61,3,FALSE)</f>
        <v>Electronics</v>
      </c>
      <c r="M89" s="34" t="str">
        <f>VLOOKUP(C89,Customers!$A$2:$F$301,5,FALSE)</f>
        <v>Retail</v>
      </c>
      <c r="N89" s="34">
        <f>VLOOKUP(C89,Customers!$A$2:$F$301,3,FALSE)</f>
        <v>50</v>
      </c>
      <c r="O89" s="34" t="str">
        <f>VLOOKUP(E89,Sales_Reps!$A$2:$E$31,3,FALSE)</f>
        <v>South</v>
      </c>
      <c r="P89" s="13" t="s">
        <v>132</v>
      </c>
      <c r="Q89" s="34">
        <f t="shared" si="6"/>
        <v>880345.20000000007</v>
      </c>
      <c r="R89" s="34" t="str">
        <f>VLOOKUP(E89,Sales_Reps!$A$2:$E$100,3,FALSE)</f>
        <v>South</v>
      </c>
      <c r="S89" s="34" t="str">
        <f t="shared" si="7"/>
        <v>Electronics</v>
      </c>
      <c r="T89" s="38">
        <f>VLOOKUP(D89,Products!$A$2:$F$68,4,FALSE)</f>
        <v>861</v>
      </c>
      <c r="V89" s="13" t="s">
        <v>195</v>
      </c>
      <c r="W89" s="44">
        <f t="shared" si="4"/>
        <v>109566.6</v>
      </c>
      <c r="X89" s="44">
        <f t="shared" si="5"/>
        <v>20</v>
      </c>
    </row>
    <row r="90" spans="1:24" x14ac:dyDescent="0.35">
      <c r="A90" s="13" t="s">
        <v>330</v>
      </c>
      <c r="B90" s="14">
        <v>45518</v>
      </c>
      <c r="C90" s="13" t="s">
        <v>331</v>
      </c>
      <c r="D90" s="13" t="s">
        <v>292</v>
      </c>
      <c r="E90" s="13" t="s">
        <v>139</v>
      </c>
      <c r="F90" s="15">
        <v>6</v>
      </c>
      <c r="G90" s="15">
        <v>620</v>
      </c>
      <c r="H90" s="15">
        <v>2.6</v>
      </c>
      <c r="I90" s="15">
        <v>3623.28</v>
      </c>
      <c r="J90" s="13" t="s">
        <v>87</v>
      </c>
      <c r="K90" s="13" t="s">
        <v>117</v>
      </c>
      <c r="L90" s="34" t="str">
        <f>VLOOKUP(D90,Products!$A$2:$F$61,3,FALSE)</f>
        <v>Apparel</v>
      </c>
      <c r="M90" s="34" t="str">
        <f>VLOOKUP(C90,Customers!$A$2:$F$301,5,FALSE)</f>
        <v>Corporate</v>
      </c>
      <c r="N90" s="34">
        <f>VLOOKUP(C90,Customers!$A$2:$F$301,3,FALSE)</f>
        <v>59</v>
      </c>
      <c r="O90" s="34" t="str">
        <f>VLOOKUP(E90,Sales_Reps!$A$2:$E$31,3,FALSE)</f>
        <v>North</v>
      </c>
      <c r="P90" s="13" t="s">
        <v>139</v>
      </c>
      <c r="Q90" s="34">
        <f t="shared" si="6"/>
        <v>589026.2899999998</v>
      </c>
      <c r="R90" s="34" t="str">
        <f>VLOOKUP(E90,Sales_Reps!$A$2:$E$100,3,FALSE)</f>
        <v>North</v>
      </c>
      <c r="S90" s="34" t="str">
        <f t="shared" si="7"/>
        <v>Apparel</v>
      </c>
      <c r="T90" s="38">
        <f>VLOOKUP(D90,Products!$A$2:$F$68,4,FALSE)</f>
        <v>396</v>
      </c>
      <c r="V90" s="13" t="s">
        <v>515</v>
      </c>
      <c r="W90" s="44">
        <f t="shared" si="4"/>
        <v>260395.73999999996</v>
      </c>
      <c r="X90" s="44">
        <f t="shared" si="5"/>
        <v>1</v>
      </c>
    </row>
    <row r="91" spans="1:24" x14ac:dyDescent="0.35">
      <c r="A91" s="13" t="s">
        <v>332</v>
      </c>
      <c r="B91" s="14">
        <v>45533</v>
      </c>
      <c r="C91" s="13" t="s">
        <v>333</v>
      </c>
      <c r="D91" s="13" t="s">
        <v>187</v>
      </c>
      <c r="E91" s="13" t="s">
        <v>325</v>
      </c>
      <c r="F91" s="15">
        <v>4</v>
      </c>
      <c r="G91" s="15">
        <v>3570</v>
      </c>
      <c r="H91" s="15">
        <v>4.5</v>
      </c>
      <c r="I91" s="15">
        <v>13637.4</v>
      </c>
      <c r="J91" s="13" t="s">
        <v>93</v>
      </c>
      <c r="K91" s="13" t="s">
        <v>133</v>
      </c>
      <c r="L91" s="34" t="str">
        <f>VLOOKUP(D91,Products!$A$2:$F$61,3,FALSE)</f>
        <v>Electronics</v>
      </c>
      <c r="M91" s="34" t="str">
        <f>VLOOKUP(C91,Customers!$A$2:$F$301,5,FALSE)</f>
        <v>SMB</v>
      </c>
      <c r="N91" s="34">
        <f>VLOOKUP(C91,Customers!$A$2:$F$301,3,FALSE)</f>
        <v>65</v>
      </c>
      <c r="O91" s="34" t="str">
        <f>VLOOKUP(E91,Sales_Reps!$A$2:$E$31,3,FALSE)</f>
        <v>South</v>
      </c>
      <c r="P91" s="13" t="s">
        <v>325</v>
      </c>
      <c r="Q91" s="34">
        <f t="shared" si="6"/>
        <v>901394.32000000007</v>
      </c>
      <c r="R91" s="34" t="str">
        <f>VLOOKUP(E91,Sales_Reps!$A$2:$E$100,3,FALSE)</f>
        <v>South</v>
      </c>
      <c r="S91" s="34" t="str">
        <f t="shared" si="7"/>
        <v>Electronics</v>
      </c>
      <c r="T91" s="38">
        <f>VLOOKUP(D91,Products!$A$2:$F$68,4,FALSE)</f>
        <v>1665</v>
      </c>
      <c r="V91" s="13" t="s">
        <v>115</v>
      </c>
      <c r="W91" s="44">
        <f t="shared" si="4"/>
        <v>32451.840000000004</v>
      </c>
      <c r="X91" s="44">
        <f t="shared" si="5"/>
        <v>50</v>
      </c>
    </row>
    <row r="92" spans="1:24" x14ac:dyDescent="0.35">
      <c r="A92" s="13" t="s">
        <v>334</v>
      </c>
      <c r="B92" s="14">
        <v>45622</v>
      </c>
      <c r="C92" s="13" t="s">
        <v>305</v>
      </c>
      <c r="D92" s="13" t="s">
        <v>245</v>
      </c>
      <c r="E92" s="13" t="s">
        <v>132</v>
      </c>
      <c r="F92" s="15">
        <v>6</v>
      </c>
      <c r="G92" s="15">
        <v>2270</v>
      </c>
      <c r="H92" s="15">
        <v>2</v>
      </c>
      <c r="I92" s="15">
        <v>13347.6</v>
      </c>
      <c r="J92" s="13" t="s">
        <v>87</v>
      </c>
      <c r="K92" s="13" t="s">
        <v>133</v>
      </c>
      <c r="L92" s="34" t="str">
        <f>VLOOKUP(D92,Products!$A$2:$F$61,3,FALSE)</f>
        <v>Grocery</v>
      </c>
      <c r="M92" s="34" t="str">
        <f>VLOOKUP(C92,Customers!$A$2:$F$301,5,FALSE)</f>
        <v>Corporate</v>
      </c>
      <c r="N92" s="34">
        <f>VLOOKUP(C92,Customers!$A$2:$F$301,3,FALSE)</f>
        <v>46</v>
      </c>
      <c r="O92" s="34" t="str">
        <f>VLOOKUP(E92,Sales_Reps!$A$2:$E$31,3,FALSE)</f>
        <v>South</v>
      </c>
      <c r="P92" s="13" t="s">
        <v>132</v>
      </c>
      <c r="Q92" s="34">
        <f t="shared" si="6"/>
        <v>880345.20000000007</v>
      </c>
      <c r="R92" s="34" t="str">
        <f>VLOOKUP(E92,Sales_Reps!$A$2:$E$100,3,FALSE)</f>
        <v>South</v>
      </c>
      <c r="S92" s="34" t="str">
        <f t="shared" si="7"/>
        <v>Grocery</v>
      </c>
      <c r="T92" s="38">
        <f>VLOOKUP(D92,Products!$A$2:$F$68,4,FALSE)</f>
        <v>1412</v>
      </c>
      <c r="V92" s="13" t="s">
        <v>151</v>
      </c>
      <c r="W92" s="44">
        <f t="shared" si="4"/>
        <v>71772</v>
      </c>
      <c r="X92" s="44">
        <f t="shared" si="5"/>
        <v>40</v>
      </c>
    </row>
    <row r="93" spans="1:24" x14ac:dyDescent="0.35">
      <c r="A93" s="13" t="s">
        <v>335</v>
      </c>
      <c r="B93" s="14">
        <v>45328</v>
      </c>
      <c r="C93" s="13" t="s">
        <v>336</v>
      </c>
      <c r="D93" s="13" t="s">
        <v>173</v>
      </c>
      <c r="E93" s="13" t="s">
        <v>98</v>
      </c>
      <c r="F93" s="15">
        <v>7</v>
      </c>
      <c r="G93" s="15">
        <v>2720</v>
      </c>
      <c r="H93" s="15">
        <v>15.4</v>
      </c>
      <c r="I93" s="15">
        <v>16107.84</v>
      </c>
      <c r="J93" s="13" t="s">
        <v>87</v>
      </c>
      <c r="K93" s="13" t="s">
        <v>112</v>
      </c>
      <c r="L93" s="34" t="str">
        <f>VLOOKUP(D93,Products!$A$2:$F$61,3,FALSE)</f>
        <v>Apparel</v>
      </c>
      <c r="M93" s="34" t="str">
        <f>VLOOKUP(C93,Customers!$A$2:$F$301,5,FALSE)</f>
        <v>Retail</v>
      </c>
      <c r="N93" s="34">
        <f>VLOOKUP(C93,Customers!$A$2:$F$301,3,FALSE)</f>
        <v>49</v>
      </c>
      <c r="O93" s="34" t="str">
        <f>VLOOKUP(E93,Sales_Reps!$A$2:$E$31,3,FALSE)</f>
        <v>South</v>
      </c>
      <c r="P93" s="13" t="s">
        <v>98</v>
      </c>
      <c r="Q93" s="34">
        <f t="shared" si="6"/>
        <v>995713.54000000015</v>
      </c>
      <c r="R93" s="34" t="str">
        <f>VLOOKUP(E93,Sales_Reps!$A$2:$E$100,3,FALSE)</f>
        <v>South</v>
      </c>
      <c r="S93" s="34" t="str">
        <f t="shared" si="7"/>
        <v>Apparel</v>
      </c>
      <c r="T93" s="38">
        <f>VLOOKUP(D93,Products!$A$2:$F$68,4,FALSE)</f>
        <v>1962</v>
      </c>
      <c r="V93" s="13" t="s">
        <v>461</v>
      </c>
      <c r="W93" s="44">
        <f t="shared" si="4"/>
        <v>150054.66</v>
      </c>
      <c r="X93" s="44">
        <f t="shared" si="5"/>
        <v>11</v>
      </c>
    </row>
    <row r="94" spans="1:24" x14ac:dyDescent="0.35">
      <c r="A94" s="13" t="s">
        <v>337</v>
      </c>
      <c r="B94" s="14">
        <v>45380</v>
      </c>
      <c r="C94" s="13" t="s">
        <v>289</v>
      </c>
      <c r="D94" s="13" t="s">
        <v>338</v>
      </c>
      <c r="E94" s="13" t="s">
        <v>215</v>
      </c>
      <c r="F94" s="15">
        <v>9</v>
      </c>
      <c r="G94" s="15">
        <v>2210</v>
      </c>
      <c r="H94" s="15">
        <v>12.4</v>
      </c>
      <c r="I94" s="15">
        <v>17423.64</v>
      </c>
      <c r="J94" s="13" t="s">
        <v>87</v>
      </c>
      <c r="K94" s="13" t="s">
        <v>94</v>
      </c>
      <c r="L94" s="34" t="str">
        <f>VLOOKUP(D94,Products!$A$2:$F$61,3,FALSE)</f>
        <v>Grocery</v>
      </c>
      <c r="M94" s="34" t="str">
        <f>VLOOKUP(C94,Customers!$A$2:$F$301,5,FALSE)</f>
        <v>Retail</v>
      </c>
      <c r="N94" s="34">
        <f>VLOOKUP(C94,Customers!$A$2:$F$301,3,FALSE)</f>
        <v>38</v>
      </c>
      <c r="O94" s="34" t="str">
        <f>VLOOKUP(E94,Sales_Reps!$A$2:$E$31,3,FALSE)</f>
        <v>North</v>
      </c>
      <c r="P94" s="13" t="s">
        <v>215</v>
      </c>
      <c r="Q94" s="34">
        <f t="shared" si="6"/>
        <v>789849.60000000009</v>
      </c>
      <c r="R94" s="34" t="str">
        <f>VLOOKUP(E94,Sales_Reps!$A$2:$E$100,3,FALSE)</f>
        <v>North</v>
      </c>
      <c r="S94" s="34" t="str">
        <f t="shared" si="7"/>
        <v>Grocery</v>
      </c>
      <c r="T94" s="38">
        <f>VLOOKUP(D94,Products!$A$2:$F$68,4,FALSE)</f>
        <v>1010</v>
      </c>
      <c r="V94" s="13" t="s">
        <v>147</v>
      </c>
      <c r="W94" s="44">
        <f t="shared" si="4"/>
        <v>7838.26</v>
      </c>
      <c r="X94" s="44">
        <f t="shared" si="5"/>
        <v>58</v>
      </c>
    </row>
    <row r="95" spans="1:24" x14ac:dyDescent="0.35">
      <c r="A95" s="13" t="s">
        <v>339</v>
      </c>
      <c r="B95" s="14">
        <v>45648</v>
      </c>
      <c r="C95" s="13" t="s">
        <v>340</v>
      </c>
      <c r="D95" s="13" t="s">
        <v>147</v>
      </c>
      <c r="E95" s="13" t="s">
        <v>201</v>
      </c>
      <c r="F95" s="15">
        <v>6</v>
      </c>
      <c r="G95" s="15">
        <v>190</v>
      </c>
      <c r="H95" s="15">
        <v>19.2</v>
      </c>
      <c r="I95" s="15">
        <v>921.12</v>
      </c>
      <c r="J95" s="13" t="s">
        <v>87</v>
      </c>
      <c r="K95" s="13" t="s">
        <v>88</v>
      </c>
      <c r="L95" s="34" t="str">
        <f>VLOOKUP(D95,Products!$A$2:$F$61,3,FALSE)</f>
        <v>Sports</v>
      </c>
      <c r="M95" s="34" t="str">
        <f>VLOOKUP(C95,Customers!$A$2:$F$301,5,FALSE)</f>
        <v>Retail</v>
      </c>
      <c r="N95" s="34">
        <f>VLOOKUP(C95,Customers!$A$2:$F$301,3,FALSE)</f>
        <v>25</v>
      </c>
      <c r="O95" s="34" t="str">
        <f>VLOOKUP(E95,Sales_Reps!$A$2:$E$31,3,FALSE)</f>
        <v>West</v>
      </c>
      <c r="P95" s="13" t="s">
        <v>201</v>
      </c>
      <c r="Q95" s="34">
        <f t="shared" si="6"/>
        <v>576305.08000000019</v>
      </c>
      <c r="R95" s="34" t="str">
        <f>VLOOKUP(E95,Sales_Reps!$A$2:$E$100,3,FALSE)</f>
        <v>West</v>
      </c>
      <c r="S95" s="34" t="str">
        <f t="shared" si="7"/>
        <v>Sports</v>
      </c>
      <c r="T95" s="38">
        <f>VLOOKUP(D95,Products!$A$2:$F$68,4,FALSE)</f>
        <v>147</v>
      </c>
      <c r="W95" s="44">
        <f t="shared" si="4"/>
        <v>0</v>
      </c>
      <c r="X95" s="44"/>
    </row>
    <row r="96" spans="1:24" x14ac:dyDescent="0.35">
      <c r="A96" s="13" t="s">
        <v>341</v>
      </c>
      <c r="B96" s="14">
        <v>45607</v>
      </c>
      <c r="C96" s="13" t="s">
        <v>342</v>
      </c>
      <c r="D96" s="13" t="s">
        <v>191</v>
      </c>
      <c r="E96" s="13" t="s">
        <v>343</v>
      </c>
      <c r="F96" s="15">
        <v>10</v>
      </c>
      <c r="G96" s="15">
        <v>5100</v>
      </c>
      <c r="H96" s="15">
        <v>25.4</v>
      </c>
      <c r="I96" s="15">
        <v>38046</v>
      </c>
      <c r="J96" s="13" t="s">
        <v>144</v>
      </c>
      <c r="K96" s="13" t="s">
        <v>94</v>
      </c>
      <c r="L96" s="34" t="str">
        <f>VLOOKUP(D96,Products!$A$2:$F$61,3,FALSE)</f>
        <v>Beauty</v>
      </c>
      <c r="M96" s="34" t="str">
        <f>VLOOKUP(C96,Customers!$A$2:$F$301,5,FALSE)</f>
        <v>Retail</v>
      </c>
      <c r="N96" s="34">
        <f>VLOOKUP(C96,Customers!$A$2:$F$301,3,FALSE)</f>
        <v>26</v>
      </c>
      <c r="O96" s="34" t="str">
        <f>VLOOKUP(E96,Sales_Reps!$A$2:$E$31,3,FALSE)</f>
        <v>West</v>
      </c>
      <c r="P96" s="13" t="s">
        <v>343</v>
      </c>
      <c r="Q96" s="34">
        <f t="shared" si="6"/>
        <v>917092.61999999965</v>
      </c>
      <c r="R96" s="34" t="str">
        <f>VLOOKUP(E96,Sales_Reps!$A$2:$E$100,3,FALSE)</f>
        <v>West</v>
      </c>
      <c r="S96" s="34" t="str">
        <f t="shared" si="7"/>
        <v>Beauty</v>
      </c>
      <c r="T96" s="38">
        <f>VLOOKUP(D96,Products!$A$2:$F$68,4,FALSE)</f>
        <v>2237</v>
      </c>
    </row>
    <row r="97" spans="1:20" x14ac:dyDescent="0.35">
      <c r="A97" s="13" t="s">
        <v>344</v>
      </c>
      <c r="B97" s="14">
        <v>45414</v>
      </c>
      <c r="C97" s="13" t="s">
        <v>345</v>
      </c>
      <c r="D97" s="13" t="s">
        <v>182</v>
      </c>
      <c r="E97" s="13" t="s">
        <v>346</v>
      </c>
      <c r="F97" s="15">
        <v>5</v>
      </c>
      <c r="G97" s="15">
        <v>1010</v>
      </c>
      <c r="H97" s="15">
        <v>1.6</v>
      </c>
      <c r="I97" s="15">
        <v>4969.2</v>
      </c>
      <c r="J97" s="13" t="s">
        <v>87</v>
      </c>
      <c r="K97" s="13" t="s">
        <v>94</v>
      </c>
      <c r="L97" s="34" t="str">
        <f>VLOOKUP(D97,Products!$A$2:$F$61,3,FALSE)</f>
        <v>Sports</v>
      </c>
      <c r="M97" s="34" t="str">
        <f>VLOOKUP(C97,Customers!$A$2:$F$301,5,FALSE)</f>
        <v>Corporate</v>
      </c>
      <c r="N97" s="34">
        <f>VLOOKUP(C97,Customers!$A$2:$F$301,3,FALSE)</f>
        <v>38</v>
      </c>
      <c r="O97" s="34" t="str">
        <f>VLOOKUP(E97,Sales_Reps!$A$2:$E$31,3,FALSE)</f>
        <v>South</v>
      </c>
      <c r="P97" s="13" t="s">
        <v>346</v>
      </c>
      <c r="Q97" s="34">
        <f t="shared" si="6"/>
        <v>814563.7100000002</v>
      </c>
      <c r="R97" s="34" t="str">
        <f>VLOOKUP(E97,Sales_Reps!$A$2:$E$100,3,FALSE)</f>
        <v>South</v>
      </c>
      <c r="S97" s="34" t="str">
        <f t="shared" si="7"/>
        <v>Sports</v>
      </c>
      <c r="T97" s="38">
        <f>VLOOKUP(D97,Products!$A$2:$F$68,4,FALSE)</f>
        <v>516</v>
      </c>
    </row>
    <row r="98" spans="1:20" x14ac:dyDescent="0.35">
      <c r="A98" s="13" t="s">
        <v>347</v>
      </c>
      <c r="B98" s="14">
        <v>45328</v>
      </c>
      <c r="C98" s="13" t="s">
        <v>263</v>
      </c>
      <c r="D98" s="13" t="s">
        <v>226</v>
      </c>
      <c r="E98" s="13" t="s">
        <v>111</v>
      </c>
      <c r="F98" s="15">
        <v>1</v>
      </c>
      <c r="G98" s="15">
        <v>3730</v>
      </c>
      <c r="H98" s="15">
        <v>22.7</v>
      </c>
      <c r="I98" s="15">
        <v>2883.29</v>
      </c>
      <c r="J98" s="13" t="s">
        <v>87</v>
      </c>
      <c r="K98" s="13" t="s">
        <v>133</v>
      </c>
      <c r="L98" s="34" t="str">
        <f>VLOOKUP(D98,Products!$A$2:$F$61,3,FALSE)</f>
        <v>Home</v>
      </c>
      <c r="M98" s="34" t="str">
        <f>VLOOKUP(C98,Customers!$A$2:$F$301,5,FALSE)</f>
        <v>Retail</v>
      </c>
      <c r="N98" s="34">
        <f>VLOOKUP(C98,Customers!$A$2:$F$301,3,FALSE)</f>
        <v>53</v>
      </c>
      <c r="O98" s="34" t="str">
        <f>VLOOKUP(E98,Sales_Reps!$A$2:$E$31,3,FALSE)</f>
        <v>West</v>
      </c>
      <c r="P98" s="13" t="s">
        <v>111</v>
      </c>
      <c r="Q98" s="34">
        <f t="shared" si="6"/>
        <v>901298.89</v>
      </c>
      <c r="R98" s="34" t="str">
        <f>VLOOKUP(E98,Sales_Reps!$A$2:$E$100,3,FALSE)</f>
        <v>West</v>
      </c>
      <c r="S98" s="34" t="str">
        <f t="shared" si="7"/>
        <v>Home</v>
      </c>
      <c r="T98" s="38">
        <f>VLOOKUP(D98,Products!$A$2:$F$68,4,FALSE)</f>
        <v>2135</v>
      </c>
    </row>
    <row r="99" spans="1:20" x14ac:dyDescent="0.35">
      <c r="A99" s="13" t="s">
        <v>348</v>
      </c>
      <c r="B99" s="14">
        <v>45373</v>
      </c>
      <c r="C99" s="13" t="s">
        <v>301</v>
      </c>
      <c r="D99" s="13" t="s">
        <v>138</v>
      </c>
      <c r="E99" s="13" t="s">
        <v>128</v>
      </c>
      <c r="F99" s="15">
        <v>10</v>
      </c>
      <c r="G99" s="15">
        <v>2600</v>
      </c>
      <c r="H99" s="15">
        <v>20.7</v>
      </c>
      <c r="I99" s="15">
        <v>20618</v>
      </c>
      <c r="J99" s="13" t="s">
        <v>87</v>
      </c>
      <c r="K99" s="13" t="s">
        <v>94</v>
      </c>
      <c r="L99" s="34" t="str">
        <f>VLOOKUP(D99,Products!$A$2:$F$61,3,FALSE)</f>
        <v>Electronics</v>
      </c>
      <c r="M99" s="34" t="str">
        <f>VLOOKUP(C99,Customers!$A$2:$F$301,5,FALSE)</f>
        <v>Retail</v>
      </c>
      <c r="N99" s="34">
        <f>VLOOKUP(C99,Customers!$A$2:$F$301,3,FALSE)</f>
        <v>41</v>
      </c>
      <c r="O99" s="34" t="str">
        <f>VLOOKUP(E99,Sales_Reps!$A$2:$E$31,3,FALSE)</f>
        <v>West</v>
      </c>
      <c r="P99" s="13" t="s">
        <v>128</v>
      </c>
      <c r="Q99" s="34">
        <f t="shared" si="6"/>
        <v>880468.05</v>
      </c>
      <c r="R99" s="34" t="str">
        <f>VLOOKUP(E99,Sales_Reps!$A$2:$E$100,3,FALSE)</f>
        <v>West</v>
      </c>
      <c r="S99" s="34" t="str">
        <f t="shared" si="7"/>
        <v>Electronics</v>
      </c>
      <c r="T99" s="38">
        <f>VLOOKUP(D99,Products!$A$2:$F$68,4,FALSE)</f>
        <v>1052</v>
      </c>
    </row>
    <row r="100" spans="1:20" x14ac:dyDescent="0.35">
      <c r="A100" s="13" t="s">
        <v>349</v>
      </c>
      <c r="B100" s="14">
        <v>45458</v>
      </c>
      <c r="C100" s="13" t="s">
        <v>350</v>
      </c>
      <c r="D100" s="13" t="s">
        <v>351</v>
      </c>
      <c r="E100" s="13" t="s">
        <v>103</v>
      </c>
      <c r="F100" s="15">
        <v>4</v>
      </c>
      <c r="G100" s="15">
        <v>4060</v>
      </c>
      <c r="H100" s="15">
        <v>13.9</v>
      </c>
      <c r="I100" s="15">
        <v>13982.64</v>
      </c>
      <c r="J100" s="13" t="s">
        <v>87</v>
      </c>
      <c r="K100" s="13" t="s">
        <v>112</v>
      </c>
      <c r="L100" s="34" t="str">
        <f>VLOOKUP(D100,Products!$A$2:$F$61,3,FALSE)</f>
        <v>Grocery</v>
      </c>
      <c r="M100" s="34" t="str">
        <f>VLOOKUP(C100,Customers!$A$2:$F$301,5,FALSE)</f>
        <v>SMB</v>
      </c>
      <c r="N100" s="34">
        <f>VLOOKUP(C100,Customers!$A$2:$F$301,3,FALSE)</f>
        <v>22</v>
      </c>
      <c r="O100" s="34" t="str">
        <f>VLOOKUP(E100,Sales_Reps!$A$2:$E$31,3,FALSE)</f>
        <v>North</v>
      </c>
      <c r="P100" s="13" t="s">
        <v>103</v>
      </c>
      <c r="Q100" s="34">
        <f t="shared" si="6"/>
        <v>1138648.73</v>
      </c>
      <c r="R100" s="34" t="str">
        <f>VLOOKUP(E100,Sales_Reps!$A$2:$E$100,3,FALSE)</f>
        <v>North</v>
      </c>
      <c r="S100" s="34" t="str">
        <f t="shared" si="7"/>
        <v>Grocery</v>
      </c>
      <c r="T100" s="38">
        <f>VLOOKUP(D100,Products!$A$2:$F$68,4,FALSE)</f>
        <v>2911</v>
      </c>
    </row>
    <row r="101" spans="1:20" x14ac:dyDescent="0.35">
      <c r="A101" s="13" t="s">
        <v>352</v>
      </c>
      <c r="B101" s="14">
        <v>45426</v>
      </c>
      <c r="C101" s="13" t="s">
        <v>353</v>
      </c>
      <c r="D101" s="13" t="s">
        <v>241</v>
      </c>
      <c r="E101" s="13" t="s">
        <v>343</v>
      </c>
      <c r="F101" s="15">
        <v>6</v>
      </c>
      <c r="G101" s="15">
        <v>6080</v>
      </c>
      <c r="H101" s="15">
        <v>16.5</v>
      </c>
      <c r="I101" s="15">
        <v>30460.799999999999</v>
      </c>
      <c r="J101" s="13" t="s">
        <v>87</v>
      </c>
      <c r="K101" s="13" t="s">
        <v>94</v>
      </c>
      <c r="L101" s="34" t="str">
        <f>VLOOKUP(D101,Products!$A$2:$F$61,3,FALSE)</f>
        <v>Beauty</v>
      </c>
      <c r="M101" s="34" t="str">
        <f>VLOOKUP(C101,Customers!$A$2:$F$301,5,FALSE)</f>
        <v>Retail</v>
      </c>
      <c r="N101" s="34">
        <f>VLOOKUP(C101,Customers!$A$2:$F$301,3,FALSE)</f>
        <v>60</v>
      </c>
      <c r="O101" s="34" t="str">
        <f>VLOOKUP(E101,Sales_Reps!$A$2:$E$31,3,FALSE)</f>
        <v>West</v>
      </c>
      <c r="P101" s="13" t="s">
        <v>343</v>
      </c>
      <c r="Q101" s="34">
        <f t="shared" si="6"/>
        <v>917092.61999999965</v>
      </c>
      <c r="R101" s="34" t="str">
        <f>VLOOKUP(E101,Sales_Reps!$A$2:$E$100,3,FALSE)</f>
        <v>West</v>
      </c>
      <c r="S101" s="34" t="str">
        <f t="shared" si="7"/>
        <v>Beauty</v>
      </c>
      <c r="T101" s="38">
        <f>VLOOKUP(D101,Products!$A$2:$F$68,4,FALSE)</f>
        <v>2617</v>
      </c>
    </row>
    <row r="102" spans="1:20" x14ac:dyDescent="0.35">
      <c r="A102" s="13" t="s">
        <v>354</v>
      </c>
      <c r="B102" s="14">
        <v>45557</v>
      </c>
      <c r="C102" s="13" t="s">
        <v>194</v>
      </c>
      <c r="D102" s="13" t="s">
        <v>355</v>
      </c>
      <c r="E102" s="13" t="s">
        <v>128</v>
      </c>
      <c r="F102" s="15">
        <v>6</v>
      </c>
      <c r="G102" s="15">
        <v>2510</v>
      </c>
      <c r="H102" s="15">
        <v>11.7</v>
      </c>
      <c r="I102" s="15">
        <v>13297.98</v>
      </c>
      <c r="J102" s="13" t="s">
        <v>87</v>
      </c>
      <c r="K102" s="13" t="s">
        <v>88</v>
      </c>
      <c r="L102" s="34" t="str">
        <f>VLOOKUP(D102,Products!$A$2:$F$61,3,FALSE)</f>
        <v>Apparel</v>
      </c>
      <c r="M102" s="34" t="str">
        <f>VLOOKUP(C102,Customers!$A$2:$F$301,5,FALSE)</f>
        <v>SMB</v>
      </c>
      <c r="N102" s="34">
        <f>VLOOKUP(C102,Customers!$A$2:$F$301,3,FALSE)</f>
        <v>44</v>
      </c>
      <c r="O102" s="34" t="str">
        <f>VLOOKUP(E102,Sales_Reps!$A$2:$E$31,3,FALSE)</f>
        <v>West</v>
      </c>
      <c r="P102" s="13" t="s">
        <v>128</v>
      </c>
      <c r="Q102" s="34">
        <f t="shared" si="6"/>
        <v>880468.05</v>
      </c>
      <c r="R102" s="34" t="str">
        <f>VLOOKUP(E102,Sales_Reps!$A$2:$E$100,3,FALSE)</f>
        <v>West</v>
      </c>
      <c r="S102" s="34" t="str">
        <f t="shared" si="7"/>
        <v>Apparel</v>
      </c>
      <c r="T102" s="38">
        <f>VLOOKUP(D102,Products!$A$2:$F$68,4,FALSE)</f>
        <v>1075</v>
      </c>
    </row>
    <row r="103" spans="1:20" x14ac:dyDescent="0.35">
      <c r="A103" s="13" t="s">
        <v>356</v>
      </c>
      <c r="B103" s="14">
        <v>45509</v>
      </c>
      <c r="C103" s="13" t="s">
        <v>357</v>
      </c>
      <c r="D103" s="13" t="s">
        <v>143</v>
      </c>
      <c r="E103" s="13" t="s">
        <v>201</v>
      </c>
      <c r="F103" s="15">
        <v>5</v>
      </c>
      <c r="G103" s="15">
        <v>3250</v>
      </c>
      <c r="H103" s="15">
        <v>18.399999999999999</v>
      </c>
      <c r="I103" s="15">
        <v>13260</v>
      </c>
      <c r="J103" s="13" t="s">
        <v>87</v>
      </c>
      <c r="K103" s="13" t="s">
        <v>99</v>
      </c>
      <c r="L103" s="34" t="str">
        <f>VLOOKUP(D103,Products!$A$2:$F$61,3,FALSE)</f>
        <v>Home</v>
      </c>
      <c r="M103" s="34" t="str">
        <f>VLOOKUP(C103,Customers!$A$2:$F$301,5,FALSE)</f>
        <v>SMB</v>
      </c>
      <c r="N103" s="34">
        <f>VLOOKUP(C103,Customers!$A$2:$F$301,3,FALSE)</f>
        <v>38</v>
      </c>
      <c r="O103" s="34" t="str">
        <f>VLOOKUP(E103,Sales_Reps!$A$2:$E$31,3,FALSE)</f>
        <v>West</v>
      </c>
      <c r="P103" s="13" t="s">
        <v>201</v>
      </c>
      <c r="Q103" s="34">
        <f t="shared" si="6"/>
        <v>576305.08000000019</v>
      </c>
      <c r="R103" s="34" t="str">
        <f>VLOOKUP(E103,Sales_Reps!$A$2:$E$100,3,FALSE)</f>
        <v>West</v>
      </c>
      <c r="S103" s="34" t="str">
        <f t="shared" si="7"/>
        <v>Home</v>
      </c>
      <c r="T103" s="38">
        <f>VLOOKUP(D103,Products!$A$2:$F$68,4,FALSE)</f>
        <v>1556</v>
      </c>
    </row>
    <row r="104" spans="1:20" x14ac:dyDescent="0.35">
      <c r="A104" s="13" t="s">
        <v>358</v>
      </c>
      <c r="B104" s="14">
        <v>45329</v>
      </c>
      <c r="C104" s="13" t="s">
        <v>359</v>
      </c>
      <c r="D104" s="13" t="s">
        <v>360</v>
      </c>
      <c r="E104" s="13" t="s">
        <v>92</v>
      </c>
      <c r="F104" s="15">
        <v>4</v>
      </c>
      <c r="G104" s="15">
        <v>5410</v>
      </c>
      <c r="H104" s="15">
        <v>9.8000000000000007</v>
      </c>
      <c r="I104" s="15">
        <v>19519.28</v>
      </c>
      <c r="J104" s="13" t="s">
        <v>140</v>
      </c>
      <c r="K104" s="13" t="s">
        <v>99</v>
      </c>
      <c r="L104" s="34" t="str">
        <f>VLOOKUP(D104,Products!$A$2:$F$61,3,FALSE)</f>
        <v>Sports</v>
      </c>
      <c r="M104" s="34" t="str">
        <f>VLOOKUP(C104,Customers!$A$2:$F$301,5,FALSE)</f>
        <v>SMB</v>
      </c>
      <c r="N104" s="34">
        <f>VLOOKUP(C104,Customers!$A$2:$F$301,3,FALSE)</f>
        <v>28</v>
      </c>
      <c r="O104" s="34" t="str">
        <f>VLOOKUP(E104,Sales_Reps!$A$2:$E$31,3,FALSE)</f>
        <v>North</v>
      </c>
      <c r="P104" s="13" t="s">
        <v>92</v>
      </c>
      <c r="Q104" s="34">
        <f t="shared" si="6"/>
        <v>782445.33</v>
      </c>
      <c r="R104" s="34" t="str">
        <f>VLOOKUP(E104,Sales_Reps!$A$2:$E$100,3,FALSE)</f>
        <v>North</v>
      </c>
      <c r="S104" s="34" t="str">
        <f t="shared" si="7"/>
        <v>Sports</v>
      </c>
      <c r="T104" s="38">
        <f>VLOOKUP(D104,Products!$A$2:$F$68,4,FALSE)</f>
        <v>2265</v>
      </c>
    </row>
    <row r="105" spans="1:20" x14ac:dyDescent="0.35">
      <c r="A105" s="13" t="s">
        <v>361</v>
      </c>
      <c r="B105" s="14">
        <v>45411</v>
      </c>
      <c r="C105" s="13" t="s">
        <v>362</v>
      </c>
      <c r="D105" s="13" t="s">
        <v>187</v>
      </c>
      <c r="E105" s="13" t="s">
        <v>303</v>
      </c>
      <c r="F105" s="15">
        <v>8</v>
      </c>
      <c r="G105" s="15">
        <v>3570</v>
      </c>
      <c r="H105" s="15">
        <v>11.1</v>
      </c>
      <c r="I105" s="15">
        <v>25389.84</v>
      </c>
      <c r="J105" s="13" t="s">
        <v>87</v>
      </c>
      <c r="K105" s="13" t="s">
        <v>94</v>
      </c>
      <c r="L105" s="34" t="str">
        <f>VLOOKUP(D105,Products!$A$2:$F$61,3,FALSE)</f>
        <v>Electronics</v>
      </c>
      <c r="M105" s="34" t="str">
        <f>VLOOKUP(C105,Customers!$A$2:$F$301,5,FALSE)</f>
        <v>Corporate</v>
      </c>
      <c r="N105" s="34">
        <f>VLOOKUP(C105,Customers!$A$2:$F$301,3,FALSE)</f>
        <v>51</v>
      </c>
      <c r="O105" s="34" t="str">
        <f>VLOOKUP(E105,Sales_Reps!$A$2:$E$31,3,FALSE)</f>
        <v>East</v>
      </c>
      <c r="P105" s="13" t="s">
        <v>303</v>
      </c>
      <c r="Q105" s="34">
        <f t="shared" si="6"/>
        <v>1112289.6400000001</v>
      </c>
      <c r="R105" s="34" t="str">
        <f>VLOOKUP(E105,Sales_Reps!$A$2:$E$100,3,FALSE)</f>
        <v>East</v>
      </c>
      <c r="S105" s="34" t="str">
        <f t="shared" si="7"/>
        <v>Electronics</v>
      </c>
      <c r="T105" s="38">
        <f>VLOOKUP(D105,Products!$A$2:$F$68,4,FALSE)</f>
        <v>1665</v>
      </c>
    </row>
    <row r="106" spans="1:20" x14ac:dyDescent="0.35">
      <c r="A106" s="13" t="s">
        <v>363</v>
      </c>
      <c r="B106" s="14">
        <v>45297</v>
      </c>
      <c r="C106" s="13" t="s">
        <v>350</v>
      </c>
      <c r="D106" s="13" t="s">
        <v>364</v>
      </c>
      <c r="E106" s="13" t="s">
        <v>148</v>
      </c>
      <c r="F106" s="15">
        <v>10</v>
      </c>
      <c r="G106" s="15">
        <v>5330</v>
      </c>
      <c r="H106" s="15">
        <v>21.2</v>
      </c>
      <c r="I106" s="15">
        <v>42000.4</v>
      </c>
      <c r="J106" s="13" t="s">
        <v>87</v>
      </c>
      <c r="K106" s="13" t="s">
        <v>112</v>
      </c>
      <c r="L106" s="34" t="str">
        <f>VLOOKUP(D106,Products!$A$2:$F$61,3,FALSE)</f>
        <v>Electronics</v>
      </c>
      <c r="M106" s="34" t="str">
        <f>VLOOKUP(C106,Customers!$A$2:$F$301,5,FALSE)</f>
        <v>SMB</v>
      </c>
      <c r="N106" s="34">
        <f>VLOOKUP(C106,Customers!$A$2:$F$301,3,FALSE)</f>
        <v>22</v>
      </c>
      <c r="O106" s="34" t="str">
        <f>VLOOKUP(E106,Sales_Reps!$A$2:$E$31,3,FALSE)</f>
        <v>North</v>
      </c>
      <c r="P106" s="13" t="s">
        <v>148</v>
      </c>
      <c r="Q106" s="34">
        <f t="shared" si="6"/>
        <v>986692.91</v>
      </c>
      <c r="R106" s="34" t="str">
        <f>VLOOKUP(E106,Sales_Reps!$A$2:$E$100,3,FALSE)</f>
        <v>North</v>
      </c>
      <c r="S106" s="34" t="str">
        <f t="shared" si="7"/>
        <v>Electronics</v>
      </c>
      <c r="T106" s="38">
        <f>VLOOKUP(D106,Products!$A$2:$F$68,4,FALSE)</f>
        <v>2405</v>
      </c>
    </row>
    <row r="107" spans="1:20" x14ac:dyDescent="0.35">
      <c r="A107" s="13" t="s">
        <v>365</v>
      </c>
      <c r="B107" s="14">
        <v>45640</v>
      </c>
      <c r="C107" s="13" t="s">
        <v>366</v>
      </c>
      <c r="D107" s="13" t="s">
        <v>367</v>
      </c>
      <c r="E107" s="13" t="s">
        <v>238</v>
      </c>
      <c r="F107" s="15">
        <v>4</v>
      </c>
      <c r="G107" s="15">
        <v>2380</v>
      </c>
      <c r="H107" s="15">
        <v>26.2</v>
      </c>
      <c r="I107" s="15">
        <v>7025.76</v>
      </c>
      <c r="J107" s="13" t="s">
        <v>87</v>
      </c>
      <c r="K107" s="13" t="s">
        <v>112</v>
      </c>
      <c r="L107" s="34" t="str">
        <f>VLOOKUP(D107,Products!$A$2:$F$61,3,FALSE)</f>
        <v>Grocery</v>
      </c>
      <c r="M107" s="34" t="str">
        <f>VLOOKUP(C107,Customers!$A$2:$F$301,5,FALSE)</f>
        <v>Retail</v>
      </c>
      <c r="N107" s="34">
        <f>VLOOKUP(C107,Customers!$A$2:$F$301,3,FALSE)</f>
        <v>25</v>
      </c>
      <c r="O107" s="34" t="str">
        <f>VLOOKUP(E107,Sales_Reps!$A$2:$E$31,3,FALSE)</f>
        <v>East</v>
      </c>
      <c r="P107" s="13" t="s">
        <v>238</v>
      </c>
      <c r="Q107" s="34">
        <f t="shared" si="6"/>
        <v>780384.40999999992</v>
      </c>
      <c r="R107" s="34" t="str">
        <f>VLOOKUP(E107,Sales_Reps!$A$2:$E$100,3,FALSE)</f>
        <v>East</v>
      </c>
      <c r="S107" s="34" t="str">
        <f t="shared" si="7"/>
        <v>Grocery</v>
      </c>
      <c r="T107" s="38">
        <f>VLOOKUP(D107,Products!$A$2:$F$68,4,FALSE)</f>
        <v>1182</v>
      </c>
    </row>
    <row r="108" spans="1:20" x14ac:dyDescent="0.35">
      <c r="A108" s="13" t="s">
        <v>368</v>
      </c>
      <c r="B108" s="14">
        <v>45322</v>
      </c>
      <c r="C108" s="13" t="s">
        <v>369</v>
      </c>
      <c r="D108" s="13" t="s">
        <v>182</v>
      </c>
      <c r="E108" s="13" t="s">
        <v>343</v>
      </c>
      <c r="F108" s="15">
        <v>1</v>
      </c>
      <c r="G108" s="15">
        <v>1010</v>
      </c>
      <c r="H108" s="15">
        <v>19.5</v>
      </c>
      <c r="I108" s="15">
        <v>813.05</v>
      </c>
      <c r="J108" s="13" t="s">
        <v>140</v>
      </c>
      <c r="K108" s="13" t="s">
        <v>94</v>
      </c>
      <c r="L108" s="34" t="str">
        <f>VLOOKUP(D108,Products!$A$2:$F$61,3,FALSE)</f>
        <v>Sports</v>
      </c>
      <c r="M108" s="34" t="str">
        <f>VLOOKUP(C108,Customers!$A$2:$F$301,5,FALSE)</f>
        <v>SMB</v>
      </c>
      <c r="N108" s="34">
        <f>VLOOKUP(C108,Customers!$A$2:$F$301,3,FALSE)</f>
        <v>62</v>
      </c>
      <c r="O108" s="34" t="str">
        <f>VLOOKUP(E108,Sales_Reps!$A$2:$E$31,3,FALSE)</f>
        <v>West</v>
      </c>
      <c r="P108" s="13" t="s">
        <v>343</v>
      </c>
      <c r="Q108" s="34">
        <f t="shared" si="6"/>
        <v>917092.61999999965</v>
      </c>
      <c r="R108" s="34" t="str">
        <f>VLOOKUP(E108,Sales_Reps!$A$2:$E$100,3,FALSE)</f>
        <v>West</v>
      </c>
      <c r="S108" s="34" t="str">
        <f t="shared" si="7"/>
        <v>Sports</v>
      </c>
      <c r="T108" s="38">
        <f>VLOOKUP(D108,Products!$A$2:$F$68,4,FALSE)</f>
        <v>516</v>
      </c>
    </row>
    <row r="109" spans="1:20" x14ac:dyDescent="0.35">
      <c r="A109" s="13" t="s">
        <v>370</v>
      </c>
      <c r="B109" s="14">
        <v>45414</v>
      </c>
      <c r="C109" s="13" t="s">
        <v>371</v>
      </c>
      <c r="D109" s="13" t="s">
        <v>102</v>
      </c>
      <c r="E109" s="13" t="s">
        <v>111</v>
      </c>
      <c r="F109" s="15">
        <v>1</v>
      </c>
      <c r="G109" s="15">
        <v>3660</v>
      </c>
      <c r="H109" s="15">
        <v>1.3</v>
      </c>
      <c r="I109" s="15">
        <v>3612.42</v>
      </c>
      <c r="J109" s="13" t="s">
        <v>87</v>
      </c>
      <c r="K109" s="13" t="s">
        <v>112</v>
      </c>
      <c r="L109" s="34" t="str">
        <f>VLOOKUP(D109,Products!$A$2:$F$61,3,FALSE)</f>
        <v>Grocery</v>
      </c>
      <c r="M109" s="34" t="str">
        <f>VLOOKUP(C109,Customers!$A$2:$F$301,5,FALSE)</f>
        <v>Retail</v>
      </c>
      <c r="N109" s="34">
        <f>VLOOKUP(C109,Customers!$A$2:$F$301,3,FALSE)</f>
        <v>42</v>
      </c>
      <c r="O109" s="34" t="str">
        <f>VLOOKUP(E109,Sales_Reps!$A$2:$E$31,3,FALSE)</f>
        <v>West</v>
      </c>
      <c r="P109" s="13" t="s">
        <v>111</v>
      </c>
      <c r="Q109" s="34">
        <f t="shared" si="6"/>
        <v>901298.89</v>
      </c>
      <c r="R109" s="34" t="str">
        <f>VLOOKUP(E109,Sales_Reps!$A$2:$E$100,3,FALSE)</f>
        <v>West</v>
      </c>
      <c r="S109" s="34" t="str">
        <f t="shared" si="7"/>
        <v>Grocery</v>
      </c>
      <c r="T109" s="38">
        <f>VLOOKUP(D109,Products!$A$2:$F$68,4,FALSE)</f>
        <v>2214</v>
      </c>
    </row>
    <row r="110" spans="1:20" x14ac:dyDescent="0.35">
      <c r="A110" s="13" t="s">
        <v>372</v>
      </c>
      <c r="B110" s="14">
        <v>45592</v>
      </c>
      <c r="C110" s="13" t="s">
        <v>373</v>
      </c>
      <c r="D110" s="13" t="s">
        <v>264</v>
      </c>
      <c r="E110" s="13" t="s">
        <v>252</v>
      </c>
      <c r="F110" s="15">
        <v>2</v>
      </c>
      <c r="G110" s="15">
        <v>4070</v>
      </c>
      <c r="H110" s="15">
        <v>29</v>
      </c>
      <c r="I110" s="15">
        <v>5779.4</v>
      </c>
      <c r="J110" s="13" t="s">
        <v>140</v>
      </c>
      <c r="K110" s="13" t="s">
        <v>88</v>
      </c>
      <c r="L110" s="34" t="str">
        <f>VLOOKUP(D110,Products!$A$2:$F$61,3,FALSE)</f>
        <v>Grocery</v>
      </c>
      <c r="M110" s="34" t="str">
        <f>VLOOKUP(C110,Customers!$A$2:$F$301,5,FALSE)</f>
        <v>Retail</v>
      </c>
      <c r="N110" s="34">
        <f>VLOOKUP(C110,Customers!$A$2:$F$301,3,FALSE)</f>
        <v>43</v>
      </c>
      <c r="O110" s="34" t="str">
        <f>VLOOKUP(E110,Sales_Reps!$A$2:$E$31,3,FALSE)</f>
        <v>South</v>
      </c>
      <c r="P110" s="13" t="s">
        <v>252</v>
      </c>
      <c r="Q110" s="34">
        <f t="shared" si="6"/>
        <v>811524.37999999989</v>
      </c>
      <c r="R110" s="34" t="str">
        <f>VLOOKUP(E110,Sales_Reps!$A$2:$E$100,3,FALSE)</f>
        <v>South</v>
      </c>
      <c r="S110" s="34" t="str">
        <f t="shared" si="7"/>
        <v>Grocery</v>
      </c>
      <c r="T110" s="38">
        <f>VLOOKUP(D110,Products!$A$2:$F$68,4,FALSE)</f>
        <v>2027</v>
      </c>
    </row>
    <row r="111" spans="1:20" x14ac:dyDescent="0.35">
      <c r="A111" s="13" t="s">
        <v>374</v>
      </c>
      <c r="B111" s="14">
        <v>45439</v>
      </c>
      <c r="C111" s="13" t="s">
        <v>190</v>
      </c>
      <c r="D111" s="13" t="s">
        <v>203</v>
      </c>
      <c r="E111" s="13" t="s">
        <v>229</v>
      </c>
      <c r="F111" s="15">
        <v>6</v>
      </c>
      <c r="G111" s="15">
        <v>660</v>
      </c>
      <c r="H111" s="15">
        <v>20.2</v>
      </c>
      <c r="I111" s="15">
        <v>3160.08</v>
      </c>
      <c r="J111" s="13" t="s">
        <v>93</v>
      </c>
      <c r="K111" s="13" t="s">
        <v>133</v>
      </c>
      <c r="L111" s="34" t="str">
        <f>VLOOKUP(D111,Products!$A$2:$F$61,3,FALSE)</f>
        <v>Home</v>
      </c>
      <c r="M111" s="34" t="str">
        <f>VLOOKUP(C111,Customers!$A$2:$F$301,5,FALSE)</f>
        <v>Corporate</v>
      </c>
      <c r="N111" s="34">
        <f>VLOOKUP(C111,Customers!$A$2:$F$301,3,FALSE)</f>
        <v>56</v>
      </c>
      <c r="O111" s="34" t="str">
        <f>VLOOKUP(E111,Sales_Reps!$A$2:$E$31,3,FALSE)</f>
        <v>West</v>
      </c>
      <c r="P111" s="13" t="s">
        <v>229</v>
      </c>
      <c r="Q111" s="34">
        <f t="shared" si="6"/>
        <v>1016696.8000000002</v>
      </c>
      <c r="R111" s="34" t="str">
        <f>VLOOKUP(E111,Sales_Reps!$A$2:$E$100,3,FALSE)</f>
        <v>West</v>
      </c>
      <c r="S111" s="34" t="str">
        <f t="shared" si="7"/>
        <v>Home</v>
      </c>
      <c r="T111" s="38">
        <f>VLOOKUP(D111,Products!$A$2:$F$68,4,FALSE)</f>
        <v>329</v>
      </c>
    </row>
    <row r="112" spans="1:20" x14ac:dyDescent="0.35">
      <c r="A112" s="13" t="s">
        <v>375</v>
      </c>
      <c r="B112" s="14">
        <v>45486</v>
      </c>
      <c r="C112" s="13" t="s">
        <v>376</v>
      </c>
      <c r="D112" s="13" t="s">
        <v>164</v>
      </c>
      <c r="E112" s="13" t="s">
        <v>116</v>
      </c>
      <c r="F112" s="15">
        <v>3</v>
      </c>
      <c r="G112" s="15">
        <v>1080</v>
      </c>
      <c r="H112" s="15">
        <v>29.7</v>
      </c>
      <c r="I112" s="15">
        <v>2277.7199999999998</v>
      </c>
      <c r="J112" s="13" t="s">
        <v>87</v>
      </c>
      <c r="K112" s="13" t="s">
        <v>117</v>
      </c>
      <c r="L112" s="34" t="str">
        <f>VLOOKUP(D112,Products!$A$2:$F$61,3,FALSE)</f>
        <v>Home</v>
      </c>
      <c r="M112" s="34" t="str">
        <f>VLOOKUP(C112,Customers!$A$2:$F$301,5,FALSE)</f>
        <v>SMB</v>
      </c>
      <c r="N112" s="34">
        <f>VLOOKUP(C112,Customers!$A$2:$F$301,3,FALSE)</f>
        <v>44</v>
      </c>
      <c r="O112" s="34" t="str">
        <f>VLOOKUP(E112,Sales_Reps!$A$2:$E$31,3,FALSE)</f>
        <v>West</v>
      </c>
      <c r="P112" s="13" t="s">
        <v>116</v>
      </c>
      <c r="Q112" s="34">
        <f t="shared" si="6"/>
        <v>819558.58</v>
      </c>
      <c r="R112" s="34" t="str">
        <f>VLOOKUP(E112,Sales_Reps!$A$2:$E$100,3,FALSE)</f>
        <v>West</v>
      </c>
      <c r="S112" s="34" t="str">
        <f t="shared" si="7"/>
        <v>Home</v>
      </c>
      <c r="T112" s="38">
        <f>VLOOKUP(D112,Products!$A$2:$F$68,4,FALSE)</f>
        <v>519</v>
      </c>
    </row>
    <row r="113" spans="1:20" x14ac:dyDescent="0.35">
      <c r="A113" s="13" t="s">
        <v>377</v>
      </c>
      <c r="B113" s="14">
        <v>45629</v>
      </c>
      <c r="C113" s="13" t="s">
        <v>378</v>
      </c>
      <c r="D113" s="13" t="s">
        <v>91</v>
      </c>
      <c r="E113" s="13" t="s">
        <v>103</v>
      </c>
      <c r="F113" s="15">
        <v>7</v>
      </c>
      <c r="G113" s="15">
        <v>820</v>
      </c>
      <c r="H113" s="15">
        <v>13.5</v>
      </c>
      <c r="I113" s="15">
        <v>4965.1000000000004</v>
      </c>
      <c r="J113" s="13" t="s">
        <v>140</v>
      </c>
      <c r="K113" s="13" t="s">
        <v>94</v>
      </c>
      <c r="L113" s="34" t="str">
        <f>VLOOKUP(D113,Products!$A$2:$F$61,3,FALSE)</f>
        <v>Apparel</v>
      </c>
      <c r="M113" s="34" t="str">
        <f>VLOOKUP(C113,Customers!$A$2:$F$301,5,FALSE)</f>
        <v>SMB</v>
      </c>
      <c r="N113" s="34">
        <f>VLOOKUP(C113,Customers!$A$2:$F$301,3,FALSE)</f>
        <v>53</v>
      </c>
      <c r="O113" s="34" t="str">
        <f>VLOOKUP(E113,Sales_Reps!$A$2:$E$31,3,FALSE)</f>
        <v>North</v>
      </c>
      <c r="P113" s="13" t="s">
        <v>103</v>
      </c>
      <c r="Q113" s="34">
        <f t="shared" si="6"/>
        <v>1138648.73</v>
      </c>
      <c r="R113" s="34" t="str">
        <f>VLOOKUP(E113,Sales_Reps!$A$2:$E$100,3,FALSE)</f>
        <v>North</v>
      </c>
      <c r="S113" s="34" t="str">
        <f t="shared" si="7"/>
        <v>Apparel</v>
      </c>
      <c r="T113" s="38">
        <f>VLOOKUP(D113,Products!$A$2:$F$68,4,FALSE)</f>
        <v>391</v>
      </c>
    </row>
    <row r="114" spans="1:20" x14ac:dyDescent="0.35">
      <c r="A114" s="13" t="s">
        <v>379</v>
      </c>
      <c r="B114" s="14">
        <v>45394</v>
      </c>
      <c r="C114" s="13" t="s">
        <v>137</v>
      </c>
      <c r="D114" s="13" t="s">
        <v>380</v>
      </c>
      <c r="E114" s="13" t="s">
        <v>343</v>
      </c>
      <c r="F114" s="15">
        <v>4</v>
      </c>
      <c r="G114" s="15">
        <v>960</v>
      </c>
      <c r="H114" s="15">
        <v>26</v>
      </c>
      <c r="I114" s="15">
        <v>2841.6</v>
      </c>
      <c r="J114" s="13" t="s">
        <v>87</v>
      </c>
      <c r="K114" s="13" t="s">
        <v>99</v>
      </c>
      <c r="L114" s="34" t="str">
        <f>VLOOKUP(D114,Products!$A$2:$F$61,3,FALSE)</f>
        <v>Beauty</v>
      </c>
      <c r="M114" s="34" t="str">
        <f>VLOOKUP(C114,Customers!$A$2:$F$301,5,FALSE)</f>
        <v>SMB</v>
      </c>
      <c r="N114" s="34">
        <f>VLOOKUP(C114,Customers!$A$2:$F$301,3,FALSE)</f>
        <v>27</v>
      </c>
      <c r="O114" s="34" t="str">
        <f>VLOOKUP(E114,Sales_Reps!$A$2:$E$31,3,FALSE)</f>
        <v>West</v>
      </c>
      <c r="P114" s="13" t="s">
        <v>343</v>
      </c>
      <c r="Q114" s="34">
        <f t="shared" si="6"/>
        <v>917092.61999999965</v>
      </c>
      <c r="R114" s="34" t="str">
        <f>VLOOKUP(E114,Sales_Reps!$A$2:$E$100,3,FALSE)</f>
        <v>West</v>
      </c>
      <c r="S114" s="34" t="str">
        <f t="shared" si="7"/>
        <v>Beauty</v>
      </c>
      <c r="T114" s="38">
        <f>VLOOKUP(D114,Products!$A$2:$F$68,4,FALSE)</f>
        <v>675</v>
      </c>
    </row>
    <row r="115" spans="1:20" x14ac:dyDescent="0.35">
      <c r="A115" s="13" t="s">
        <v>381</v>
      </c>
      <c r="B115" s="14">
        <v>45453</v>
      </c>
      <c r="C115" s="13" t="s">
        <v>382</v>
      </c>
      <c r="D115" s="13" t="s">
        <v>138</v>
      </c>
      <c r="E115" s="13" t="s">
        <v>98</v>
      </c>
      <c r="F115" s="15">
        <v>3</v>
      </c>
      <c r="G115" s="15">
        <v>2600</v>
      </c>
      <c r="H115" s="15">
        <v>18.2</v>
      </c>
      <c r="I115" s="15">
        <v>6380.4</v>
      </c>
      <c r="J115" s="13" t="s">
        <v>87</v>
      </c>
      <c r="K115" s="13" t="s">
        <v>99</v>
      </c>
      <c r="L115" s="34" t="str">
        <f>VLOOKUP(D115,Products!$A$2:$F$61,3,FALSE)</f>
        <v>Electronics</v>
      </c>
      <c r="M115" s="34" t="str">
        <f>VLOOKUP(C115,Customers!$A$2:$F$301,5,FALSE)</f>
        <v>Corporate</v>
      </c>
      <c r="N115" s="34">
        <f>VLOOKUP(C115,Customers!$A$2:$F$301,3,FALSE)</f>
        <v>27</v>
      </c>
      <c r="O115" s="34" t="str">
        <f>VLOOKUP(E115,Sales_Reps!$A$2:$E$31,3,FALSE)</f>
        <v>South</v>
      </c>
      <c r="P115" s="13" t="s">
        <v>98</v>
      </c>
      <c r="Q115" s="34">
        <f t="shared" si="6"/>
        <v>995713.54000000015</v>
      </c>
      <c r="R115" s="34" t="str">
        <f>VLOOKUP(E115,Sales_Reps!$A$2:$E$100,3,FALSE)</f>
        <v>South</v>
      </c>
      <c r="S115" s="34" t="str">
        <f t="shared" si="7"/>
        <v>Electronics</v>
      </c>
      <c r="T115" s="38">
        <f>VLOOKUP(D115,Products!$A$2:$F$68,4,FALSE)</f>
        <v>1052</v>
      </c>
    </row>
    <row r="116" spans="1:20" x14ac:dyDescent="0.35">
      <c r="A116" s="13" t="s">
        <v>383</v>
      </c>
      <c r="B116" s="14">
        <v>45370</v>
      </c>
      <c r="C116" s="13" t="s">
        <v>150</v>
      </c>
      <c r="D116" s="13" t="s">
        <v>295</v>
      </c>
      <c r="E116" s="13" t="s">
        <v>229</v>
      </c>
      <c r="F116" s="15">
        <v>9</v>
      </c>
      <c r="G116" s="15">
        <v>2030</v>
      </c>
      <c r="H116" s="15">
        <v>26.1</v>
      </c>
      <c r="I116" s="15">
        <v>13501.53</v>
      </c>
      <c r="J116" s="13" t="s">
        <v>87</v>
      </c>
      <c r="K116" s="13" t="s">
        <v>88</v>
      </c>
      <c r="L116" s="34" t="str">
        <f>VLOOKUP(D116,Products!$A$2:$F$61,3,FALSE)</f>
        <v>Home</v>
      </c>
      <c r="M116" s="34" t="str">
        <f>VLOOKUP(C116,Customers!$A$2:$F$301,5,FALSE)</f>
        <v>Retail</v>
      </c>
      <c r="N116" s="34">
        <f>VLOOKUP(C116,Customers!$A$2:$F$301,3,FALSE)</f>
        <v>63</v>
      </c>
      <c r="O116" s="34" t="str">
        <f>VLOOKUP(E116,Sales_Reps!$A$2:$E$31,3,FALSE)</f>
        <v>West</v>
      </c>
      <c r="P116" s="13" t="s">
        <v>229</v>
      </c>
      <c r="Q116" s="34">
        <f t="shared" si="6"/>
        <v>1016696.8000000002</v>
      </c>
      <c r="R116" s="34" t="str">
        <f>VLOOKUP(E116,Sales_Reps!$A$2:$E$100,3,FALSE)</f>
        <v>West</v>
      </c>
      <c r="S116" s="34" t="str">
        <f t="shared" si="7"/>
        <v>Home</v>
      </c>
      <c r="T116" s="38">
        <f>VLOOKUP(D116,Products!$A$2:$F$68,4,FALSE)</f>
        <v>1143</v>
      </c>
    </row>
    <row r="117" spans="1:20" x14ac:dyDescent="0.35">
      <c r="A117" s="13" t="s">
        <v>384</v>
      </c>
      <c r="B117" s="14">
        <v>45597</v>
      </c>
      <c r="C117" s="13" t="s">
        <v>385</v>
      </c>
      <c r="D117" s="13" t="s">
        <v>386</v>
      </c>
      <c r="E117" s="13" t="s">
        <v>128</v>
      </c>
      <c r="F117" s="15">
        <v>8</v>
      </c>
      <c r="G117" s="15">
        <v>2290</v>
      </c>
      <c r="H117" s="15">
        <v>20.8</v>
      </c>
      <c r="I117" s="15">
        <v>14509.44</v>
      </c>
      <c r="J117" s="13" t="s">
        <v>87</v>
      </c>
      <c r="K117" s="13" t="s">
        <v>117</v>
      </c>
      <c r="L117" s="34" t="str">
        <f>VLOOKUP(D117,Products!$A$2:$F$61,3,FALSE)</f>
        <v>Beauty</v>
      </c>
      <c r="M117" s="34" t="str">
        <f>VLOOKUP(C117,Customers!$A$2:$F$301,5,FALSE)</f>
        <v>Retail</v>
      </c>
      <c r="N117" s="34">
        <f>VLOOKUP(C117,Customers!$A$2:$F$301,3,FALSE)</f>
        <v>23</v>
      </c>
      <c r="O117" s="34" t="str">
        <f>VLOOKUP(E117,Sales_Reps!$A$2:$E$31,3,FALSE)</f>
        <v>West</v>
      </c>
      <c r="P117" s="13" t="s">
        <v>128</v>
      </c>
      <c r="Q117" s="34">
        <f t="shared" si="6"/>
        <v>880468.05</v>
      </c>
      <c r="R117" s="34" t="str">
        <f>VLOOKUP(E117,Sales_Reps!$A$2:$E$100,3,FALSE)</f>
        <v>West</v>
      </c>
      <c r="S117" s="34" t="str">
        <f t="shared" si="7"/>
        <v>Beauty</v>
      </c>
      <c r="T117" s="38">
        <f>VLOOKUP(D117,Products!$A$2:$F$68,4,FALSE)</f>
        <v>1219</v>
      </c>
    </row>
    <row r="118" spans="1:20" x14ac:dyDescent="0.35">
      <c r="A118" s="13" t="s">
        <v>387</v>
      </c>
      <c r="B118" s="14">
        <v>45531</v>
      </c>
      <c r="C118" s="13" t="s">
        <v>388</v>
      </c>
      <c r="D118" s="13" t="s">
        <v>226</v>
      </c>
      <c r="E118" s="13" t="s">
        <v>229</v>
      </c>
      <c r="F118" s="15">
        <v>3</v>
      </c>
      <c r="G118" s="15">
        <v>3730</v>
      </c>
      <c r="H118" s="15">
        <v>7.9</v>
      </c>
      <c r="I118" s="15">
        <v>10305.99</v>
      </c>
      <c r="J118" s="13" t="s">
        <v>87</v>
      </c>
      <c r="K118" s="13" t="s">
        <v>133</v>
      </c>
      <c r="L118" s="34" t="str">
        <f>VLOOKUP(D118,Products!$A$2:$F$61,3,FALSE)</f>
        <v>Home</v>
      </c>
      <c r="M118" s="34" t="str">
        <f>VLOOKUP(C118,Customers!$A$2:$F$301,5,FALSE)</f>
        <v>Retail</v>
      </c>
      <c r="N118" s="34">
        <f>VLOOKUP(C118,Customers!$A$2:$F$301,3,FALSE)</f>
        <v>44</v>
      </c>
      <c r="O118" s="34" t="str">
        <f>VLOOKUP(E118,Sales_Reps!$A$2:$E$31,3,FALSE)</f>
        <v>West</v>
      </c>
      <c r="P118" s="13" t="s">
        <v>229</v>
      </c>
      <c r="Q118" s="34">
        <f t="shared" si="6"/>
        <v>1016696.8000000002</v>
      </c>
      <c r="R118" s="34" t="str">
        <f>VLOOKUP(E118,Sales_Reps!$A$2:$E$100,3,FALSE)</f>
        <v>West</v>
      </c>
      <c r="S118" s="34" t="str">
        <f t="shared" si="7"/>
        <v>Home</v>
      </c>
      <c r="T118" s="38">
        <f>VLOOKUP(D118,Products!$A$2:$F$68,4,FALSE)</f>
        <v>2135</v>
      </c>
    </row>
    <row r="119" spans="1:20" x14ac:dyDescent="0.35">
      <c r="A119" s="13" t="s">
        <v>389</v>
      </c>
      <c r="B119" s="14">
        <v>45596</v>
      </c>
      <c r="C119" s="13" t="s">
        <v>390</v>
      </c>
      <c r="D119" s="13" t="s">
        <v>282</v>
      </c>
      <c r="E119" s="13" t="s">
        <v>98</v>
      </c>
      <c r="F119" s="15">
        <v>1</v>
      </c>
      <c r="G119" s="15">
        <v>300</v>
      </c>
      <c r="H119" s="15">
        <v>16.899999999999999</v>
      </c>
      <c r="I119" s="15">
        <v>249.3</v>
      </c>
      <c r="J119" s="13" t="s">
        <v>93</v>
      </c>
      <c r="K119" s="13" t="s">
        <v>88</v>
      </c>
      <c r="L119" s="34" t="str">
        <f>VLOOKUP(D119,Products!$A$2:$F$61,3,FALSE)</f>
        <v>Electronics</v>
      </c>
      <c r="M119" s="34" t="str">
        <f>VLOOKUP(C119,Customers!$A$2:$F$301,5,FALSE)</f>
        <v>SMB</v>
      </c>
      <c r="N119" s="34">
        <f>VLOOKUP(C119,Customers!$A$2:$F$301,3,FALSE)</f>
        <v>54</v>
      </c>
      <c r="O119" s="34" t="str">
        <f>VLOOKUP(E119,Sales_Reps!$A$2:$E$31,3,FALSE)</f>
        <v>South</v>
      </c>
      <c r="P119" s="13" t="s">
        <v>98</v>
      </c>
      <c r="Q119" s="34">
        <f t="shared" si="6"/>
        <v>995713.54000000015</v>
      </c>
      <c r="R119" s="34" t="str">
        <f>VLOOKUP(E119,Sales_Reps!$A$2:$E$100,3,FALSE)</f>
        <v>South</v>
      </c>
      <c r="S119" s="34" t="str">
        <f t="shared" si="7"/>
        <v>Electronics</v>
      </c>
      <c r="T119" s="38">
        <f>VLOOKUP(D119,Products!$A$2:$F$68,4,FALSE)</f>
        <v>128</v>
      </c>
    </row>
    <row r="120" spans="1:20" x14ac:dyDescent="0.35">
      <c r="A120" s="13" t="s">
        <v>391</v>
      </c>
      <c r="B120" s="14">
        <v>45420</v>
      </c>
      <c r="C120" s="13" t="s">
        <v>392</v>
      </c>
      <c r="D120" s="13" t="s">
        <v>282</v>
      </c>
      <c r="E120" s="13" t="s">
        <v>325</v>
      </c>
      <c r="F120" s="15">
        <v>3</v>
      </c>
      <c r="G120" s="15">
        <v>300</v>
      </c>
      <c r="H120" s="15">
        <v>0.6</v>
      </c>
      <c r="I120" s="15">
        <v>894.6</v>
      </c>
      <c r="J120" s="13" t="s">
        <v>87</v>
      </c>
      <c r="K120" s="13" t="s">
        <v>112</v>
      </c>
      <c r="L120" s="34" t="str">
        <f>VLOOKUP(D120,Products!$A$2:$F$61,3,FALSE)</f>
        <v>Electronics</v>
      </c>
      <c r="M120" s="34" t="str">
        <f>VLOOKUP(C120,Customers!$A$2:$F$301,5,FALSE)</f>
        <v>Retail</v>
      </c>
      <c r="N120" s="34">
        <f>VLOOKUP(C120,Customers!$A$2:$F$301,3,FALSE)</f>
        <v>50</v>
      </c>
      <c r="O120" s="34" t="str">
        <f>VLOOKUP(E120,Sales_Reps!$A$2:$E$31,3,FALSE)</f>
        <v>South</v>
      </c>
      <c r="P120" s="13" t="s">
        <v>325</v>
      </c>
      <c r="Q120" s="34">
        <f t="shared" si="6"/>
        <v>901394.32000000007</v>
      </c>
      <c r="R120" s="34" t="str">
        <f>VLOOKUP(E120,Sales_Reps!$A$2:$E$100,3,FALSE)</f>
        <v>South</v>
      </c>
      <c r="S120" s="34" t="str">
        <f t="shared" si="7"/>
        <v>Electronics</v>
      </c>
      <c r="T120" s="38">
        <f>VLOOKUP(D120,Products!$A$2:$F$68,4,FALSE)</f>
        <v>128</v>
      </c>
    </row>
    <row r="121" spans="1:20" x14ac:dyDescent="0.35">
      <c r="A121" s="13" t="s">
        <v>393</v>
      </c>
      <c r="B121" s="14">
        <v>45329</v>
      </c>
      <c r="C121" s="13" t="s">
        <v>394</v>
      </c>
      <c r="D121" s="13" t="s">
        <v>179</v>
      </c>
      <c r="E121" s="13" t="s">
        <v>86</v>
      </c>
      <c r="F121" s="15">
        <v>6</v>
      </c>
      <c r="G121" s="15">
        <v>3350</v>
      </c>
      <c r="H121" s="15">
        <v>2.2999999999999998</v>
      </c>
      <c r="I121" s="15">
        <v>19637.7</v>
      </c>
      <c r="J121" s="13" t="s">
        <v>140</v>
      </c>
      <c r="K121" s="13" t="s">
        <v>117</v>
      </c>
      <c r="L121" s="34" t="str">
        <f>VLOOKUP(D121,Products!$A$2:$F$61,3,FALSE)</f>
        <v>Beauty</v>
      </c>
      <c r="M121" s="34" t="str">
        <f>VLOOKUP(C121,Customers!$A$2:$F$301,5,FALSE)</f>
        <v>SMB</v>
      </c>
      <c r="N121" s="34">
        <f>VLOOKUP(C121,Customers!$A$2:$F$301,3,FALSE)</f>
        <v>28</v>
      </c>
      <c r="O121" s="34" t="str">
        <f>VLOOKUP(E121,Sales_Reps!$A$2:$E$31,3,FALSE)</f>
        <v>North</v>
      </c>
      <c r="P121" s="13" t="s">
        <v>86</v>
      </c>
      <c r="Q121" s="34">
        <f t="shared" si="6"/>
        <v>855749.67999999982</v>
      </c>
      <c r="R121" s="34" t="str">
        <f>VLOOKUP(E121,Sales_Reps!$A$2:$E$100,3,FALSE)</f>
        <v>North</v>
      </c>
      <c r="S121" s="34" t="str">
        <f t="shared" si="7"/>
        <v>Beauty</v>
      </c>
      <c r="T121" s="38">
        <f>VLOOKUP(D121,Products!$A$2:$F$68,4,FALSE)</f>
        <v>1728</v>
      </c>
    </row>
    <row r="122" spans="1:20" x14ac:dyDescent="0.35">
      <c r="A122" s="13" t="s">
        <v>395</v>
      </c>
      <c r="B122" s="14">
        <v>45416</v>
      </c>
      <c r="C122" s="13" t="s">
        <v>153</v>
      </c>
      <c r="D122" s="13" t="s">
        <v>364</v>
      </c>
      <c r="E122" s="13" t="s">
        <v>148</v>
      </c>
      <c r="F122" s="15">
        <v>4</v>
      </c>
      <c r="G122" s="15">
        <v>5330</v>
      </c>
      <c r="H122" s="15">
        <v>29.3</v>
      </c>
      <c r="I122" s="15">
        <v>15073.24</v>
      </c>
      <c r="J122" s="13" t="s">
        <v>87</v>
      </c>
      <c r="K122" s="13" t="s">
        <v>117</v>
      </c>
      <c r="L122" s="34" t="str">
        <f>VLOOKUP(D122,Products!$A$2:$F$61,3,FALSE)</f>
        <v>Electronics</v>
      </c>
      <c r="M122" s="34" t="str">
        <f>VLOOKUP(C122,Customers!$A$2:$F$301,5,FALSE)</f>
        <v>SMB</v>
      </c>
      <c r="N122" s="34">
        <f>VLOOKUP(C122,Customers!$A$2:$F$301,3,FALSE)</f>
        <v>46</v>
      </c>
      <c r="O122" s="34" t="str">
        <f>VLOOKUP(E122,Sales_Reps!$A$2:$E$31,3,FALSE)</f>
        <v>North</v>
      </c>
      <c r="P122" s="13" t="s">
        <v>148</v>
      </c>
      <c r="Q122" s="34">
        <f t="shared" si="6"/>
        <v>986692.91</v>
      </c>
      <c r="R122" s="34" t="str">
        <f>VLOOKUP(E122,Sales_Reps!$A$2:$E$100,3,FALSE)</f>
        <v>North</v>
      </c>
      <c r="S122" s="34" t="str">
        <f t="shared" si="7"/>
        <v>Electronics</v>
      </c>
      <c r="T122" s="38">
        <f>VLOOKUP(D122,Products!$A$2:$F$68,4,FALSE)</f>
        <v>2405</v>
      </c>
    </row>
    <row r="123" spans="1:20" x14ac:dyDescent="0.35">
      <c r="A123" s="13" t="s">
        <v>396</v>
      </c>
      <c r="B123" s="14">
        <v>45614</v>
      </c>
      <c r="C123" s="13" t="s">
        <v>397</v>
      </c>
      <c r="D123" s="13" t="s">
        <v>85</v>
      </c>
      <c r="E123" s="13" t="s">
        <v>297</v>
      </c>
      <c r="F123" s="15">
        <v>6</v>
      </c>
      <c r="G123" s="15">
        <v>3620</v>
      </c>
      <c r="H123" s="15">
        <v>10.8</v>
      </c>
      <c r="I123" s="15">
        <v>19374.240000000002</v>
      </c>
      <c r="J123" s="13" t="s">
        <v>87</v>
      </c>
      <c r="K123" s="13" t="s">
        <v>99</v>
      </c>
      <c r="L123" s="34" t="str">
        <f>VLOOKUP(D123,Products!$A$2:$F$61,3,FALSE)</f>
        <v>Apparel</v>
      </c>
      <c r="M123" s="34" t="str">
        <f>VLOOKUP(C123,Customers!$A$2:$F$301,5,FALSE)</f>
        <v>Retail</v>
      </c>
      <c r="N123" s="34">
        <f>VLOOKUP(C123,Customers!$A$2:$F$301,3,FALSE)</f>
        <v>30</v>
      </c>
      <c r="O123" s="34" t="str">
        <f>VLOOKUP(E123,Sales_Reps!$A$2:$E$31,3,FALSE)</f>
        <v>North</v>
      </c>
      <c r="P123" s="13" t="s">
        <v>297</v>
      </c>
      <c r="Q123" s="34">
        <f t="shared" si="6"/>
        <v>980063.65999999968</v>
      </c>
      <c r="R123" s="34" t="str">
        <f>VLOOKUP(E123,Sales_Reps!$A$2:$E$100,3,FALSE)</f>
        <v>North</v>
      </c>
      <c r="S123" s="34" t="str">
        <f t="shared" si="7"/>
        <v>Apparel</v>
      </c>
      <c r="T123" s="38">
        <f>VLOOKUP(D123,Products!$A$2:$F$68,4,FALSE)</f>
        <v>2509</v>
      </c>
    </row>
    <row r="124" spans="1:20" x14ac:dyDescent="0.35">
      <c r="A124" s="13" t="s">
        <v>398</v>
      </c>
      <c r="B124" s="14">
        <v>45593</v>
      </c>
      <c r="C124" s="13" t="s">
        <v>399</v>
      </c>
      <c r="D124" s="13" t="s">
        <v>85</v>
      </c>
      <c r="E124" s="13" t="s">
        <v>92</v>
      </c>
      <c r="F124" s="15">
        <v>6</v>
      </c>
      <c r="G124" s="15">
        <v>3620</v>
      </c>
      <c r="H124" s="15">
        <v>21.7</v>
      </c>
      <c r="I124" s="15">
        <v>17006.759999999998</v>
      </c>
      <c r="J124" s="13" t="s">
        <v>87</v>
      </c>
      <c r="K124" s="13" t="s">
        <v>99</v>
      </c>
      <c r="L124" s="34" t="str">
        <f>VLOOKUP(D124,Products!$A$2:$F$61,3,FALSE)</f>
        <v>Apparel</v>
      </c>
      <c r="M124" s="34" t="str">
        <f>VLOOKUP(C124,Customers!$A$2:$F$301,5,FALSE)</f>
        <v>SMB</v>
      </c>
      <c r="N124" s="34">
        <f>VLOOKUP(C124,Customers!$A$2:$F$301,3,FALSE)</f>
        <v>53</v>
      </c>
      <c r="O124" s="34" t="str">
        <f>VLOOKUP(E124,Sales_Reps!$A$2:$E$31,3,FALSE)</f>
        <v>North</v>
      </c>
      <c r="P124" s="13" t="s">
        <v>92</v>
      </c>
      <c r="Q124" s="34">
        <f t="shared" si="6"/>
        <v>782445.33</v>
      </c>
      <c r="R124" s="34" t="str">
        <f>VLOOKUP(E124,Sales_Reps!$A$2:$E$100,3,FALSE)</f>
        <v>North</v>
      </c>
      <c r="S124" s="34" t="str">
        <f t="shared" si="7"/>
        <v>Apparel</v>
      </c>
      <c r="T124" s="38">
        <f>VLOOKUP(D124,Products!$A$2:$F$68,4,FALSE)</f>
        <v>2509</v>
      </c>
    </row>
    <row r="125" spans="1:20" x14ac:dyDescent="0.35">
      <c r="A125" s="13" t="s">
        <v>400</v>
      </c>
      <c r="B125" s="14">
        <v>45360</v>
      </c>
      <c r="C125" s="13" t="s">
        <v>401</v>
      </c>
      <c r="D125" s="13" t="s">
        <v>115</v>
      </c>
      <c r="E125" s="13" t="s">
        <v>107</v>
      </c>
      <c r="F125" s="15">
        <v>8</v>
      </c>
      <c r="G125" s="15">
        <v>960</v>
      </c>
      <c r="H125" s="15">
        <v>27.9</v>
      </c>
      <c r="I125" s="15">
        <v>5537.28</v>
      </c>
      <c r="J125" s="13" t="s">
        <v>87</v>
      </c>
      <c r="K125" s="13" t="s">
        <v>94</v>
      </c>
      <c r="L125" s="34" t="str">
        <f>VLOOKUP(D125,Products!$A$2:$F$61,3,FALSE)</f>
        <v>Sports</v>
      </c>
      <c r="M125" s="34" t="str">
        <f>VLOOKUP(C125,Customers!$A$2:$F$301,5,FALSE)</f>
        <v>SMB</v>
      </c>
      <c r="N125" s="34">
        <f>VLOOKUP(C125,Customers!$A$2:$F$301,3,FALSE)</f>
        <v>51</v>
      </c>
      <c r="O125" s="34" t="str">
        <f>VLOOKUP(E125,Sales_Reps!$A$2:$E$31,3,FALSE)</f>
        <v>North</v>
      </c>
      <c r="P125" s="13" t="s">
        <v>107</v>
      </c>
      <c r="Q125" s="34">
        <f t="shared" si="6"/>
        <v>861553.33</v>
      </c>
      <c r="R125" s="34" t="str">
        <f>VLOOKUP(E125,Sales_Reps!$A$2:$E$100,3,FALSE)</f>
        <v>North</v>
      </c>
      <c r="S125" s="34" t="str">
        <f t="shared" si="7"/>
        <v>Sports</v>
      </c>
      <c r="T125" s="38">
        <f>VLOOKUP(D125,Products!$A$2:$F$68,4,FALSE)</f>
        <v>705</v>
      </c>
    </row>
    <row r="126" spans="1:20" x14ac:dyDescent="0.35">
      <c r="A126" s="13" t="s">
        <v>402</v>
      </c>
      <c r="B126" s="14">
        <v>45628</v>
      </c>
      <c r="C126" s="13" t="s">
        <v>403</v>
      </c>
      <c r="D126" s="13" t="s">
        <v>176</v>
      </c>
      <c r="E126" s="13" t="s">
        <v>111</v>
      </c>
      <c r="F126" s="15">
        <v>5</v>
      </c>
      <c r="G126" s="15">
        <v>1650</v>
      </c>
      <c r="H126" s="15">
        <v>4.9000000000000004</v>
      </c>
      <c r="I126" s="15">
        <v>7845.75</v>
      </c>
      <c r="J126" s="13" t="s">
        <v>87</v>
      </c>
      <c r="K126" s="13" t="s">
        <v>117</v>
      </c>
      <c r="L126" s="34" t="str">
        <f>VLOOKUP(D126,Products!$A$2:$F$61,3,FALSE)</f>
        <v>Beauty</v>
      </c>
      <c r="M126" s="34" t="str">
        <f>VLOOKUP(C126,Customers!$A$2:$F$301,5,FALSE)</f>
        <v>Retail</v>
      </c>
      <c r="N126" s="34">
        <f>VLOOKUP(C126,Customers!$A$2:$F$301,3,FALSE)</f>
        <v>59</v>
      </c>
      <c r="O126" s="34" t="str">
        <f>VLOOKUP(E126,Sales_Reps!$A$2:$E$31,3,FALSE)</f>
        <v>West</v>
      </c>
      <c r="P126" s="13" t="s">
        <v>111</v>
      </c>
      <c r="Q126" s="34">
        <f t="shared" si="6"/>
        <v>901298.89</v>
      </c>
      <c r="R126" s="34" t="str">
        <f>VLOOKUP(E126,Sales_Reps!$A$2:$E$100,3,FALSE)</f>
        <v>West</v>
      </c>
      <c r="S126" s="34" t="str">
        <f t="shared" si="7"/>
        <v>Beauty</v>
      </c>
      <c r="T126" s="38">
        <f>VLOOKUP(D126,Products!$A$2:$F$68,4,FALSE)</f>
        <v>1222</v>
      </c>
    </row>
    <row r="127" spans="1:20" x14ac:dyDescent="0.35">
      <c r="A127" s="13" t="s">
        <v>404</v>
      </c>
      <c r="B127" s="14">
        <v>45592</v>
      </c>
      <c r="C127" s="13" t="s">
        <v>405</v>
      </c>
      <c r="D127" s="13" t="s">
        <v>380</v>
      </c>
      <c r="E127" s="13" t="s">
        <v>132</v>
      </c>
      <c r="F127" s="15">
        <v>9</v>
      </c>
      <c r="G127" s="15">
        <v>960</v>
      </c>
      <c r="H127" s="15">
        <v>25.1</v>
      </c>
      <c r="I127" s="15">
        <v>6471.36</v>
      </c>
      <c r="J127" s="13" t="s">
        <v>144</v>
      </c>
      <c r="K127" s="13" t="s">
        <v>94</v>
      </c>
      <c r="L127" s="34" t="str">
        <f>VLOOKUP(D127,Products!$A$2:$F$61,3,FALSE)</f>
        <v>Beauty</v>
      </c>
      <c r="M127" s="34" t="str">
        <f>VLOOKUP(C127,Customers!$A$2:$F$301,5,FALSE)</f>
        <v>Corporate</v>
      </c>
      <c r="N127" s="34">
        <f>VLOOKUP(C127,Customers!$A$2:$F$301,3,FALSE)</f>
        <v>24</v>
      </c>
      <c r="O127" s="34" t="str">
        <f>VLOOKUP(E127,Sales_Reps!$A$2:$E$31,3,FALSE)</f>
        <v>South</v>
      </c>
      <c r="P127" s="13" t="s">
        <v>132</v>
      </c>
      <c r="Q127" s="34">
        <f t="shared" si="6"/>
        <v>880345.20000000007</v>
      </c>
      <c r="R127" s="34" t="str">
        <f>VLOOKUP(E127,Sales_Reps!$A$2:$E$100,3,FALSE)</f>
        <v>South</v>
      </c>
      <c r="S127" s="34" t="str">
        <f t="shared" si="7"/>
        <v>Beauty</v>
      </c>
      <c r="T127" s="38">
        <f>VLOOKUP(D127,Products!$A$2:$F$68,4,FALSE)</f>
        <v>675</v>
      </c>
    </row>
    <row r="128" spans="1:20" x14ac:dyDescent="0.35">
      <c r="A128" s="13" t="s">
        <v>406</v>
      </c>
      <c r="B128" s="14">
        <v>45453</v>
      </c>
      <c r="C128" s="13" t="s">
        <v>407</v>
      </c>
      <c r="D128" s="13" t="s">
        <v>408</v>
      </c>
      <c r="E128" s="13" t="s">
        <v>148</v>
      </c>
      <c r="F128" s="15">
        <v>7</v>
      </c>
      <c r="G128" s="15">
        <v>3970</v>
      </c>
      <c r="H128" s="15">
        <v>13.8</v>
      </c>
      <c r="I128" s="15">
        <v>23954.98</v>
      </c>
      <c r="J128" s="13" t="s">
        <v>93</v>
      </c>
      <c r="K128" s="13" t="s">
        <v>88</v>
      </c>
      <c r="L128" s="34" t="str">
        <f>VLOOKUP(D128,Products!$A$2:$F$61,3,FALSE)</f>
        <v>Electronics</v>
      </c>
      <c r="M128" s="34" t="str">
        <f>VLOOKUP(C128,Customers!$A$2:$F$301,5,FALSE)</f>
        <v>SMB</v>
      </c>
      <c r="N128" s="34">
        <f>VLOOKUP(C128,Customers!$A$2:$F$301,3,FALSE)</f>
        <v>53</v>
      </c>
      <c r="O128" s="34" t="str">
        <f>VLOOKUP(E128,Sales_Reps!$A$2:$E$31,3,FALSE)</f>
        <v>North</v>
      </c>
      <c r="P128" s="13" t="s">
        <v>148</v>
      </c>
      <c r="Q128" s="34">
        <f t="shared" si="6"/>
        <v>986692.91</v>
      </c>
      <c r="R128" s="34" t="str">
        <f>VLOOKUP(E128,Sales_Reps!$A$2:$E$100,3,FALSE)</f>
        <v>North</v>
      </c>
      <c r="S128" s="34" t="str">
        <f t="shared" si="7"/>
        <v>Electronics</v>
      </c>
      <c r="T128" s="38">
        <f>VLOOKUP(D128,Products!$A$2:$F$68,4,FALSE)</f>
        <v>2865</v>
      </c>
    </row>
    <row r="129" spans="1:20" x14ac:dyDescent="0.35">
      <c r="A129" s="13" t="s">
        <v>409</v>
      </c>
      <c r="B129" s="14">
        <v>45612</v>
      </c>
      <c r="C129" s="13" t="s">
        <v>299</v>
      </c>
      <c r="D129" s="13" t="s">
        <v>127</v>
      </c>
      <c r="E129" s="13" t="s">
        <v>92</v>
      </c>
      <c r="F129" s="15">
        <v>7</v>
      </c>
      <c r="G129" s="15">
        <v>970</v>
      </c>
      <c r="H129" s="15">
        <v>21.6</v>
      </c>
      <c r="I129" s="15">
        <v>5323.36</v>
      </c>
      <c r="J129" s="13" t="s">
        <v>93</v>
      </c>
      <c r="K129" s="13" t="s">
        <v>133</v>
      </c>
      <c r="L129" s="34" t="str">
        <f>VLOOKUP(D129,Products!$A$2:$F$61,3,FALSE)</f>
        <v>Grocery</v>
      </c>
      <c r="M129" s="34" t="str">
        <f>VLOOKUP(C129,Customers!$A$2:$F$301,5,FALSE)</f>
        <v>Retail</v>
      </c>
      <c r="N129" s="34">
        <f>VLOOKUP(C129,Customers!$A$2:$F$301,3,FALSE)</f>
        <v>29</v>
      </c>
      <c r="O129" s="34" t="str">
        <f>VLOOKUP(E129,Sales_Reps!$A$2:$E$31,3,FALSE)</f>
        <v>North</v>
      </c>
      <c r="P129" s="13" t="s">
        <v>92</v>
      </c>
      <c r="Q129" s="34">
        <f t="shared" si="6"/>
        <v>782445.33</v>
      </c>
      <c r="R129" s="34" t="str">
        <f>VLOOKUP(E129,Sales_Reps!$A$2:$E$100,3,FALSE)</f>
        <v>North</v>
      </c>
      <c r="S129" s="34" t="str">
        <f t="shared" si="7"/>
        <v>Grocery</v>
      </c>
      <c r="T129" s="38">
        <f>VLOOKUP(D129,Products!$A$2:$F$68,4,FALSE)</f>
        <v>434</v>
      </c>
    </row>
    <row r="130" spans="1:20" x14ac:dyDescent="0.35">
      <c r="A130" s="13" t="s">
        <v>410</v>
      </c>
      <c r="B130" s="14">
        <v>45541</v>
      </c>
      <c r="C130" s="13" t="s">
        <v>411</v>
      </c>
      <c r="D130" s="13" t="s">
        <v>295</v>
      </c>
      <c r="E130" s="13" t="s">
        <v>215</v>
      </c>
      <c r="F130" s="15">
        <v>10</v>
      </c>
      <c r="G130" s="15">
        <v>2030</v>
      </c>
      <c r="H130" s="15">
        <v>1.2</v>
      </c>
      <c r="I130" s="15">
        <v>20056.400000000001</v>
      </c>
      <c r="J130" s="13" t="s">
        <v>87</v>
      </c>
      <c r="K130" s="13" t="s">
        <v>112</v>
      </c>
      <c r="L130" s="34" t="str">
        <f>VLOOKUP(D130,Products!$A$2:$F$61,3,FALSE)</f>
        <v>Home</v>
      </c>
      <c r="M130" s="34" t="str">
        <f>VLOOKUP(C130,Customers!$A$2:$F$301,5,FALSE)</f>
        <v>Retail</v>
      </c>
      <c r="N130" s="34">
        <f>VLOOKUP(C130,Customers!$A$2:$F$301,3,FALSE)</f>
        <v>61</v>
      </c>
      <c r="O130" s="34" t="str">
        <f>VLOOKUP(E130,Sales_Reps!$A$2:$E$31,3,FALSE)</f>
        <v>North</v>
      </c>
      <c r="P130" s="13" t="s">
        <v>215</v>
      </c>
      <c r="Q130" s="34">
        <f t="shared" si="6"/>
        <v>789849.60000000009</v>
      </c>
      <c r="R130" s="34" t="str">
        <f>VLOOKUP(E130,Sales_Reps!$A$2:$E$100,3,FALSE)</f>
        <v>North</v>
      </c>
      <c r="S130" s="34" t="str">
        <f t="shared" si="7"/>
        <v>Home</v>
      </c>
      <c r="T130" s="38">
        <f>VLOOKUP(D130,Products!$A$2:$F$68,4,FALSE)</f>
        <v>1143</v>
      </c>
    </row>
    <row r="131" spans="1:20" x14ac:dyDescent="0.35">
      <c r="A131" s="13" t="s">
        <v>412</v>
      </c>
      <c r="B131" s="14">
        <v>45640</v>
      </c>
      <c r="C131" s="13" t="s">
        <v>413</v>
      </c>
      <c r="D131" s="13" t="s">
        <v>131</v>
      </c>
      <c r="E131" s="13" t="s">
        <v>158</v>
      </c>
      <c r="F131" s="15">
        <v>9</v>
      </c>
      <c r="G131" s="15">
        <v>2270</v>
      </c>
      <c r="H131" s="15">
        <v>13.2</v>
      </c>
      <c r="I131" s="15">
        <v>17733.240000000002</v>
      </c>
      <c r="J131" s="13" t="s">
        <v>93</v>
      </c>
      <c r="K131" s="13" t="s">
        <v>88</v>
      </c>
      <c r="L131" s="34" t="str">
        <f>VLOOKUP(D131,Products!$A$2:$F$61,3,FALSE)</f>
        <v>Grocery</v>
      </c>
      <c r="M131" s="34" t="str">
        <f>VLOOKUP(C131,Customers!$A$2:$F$301,5,FALSE)</f>
        <v>Retail</v>
      </c>
      <c r="N131" s="34">
        <f>VLOOKUP(C131,Customers!$A$2:$F$301,3,FALSE)</f>
        <v>22</v>
      </c>
      <c r="O131" s="34" t="str">
        <f>VLOOKUP(E131,Sales_Reps!$A$2:$E$31,3,FALSE)</f>
        <v>East</v>
      </c>
      <c r="P131" s="13" t="s">
        <v>158</v>
      </c>
      <c r="Q131" s="34">
        <f t="shared" ref="Q131:Q194" si="8">SUMIFS($I:$I,$E:$E,P131)</f>
        <v>761507.17000000027</v>
      </c>
      <c r="R131" s="34" t="str">
        <f>VLOOKUP(E131,Sales_Reps!$A$2:$E$100,3,FALSE)</f>
        <v>East</v>
      </c>
      <c r="S131" s="34" t="str">
        <f t="shared" ref="S131:S194" si="9">L131</f>
        <v>Grocery</v>
      </c>
      <c r="T131" s="38">
        <f>VLOOKUP(D131,Products!$A$2:$F$68,4,FALSE)</f>
        <v>1203</v>
      </c>
    </row>
    <row r="132" spans="1:20" x14ac:dyDescent="0.35">
      <c r="A132" s="13" t="s">
        <v>414</v>
      </c>
      <c r="B132" s="14">
        <v>45524</v>
      </c>
      <c r="C132" s="13" t="s">
        <v>156</v>
      </c>
      <c r="D132" s="13" t="s">
        <v>184</v>
      </c>
      <c r="E132" s="13" t="s">
        <v>148</v>
      </c>
      <c r="F132" s="15">
        <v>8</v>
      </c>
      <c r="G132" s="15">
        <v>4880</v>
      </c>
      <c r="H132" s="15">
        <v>13.4</v>
      </c>
      <c r="I132" s="15">
        <v>33808.639999999999</v>
      </c>
      <c r="J132" s="13" t="s">
        <v>87</v>
      </c>
      <c r="K132" s="13" t="s">
        <v>133</v>
      </c>
      <c r="L132" s="34" t="str">
        <f>VLOOKUP(D132,Products!$A$2:$F$61,3,FALSE)</f>
        <v>Beauty</v>
      </c>
      <c r="M132" s="34" t="str">
        <f>VLOOKUP(C132,Customers!$A$2:$F$301,5,FALSE)</f>
        <v>Corporate</v>
      </c>
      <c r="N132" s="34">
        <f>VLOOKUP(C132,Customers!$A$2:$F$301,3,FALSE)</f>
        <v>32</v>
      </c>
      <c r="O132" s="34" t="str">
        <f>VLOOKUP(E132,Sales_Reps!$A$2:$E$31,3,FALSE)</f>
        <v>North</v>
      </c>
      <c r="P132" s="13" t="s">
        <v>148</v>
      </c>
      <c r="Q132" s="34">
        <f t="shared" si="8"/>
        <v>986692.91</v>
      </c>
      <c r="R132" s="34" t="str">
        <f>VLOOKUP(E132,Sales_Reps!$A$2:$E$100,3,FALSE)</f>
        <v>North</v>
      </c>
      <c r="S132" s="34" t="str">
        <f t="shared" si="9"/>
        <v>Beauty</v>
      </c>
      <c r="T132" s="38">
        <f>VLOOKUP(D132,Products!$A$2:$F$68,4,FALSE)</f>
        <v>2768</v>
      </c>
    </row>
    <row r="133" spans="1:20" x14ac:dyDescent="0.35">
      <c r="A133" s="13" t="s">
        <v>415</v>
      </c>
      <c r="B133" s="14">
        <v>45344</v>
      </c>
      <c r="C133" s="13" t="s">
        <v>416</v>
      </c>
      <c r="D133" s="13" t="s">
        <v>248</v>
      </c>
      <c r="E133" s="13" t="s">
        <v>273</v>
      </c>
      <c r="F133" s="15">
        <v>10</v>
      </c>
      <c r="G133" s="15">
        <v>3870</v>
      </c>
      <c r="H133" s="15">
        <v>23.9</v>
      </c>
      <c r="I133" s="15">
        <v>29450.7</v>
      </c>
      <c r="J133" s="13" t="s">
        <v>87</v>
      </c>
      <c r="K133" s="13" t="s">
        <v>117</v>
      </c>
      <c r="L133" s="34" t="str">
        <f>VLOOKUP(D133,Products!$A$2:$F$61,3,FALSE)</f>
        <v>Electronics</v>
      </c>
      <c r="M133" s="34" t="str">
        <f>VLOOKUP(C133,Customers!$A$2:$F$301,5,FALSE)</f>
        <v>Corporate</v>
      </c>
      <c r="N133" s="34">
        <f>VLOOKUP(C133,Customers!$A$2:$F$301,3,FALSE)</f>
        <v>42</v>
      </c>
      <c r="O133" s="34" t="str">
        <f>VLOOKUP(E133,Sales_Reps!$A$2:$E$31,3,FALSE)</f>
        <v>South</v>
      </c>
      <c r="P133" s="13" t="s">
        <v>273</v>
      </c>
      <c r="Q133" s="34">
        <f t="shared" si="8"/>
        <v>735207.75999999989</v>
      </c>
      <c r="R133" s="34" t="str">
        <f>VLOOKUP(E133,Sales_Reps!$A$2:$E$100,3,FALSE)</f>
        <v>South</v>
      </c>
      <c r="S133" s="34" t="str">
        <f t="shared" si="9"/>
        <v>Electronics</v>
      </c>
      <c r="T133" s="38">
        <f>VLOOKUP(D133,Products!$A$2:$F$68,4,FALSE)</f>
        <v>1559</v>
      </c>
    </row>
    <row r="134" spans="1:20" x14ac:dyDescent="0.35">
      <c r="A134" s="13" t="s">
        <v>417</v>
      </c>
      <c r="B134" s="14">
        <v>45463</v>
      </c>
      <c r="C134" s="13" t="s">
        <v>418</v>
      </c>
      <c r="D134" s="13" t="s">
        <v>386</v>
      </c>
      <c r="E134" s="13" t="s">
        <v>297</v>
      </c>
      <c r="F134" s="15">
        <v>4</v>
      </c>
      <c r="G134" s="15">
        <v>2290</v>
      </c>
      <c r="H134" s="15">
        <v>15.2</v>
      </c>
      <c r="I134" s="15">
        <v>7767.68</v>
      </c>
      <c r="J134" s="13" t="s">
        <v>87</v>
      </c>
      <c r="K134" s="13" t="s">
        <v>133</v>
      </c>
      <c r="L134" s="34" t="str">
        <f>VLOOKUP(D134,Products!$A$2:$F$61,3,FALSE)</f>
        <v>Beauty</v>
      </c>
      <c r="M134" s="34" t="str">
        <f>VLOOKUP(C134,Customers!$A$2:$F$301,5,FALSE)</f>
        <v>Retail</v>
      </c>
      <c r="N134" s="34">
        <f>VLOOKUP(C134,Customers!$A$2:$F$301,3,FALSE)</f>
        <v>22</v>
      </c>
      <c r="O134" s="34" t="str">
        <f>VLOOKUP(E134,Sales_Reps!$A$2:$E$31,3,FALSE)</f>
        <v>North</v>
      </c>
      <c r="P134" s="13" t="s">
        <v>297</v>
      </c>
      <c r="Q134" s="34">
        <f t="shared" si="8"/>
        <v>980063.65999999968</v>
      </c>
      <c r="R134" s="34" t="str">
        <f>VLOOKUP(E134,Sales_Reps!$A$2:$E$100,3,FALSE)</f>
        <v>North</v>
      </c>
      <c r="S134" s="34" t="str">
        <f t="shared" si="9"/>
        <v>Beauty</v>
      </c>
      <c r="T134" s="38">
        <f>VLOOKUP(D134,Products!$A$2:$F$68,4,FALSE)</f>
        <v>1219</v>
      </c>
    </row>
    <row r="135" spans="1:20" x14ac:dyDescent="0.35">
      <c r="A135" s="13" t="s">
        <v>419</v>
      </c>
      <c r="B135" s="14">
        <v>45443</v>
      </c>
      <c r="C135" s="13" t="s">
        <v>420</v>
      </c>
      <c r="D135" s="13" t="s">
        <v>367</v>
      </c>
      <c r="E135" s="13" t="s">
        <v>192</v>
      </c>
      <c r="F135" s="15">
        <v>8</v>
      </c>
      <c r="G135" s="15">
        <v>2380</v>
      </c>
      <c r="H135" s="15">
        <v>4.2</v>
      </c>
      <c r="I135" s="15">
        <v>18240.32</v>
      </c>
      <c r="J135" s="13" t="s">
        <v>87</v>
      </c>
      <c r="K135" s="13" t="s">
        <v>99</v>
      </c>
      <c r="L135" s="34" t="str">
        <f>VLOOKUP(D135,Products!$A$2:$F$61,3,FALSE)</f>
        <v>Grocery</v>
      </c>
      <c r="M135" s="34" t="str">
        <f>VLOOKUP(C135,Customers!$A$2:$F$301,5,FALSE)</f>
        <v>Retail</v>
      </c>
      <c r="N135" s="34">
        <f>VLOOKUP(C135,Customers!$A$2:$F$301,3,FALSE)</f>
        <v>44</v>
      </c>
      <c r="O135" s="34" t="str">
        <f>VLOOKUP(E135,Sales_Reps!$A$2:$E$31,3,FALSE)</f>
        <v>East</v>
      </c>
      <c r="P135" s="13" t="s">
        <v>192</v>
      </c>
      <c r="Q135" s="34">
        <f t="shared" si="8"/>
        <v>906107.71000000008</v>
      </c>
      <c r="R135" s="34" t="str">
        <f>VLOOKUP(E135,Sales_Reps!$A$2:$E$100,3,FALSE)</f>
        <v>East</v>
      </c>
      <c r="S135" s="34" t="str">
        <f t="shared" si="9"/>
        <v>Grocery</v>
      </c>
      <c r="T135" s="38">
        <f>VLOOKUP(D135,Products!$A$2:$F$68,4,FALSE)</f>
        <v>1182</v>
      </c>
    </row>
    <row r="136" spans="1:20" x14ac:dyDescent="0.35">
      <c r="A136" s="13" t="s">
        <v>421</v>
      </c>
      <c r="B136" s="14">
        <v>45301</v>
      </c>
      <c r="C136" s="13" t="s">
        <v>422</v>
      </c>
      <c r="D136" s="13" t="s">
        <v>338</v>
      </c>
      <c r="E136" s="13" t="s">
        <v>252</v>
      </c>
      <c r="F136" s="15">
        <v>8</v>
      </c>
      <c r="G136" s="15">
        <v>2210</v>
      </c>
      <c r="H136" s="15">
        <v>11.5</v>
      </c>
      <c r="I136" s="15">
        <v>15646.8</v>
      </c>
      <c r="J136" s="13" t="s">
        <v>87</v>
      </c>
      <c r="K136" s="13" t="s">
        <v>94</v>
      </c>
      <c r="L136" s="34" t="str">
        <f>VLOOKUP(D136,Products!$A$2:$F$61,3,FALSE)</f>
        <v>Grocery</v>
      </c>
      <c r="M136" s="34" t="str">
        <f>VLOOKUP(C136,Customers!$A$2:$F$301,5,FALSE)</f>
        <v>SMB</v>
      </c>
      <c r="N136" s="34">
        <f>VLOOKUP(C136,Customers!$A$2:$F$301,3,FALSE)</f>
        <v>64</v>
      </c>
      <c r="O136" s="34" t="str">
        <f>VLOOKUP(E136,Sales_Reps!$A$2:$E$31,3,FALSE)</f>
        <v>South</v>
      </c>
      <c r="P136" s="13" t="s">
        <v>252</v>
      </c>
      <c r="Q136" s="34">
        <f t="shared" si="8"/>
        <v>811524.37999999989</v>
      </c>
      <c r="R136" s="34" t="str">
        <f>VLOOKUP(E136,Sales_Reps!$A$2:$E$100,3,FALSE)</f>
        <v>South</v>
      </c>
      <c r="S136" s="34" t="str">
        <f t="shared" si="9"/>
        <v>Grocery</v>
      </c>
      <c r="T136" s="38">
        <f>VLOOKUP(D136,Products!$A$2:$F$68,4,FALSE)</f>
        <v>1010</v>
      </c>
    </row>
    <row r="137" spans="1:20" x14ac:dyDescent="0.35">
      <c r="A137" s="13" t="s">
        <v>423</v>
      </c>
      <c r="B137" s="14">
        <v>45360</v>
      </c>
      <c r="C137" s="13" t="s">
        <v>233</v>
      </c>
      <c r="D137" s="13" t="s">
        <v>364</v>
      </c>
      <c r="E137" s="13" t="s">
        <v>285</v>
      </c>
      <c r="F137" s="15">
        <v>4</v>
      </c>
      <c r="G137" s="15">
        <v>5330</v>
      </c>
      <c r="H137" s="15">
        <v>22.6</v>
      </c>
      <c r="I137" s="15">
        <v>16501.68</v>
      </c>
      <c r="J137" s="13" t="s">
        <v>93</v>
      </c>
      <c r="K137" s="13" t="s">
        <v>88</v>
      </c>
      <c r="L137" s="34" t="str">
        <f>VLOOKUP(D137,Products!$A$2:$F$61,3,FALSE)</f>
        <v>Electronics</v>
      </c>
      <c r="M137" s="34" t="str">
        <f>VLOOKUP(C137,Customers!$A$2:$F$301,5,FALSE)</f>
        <v>SMB</v>
      </c>
      <c r="N137" s="34">
        <f>VLOOKUP(C137,Customers!$A$2:$F$301,3,FALSE)</f>
        <v>29</v>
      </c>
      <c r="O137" s="34" t="str">
        <f>VLOOKUP(E137,Sales_Reps!$A$2:$E$31,3,FALSE)</f>
        <v>East</v>
      </c>
      <c r="P137" s="13" t="s">
        <v>285</v>
      </c>
      <c r="Q137" s="34">
        <f t="shared" si="8"/>
        <v>1069570.5400000003</v>
      </c>
      <c r="R137" s="34" t="str">
        <f>VLOOKUP(E137,Sales_Reps!$A$2:$E$100,3,FALSE)</f>
        <v>East</v>
      </c>
      <c r="S137" s="34" t="str">
        <f t="shared" si="9"/>
        <v>Electronics</v>
      </c>
      <c r="T137" s="38">
        <f>VLOOKUP(D137,Products!$A$2:$F$68,4,FALSE)</f>
        <v>2405</v>
      </c>
    </row>
    <row r="138" spans="1:20" x14ac:dyDescent="0.35">
      <c r="A138" s="13" t="s">
        <v>424</v>
      </c>
      <c r="B138" s="14">
        <v>45559</v>
      </c>
      <c r="C138" s="13" t="s">
        <v>425</v>
      </c>
      <c r="D138" s="13" t="s">
        <v>408</v>
      </c>
      <c r="E138" s="13" t="s">
        <v>285</v>
      </c>
      <c r="F138" s="15">
        <v>8</v>
      </c>
      <c r="G138" s="15">
        <v>3970</v>
      </c>
      <c r="H138" s="15">
        <v>21.8</v>
      </c>
      <c r="I138" s="15">
        <v>24836.32</v>
      </c>
      <c r="J138" s="13" t="s">
        <v>87</v>
      </c>
      <c r="K138" s="13" t="s">
        <v>94</v>
      </c>
      <c r="L138" s="34" t="str">
        <f>VLOOKUP(D138,Products!$A$2:$F$61,3,FALSE)</f>
        <v>Electronics</v>
      </c>
      <c r="M138" s="34" t="str">
        <f>VLOOKUP(C138,Customers!$A$2:$F$301,5,FALSE)</f>
        <v>SMB</v>
      </c>
      <c r="N138" s="34">
        <f>VLOOKUP(C138,Customers!$A$2:$F$301,3,FALSE)</f>
        <v>64</v>
      </c>
      <c r="O138" s="34" t="str">
        <f>VLOOKUP(E138,Sales_Reps!$A$2:$E$31,3,FALSE)</f>
        <v>East</v>
      </c>
      <c r="P138" s="13" t="s">
        <v>285</v>
      </c>
      <c r="Q138" s="34">
        <f t="shared" si="8"/>
        <v>1069570.5400000003</v>
      </c>
      <c r="R138" s="34" t="str">
        <f>VLOOKUP(E138,Sales_Reps!$A$2:$E$100,3,FALSE)</f>
        <v>East</v>
      </c>
      <c r="S138" s="34" t="str">
        <f t="shared" si="9"/>
        <v>Electronics</v>
      </c>
      <c r="T138" s="38">
        <f>VLOOKUP(D138,Products!$A$2:$F$68,4,FALSE)</f>
        <v>2865</v>
      </c>
    </row>
    <row r="139" spans="1:20" x14ac:dyDescent="0.35">
      <c r="A139" s="13" t="s">
        <v>426</v>
      </c>
      <c r="B139" s="14">
        <v>45546</v>
      </c>
      <c r="C139" s="13" t="s">
        <v>427</v>
      </c>
      <c r="D139" s="13" t="s">
        <v>106</v>
      </c>
      <c r="E139" s="13" t="s">
        <v>192</v>
      </c>
      <c r="F139" s="15">
        <v>10</v>
      </c>
      <c r="G139" s="15">
        <v>3160</v>
      </c>
      <c r="H139" s="15">
        <v>16.100000000000001</v>
      </c>
      <c r="I139" s="15">
        <v>26512.400000000001</v>
      </c>
      <c r="J139" s="13" t="s">
        <v>140</v>
      </c>
      <c r="K139" s="13" t="s">
        <v>88</v>
      </c>
      <c r="L139" s="34" t="str">
        <f>VLOOKUP(D139,Products!$A$2:$F$61,3,FALSE)</f>
        <v>Apparel</v>
      </c>
      <c r="M139" s="34" t="str">
        <f>VLOOKUP(C139,Customers!$A$2:$F$301,5,FALSE)</f>
        <v>Corporate</v>
      </c>
      <c r="N139" s="34">
        <f>VLOOKUP(C139,Customers!$A$2:$F$301,3,FALSE)</f>
        <v>48</v>
      </c>
      <c r="O139" s="34" t="str">
        <f>VLOOKUP(E139,Sales_Reps!$A$2:$E$31,3,FALSE)</f>
        <v>East</v>
      </c>
      <c r="P139" s="13" t="s">
        <v>192</v>
      </c>
      <c r="Q139" s="34">
        <f t="shared" si="8"/>
        <v>906107.71000000008</v>
      </c>
      <c r="R139" s="34" t="str">
        <f>VLOOKUP(E139,Sales_Reps!$A$2:$E$100,3,FALSE)</f>
        <v>East</v>
      </c>
      <c r="S139" s="34" t="str">
        <f t="shared" si="9"/>
        <v>Apparel</v>
      </c>
      <c r="T139" s="38">
        <f>VLOOKUP(D139,Products!$A$2:$F$68,4,FALSE)</f>
        <v>1886</v>
      </c>
    </row>
    <row r="140" spans="1:20" x14ac:dyDescent="0.35">
      <c r="A140" s="13" t="s">
        <v>428</v>
      </c>
      <c r="B140" s="14">
        <v>45425</v>
      </c>
      <c r="C140" s="13" t="s">
        <v>429</v>
      </c>
      <c r="D140" s="13" t="s">
        <v>147</v>
      </c>
      <c r="E140" s="13" t="s">
        <v>204</v>
      </c>
      <c r="F140" s="15">
        <v>5</v>
      </c>
      <c r="G140" s="15">
        <v>190</v>
      </c>
      <c r="H140" s="15">
        <v>14.8</v>
      </c>
      <c r="I140" s="15">
        <v>809.4</v>
      </c>
      <c r="J140" s="13" t="s">
        <v>87</v>
      </c>
      <c r="K140" s="13" t="s">
        <v>117</v>
      </c>
      <c r="L140" s="34" t="str">
        <f>VLOOKUP(D140,Products!$A$2:$F$61,3,FALSE)</f>
        <v>Sports</v>
      </c>
      <c r="M140" s="34" t="str">
        <f>VLOOKUP(C140,Customers!$A$2:$F$301,5,FALSE)</f>
        <v>Retail</v>
      </c>
      <c r="N140" s="34">
        <f>VLOOKUP(C140,Customers!$A$2:$F$301,3,FALSE)</f>
        <v>55</v>
      </c>
      <c r="O140" s="34" t="str">
        <f>VLOOKUP(E140,Sales_Reps!$A$2:$E$31,3,FALSE)</f>
        <v>South</v>
      </c>
      <c r="P140" s="13" t="s">
        <v>204</v>
      </c>
      <c r="Q140" s="34">
        <f t="shared" si="8"/>
        <v>914554.71999999986</v>
      </c>
      <c r="R140" s="34" t="str">
        <f>VLOOKUP(E140,Sales_Reps!$A$2:$E$100,3,FALSE)</f>
        <v>South</v>
      </c>
      <c r="S140" s="34" t="str">
        <f t="shared" si="9"/>
        <v>Sports</v>
      </c>
      <c r="T140" s="38">
        <f>VLOOKUP(D140,Products!$A$2:$F$68,4,FALSE)</f>
        <v>147</v>
      </c>
    </row>
    <row r="141" spans="1:20" x14ac:dyDescent="0.35">
      <c r="A141" s="13" t="s">
        <v>430</v>
      </c>
      <c r="B141" s="14">
        <v>45351</v>
      </c>
      <c r="C141" s="13" t="s">
        <v>322</v>
      </c>
      <c r="D141" s="13" t="s">
        <v>200</v>
      </c>
      <c r="E141" s="13" t="s">
        <v>86</v>
      </c>
      <c r="F141" s="15">
        <v>6</v>
      </c>
      <c r="G141" s="15">
        <v>2760</v>
      </c>
      <c r="H141" s="15">
        <v>19.8</v>
      </c>
      <c r="I141" s="15">
        <v>13281.12</v>
      </c>
      <c r="J141" s="13" t="s">
        <v>87</v>
      </c>
      <c r="K141" s="13" t="s">
        <v>99</v>
      </c>
      <c r="L141" s="34" t="str">
        <f>VLOOKUP(D141,Products!$A$2:$F$61,3,FALSE)</f>
        <v>Grocery</v>
      </c>
      <c r="M141" s="34" t="str">
        <f>VLOOKUP(C141,Customers!$A$2:$F$301,5,FALSE)</f>
        <v>Retail</v>
      </c>
      <c r="N141" s="34">
        <f>VLOOKUP(C141,Customers!$A$2:$F$301,3,FALSE)</f>
        <v>31</v>
      </c>
      <c r="O141" s="34" t="str">
        <f>VLOOKUP(E141,Sales_Reps!$A$2:$E$31,3,FALSE)</f>
        <v>North</v>
      </c>
      <c r="P141" s="13" t="s">
        <v>86</v>
      </c>
      <c r="Q141" s="34">
        <f t="shared" si="8"/>
        <v>855749.67999999982</v>
      </c>
      <c r="R141" s="34" t="str">
        <f>VLOOKUP(E141,Sales_Reps!$A$2:$E$100,3,FALSE)</f>
        <v>North</v>
      </c>
      <c r="S141" s="34" t="str">
        <f t="shared" si="9"/>
        <v>Grocery</v>
      </c>
      <c r="T141" s="38">
        <f>VLOOKUP(D141,Products!$A$2:$F$68,4,FALSE)</f>
        <v>1435</v>
      </c>
    </row>
    <row r="142" spans="1:20" x14ac:dyDescent="0.35">
      <c r="A142" s="13" t="s">
        <v>431</v>
      </c>
      <c r="B142" s="14">
        <v>45604</v>
      </c>
      <c r="C142" s="13" t="s">
        <v>371</v>
      </c>
      <c r="D142" s="13" t="s">
        <v>245</v>
      </c>
      <c r="E142" s="13" t="s">
        <v>121</v>
      </c>
      <c r="F142" s="15">
        <v>9</v>
      </c>
      <c r="G142" s="15">
        <v>2270</v>
      </c>
      <c r="H142" s="15">
        <v>20.8</v>
      </c>
      <c r="I142" s="15">
        <v>16180.56</v>
      </c>
      <c r="J142" s="13" t="s">
        <v>140</v>
      </c>
      <c r="K142" s="13" t="s">
        <v>112</v>
      </c>
      <c r="L142" s="34" t="str">
        <f>VLOOKUP(D142,Products!$A$2:$F$61,3,FALSE)</f>
        <v>Grocery</v>
      </c>
      <c r="M142" s="34" t="str">
        <f>VLOOKUP(C142,Customers!$A$2:$F$301,5,FALSE)</f>
        <v>Retail</v>
      </c>
      <c r="N142" s="34">
        <f>VLOOKUP(C142,Customers!$A$2:$F$301,3,FALSE)</f>
        <v>42</v>
      </c>
      <c r="O142" s="34" t="str">
        <f>VLOOKUP(E142,Sales_Reps!$A$2:$E$31,3,FALSE)</f>
        <v>East</v>
      </c>
      <c r="P142" s="13" t="s">
        <v>121</v>
      </c>
      <c r="Q142" s="34">
        <f t="shared" si="8"/>
        <v>971183.52000000014</v>
      </c>
      <c r="R142" s="34" t="str">
        <f>VLOOKUP(E142,Sales_Reps!$A$2:$E$100,3,FALSE)</f>
        <v>East</v>
      </c>
      <c r="S142" s="34" t="str">
        <f t="shared" si="9"/>
        <v>Grocery</v>
      </c>
      <c r="T142" s="38">
        <f>VLOOKUP(D142,Products!$A$2:$F$68,4,FALSE)</f>
        <v>1412</v>
      </c>
    </row>
    <row r="143" spans="1:20" x14ac:dyDescent="0.35">
      <c r="A143" s="13" t="s">
        <v>432</v>
      </c>
      <c r="B143" s="14">
        <v>45328</v>
      </c>
      <c r="C143" s="13" t="s">
        <v>166</v>
      </c>
      <c r="D143" s="13" t="s">
        <v>360</v>
      </c>
      <c r="E143" s="13" t="s">
        <v>215</v>
      </c>
      <c r="F143" s="15">
        <v>8</v>
      </c>
      <c r="G143" s="15">
        <v>5410</v>
      </c>
      <c r="H143" s="15">
        <v>12.9</v>
      </c>
      <c r="I143" s="15">
        <v>37696.879999999997</v>
      </c>
      <c r="J143" s="13" t="s">
        <v>87</v>
      </c>
      <c r="K143" s="13" t="s">
        <v>133</v>
      </c>
      <c r="L143" s="34" t="str">
        <f>VLOOKUP(D143,Products!$A$2:$F$61,3,FALSE)</f>
        <v>Sports</v>
      </c>
      <c r="M143" s="34" t="str">
        <f>VLOOKUP(C143,Customers!$A$2:$F$301,5,FALSE)</f>
        <v>Retail</v>
      </c>
      <c r="N143" s="34">
        <f>VLOOKUP(C143,Customers!$A$2:$F$301,3,FALSE)</f>
        <v>32</v>
      </c>
      <c r="O143" s="34" t="str">
        <f>VLOOKUP(E143,Sales_Reps!$A$2:$E$31,3,FALSE)</f>
        <v>North</v>
      </c>
      <c r="P143" s="13" t="s">
        <v>215</v>
      </c>
      <c r="Q143" s="34">
        <f t="shared" si="8"/>
        <v>789849.60000000009</v>
      </c>
      <c r="R143" s="34" t="str">
        <f>VLOOKUP(E143,Sales_Reps!$A$2:$E$100,3,FALSE)</f>
        <v>North</v>
      </c>
      <c r="S143" s="34" t="str">
        <f t="shared" si="9"/>
        <v>Sports</v>
      </c>
      <c r="T143" s="38">
        <f>VLOOKUP(D143,Products!$A$2:$F$68,4,FALSE)</f>
        <v>2265</v>
      </c>
    </row>
    <row r="144" spans="1:20" x14ac:dyDescent="0.35">
      <c r="A144" s="13" t="s">
        <v>433</v>
      </c>
      <c r="B144" s="14">
        <v>45508</v>
      </c>
      <c r="C144" s="13" t="s">
        <v>434</v>
      </c>
      <c r="D144" s="13" t="s">
        <v>131</v>
      </c>
      <c r="E144" s="13" t="s">
        <v>204</v>
      </c>
      <c r="F144" s="15">
        <v>9</v>
      </c>
      <c r="G144" s="15">
        <v>2270</v>
      </c>
      <c r="H144" s="15">
        <v>6.8</v>
      </c>
      <c r="I144" s="15">
        <v>19040.759999999998</v>
      </c>
      <c r="J144" s="13" t="s">
        <v>87</v>
      </c>
      <c r="K144" s="13" t="s">
        <v>99</v>
      </c>
      <c r="L144" s="34" t="str">
        <f>VLOOKUP(D144,Products!$A$2:$F$61,3,FALSE)</f>
        <v>Grocery</v>
      </c>
      <c r="M144" s="34" t="str">
        <f>VLOOKUP(C144,Customers!$A$2:$F$301,5,FALSE)</f>
        <v>Corporate</v>
      </c>
      <c r="N144" s="34">
        <f>VLOOKUP(C144,Customers!$A$2:$F$301,3,FALSE)</f>
        <v>31</v>
      </c>
      <c r="O144" s="34" t="str">
        <f>VLOOKUP(E144,Sales_Reps!$A$2:$E$31,3,FALSE)</f>
        <v>South</v>
      </c>
      <c r="P144" s="13" t="s">
        <v>204</v>
      </c>
      <c r="Q144" s="34">
        <f t="shared" si="8"/>
        <v>914554.71999999986</v>
      </c>
      <c r="R144" s="34" t="str">
        <f>VLOOKUP(E144,Sales_Reps!$A$2:$E$100,3,FALSE)</f>
        <v>South</v>
      </c>
      <c r="S144" s="34" t="str">
        <f t="shared" si="9"/>
        <v>Grocery</v>
      </c>
      <c r="T144" s="38">
        <f>VLOOKUP(D144,Products!$A$2:$F$68,4,FALSE)</f>
        <v>1203</v>
      </c>
    </row>
    <row r="145" spans="1:20" x14ac:dyDescent="0.35">
      <c r="A145" s="13" t="s">
        <v>435</v>
      </c>
      <c r="B145" s="14">
        <v>45309</v>
      </c>
      <c r="C145" s="13" t="s">
        <v>137</v>
      </c>
      <c r="D145" s="13" t="s">
        <v>106</v>
      </c>
      <c r="E145" s="13" t="s">
        <v>215</v>
      </c>
      <c r="F145" s="15">
        <v>3</v>
      </c>
      <c r="G145" s="15">
        <v>3160</v>
      </c>
      <c r="H145" s="15">
        <v>12.8</v>
      </c>
      <c r="I145" s="15">
        <v>8266.56</v>
      </c>
      <c r="J145" s="13" t="s">
        <v>87</v>
      </c>
      <c r="K145" s="13" t="s">
        <v>99</v>
      </c>
      <c r="L145" s="34" t="str">
        <f>VLOOKUP(D145,Products!$A$2:$F$61,3,FALSE)</f>
        <v>Apparel</v>
      </c>
      <c r="M145" s="34" t="str">
        <f>VLOOKUP(C145,Customers!$A$2:$F$301,5,FALSE)</f>
        <v>SMB</v>
      </c>
      <c r="N145" s="34">
        <f>VLOOKUP(C145,Customers!$A$2:$F$301,3,FALSE)</f>
        <v>27</v>
      </c>
      <c r="O145" s="34" t="str">
        <f>VLOOKUP(E145,Sales_Reps!$A$2:$E$31,3,FALSE)</f>
        <v>North</v>
      </c>
      <c r="P145" s="13" t="s">
        <v>215</v>
      </c>
      <c r="Q145" s="34">
        <f t="shared" si="8"/>
        <v>789849.60000000009</v>
      </c>
      <c r="R145" s="34" t="str">
        <f>VLOOKUP(E145,Sales_Reps!$A$2:$E$100,3,FALSE)</f>
        <v>North</v>
      </c>
      <c r="S145" s="34" t="str">
        <f t="shared" si="9"/>
        <v>Apparel</v>
      </c>
      <c r="T145" s="38">
        <f>VLOOKUP(D145,Products!$A$2:$F$68,4,FALSE)</f>
        <v>1886</v>
      </c>
    </row>
    <row r="146" spans="1:20" x14ac:dyDescent="0.35">
      <c r="A146" s="13" t="s">
        <v>436</v>
      </c>
      <c r="B146" s="14">
        <v>45448</v>
      </c>
      <c r="C146" s="13" t="s">
        <v>233</v>
      </c>
      <c r="D146" s="13" t="s">
        <v>351</v>
      </c>
      <c r="E146" s="13" t="s">
        <v>128</v>
      </c>
      <c r="F146" s="15">
        <v>8</v>
      </c>
      <c r="G146" s="15">
        <v>4060</v>
      </c>
      <c r="H146" s="15">
        <v>20.9</v>
      </c>
      <c r="I146" s="15">
        <v>25691.68</v>
      </c>
      <c r="J146" s="13" t="s">
        <v>87</v>
      </c>
      <c r="K146" s="13" t="s">
        <v>88</v>
      </c>
      <c r="L146" s="34" t="str">
        <f>VLOOKUP(D146,Products!$A$2:$F$61,3,FALSE)</f>
        <v>Grocery</v>
      </c>
      <c r="M146" s="34" t="str">
        <f>VLOOKUP(C146,Customers!$A$2:$F$301,5,FALSE)</f>
        <v>SMB</v>
      </c>
      <c r="N146" s="34">
        <f>VLOOKUP(C146,Customers!$A$2:$F$301,3,FALSE)</f>
        <v>29</v>
      </c>
      <c r="O146" s="34" t="str">
        <f>VLOOKUP(E146,Sales_Reps!$A$2:$E$31,3,FALSE)</f>
        <v>West</v>
      </c>
      <c r="P146" s="13" t="s">
        <v>128</v>
      </c>
      <c r="Q146" s="34">
        <f t="shared" si="8"/>
        <v>880468.05</v>
      </c>
      <c r="R146" s="34" t="str">
        <f>VLOOKUP(E146,Sales_Reps!$A$2:$E$100,3,FALSE)</f>
        <v>West</v>
      </c>
      <c r="S146" s="34" t="str">
        <f t="shared" si="9"/>
        <v>Grocery</v>
      </c>
      <c r="T146" s="38">
        <f>VLOOKUP(D146,Products!$A$2:$F$68,4,FALSE)</f>
        <v>2911</v>
      </c>
    </row>
    <row r="147" spans="1:20" x14ac:dyDescent="0.35">
      <c r="A147" s="13" t="s">
        <v>437</v>
      </c>
      <c r="B147" s="14">
        <v>45449</v>
      </c>
      <c r="C147" s="13" t="s">
        <v>438</v>
      </c>
      <c r="D147" s="13" t="s">
        <v>91</v>
      </c>
      <c r="E147" s="13" t="s">
        <v>303</v>
      </c>
      <c r="F147" s="15">
        <v>5</v>
      </c>
      <c r="G147" s="15">
        <v>820</v>
      </c>
      <c r="H147" s="15">
        <v>9.1</v>
      </c>
      <c r="I147" s="15">
        <v>3726.9</v>
      </c>
      <c r="J147" s="13" t="s">
        <v>144</v>
      </c>
      <c r="K147" s="13" t="s">
        <v>88</v>
      </c>
      <c r="L147" s="34" t="str">
        <f>VLOOKUP(D147,Products!$A$2:$F$61,3,FALSE)</f>
        <v>Apparel</v>
      </c>
      <c r="M147" s="34" t="e">
        <f>VLOOKUP(C147,Customers!$A$2:$F$301,5,FALSE)</f>
        <v>#N/A</v>
      </c>
      <c r="N147" s="34" t="e">
        <f>VLOOKUP(C147,Customers!$A$2:$F$301,3,FALSE)</f>
        <v>#N/A</v>
      </c>
      <c r="O147" s="34" t="str">
        <f>VLOOKUP(E147,Sales_Reps!$A$2:$E$31,3,FALSE)</f>
        <v>East</v>
      </c>
      <c r="P147" s="13" t="s">
        <v>303</v>
      </c>
      <c r="Q147" s="34">
        <f t="shared" si="8"/>
        <v>1112289.6400000001</v>
      </c>
      <c r="R147" s="34" t="str">
        <f>VLOOKUP(E147,Sales_Reps!$A$2:$E$100,3,FALSE)</f>
        <v>East</v>
      </c>
      <c r="S147" s="34" t="str">
        <f t="shared" si="9"/>
        <v>Apparel</v>
      </c>
      <c r="T147" s="38">
        <f>VLOOKUP(D147,Products!$A$2:$F$68,4,FALSE)</f>
        <v>391</v>
      </c>
    </row>
    <row r="148" spans="1:20" x14ac:dyDescent="0.35">
      <c r="A148" s="13" t="s">
        <v>439</v>
      </c>
      <c r="B148" s="14">
        <v>45555</v>
      </c>
      <c r="C148" s="13" t="s">
        <v>440</v>
      </c>
      <c r="D148" s="13" t="s">
        <v>110</v>
      </c>
      <c r="E148" s="13" t="s">
        <v>86</v>
      </c>
      <c r="F148" s="15">
        <v>5</v>
      </c>
      <c r="G148" s="15">
        <v>370</v>
      </c>
      <c r="H148" s="15">
        <v>11.5</v>
      </c>
      <c r="I148" s="15">
        <v>1637.25</v>
      </c>
      <c r="J148" s="13" t="s">
        <v>87</v>
      </c>
      <c r="K148" s="13" t="s">
        <v>88</v>
      </c>
      <c r="L148" s="34" t="str">
        <f>VLOOKUP(D148,Products!$A$2:$F$61,3,FALSE)</f>
        <v>Home</v>
      </c>
      <c r="M148" s="34" t="str">
        <f>VLOOKUP(C148,Customers!$A$2:$F$301,5,FALSE)</f>
        <v>SMB</v>
      </c>
      <c r="N148" s="34">
        <f>VLOOKUP(C148,Customers!$A$2:$F$301,3,FALSE)</f>
        <v>30</v>
      </c>
      <c r="O148" s="34" t="str">
        <f>VLOOKUP(E148,Sales_Reps!$A$2:$E$31,3,FALSE)</f>
        <v>North</v>
      </c>
      <c r="P148" s="13" t="s">
        <v>86</v>
      </c>
      <c r="Q148" s="34">
        <f t="shared" si="8"/>
        <v>855749.67999999982</v>
      </c>
      <c r="R148" s="34" t="str">
        <f>VLOOKUP(E148,Sales_Reps!$A$2:$E$100,3,FALSE)</f>
        <v>North</v>
      </c>
      <c r="S148" s="34" t="str">
        <f t="shared" si="9"/>
        <v>Home</v>
      </c>
      <c r="T148" s="38">
        <f>VLOOKUP(D148,Products!$A$2:$F$68,4,FALSE)</f>
        <v>288</v>
      </c>
    </row>
    <row r="149" spans="1:20" x14ac:dyDescent="0.35">
      <c r="A149" s="13" t="s">
        <v>441</v>
      </c>
      <c r="B149" s="14">
        <v>45341</v>
      </c>
      <c r="C149" s="13" t="s">
        <v>442</v>
      </c>
      <c r="D149" s="13" t="s">
        <v>443</v>
      </c>
      <c r="E149" s="13" t="s">
        <v>297</v>
      </c>
      <c r="F149" s="15">
        <v>9</v>
      </c>
      <c r="G149" s="15">
        <v>5080</v>
      </c>
      <c r="H149" s="15">
        <v>27.5</v>
      </c>
      <c r="I149" s="15">
        <v>33147</v>
      </c>
      <c r="J149" s="13" t="s">
        <v>87</v>
      </c>
      <c r="K149" s="13" t="s">
        <v>88</v>
      </c>
      <c r="L149" s="34" t="str">
        <f>VLOOKUP(D149,Products!$A$2:$F$61,3,FALSE)</f>
        <v>Home</v>
      </c>
      <c r="M149" s="34" t="str">
        <f>VLOOKUP(C149,Customers!$A$2:$F$301,5,FALSE)</f>
        <v>Retail</v>
      </c>
      <c r="N149" s="34">
        <f>VLOOKUP(C149,Customers!$A$2:$F$301,3,FALSE)</f>
        <v>65</v>
      </c>
      <c r="O149" s="34" t="str">
        <f>VLOOKUP(E149,Sales_Reps!$A$2:$E$31,3,FALSE)</f>
        <v>North</v>
      </c>
      <c r="P149" s="13" t="s">
        <v>297</v>
      </c>
      <c r="Q149" s="34">
        <f t="shared" si="8"/>
        <v>980063.65999999968</v>
      </c>
      <c r="R149" s="34" t="str">
        <f>VLOOKUP(E149,Sales_Reps!$A$2:$E$100,3,FALSE)</f>
        <v>North</v>
      </c>
      <c r="S149" s="34" t="str">
        <f t="shared" si="9"/>
        <v>Home</v>
      </c>
      <c r="T149" s="38">
        <f>VLOOKUP(D149,Products!$A$2:$F$68,4,FALSE)</f>
        <v>2459</v>
      </c>
    </row>
    <row r="150" spans="1:20" x14ac:dyDescent="0.35">
      <c r="A150" s="13" t="s">
        <v>444</v>
      </c>
      <c r="B150" s="14">
        <v>45422</v>
      </c>
      <c r="C150" s="13" t="s">
        <v>308</v>
      </c>
      <c r="D150" s="13" t="s">
        <v>264</v>
      </c>
      <c r="E150" s="13" t="s">
        <v>325</v>
      </c>
      <c r="F150" s="15">
        <v>6</v>
      </c>
      <c r="G150" s="15">
        <v>4070</v>
      </c>
      <c r="H150" s="15">
        <v>12.5</v>
      </c>
      <c r="I150" s="15">
        <v>21367.5</v>
      </c>
      <c r="J150" s="13" t="s">
        <v>87</v>
      </c>
      <c r="K150" s="13" t="s">
        <v>88</v>
      </c>
      <c r="L150" s="34" t="str">
        <f>VLOOKUP(D150,Products!$A$2:$F$61,3,FALSE)</f>
        <v>Grocery</v>
      </c>
      <c r="M150" s="34" t="str">
        <f>VLOOKUP(C150,Customers!$A$2:$F$301,5,FALSE)</f>
        <v>SMB</v>
      </c>
      <c r="N150" s="34">
        <f>VLOOKUP(C150,Customers!$A$2:$F$301,3,FALSE)</f>
        <v>54</v>
      </c>
      <c r="O150" s="34" t="str">
        <f>VLOOKUP(E150,Sales_Reps!$A$2:$E$31,3,FALSE)</f>
        <v>South</v>
      </c>
      <c r="P150" s="13" t="s">
        <v>325</v>
      </c>
      <c r="Q150" s="34">
        <f t="shared" si="8"/>
        <v>901394.32000000007</v>
      </c>
      <c r="R150" s="34" t="str">
        <f>VLOOKUP(E150,Sales_Reps!$A$2:$E$100,3,FALSE)</f>
        <v>South</v>
      </c>
      <c r="S150" s="34" t="str">
        <f t="shared" si="9"/>
        <v>Grocery</v>
      </c>
      <c r="T150" s="38">
        <f>VLOOKUP(D150,Products!$A$2:$F$68,4,FALSE)</f>
        <v>2027</v>
      </c>
    </row>
    <row r="151" spans="1:20" x14ac:dyDescent="0.35">
      <c r="A151" s="13" t="s">
        <v>445</v>
      </c>
      <c r="B151" s="14">
        <v>45346</v>
      </c>
      <c r="C151" s="13" t="s">
        <v>440</v>
      </c>
      <c r="D151" s="13" t="s">
        <v>282</v>
      </c>
      <c r="E151" s="13" t="s">
        <v>116</v>
      </c>
      <c r="F151" s="15">
        <v>5</v>
      </c>
      <c r="G151" s="15">
        <v>300</v>
      </c>
      <c r="H151" s="15">
        <v>25.8</v>
      </c>
      <c r="I151" s="15">
        <v>1113</v>
      </c>
      <c r="J151" s="13" t="s">
        <v>87</v>
      </c>
      <c r="K151" s="13" t="s">
        <v>88</v>
      </c>
      <c r="L151" s="34" t="str">
        <f>VLOOKUP(D151,Products!$A$2:$F$61,3,FALSE)</f>
        <v>Electronics</v>
      </c>
      <c r="M151" s="34" t="str">
        <f>VLOOKUP(C151,Customers!$A$2:$F$301,5,FALSE)</f>
        <v>SMB</v>
      </c>
      <c r="N151" s="34">
        <f>VLOOKUP(C151,Customers!$A$2:$F$301,3,FALSE)</f>
        <v>30</v>
      </c>
      <c r="O151" s="34" t="str">
        <f>VLOOKUP(E151,Sales_Reps!$A$2:$E$31,3,FALSE)</f>
        <v>West</v>
      </c>
      <c r="P151" s="13" t="s">
        <v>116</v>
      </c>
      <c r="Q151" s="34">
        <f t="shared" si="8"/>
        <v>819558.58</v>
      </c>
      <c r="R151" s="34" t="str">
        <f>VLOOKUP(E151,Sales_Reps!$A$2:$E$100,3,FALSE)</f>
        <v>West</v>
      </c>
      <c r="S151" s="34" t="str">
        <f t="shared" si="9"/>
        <v>Electronics</v>
      </c>
      <c r="T151" s="38">
        <f>VLOOKUP(D151,Products!$A$2:$F$68,4,FALSE)</f>
        <v>128</v>
      </c>
    </row>
    <row r="152" spans="1:20" x14ac:dyDescent="0.35">
      <c r="A152" s="13" t="s">
        <v>446</v>
      </c>
      <c r="B152" s="14">
        <v>45318</v>
      </c>
      <c r="C152" s="13" t="s">
        <v>447</v>
      </c>
      <c r="D152" s="13" t="s">
        <v>191</v>
      </c>
      <c r="E152" s="13" t="s">
        <v>273</v>
      </c>
      <c r="F152" s="15">
        <v>7</v>
      </c>
      <c r="G152" s="15">
        <v>5100</v>
      </c>
      <c r="H152" s="15">
        <v>28.8</v>
      </c>
      <c r="I152" s="15">
        <v>25418.400000000001</v>
      </c>
      <c r="J152" s="13" t="s">
        <v>87</v>
      </c>
      <c r="K152" s="13" t="s">
        <v>448</v>
      </c>
      <c r="L152" s="34" t="str">
        <f>VLOOKUP(D152,Products!$A$2:$F$61,3,FALSE)</f>
        <v>Beauty</v>
      </c>
      <c r="M152" s="34" t="str">
        <f>VLOOKUP(C152,Customers!$A$2:$F$301,5,FALSE)</f>
        <v>Retail</v>
      </c>
      <c r="N152" s="34">
        <f>VLOOKUP(C152,Customers!$A$2:$F$301,3,FALSE)</f>
        <v>41</v>
      </c>
      <c r="O152" s="34" t="str">
        <f>VLOOKUP(E152,Sales_Reps!$A$2:$E$31,3,FALSE)</f>
        <v>South</v>
      </c>
      <c r="P152" s="13" t="s">
        <v>273</v>
      </c>
      <c r="Q152" s="34">
        <f t="shared" si="8"/>
        <v>735207.75999999989</v>
      </c>
      <c r="R152" s="34" t="str">
        <f>VLOOKUP(E152,Sales_Reps!$A$2:$E$100,3,FALSE)</f>
        <v>South</v>
      </c>
      <c r="S152" s="34" t="str">
        <f t="shared" si="9"/>
        <v>Beauty</v>
      </c>
      <c r="T152" s="38">
        <f>VLOOKUP(D152,Products!$A$2:$F$68,4,FALSE)</f>
        <v>2237</v>
      </c>
    </row>
    <row r="153" spans="1:20" x14ac:dyDescent="0.35">
      <c r="A153" s="13" t="s">
        <v>449</v>
      </c>
      <c r="B153" s="14">
        <v>45521</v>
      </c>
      <c r="C153" s="13" t="s">
        <v>225</v>
      </c>
      <c r="D153" s="13" t="s">
        <v>124</v>
      </c>
      <c r="E153" s="13" t="s">
        <v>325</v>
      </c>
      <c r="F153" s="15">
        <v>2</v>
      </c>
      <c r="G153" s="15">
        <v>5490</v>
      </c>
      <c r="H153" s="15">
        <v>5.5</v>
      </c>
      <c r="I153" s="15">
        <v>10376.1</v>
      </c>
      <c r="J153" s="13" t="s">
        <v>87</v>
      </c>
      <c r="K153" s="13" t="s">
        <v>94</v>
      </c>
      <c r="L153" s="34" t="str">
        <f>VLOOKUP(D153,Products!$A$2:$F$61,3,FALSE)</f>
        <v>Home</v>
      </c>
      <c r="M153" s="34" t="str">
        <f>VLOOKUP(C153,Customers!$A$2:$F$301,5,FALSE)</f>
        <v>Retail</v>
      </c>
      <c r="N153" s="34">
        <f>VLOOKUP(C153,Customers!$A$2:$F$301,3,FALSE)</f>
        <v>37</v>
      </c>
      <c r="O153" s="34" t="str">
        <f>VLOOKUP(E153,Sales_Reps!$A$2:$E$31,3,FALSE)</f>
        <v>South</v>
      </c>
      <c r="P153" s="13" t="s">
        <v>325</v>
      </c>
      <c r="Q153" s="34">
        <f t="shared" si="8"/>
        <v>901394.32000000007</v>
      </c>
      <c r="R153" s="34" t="str">
        <f>VLOOKUP(E153,Sales_Reps!$A$2:$E$100,3,FALSE)</f>
        <v>South</v>
      </c>
      <c r="S153" s="34" t="str">
        <f t="shared" si="9"/>
        <v>Home</v>
      </c>
      <c r="T153" s="38">
        <f>VLOOKUP(D153,Products!$A$2:$F$68,4,FALSE)</f>
        <v>2549</v>
      </c>
    </row>
    <row r="154" spans="1:20" x14ac:dyDescent="0.35">
      <c r="A154" s="13" t="s">
        <v>450</v>
      </c>
      <c r="B154" s="14">
        <v>45595</v>
      </c>
      <c r="C154" s="13" t="s">
        <v>451</v>
      </c>
      <c r="D154" s="13" t="s">
        <v>452</v>
      </c>
      <c r="E154" s="13" t="s">
        <v>188</v>
      </c>
      <c r="F154" s="15">
        <v>2</v>
      </c>
      <c r="G154" s="15">
        <v>3450</v>
      </c>
      <c r="H154" s="15">
        <v>1.2</v>
      </c>
      <c r="I154" s="15">
        <v>6817.2</v>
      </c>
      <c r="J154" s="13" t="s">
        <v>87</v>
      </c>
      <c r="K154" s="13" t="s">
        <v>99</v>
      </c>
      <c r="L154" s="34" t="str">
        <f>VLOOKUP(D154,Products!$A$2:$F$61,3,FALSE)</f>
        <v>Apparel</v>
      </c>
      <c r="M154" s="34" t="str">
        <f>VLOOKUP(C154,Customers!$A$2:$F$301,5,FALSE)</f>
        <v>SMB</v>
      </c>
      <c r="N154" s="34">
        <f>VLOOKUP(C154,Customers!$A$2:$F$301,3,FALSE)</f>
        <v>34</v>
      </c>
      <c r="O154" s="34" t="str">
        <f>VLOOKUP(E154,Sales_Reps!$A$2:$E$31,3,FALSE)</f>
        <v>South</v>
      </c>
      <c r="P154" s="13" t="s">
        <v>188</v>
      </c>
      <c r="Q154" s="34">
        <f t="shared" si="8"/>
        <v>1091740.1799999997</v>
      </c>
      <c r="R154" s="34" t="str">
        <f>VLOOKUP(E154,Sales_Reps!$A$2:$E$100,3,FALSE)</f>
        <v>South</v>
      </c>
      <c r="S154" s="34" t="str">
        <f t="shared" si="9"/>
        <v>Apparel</v>
      </c>
      <c r="T154" s="38">
        <f>VLOOKUP(D154,Products!$A$2:$F$68,4,FALSE)</f>
        <v>1748</v>
      </c>
    </row>
    <row r="155" spans="1:20" x14ac:dyDescent="0.35">
      <c r="A155" s="13" t="s">
        <v>453</v>
      </c>
      <c r="B155" s="14">
        <v>45530</v>
      </c>
      <c r="C155" s="13" t="s">
        <v>454</v>
      </c>
      <c r="D155" s="13" t="s">
        <v>338</v>
      </c>
      <c r="E155" s="13" t="s">
        <v>297</v>
      </c>
      <c r="F155" s="15">
        <v>10</v>
      </c>
      <c r="G155" s="15">
        <v>2210</v>
      </c>
      <c r="H155" s="15">
        <v>18.8</v>
      </c>
      <c r="I155" s="15">
        <v>17945.2</v>
      </c>
      <c r="J155" s="13" t="s">
        <v>87</v>
      </c>
      <c r="K155" s="13" t="s">
        <v>133</v>
      </c>
      <c r="L155" s="34" t="str">
        <f>VLOOKUP(D155,Products!$A$2:$F$61,3,FALSE)</f>
        <v>Grocery</v>
      </c>
      <c r="M155" s="34" t="str">
        <f>VLOOKUP(C155,Customers!$A$2:$F$301,5,FALSE)</f>
        <v>Corporate</v>
      </c>
      <c r="N155" s="34">
        <f>VLOOKUP(C155,Customers!$A$2:$F$301,3,FALSE)</f>
        <v>43</v>
      </c>
      <c r="O155" s="34" t="str">
        <f>VLOOKUP(E155,Sales_Reps!$A$2:$E$31,3,FALSE)</f>
        <v>North</v>
      </c>
      <c r="P155" s="13" t="s">
        <v>297</v>
      </c>
      <c r="Q155" s="34">
        <f t="shared" si="8"/>
        <v>980063.65999999968</v>
      </c>
      <c r="R155" s="34" t="str">
        <f>VLOOKUP(E155,Sales_Reps!$A$2:$E$100,3,FALSE)</f>
        <v>North</v>
      </c>
      <c r="S155" s="34" t="str">
        <f t="shared" si="9"/>
        <v>Grocery</v>
      </c>
      <c r="T155" s="38">
        <f>VLOOKUP(D155,Products!$A$2:$F$68,4,FALSE)</f>
        <v>1010</v>
      </c>
    </row>
    <row r="156" spans="1:20" x14ac:dyDescent="0.35">
      <c r="A156" s="13" t="s">
        <v>455</v>
      </c>
      <c r="B156" s="14">
        <v>45644</v>
      </c>
      <c r="C156" s="13" t="s">
        <v>320</v>
      </c>
      <c r="D156" s="13" t="s">
        <v>143</v>
      </c>
      <c r="E156" s="13" t="s">
        <v>252</v>
      </c>
      <c r="F156" s="15">
        <v>2</v>
      </c>
      <c r="G156" s="15">
        <v>3250</v>
      </c>
      <c r="H156" s="15">
        <v>26.2</v>
      </c>
      <c r="I156" s="15">
        <v>4797</v>
      </c>
      <c r="J156" s="13" t="s">
        <v>87</v>
      </c>
      <c r="K156" s="13" t="s">
        <v>133</v>
      </c>
      <c r="L156" s="34" t="str">
        <f>VLOOKUP(D156,Products!$A$2:$F$61,3,FALSE)</f>
        <v>Home</v>
      </c>
      <c r="M156" s="34" t="str">
        <f>VLOOKUP(C156,Customers!$A$2:$F$301,5,FALSE)</f>
        <v>SMB</v>
      </c>
      <c r="N156" s="34">
        <f>VLOOKUP(C156,Customers!$A$2:$F$301,3,FALSE)</f>
        <v>36</v>
      </c>
      <c r="O156" s="34" t="str">
        <f>VLOOKUP(E156,Sales_Reps!$A$2:$E$31,3,FALSE)</f>
        <v>South</v>
      </c>
      <c r="P156" s="13" t="s">
        <v>252</v>
      </c>
      <c r="Q156" s="34">
        <f t="shared" si="8"/>
        <v>811524.37999999989</v>
      </c>
      <c r="R156" s="34" t="str">
        <f>VLOOKUP(E156,Sales_Reps!$A$2:$E$100,3,FALSE)</f>
        <v>South</v>
      </c>
      <c r="S156" s="34" t="str">
        <f t="shared" si="9"/>
        <v>Home</v>
      </c>
      <c r="T156" s="38">
        <f>VLOOKUP(D156,Products!$A$2:$F$68,4,FALSE)</f>
        <v>1556</v>
      </c>
    </row>
    <row r="157" spans="1:20" x14ac:dyDescent="0.35">
      <c r="A157" s="13" t="s">
        <v>456</v>
      </c>
      <c r="B157" s="14">
        <v>45298</v>
      </c>
      <c r="C157" s="13" t="s">
        <v>457</v>
      </c>
      <c r="D157" s="13" t="s">
        <v>106</v>
      </c>
      <c r="E157" s="13" t="s">
        <v>215</v>
      </c>
      <c r="F157" s="15">
        <v>5</v>
      </c>
      <c r="G157" s="15">
        <v>3160</v>
      </c>
      <c r="H157" s="15">
        <v>0.9</v>
      </c>
      <c r="I157" s="15">
        <v>15657.8</v>
      </c>
      <c r="J157" s="13" t="s">
        <v>87</v>
      </c>
      <c r="K157" s="13" t="s">
        <v>88</v>
      </c>
      <c r="L157" s="34" t="str">
        <f>VLOOKUP(D157,Products!$A$2:$F$61,3,FALSE)</f>
        <v>Apparel</v>
      </c>
      <c r="M157" s="34" t="str">
        <f>VLOOKUP(C157,Customers!$A$2:$F$301,5,FALSE)</f>
        <v>Retail</v>
      </c>
      <c r="N157" s="34">
        <f>VLOOKUP(C157,Customers!$A$2:$F$301,3,FALSE)</f>
        <v>29</v>
      </c>
      <c r="O157" s="34" t="str">
        <f>VLOOKUP(E157,Sales_Reps!$A$2:$E$31,3,FALSE)</f>
        <v>North</v>
      </c>
      <c r="P157" s="13" t="s">
        <v>215</v>
      </c>
      <c r="Q157" s="34">
        <f t="shared" si="8"/>
        <v>789849.60000000009</v>
      </c>
      <c r="R157" s="34" t="str">
        <f>VLOOKUP(E157,Sales_Reps!$A$2:$E$100,3,FALSE)</f>
        <v>North</v>
      </c>
      <c r="S157" s="34" t="str">
        <f t="shared" si="9"/>
        <v>Apparel</v>
      </c>
      <c r="T157" s="38">
        <f>VLOOKUP(D157,Products!$A$2:$F$68,4,FALSE)</f>
        <v>1886</v>
      </c>
    </row>
    <row r="158" spans="1:20" x14ac:dyDescent="0.35">
      <c r="A158" s="13" t="s">
        <v>458</v>
      </c>
      <c r="B158" s="14">
        <v>45447</v>
      </c>
      <c r="C158" s="13" t="s">
        <v>407</v>
      </c>
      <c r="D158" s="13" t="s">
        <v>248</v>
      </c>
      <c r="E158" s="13" t="s">
        <v>170</v>
      </c>
      <c r="F158" s="15">
        <v>4</v>
      </c>
      <c r="G158" s="15">
        <v>3870</v>
      </c>
      <c r="H158" s="15">
        <v>29.6</v>
      </c>
      <c r="I158" s="15">
        <v>10897.92</v>
      </c>
      <c r="J158" s="13" t="s">
        <v>140</v>
      </c>
      <c r="K158" s="13" t="s">
        <v>88</v>
      </c>
      <c r="L158" s="34" t="str">
        <f>VLOOKUP(D158,Products!$A$2:$F$61,3,FALSE)</f>
        <v>Electronics</v>
      </c>
      <c r="M158" s="34" t="str">
        <f>VLOOKUP(C158,Customers!$A$2:$F$301,5,FALSE)</f>
        <v>SMB</v>
      </c>
      <c r="N158" s="34">
        <f>VLOOKUP(C158,Customers!$A$2:$F$301,3,FALSE)</f>
        <v>53</v>
      </c>
      <c r="O158" s="34" t="str">
        <f>VLOOKUP(E158,Sales_Reps!$A$2:$E$31,3,FALSE)</f>
        <v>West</v>
      </c>
      <c r="P158" s="13" t="s">
        <v>170</v>
      </c>
      <c r="Q158" s="34">
        <f t="shared" si="8"/>
        <v>747624.36999999988</v>
      </c>
      <c r="R158" s="34" t="str">
        <f>VLOOKUP(E158,Sales_Reps!$A$2:$E$100,3,FALSE)</f>
        <v>West</v>
      </c>
      <c r="S158" s="34" t="str">
        <f t="shared" si="9"/>
        <v>Electronics</v>
      </c>
      <c r="T158" s="38">
        <f>VLOOKUP(D158,Products!$A$2:$F$68,4,FALSE)</f>
        <v>1559</v>
      </c>
    </row>
    <row r="159" spans="1:20" x14ac:dyDescent="0.35">
      <c r="A159" s="13" t="s">
        <v>459</v>
      </c>
      <c r="B159" s="14">
        <v>45601</v>
      </c>
      <c r="C159" s="13" t="s">
        <v>460</v>
      </c>
      <c r="D159" s="13" t="s">
        <v>461</v>
      </c>
      <c r="E159" s="13" t="s">
        <v>285</v>
      </c>
      <c r="F159" s="15">
        <v>4</v>
      </c>
      <c r="G159" s="15">
        <v>3780</v>
      </c>
      <c r="H159" s="15">
        <v>3.5</v>
      </c>
      <c r="I159" s="15">
        <v>14590.8</v>
      </c>
      <c r="J159" s="13" t="s">
        <v>140</v>
      </c>
      <c r="K159" s="13" t="s">
        <v>88</v>
      </c>
      <c r="L159" s="34" t="str">
        <f>VLOOKUP(D159,Products!$A$2:$F$61,3,FALSE)</f>
        <v>Sports</v>
      </c>
      <c r="M159" s="34" t="str">
        <f>VLOOKUP(C159,Customers!$A$2:$F$301,5,FALSE)</f>
        <v>Corporate</v>
      </c>
      <c r="N159" s="34">
        <f>VLOOKUP(C159,Customers!$A$2:$F$301,3,FALSE)</f>
        <v>37</v>
      </c>
      <c r="O159" s="34" t="str">
        <f>VLOOKUP(E159,Sales_Reps!$A$2:$E$31,3,FALSE)</f>
        <v>East</v>
      </c>
      <c r="P159" s="13" t="s">
        <v>285</v>
      </c>
      <c r="Q159" s="34">
        <f t="shared" si="8"/>
        <v>1069570.5400000003</v>
      </c>
      <c r="R159" s="34" t="str">
        <f>VLOOKUP(E159,Sales_Reps!$A$2:$E$100,3,FALSE)</f>
        <v>East</v>
      </c>
      <c r="S159" s="34" t="str">
        <f t="shared" si="9"/>
        <v>Sports</v>
      </c>
      <c r="T159" s="38">
        <f>VLOOKUP(D159,Products!$A$2:$F$68,4,FALSE)</f>
        <v>1860</v>
      </c>
    </row>
    <row r="160" spans="1:20" x14ac:dyDescent="0.35">
      <c r="A160" s="13" t="s">
        <v>462</v>
      </c>
      <c r="B160" s="14">
        <v>45428</v>
      </c>
      <c r="C160" s="13" t="s">
        <v>463</v>
      </c>
      <c r="D160" s="13" t="s">
        <v>276</v>
      </c>
      <c r="E160" s="13" t="s">
        <v>158</v>
      </c>
      <c r="F160" s="15">
        <v>4</v>
      </c>
      <c r="G160" s="15">
        <v>3020</v>
      </c>
      <c r="H160" s="15">
        <v>18.899999999999999</v>
      </c>
      <c r="I160" s="15">
        <v>9796.8799999999992</v>
      </c>
      <c r="J160" s="13" t="s">
        <v>87</v>
      </c>
      <c r="K160" s="13" t="s">
        <v>117</v>
      </c>
      <c r="L160" s="34" t="str">
        <f>VLOOKUP(D160,Products!$A$2:$F$61,3,FALSE)</f>
        <v>Beauty</v>
      </c>
      <c r="M160" s="34" t="str">
        <f>VLOOKUP(C160,Customers!$A$2:$F$301,5,FALSE)</f>
        <v>Retail</v>
      </c>
      <c r="N160" s="34">
        <f>VLOOKUP(C160,Customers!$A$2:$F$301,3,FALSE)</f>
        <v>55</v>
      </c>
      <c r="O160" s="34" t="str">
        <f>VLOOKUP(E160,Sales_Reps!$A$2:$E$31,3,FALSE)</f>
        <v>East</v>
      </c>
      <c r="P160" s="13" t="s">
        <v>158</v>
      </c>
      <c r="Q160" s="34">
        <f t="shared" si="8"/>
        <v>761507.17000000027</v>
      </c>
      <c r="R160" s="34" t="str">
        <f>VLOOKUP(E160,Sales_Reps!$A$2:$E$100,3,FALSE)</f>
        <v>East</v>
      </c>
      <c r="S160" s="34" t="str">
        <f t="shared" si="9"/>
        <v>Beauty</v>
      </c>
      <c r="T160" s="38">
        <f>VLOOKUP(D160,Products!$A$2:$F$68,4,FALSE)</f>
        <v>1626</v>
      </c>
    </row>
    <row r="161" spans="1:20" x14ac:dyDescent="0.35">
      <c r="A161" s="13" t="s">
        <v>464</v>
      </c>
      <c r="B161" s="14">
        <v>45409</v>
      </c>
      <c r="C161" s="13" t="s">
        <v>465</v>
      </c>
      <c r="D161" s="13" t="s">
        <v>226</v>
      </c>
      <c r="E161" s="13" t="s">
        <v>188</v>
      </c>
      <c r="F161" s="15">
        <v>1</v>
      </c>
      <c r="G161" s="15">
        <v>3730</v>
      </c>
      <c r="H161" s="15">
        <v>10.8</v>
      </c>
      <c r="I161" s="15">
        <v>3327.16</v>
      </c>
      <c r="J161" s="13" t="s">
        <v>144</v>
      </c>
      <c r="K161" s="13" t="s">
        <v>112</v>
      </c>
      <c r="L161" s="34" t="str">
        <f>VLOOKUP(D161,Products!$A$2:$F$61,3,FALSE)</f>
        <v>Home</v>
      </c>
      <c r="M161" s="34" t="str">
        <f>VLOOKUP(C161,Customers!$A$2:$F$301,5,FALSE)</f>
        <v>Retail</v>
      </c>
      <c r="N161" s="34">
        <f>VLOOKUP(C161,Customers!$A$2:$F$301,3,FALSE)</f>
        <v>61</v>
      </c>
      <c r="O161" s="34" t="str">
        <f>VLOOKUP(E161,Sales_Reps!$A$2:$E$31,3,FALSE)</f>
        <v>South</v>
      </c>
      <c r="P161" s="13" t="s">
        <v>188</v>
      </c>
      <c r="Q161" s="34">
        <f t="shared" si="8"/>
        <v>1091740.1799999997</v>
      </c>
      <c r="R161" s="34" t="str">
        <f>VLOOKUP(E161,Sales_Reps!$A$2:$E$100,3,FALSE)</f>
        <v>South</v>
      </c>
      <c r="S161" s="34" t="str">
        <f t="shared" si="9"/>
        <v>Home</v>
      </c>
      <c r="T161" s="38">
        <f>VLOOKUP(D161,Products!$A$2:$F$68,4,FALSE)</f>
        <v>2135</v>
      </c>
    </row>
    <row r="162" spans="1:20" x14ac:dyDescent="0.35">
      <c r="A162" s="13" t="s">
        <v>466</v>
      </c>
      <c r="B162" s="14">
        <v>45394</v>
      </c>
      <c r="C162" s="13" t="s">
        <v>333</v>
      </c>
      <c r="D162" s="13" t="s">
        <v>184</v>
      </c>
      <c r="E162" s="13" t="s">
        <v>303</v>
      </c>
      <c r="F162" s="15">
        <v>8</v>
      </c>
      <c r="G162" s="15">
        <v>4880</v>
      </c>
      <c r="H162" s="15">
        <v>20.3</v>
      </c>
      <c r="I162" s="15">
        <v>31114.880000000001</v>
      </c>
      <c r="J162" s="13" t="s">
        <v>87</v>
      </c>
      <c r="K162" s="13" t="s">
        <v>133</v>
      </c>
      <c r="L162" s="34" t="str">
        <f>VLOOKUP(D162,Products!$A$2:$F$61,3,FALSE)</f>
        <v>Beauty</v>
      </c>
      <c r="M162" s="34" t="str">
        <f>VLOOKUP(C162,Customers!$A$2:$F$301,5,FALSE)</f>
        <v>SMB</v>
      </c>
      <c r="N162" s="34">
        <f>VLOOKUP(C162,Customers!$A$2:$F$301,3,FALSE)</f>
        <v>65</v>
      </c>
      <c r="O162" s="34" t="str">
        <f>VLOOKUP(E162,Sales_Reps!$A$2:$E$31,3,FALSE)</f>
        <v>East</v>
      </c>
      <c r="P162" s="13" t="s">
        <v>303</v>
      </c>
      <c r="Q162" s="34">
        <f t="shared" si="8"/>
        <v>1112289.6400000001</v>
      </c>
      <c r="R162" s="34" t="str">
        <f>VLOOKUP(E162,Sales_Reps!$A$2:$E$100,3,FALSE)</f>
        <v>East</v>
      </c>
      <c r="S162" s="34" t="str">
        <f t="shared" si="9"/>
        <v>Beauty</v>
      </c>
      <c r="T162" s="38">
        <f>VLOOKUP(D162,Products!$A$2:$F$68,4,FALSE)</f>
        <v>2768</v>
      </c>
    </row>
    <row r="163" spans="1:20" x14ac:dyDescent="0.35">
      <c r="A163" s="13" t="s">
        <v>467</v>
      </c>
      <c r="B163" s="14">
        <v>45579</v>
      </c>
      <c r="C163" s="13" t="s">
        <v>150</v>
      </c>
      <c r="D163" s="13" t="s">
        <v>127</v>
      </c>
      <c r="E163" s="13" t="s">
        <v>201</v>
      </c>
      <c r="F163" s="15">
        <v>9</v>
      </c>
      <c r="G163" s="15">
        <v>970</v>
      </c>
      <c r="H163" s="15">
        <v>18.2</v>
      </c>
      <c r="I163" s="15">
        <v>7141.14</v>
      </c>
      <c r="J163" s="13" t="s">
        <v>87</v>
      </c>
      <c r="K163" s="13" t="s">
        <v>88</v>
      </c>
      <c r="L163" s="34" t="str">
        <f>VLOOKUP(D163,Products!$A$2:$F$61,3,FALSE)</f>
        <v>Grocery</v>
      </c>
      <c r="M163" s="34" t="str">
        <f>VLOOKUP(C163,Customers!$A$2:$F$301,5,FALSE)</f>
        <v>Retail</v>
      </c>
      <c r="N163" s="34">
        <f>VLOOKUP(C163,Customers!$A$2:$F$301,3,FALSE)</f>
        <v>63</v>
      </c>
      <c r="O163" s="34" t="str">
        <f>VLOOKUP(E163,Sales_Reps!$A$2:$E$31,3,FALSE)</f>
        <v>West</v>
      </c>
      <c r="P163" s="13" t="s">
        <v>201</v>
      </c>
      <c r="Q163" s="34">
        <f t="shared" si="8"/>
        <v>576305.08000000019</v>
      </c>
      <c r="R163" s="34" t="str">
        <f>VLOOKUP(E163,Sales_Reps!$A$2:$E$100,3,FALSE)</f>
        <v>West</v>
      </c>
      <c r="S163" s="34" t="str">
        <f t="shared" si="9"/>
        <v>Grocery</v>
      </c>
      <c r="T163" s="38">
        <f>VLOOKUP(D163,Products!$A$2:$F$68,4,FALSE)</f>
        <v>434</v>
      </c>
    </row>
    <row r="164" spans="1:20" x14ac:dyDescent="0.35">
      <c r="A164" s="13" t="s">
        <v>468</v>
      </c>
      <c r="B164" s="14">
        <v>45442</v>
      </c>
      <c r="C164" s="13" t="s">
        <v>469</v>
      </c>
      <c r="D164" s="13" t="s">
        <v>279</v>
      </c>
      <c r="E164" s="13" t="s">
        <v>238</v>
      </c>
      <c r="F164" s="15">
        <v>8</v>
      </c>
      <c r="G164" s="15">
        <v>2660</v>
      </c>
      <c r="H164" s="15">
        <v>17.600000000000001</v>
      </c>
      <c r="I164" s="15">
        <v>17534.72</v>
      </c>
      <c r="J164" s="13" t="s">
        <v>87</v>
      </c>
      <c r="K164" s="13" t="s">
        <v>117</v>
      </c>
      <c r="L164" s="34" t="str">
        <f>VLOOKUP(D164,Products!$A$2:$F$61,3,FALSE)</f>
        <v>Electronics</v>
      </c>
      <c r="M164" s="34" t="str">
        <f>VLOOKUP(C164,Customers!$A$2:$F$301,5,FALSE)</f>
        <v>SMB</v>
      </c>
      <c r="N164" s="34">
        <f>VLOOKUP(C164,Customers!$A$2:$F$301,3,FALSE)</f>
        <v>43</v>
      </c>
      <c r="O164" s="34" t="str">
        <f>VLOOKUP(E164,Sales_Reps!$A$2:$E$31,3,FALSE)</f>
        <v>East</v>
      </c>
      <c r="P164" s="13" t="s">
        <v>238</v>
      </c>
      <c r="Q164" s="34">
        <f t="shared" si="8"/>
        <v>780384.40999999992</v>
      </c>
      <c r="R164" s="34" t="str">
        <f>VLOOKUP(E164,Sales_Reps!$A$2:$E$100,3,FALSE)</f>
        <v>East</v>
      </c>
      <c r="S164" s="34" t="str">
        <f t="shared" si="9"/>
        <v>Electronics</v>
      </c>
      <c r="T164" s="38">
        <f>VLOOKUP(D164,Products!$A$2:$F$68,4,FALSE)</f>
        <v>1259</v>
      </c>
    </row>
    <row r="165" spans="1:20" x14ac:dyDescent="0.35">
      <c r="A165" s="13" t="s">
        <v>470</v>
      </c>
      <c r="B165" s="14">
        <v>45414</v>
      </c>
      <c r="C165" s="13" t="s">
        <v>137</v>
      </c>
      <c r="D165" s="13" t="s">
        <v>91</v>
      </c>
      <c r="E165" s="13" t="s">
        <v>188</v>
      </c>
      <c r="F165" s="15">
        <v>2</v>
      </c>
      <c r="G165" s="15">
        <v>820</v>
      </c>
      <c r="H165" s="15">
        <v>18.100000000000001</v>
      </c>
      <c r="I165" s="15">
        <v>1343.16</v>
      </c>
      <c r="J165" s="13" t="s">
        <v>140</v>
      </c>
      <c r="K165" s="13" t="s">
        <v>99</v>
      </c>
      <c r="L165" s="34" t="str">
        <f>VLOOKUP(D165,Products!$A$2:$F$61,3,FALSE)</f>
        <v>Apparel</v>
      </c>
      <c r="M165" s="34" t="str">
        <f>VLOOKUP(C165,Customers!$A$2:$F$301,5,FALSE)</f>
        <v>SMB</v>
      </c>
      <c r="N165" s="34">
        <f>VLOOKUP(C165,Customers!$A$2:$F$301,3,FALSE)</f>
        <v>27</v>
      </c>
      <c r="O165" s="34" t="str">
        <f>VLOOKUP(E165,Sales_Reps!$A$2:$E$31,3,FALSE)</f>
        <v>South</v>
      </c>
      <c r="P165" s="13" t="s">
        <v>188</v>
      </c>
      <c r="Q165" s="34">
        <f t="shared" si="8"/>
        <v>1091740.1799999997</v>
      </c>
      <c r="R165" s="34" t="str">
        <f>VLOOKUP(E165,Sales_Reps!$A$2:$E$100,3,FALSE)</f>
        <v>South</v>
      </c>
      <c r="S165" s="34" t="str">
        <f t="shared" si="9"/>
        <v>Apparel</v>
      </c>
      <c r="T165" s="38">
        <f>VLOOKUP(D165,Products!$A$2:$F$68,4,FALSE)</f>
        <v>391</v>
      </c>
    </row>
    <row r="166" spans="1:20" x14ac:dyDescent="0.35">
      <c r="A166" s="13" t="s">
        <v>471</v>
      </c>
      <c r="B166" s="14">
        <v>45349</v>
      </c>
      <c r="C166" s="13" t="s">
        <v>472</v>
      </c>
      <c r="D166" s="13" t="s">
        <v>295</v>
      </c>
      <c r="E166" s="13" t="s">
        <v>204</v>
      </c>
      <c r="F166" s="15">
        <v>7</v>
      </c>
      <c r="G166" s="15">
        <v>2030</v>
      </c>
      <c r="H166" s="15">
        <v>23.7</v>
      </c>
      <c r="I166" s="15">
        <v>10842.23</v>
      </c>
      <c r="J166" s="13" t="s">
        <v>93</v>
      </c>
      <c r="K166" s="13" t="s">
        <v>94</v>
      </c>
      <c r="L166" s="34" t="str">
        <f>VLOOKUP(D166,Products!$A$2:$F$61,3,FALSE)</f>
        <v>Home</v>
      </c>
      <c r="M166" s="34" t="str">
        <f>VLOOKUP(C166,Customers!$A$2:$F$301,5,FALSE)</f>
        <v>Corporate</v>
      </c>
      <c r="N166" s="34">
        <f>VLOOKUP(C166,Customers!$A$2:$F$301,3,FALSE)</f>
        <v>35</v>
      </c>
      <c r="O166" s="34" t="str">
        <f>VLOOKUP(E166,Sales_Reps!$A$2:$E$31,3,FALSE)</f>
        <v>South</v>
      </c>
      <c r="P166" s="13" t="s">
        <v>204</v>
      </c>
      <c r="Q166" s="34">
        <f t="shared" si="8"/>
        <v>914554.71999999986</v>
      </c>
      <c r="R166" s="34" t="str">
        <f>VLOOKUP(E166,Sales_Reps!$A$2:$E$100,3,FALSE)</f>
        <v>South</v>
      </c>
      <c r="S166" s="34" t="str">
        <f t="shared" si="9"/>
        <v>Home</v>
      </c>
      <c r="T166" s="38">
        <f>VLOOKUP(D166,Products!$A$2:$F$68,4,FALSE)</f>
        <v>1143</v>
      </c>
    </row>
    <row r="167" spans="1:20" x14ac:dyDescent="0.35">
      <c r="A167" s="13" t="s">
        <v>473</v>
      </c>
      <c r="B167" s="14">
        <v>45533</v>
      </c>
      <c r="C167" s="13" t="s">
        <v>474</v>
      </c>
      <c r="D167" s="13" t="s">
        <v>292</v>
      </c>
      <c r="E167" s="13" t="s">
        <v>204</v>
      </c>
      <c r="F167" s="15">
        <v>5</v>
      </c>
      <c r="G167" s="15">
        <v>620</v>
      </c>
      <c r="H167" s="15">
        <v>13.8</v>
      </c>
      <c r="I167" s="15">
        <v>2672.2</v>
      </c>
      <c r="J167" s="13" t="s">
        <v>87</v>
      </c>
      <c r="K167" s="13" t="s">
        <v>99</v>
      </c>
      <c r="L167" s="34" t="str">
        <f>VLOOKUP(D167,Products!$A$2:$F$61,3,FALSE)</f>
        <v>Apparel</v>
      </c>
      <c r="M167" s="34" t="str">
        <f>VLOOKUP(C167,Customers!$A$2:$F$301,5,FALSE)</f>
        <v>SMB</v>
      </c>
      <c r="N167" s="34">
        <f>VLOOKUP(C167,Customers!$A$2:$F$301,3,FALSE)</f>
        <v>59</v>
      </c>
      <c r="O167" s="34" t="str">
        <f>VLOOKUP(E167,Sales_Reps!$A$2:$E$31,3,FALSE)</f>
        <v>South</v>
      </c>
      <c r="P167" s="13" t="s">
        <v>204</v>
      </c>
      <c r="Q167" s="34">
        <f t="shared" si="8"/>
        <v>914554.71999999986</v>
      </c>
      <c r="R167" s="34" t="str">
        <f>VLOOKUP(E167,Sales_Reps!$A$2:$E$100,3,FALSE)</f>
        <v>South</v>
      </c>
      <c r="S167" s="34" t="str">
        <f t="shared" si="9"/>
        <v>Apparel</v>
      </c>
      <c r="T167" s="38">
        <f>VLOOKUP(D167,Products!$A$2:$F$68,4,FALSE)</f>
        <v>396</v>
      </c>
    </row>
    <row r="168" spans="1:20" x14ac:dyDescent="0.35">
      <c r="A168" s="13" t="s">
        <v>475</v>
      </c>
      <c r="B168" s="14">
        <v>45489</v>
      </c>
      <c r="C168" s="13" t="s">
        <v>451</v>
      </c>
      <c r="D168" s="13" t="s">
        <v>245</v>
      </c>
      <c r="E168" s="13" t="s">
        <v>285</v>
      </c>
      <c r="F168" s="15">
        <v>7</v>
      </c>
      <c r="G168" s="15">
        <v>2270</v>
      </c>
      <c r="H168" s="15">
        <v>5.5</v>
      </c>
      <c r="I168" s="15">
        <v>15016.05</v>
      </c>
      <c r="J168" s="13" t="s">
        <v>87</v>
      </c>
      <c r="K168" s="13" t="s">
        <v>99</v>
      </c>
      <c r="L168" s="34" t="str">
        <f>VLOOKUP(D168,Products!$A$2:$F$61,3,FALSE)</f>
        <v>Grocery</v>
      </c>
      <c r="M168" s="34" t="str">
        <f>VLOOKUP(C168,Customers!$A$2:$F$301,5,FALSE)</f>
        <v>SMB</v>
      </c>
      <c r="N168" s="34">
        <f>VLOOKUP(C168,Customers!$A$2:$F$301,3,FALSE)</f>
        <v>34</v>
      </c>
      <c r="O168" s="34" t="str">
        <f>VLOOKUP(E168,Sales_Reps!$A$2:$E$31,3,FALSE)</f>
        <v>East</v>
      </c>
      <c r="P168" s="13" t="s">
        <v>285</v>
      </c>
      <c r="Q168" s="34">
        <f t="shared" si="8"/>
        <v>1069570.5400000003</v>
      </c>
      <c r="R168" s="34" t="str">
        <f>VLOOKUP(E168,Sales_Reps!$A$2:$E$100,3,FALSE)</f>
        <v>East</v>
      </c>
      <c r="S168" s="34" t="str">
        <f t="shared" si="9"/>
        <v>Grocery</v>
      </c>
      <c r="T168" s="38">
        <f>VLOOKUP(D168,Products!$A$2:$F$68,4,FALSE)</f>
        <v>1412</v>
      </c>
    </row>
    <row r="169" spans="1:20" x14ac:dyDescent="0.35">
      <c r="A169" s="13" t="s">
        <v>476</v>
      </c>
      <c r="B169" s="14">
        <v>45457</v>
      </c>
      <c r="C169" s="13" t="s">
        <v>175</v>
      </c>
      <c r="D169" s="13" t="s">
        <v>97</v>
      </c>
      <c r="E169" s="13" t="s">
        <v>346</v>
      </c>
      <c r="F169" s="15">
        <v>1</v>
      </c>
      <c r="G169" s="15">
        <v>470</v>
      </c>
      <c r="H169" s="15">
        <v>13.7</v>
      </c>
      <c r="I169" s="15">
        <v>405.61</v>
      </c>
      <c r="J169" s="13" t="s">
        <v>93</v>
      </c>
      <c r="K169" s="13" t="s">
        <v>133</v>
      </c>
      <c r="L169" s="34" t="str">
        <f>VLOOKUP(D169,Products!$A$2:$F$61,3,FALSE)</f>
        <v>Sports</v>
      </c>
      <c r="M169" s="34" t="str">
        <f>VLOOKUP(C169,Customers!$A$2:$F$301,5,FALSE)</f>
        <v>SMB</v>
      </c>
      <c r="N169" s="34">
        <f>VLOOKUP(C169,Customers!$A$2:$F$301,3,FALSE)</f>
        <v>40</v>
      </c>
      <c r="O169" s="34" t="str">
        <f>VLOOKUP(E169,Sales_Reps!$A$2:$E$31,3,FALSE)</f>
        <v>South</v>
      </c>
      <c r="P169" s="13" t="s">
        <v>346</v>
      </c>
      <c r="Q169" s="34">
        <f t="shared" si="8"/>
        <v>814563.7100000002</v>
      </c>
      <c r="R169" s="34" t="str">
        <f>VLOOKUP(E169,Sales_Reps!$A$2:$E$100,3,FALSE)</f>
        <v>South</v>
      </c>
      <c r="S169" s="34" t="str">
        <f t="shared" si="9"/>
        <v>Sports</v>
      </c>
      <c r="T169" s="38">
        <f>VLOOKUP(D169,Products!$A$2:$F$68,4,FALSE)</f>
        <v>302</v>
      </c>
    </row>
    <row r="170" spans="1:20" x14ac:dyDescent="0.35">
      <c r="A170" s="13" t="s">
        <v>477</v>
      </c>
      <c r="B170" s="14">
        <v>45601</v>
      </c>
      <c r="C170" s="13" t="s">
        <v>150</v>
      </c>
      <c r="D170" s="13" t="s">
        <v>364</v>
      </c>
      <c r="E170" s="13" t="s">
        <v>86</v>
      </c>
      <c r="F170" s="15">
        <v>6</v>
      </c>
      <c r="G170" s="15">
        <v>5330</v>
      </c>
      <c r="H170" s="15">
        <v>17.899999999999999</v>
      </c>
      <c r="I170" s="15">
        <v>26255.58</v>
      </c>
      <c r="J170" s="13" t="s">
        <v>87</v>
      </c>
      <c r="K170" s="13" t="s">
        <v>88</v>
      </c>
      <c r="L170" s="34" t="str">
        <f>VLOOKUP(D170,Products!$A$2:$F$61,3,FALSE)</f>
        <v>Electronics</v>
      </c>
      <c r="M170" s="34" t="str">
        <f>VLOOKUP(C170,Customers!$A$2:$F$301,5,FALSE)</f>
        <v>Retail</v>
      </c>
      <c r="N170" s="34">
        <f>VLOOKUP(C170,Customers!$A$2:$F$301,3,FALSE)</f>
        <v>63</v>
      </c>
      <c r="O170" s="34" t="str">
        <f>VLOOKUP(E170,Sales_Reps!$A$2:$E$31,3,FALSE)</f>
        <v>North</v>
      </c>
      <c r="P170" s="13" t="s">
        <v>86</v>
      </c>
      <c r="Q170" s="34">
        <f t="shared" si="8"/>
        <v>855749.67999999982</v>
      </c>
      <c r="R170" s="34" t="str">
        <f>VLOOKUP(E170,Sales_Reps!$A$2:$E$100,3,FALSE)</f>
        <v>North</v>
      </c>
      <c r="S170" s="34" t="str">
        <f t="shared" si="9"/>
        <v>Electronics</v>
      </c>
      <c r="T170" s="38">
        <f>VLOOKUP(D170,Products!$A$2:$F$68,4,FALSE)</f>
        <v>2405</v>
      </c>
    </row>
    <row r="171" spans="1:20" x14ac:dyDescent="0.35">
      <c r="A171" s="13" t="s">
        <v>478</v>
      </c>
      <c r="B171" s="14">
        <v>45294</v>
      </c>
      <c r="C171" s="13" t="s">
        <v>479</v>
      </c>
      <c r="D171" s="13" t="s">
        <v>241</v>
      </c>
      <c r="E171" s="13" t="s">
        <v>297</v>
      </c>
      <c r="F171" s="15">
        <v>1</v>
      </c>
      <c r="G171" s="15">
        <v>6080</v>
      </c>
      <c r="H171" s="15">
        <v>25.5</v>
      </c>
      <c r="I171" s="15">
        <v>4529.6000000000004</v>
      </c>
      <c r="J171" s="13" t="s">
        <v>87</v>
      </c>
      <c r="K171" s="13" t="s">
        <v>88</v>
      </c>
      <c r="L171" s="34" t="str">
        <f>VLOOKUP(D171,Products!$A$2:$F$61,3,FALSE)</f>
        <v>Beauty</v>
      </c>
      <c r="M171" s="34" t="str">
        <f>VLOOKUP(C171,Customers!$A$2:$F$301,5,FALSE)</f>
        <v>SMB</v>
      </c>
      <c r="N171" s="34">
        <f>VLOOKUP(C171,Customers!$A$2:$F$301,3,FALSE)</f>
        <v>49</v>
      </c>
      <c r="O171" s="34" t="str">
        <f>VLOOKUP(E171,Sales_Reps!$A$2:$E$31,3,FALSE)</f>
        <v>North</v>
      </c>
      <c r="P171" s="13" t="s">
        <v>297</v>
      </c>
      <c r="Q171" s="34">
        <f t="shared" si="8"/>
        <v>980063.65999999968</v>
      </c>
      <c r="R171" s="34" t="str">
        <f>VLOOKUP(E171,Sales_Reps!$A$2:$E$100,3,FALSE)</f>
        <v>North</v>
      </c>
      <c r="S171" s="34" t="str">
        <f t="shared" si="9"/>
        <v>Beauty</v>
      </c>
      <c r="T171" s="38">
        <f>VLOOKUP(D171,Products!$A$2:$F$68,4,FALSE)</f>
        <v>2617</v>
      </c>
    </row>
    <row r="172" spans="1:20" x14ac:dyDescent="0.35">
      <c r="A172" s="13" t="s">
        <v>480</v>
      </c>
      <c r="B172" s="14">
        <v>45345</v>
      </c>
      <c r="C172" s="13" t="s">
        <v>261</v>
      </c>
      <c r="D172" s="13" t="s">
        <v>234</v>
      </c>
      <c r="E172" s="13" t="s">
        <v>285</v>
      </c>
      <c r="F172" s="15">
        <v>5</v>
      </c>
      <c r="G172" s="15">
        <v>3780</v>
      </c>
      <c r="H172" s="15">
        <v>28.6</v>
      </c>
      <c r="I172" s="15">
        <v>13494.6</v>
      </c>
      <c r="J172" s="13" t="s">
        <v>87</v>
      </c>
      <c r="K172" s="13" t="s">
        <v>99</v>
      </c>
      <c r="L172" s="34" t="str">
        <f>VLOOKUP(D172,Products!$A$2:$F$61,3,FALSE)</f>
        <v>Grocery</v>
      </c>
      <c r="M172" s="34" t="str">
        <f>VLOOKUP(C172,Customers!$A$2:$F$301,5,FALSE)</f>
        <v>Retail</v>
      </c>
      <c r="N172" s="34">
        <f>VLOOKUP(C172,Customers!$A$2:$F$301,3,FALSE)</f>
        <v>54</v>
      </c>
      <c r="O172" s="34" t="str">
        <f>VLOOKUP(E172,Sales_Reps!$A$2:$E$31,3,FALSE)</f>
        <v>East</v>
      </c>
      <c r="P172" s="13" t="s">
        <v>285</v>
      </c>
      <c r="Q172" s="34">
        <f t="shared" si="8"/>
        <v>1069570.5400000003</v>
      </c>
      <c r="R172" s="34" t="str">
        <f>VLOOKUP(E172,Sales_Reps!$A$2:$E$100,3,FALSE)</f>
        <v>East</v>
      </c>
      <c r="S172" s="34" t="str">
        <f t="shared" si="9"/>
        <v>Grocery</v>
      </c>
      <c r="T172" s="38">
        <f>VLOOKUP(D172,Products!$A$2:$F$68,4,FALSE)</f>
        <v>2436</v>
      </c>
    </row>
    <row r="173" spans="1:20" x14ac:dyDescent="0.35">
      <c r="A173" s="13" t="s">
        <v>481</v>
      </c>
      <c r="B173" s="14">
        <v>45391</v>
      </c>
      <c r="C173" s="13" t="s">
        <v>482</v>
      </c>
      <c r="D173" s="13" t="s">
        <v>292</v>
      </c>
      <c r="E173" s="13" t="s">
        <v>132</v>
      </c>
      <c r="F173" s="15">
        <v>5</v>
      </c>
      <c r="G173" s="15">
        <v>620</v>
      </c>
      <c r="H173" s="15">
        <v>6.9</v>
      </c>
      <c r="I173" s="15">
        <v>2886.1</v>
      </c>
      <c r="J173" s="13" t="s">
        <v>140</v>
      </c>
      <c r="K173" s="13" t="s">
        <v>133</v>
      </c>
      <c r="L173" s="34" t="str">
        <f>VLOOKUP(D173,Products!$A$2:$F$61,3,FALSE)</f>
        <v>Apparel</v>
      </c>
      <c r="M173" s="34" t="str">
        <f>VLOOKUP(C173,Customers!$A$2:$F$301,5,FALSE)</f>
        <v>Corporate</v>
      </c>
      <c r="N173" s="34">
        <f>VLOOKUP(C173,Customers!$A$2:$F$301,3,FALSE)</f>
        <v>52</v>
      </c>
      <c r="O173" s="34" t="str">
        <f>VLOOKUP(E173,Sales_Reps!$A$2:$E$31,3,FALSE)</f>
        <v>South</v>
      </c>
      <c r="P173" s="13" t="s">
        <v>132</v>
      </c>
      <c r="Q173" s="34">
        <f t="shared" si="8"/>
        <v>880345.20000000007</v>
      </c>
      <c r="R173" s="34" t="str">
        <f>VLOOKUP(E173,Sales_Reps!$A$2:$E$100,3,FALSE)</f>
        <v>South</v>
      </c>
      <c r="S173" s="34" t="str">
        <f t="shared" si="9"/>
        <v>Apparel</v>
      </c>
      <c r="T173" s="38">
        <f>VLOOKUP(D173,Products!$A$2:$F$68,4,FALSE)</f>
        <v>396</v>
      </c>
    </row>
    <row r="174" spans="1:20" x14ac:dyDescent="0.35">
      <c r="A174" s="13" t="s">
        <v>483</v>
      </c>
      <c r="B174" s="14">
        <v>45419</v>
      </c>
      <c r="C174" s="13" t="s">
        <v>427</v>
      </c>
      <c r="D174" s="13" t="s">
        <v>355</v>
      </c>
      <c r="E174" s="13" t="s">
        <v>343</v>
      </c>
      <c r="F174" s="15">
        <v>8</v>
      </c>
      <c r="G174" s="15">
        <v>2510</v>
      </c>
      <c r="H174" s="15">
        <v>0.7</v>
      </c>
      <c r="I174" s="15">
        <v>19939.439999999999</v>
      </c>
      <c r="J174" s="13" t="s">
        <v>87</v>
      </c>
      <c r="K174" s="13" t="s">
        <v>88</v>
      </c>
      <c r="L174" s="34" t="str">
        <f>VLOOKUP(D174,Products!$A$2:$F$61,3,FALSE)</f>
        <v>Apparel</v>
      </c>
      <c r="M174" s="34" t="str">
        <f>VLOOKUP(C174,Customers!$A$2:$F$301,5,FALSE)</f>
        <v>Corporate</v>
      </c>
      <c r="N174" s="34">
        <f>VLOOKUP(C174,Customers!$A$2:$F$301,3,FALSE)</f>
        <v>48</v>
      </c>
      <c r="O174" s="34" t="str">
        <f>VLOOKUP(E174,Sales_Reps!$A$2:$E$31,3,FALSE)</f>
        <v>West</v>
      </c>
      <c r="P174" s="13" t="s">
        <v>343</v>
      </c>
      <c r="Q174" s="34">
        <f t="shared" si="8"/>
        <v>917092.61999999965</v>
      </c>
      <c r="R174" s="34" t="str">
        <f>VLOOKUP(E174,Sales_Reps!$A$2:$E$100,3,FALSE)</f>
        <v>West</v>
      </c>
      <c r="S174" s="34" t="str">
        <f t="shared" si="9"/>
        <v>Apparel</v>
      </c>
      <c r="T174" s="38">
        <f>VLOOKUP(D174,Products!$A$2:$F$68,4,FALSE)</f>
        <v>1075</v>
      </c>
    </row>
    <row r="175" spans="1:20" x14ac:dyDescent="0.35">
      <c r="A175" s="13" t="s">
        <v>484</v>
      </c>
      <c r="B175" s="14">
        <v>45306</v>
      </c>
      <c r="C175" s="13" t="s">
        <v>485</v>
      </c>
      <c r="D175" s="13" t="s">
        <v>173</v>
      </c>
      <c r="E175" s="13" t="s">
        <v>192</v>
      </c>
      <c r="F175" s="15">
        <v>1</v>
      </c>
      <c r="G175" s="15">
        <v>2720</v>
      </c>
      <c r="H175" s="15">
        <v>13.7</v>
      </c>
      <c r="I175" s="15">
        <v>2347.36</v>
      </c>
      <c r="J175" s="13" t="s">
        <v>87</v>
      </c>
      <c r="K175" s="13" t="s">
        <v>88</v>
      </c>
      <c r="L175" s="34" t="str">
        <f>VLOOKUP(D175,Products!$A$2:$F$61,3,FALSE)</f>
        <v>Apparel</v>
      </c>
      <c r="M175" s="34" t="str">
        <f>VLOOKUP(C175,Customers!$A$2:$F$301,5,FALSE)</f>
        <v>Retail</v>
      </c>
      <c r="N175" s="34">
        <f>VLOOKUP(C175,Customers!$A$2:$F$301,3,FALSE)</f>
        <v>49</v>
      </c>
      <c r="O175" s="34" t="str">
        <f>VLOOKUP(E175,Sales_Reps!$A$2:$E$31,3,FALSE)</f>
        <v>East</v>
      </c>
      <c r="P175" s="13" t="s">
        <v>192</v>
      </c>
      <c r="Q175" s="34">
        <f t="shared" si="8"/>
        <v>906107.71000000008</v>
      </c>
      <c r="R175" s="34" t="str">
        <f>VLOOKUP(E175,Sales_Reps!$A$2:$E$100,3,FALSE)</f>
        <v>East</v>
      </c>
      <c r="S175" s="34" t="str">
        <f t="shared" si="9"/>
        <v>Apparel</v>
      </c>
      <c r="T175" s="38">
        <f>VLOOKUP(D175,Products!$A$2:$F$68,4,FALSE)</f>
        <v>1962</v>
      </c>
    </row>
    <row r="176" spans="1:20" x14ac:dyDescent="0.35">
      <c r="A176" s="13" t="s">
        <v>486</v>
      </c>
      <c r="B176" s="14">
        <v>45546</v>
      </c>
      <c r="C176" s="13" t="s">
        <v>487</v>
      </c>
      <c r="D176" s="13" t="s">
        <v>97</v>
      </c>
      <c r="E176" s="13" t="s">
        <v>303</v>
      </c>
      <c r="F176" s="15">
        <v>9</v>
      </c>
      <c r="G176" s="15">
        <v>470</v>
      </c>
      <c r="H176" s="15">
        <v>23.6</v>
      </c>
      <c r="I176" s="15">
        <v>3231.72</v>
      </c>
      <c r="J176" s="13" t="s">
        <v>87</v>
      </c>
      <c r="K176" s="13" t="s">
        <v>88</v>
      </c>
      <c r="L176" s="34" t="str">
        <f>VLOOKUP(D176,Products!$A$2:$F$61,3,FALSE)</f>
        <v>Sports</v>
      </c>
      <c r="M176" s="34" t="str">
        <f>VLOOKUP(C176,Customers!$A$2:$F$301,5,FALSE)</f>
        <v>Corporate</v>
      </c>
      <c r="N176" s="34">
        <f>VLOOKUP(C176,Customers!$A$2:$F$301,3,FALSE)</f>
        <v>29</v>
      </c>
      <c r="O176" s="34" t="str">
        <f>VLOOKUP(E176,Sales_Reps!$A$2:$E$31,3,FALSE)</f>
        <v>East</v>
      </c>
      <c r="P176" s="13" t="s">
        <v>303</v>
      </c>
      <c r="Q176" s="34">
        <f t="shared" si="8"/>
        <v>1112289.6400000001</v>
      </c>
      <c r="R176" s="34" t="str">
        <f>VLOOKUP(E176,Sales_Reps!$A$2:$E$100,3,FALSE)</f>
        <v>East</v>
      </c>
      <c r="S176" s="34" t="str">
        <f t="shared" si="9"/>
        <v>Sports</v>
      </c>
      <c r="T176" s="38">
        <f>VLOOKUP(D176,Products!$A$2:$F$68,4,FALSE)</f>
        <v>302</v>
      </c>
    </row>
    <row r="177" spans="1:20" x14ac:dyDescent="0.35">
      <c r="A177" s="13" t="s">
        <v>488</v>
      </c>
      <c r="B177" s="14">
        <v>45633</v>
      </c>
      <c r="C177" s="13" t="s">
        <v>312</v>
      </c>
      <c r="D177" s="13" t="s">
        <v>143</v>
      </c>
      <c r="E177" s="13" t="s">
        <v>303</v>
      </c>
      <c r="F177" s="15">
        <v>10</v>
      </c>
      <c r="G177" s="15">
        <v>3250</v>
      </c>
      <c r="H177" s="15">
        <v>21</v>
      </c>
      <c r="I177" s="15">
        <v>25675</v>
      </c>
      <c r="J177" s="13" t="s">
        <v>140</v>
      </c>
      <c r="K177" s="13" t="s">
        <v>133</v>
      </c>
      <c r="L177" s="34" t="str">
        <f>VLOOKUP(D177,Products!$A$2:$F$61,3,FALSE)</f>
        <v>Home</v>
      </c>
      <c r="M177" s="34" t="str">
        <f>VLOOKUP(C177,Customers!$A$2:$F$301,5,FALSE)</f>
        <v>Retail</v>
      </c>
      <c r="N177" s="34">
        <f>VLOOKUP(C177,Customers!$A$2:$F$301,3,FALSE)</f>
        <v>46</v>
      </c>
      <c r="O177" s="34" t="str">
        <f>VLOOKUP(E177,Sales_Reps!$A$2:$E$31,3,FALSE)</f>
        <v>East</v>
      </c>
      <c r="P177" s="13" t="s">
        <v>303</v>
      </c>
      <c r="Q177" s="34">
        <f t="shared" si="8"/>
        <v>1112289.6400000001</v>
      </c>
      <c r="R177" s="34" t="str">
        <f>VLOOKUP(E177,Sales_Reps!$A$2:$E$100,3,FALSE)</f>
        <v>East</v>
      </c>
      <c r="S177" s="34" t="str">
        <f t="shared" si="9"/>
        <v>Home</v>
      </c>
      <c r="T177" s="38">
        <f>VLOOKUP(D177,Products!$A$2:$F$68,4,FALSE)</f>
        <v>1556</v>
      </c>
    </row>
    <row r="178" spans="1:20" x14ac:dyDescent="0.35">
      <c r="A178" s="13" t="s">
        <v>489</v>
      </c>
      <c r="B178" s="14">
        <v>45649</v>
      </c>
      <c r="C178" s="13" t="s">
        <v>490</v>
      </c>
      <c r="D178" s="13" t="s">
        <v>443</v>
      </c>
      <c r="E178" s="13" t="s">
        <v>128</v>
      </c>
      <c r="F178" s="15">
        <v>6</v>
      </c>
      <c r="G178" s="15">
        <v>5080</v>
      </c>
      <c r="H178" s="15">
        <v>16.8</v>
      </c>
      <c r="I178" s="15">
        <v>25359.360000000001</v>
      </c>
      <c r="J178" s="13" t="s">
        <v>93</v>
      </c>
      <c r="K178" s="13" t="s">
        <v>99</v>
      </c>
      <c r="L178" s="34" t="str">
        <f>VLOOKUP(D178,Products!$A$2:$F$61,3,FALSE)</f>
        <v>Home</v>
      </c>
      <c r="M178" s="34" t="str">
        <f>VLOOKUP(C178,Customers!$A$2:$F$301,5,FALSE)</f>
        <v>Retail</v>
      </c>
      <c r="N178" s="34">
        <f>VLOOKUP(C178,Customers!$A$2:$F$301,3,FALSE)</f>
        <v>59</v>
      </c>
      <c r="O178" s="34" t="str">
        <f>VLOOKUP(E178,Sales_Reps!$A$2:$E$31,3,FALSE)</f>
        <v>West</v>
      </c>
      <c r="P178" s="13" t="s">
        <v>128</v>
      </c>
      <c r="Q178" s="34">
        <f t="shared" si="8"/>
        <v>880468.05</v>
      </c>
      <c r="R178" s="34" t="str">
        <f>VLOOKUP(E178,Sales_Reps!$A$2:$E$100,3,FALSE)</f>
        <v>West</v>
      </c>
      <c r="S178" s="34" t="str">
        <f t="shared" si="9"/>
        <v>Home</v>
      </c>
      <c r="T178" s="38">
        <f>VLOOKUP(D178,Products!$A$2:$F$68,4,FALSE)</f>
        <v>2459</v>
      </c>
    </row>
    <row r="179" spans="1:20" x14ac:dyDescent="0.35">
      <c r="A179" s="13" t="s">
        <v>491</v>
      </c>
      <c r="B179" s="14">
        <v>45312</v>
      </c>
      <c r="C179" s="13" t="s">
        <v>442</v>
      </c>
      <c r="D179" s="13" t="s">
        <v>187</v>
      </c>
      <c r="E179" s="13" t="s">
        <v>325</v>
      </c>
      <c r="F179" s="15">
        <v>2</v>
      </c>
      <c r="G179" s="15">
        <v>3570</v>
      </c>
      <c r="H179" s="15">
        <v>6.7</v>
      </c>
      <c r="I179" s="15">
        <v>6661.62</v>
      </c>
      <c r="J179" s="13" t="s">
        <v>140</v>
      </c>
      <c r="K179" s="13" t="s">
        <v>88</v>
      </c>
      <c r="L179" s="34" t="str">
        <f>VLOOKUP(D179,Products!$A$2:$F$61,3,FALSE)</f>
        <v>Electronics</v>
      </c>
      <c r="M179" s="34" t="str">
        <f>VLOOKUP(C179,Customers!$A$2:$F$301,5,FALSE)</f>
        <v>Retail</v>
      </c>
      <c r="N179" s="34">
        <f>VLOOKUP(C179,Customers!$A$2:$F$301,3,FALSE)</f>
        <v>65</v>
      </c>
      <c r="O179" s="34" t="str">
        <f>VLOOKUP(E179,Sales_Reps!$A$2:$E$31,3,FALSE)</f>
        <v>South</v>
      </c>
      <c r="P179" s="13" t="s">
        <v>325</v>
      </c>
      <c r="Q179" s="34">
        <f t="shared" si="8"/>
        <v>901394.32000000007</v>
      </c>
      <c r="R179" s="34" t="str">
        <f>VLOOKUP(E179,Sales_Reps!$A$2:$E$100,3,FALSE)</f>
        <v>South</v>
      </c>
      <c r="S179" s="34" t="str">
        <f t="shared" si="9"/>
        <v>Electronics</v>
      </c>
      <c r="T179" s="38">
        <f>VLOOKUP(D179,Products!$A$2:$F$68,4,FALSE)</f>
        <v>1665</v>
      </c>
    </row>
    <row r="180" spans="1:20" x14ac:dyDescent="0.35">
      <c r="A180" s="13" t="s">
        <v>492</v>
      </c>
      <c r="B180" s="14">
        <v>45382</v>
      </c>
      <c r="C180" s="13" t="s">
        <v>493</v>
      </c>
      <c r="D180" s="13" t="s">
        <v>237</v>
      </c>
      <c r="E180" s="13" t="s">
        <v>325</v>
      </c>
      <c r="F180" s="15">
        <v>4</v>
      </c>
      <c r="G180" s="15">
        <v>3640</v>
      </c>
      <c r="H180" s="15">
        <v>18.399999999999999</v>
      </c>
      <c r="I180" s="15">
        <v>11880.96</v>
      </c>
      <c r="J180" s="13" t="s">
        <v>87</v>
      </c>
      <c r="K180" s="13" t="s">
        <v>88</v>
      </c>
      <c r="L180" s="34" t="str">
        <f>VLOOKUP(D180,Products!$A$2:$F$61,3,FALSE)</f>
        <v>Apparel</v>
      </c>
      <c r="M180" s="34" t="str">
        <f>VLOOKUP(C180,Customers!$A$2:$F$301,5,FALSE)</f>
        <v>Retail</v>
      </c>
      <c r="N180" s="34">
        <f>VLOOKUP(C180,Customers!$A$2:$F$301,3,FALSE)</f>
        <v>57</v>
      </c>
      <c r="O180" s="34" t="str">
        <f>VLOOKUP(E180,Sales_Reps!$A$2:$E$31,3,FALSE)</f>
        <v>South</v>
      </c>
      <c r="P180" s="13" t="s">
        <v>325</v>
      </c>
      <c r="Q180" s="34">
        <f t="shared" si="8"/>
        <v>901394.32000000007</v>
      </c>
      <c r="R180" s="34" t="str">
        <f>VLOOKUP(E180,Sales_Reps!$A$2:$E$100,3,FALSE)</f>
        <v>South</v>
      </c>
      <c r="S180" s="34" t="str">
        <f t="shared" si="9"/>
        <v>Apparel</v>
      </c>
      <c r="T180" s="38">
        <f>VLOOKUP(D180,Products!$A$2:$F$68,4,FALSE)</f>
        <v>2611</v>
      </c>
    </row>
    <row r="181" spans="1:20" x14ac:dyDescent="0.35">
      <c r="A181" s="13" t="s">
        <v>494</v>
      </c>
      <c r="B181" s="14">
        <v>45524</v>
      </c>
      <c r="C181" s="13" t="s">
        <v>150</v>
      </c>
      <c r="D181" s="13" t="s">
        <v>264</v>
      </c>
      <c r="E181" s="13" t="s">
        <v>215</v>
      </c>
      <c r="F181" s="15">
        <v>8</v>
      </c>
      <c r="G181" s="15">
        <v>4070</v>
      </c>
      <c r="H181" s="15">
        <v>6.6</v>
      </c>
      <c r="I181" s="15">
        <v>30411.040000000001</v>
      </c>
      <c r="J181" s="13" t="s">
        <v>87</v>
      </c>
      <c r="K181" s="13" t="s">
        <v>88</v>
      </c>
      <c r="L181" s="34" t="str">
        <f>VLOOKUP(D181,Products!$A$2:$F$61,3,FALSE)</f>
        <v>Grocery</v>
      </c>
      <c r="M181" s="34" t="str">
        <f>VLOOKUP(C181,Customers!$A$2:$F$301,5,FALSE)</f>
        <v>Retail</v>
      </c>
      <c r="N181" s="34">
        <f>VLOOKUP(C181,Customers!$A$2:$F$301,3,FALSE)</f>
        <v>63</v>
      </c>
      <c r="O181" s="34" t="str">
        <f>VLOOKUP(E181,Sales_Reps!$A$2:$E$31,3,FALSE)</f>
        <v>North</v>
      </c>
      <c r="P181" s="13" t="s">
        <v>215</v>
      </c>
      <c r="Q181" s="34">
        <f t="shared" si="8"/>
        <v>789849.60000000009</v>
      </c>
      <c r="R181" s="34" t="str">
        <f>VLOOKUP(E181,Sales_Reps!$A$2:$E$100,3,FALSE)</f>
        <v>North</v>
      </c>
      <c r="S181" s="34" t="str">
        <f t="shared" si="9"/>
        <v>Grocery</v>
      </c>
      <c r="T181" s="38">
        <f>VLOOKUP(D181,Products!$A$2:$F$68,4,FALSE)</f>
        <v>2027</v>
      </c>
    </row>
    <row r="182" spans="1:20" x14ac:dyDescent="0.35">
      <c r="A182" s="13" t="s">
        <v>495</v>
      </c>
      <c r="B182" s="14">
        <v>45392</v>
      </c>
      <c r="C182" s="13" t="s">
        <v>169</v>
      </c>
      <c r="D182" s="13" t="s">
        <v>452</v>
      </c>
      <c r="E182" s="13" t="s">
        <v>325</v>
      </c>
      <c r="F182" s="15">
        <v>6</v>
      </c>
      <c r="G182" s="15">
        <v>3450</v>
      </c>
      <c r="H182" s="15">
        <v>14.4</v>
      </c>
      <c r="I182" s="15">
        <v>17719.2</v>
      </c>
      <c r="J182" s="13" t="s">
        <v>93</v>
      </c>
      <c r="K182" s="13" t="s">
        <v>112</v>
      </c>
      <c r="L182" s="34" t="str">
        <f>VLOOKUP(D182,Products!$A$2:$F$61,3,FALSE)</f>
        <v>Apparel</v>
      </c>
      <c r="M182" s="34" t="str">
        <f>VLOOKUP(C182,Customers!$A$2:$F$301,5,FALSE)</f>
        <v>Retail</v>
      </c>
      <c r="N182" s="34">
        <f>VLOOKUP(C182,Customers!$A$2:$F$301,3,FALSE)</f>
        <v>34</v>
      </c>
      <c r="O182" s="34" t="str">
        <f>VLOOKUP(E182,Sales_Reps!$A$2:$E$31,3,FALSE)</f>
        <v>South</v>
      </c>
      <c r="P182" s="13" t="s">
        <v>325</v>
      </c>
      <c r="Q182" s="34">
        <f t="shared" si="8"/>
        <v>901394.32000000007</v>
      </c>
      <c r="R182" s="34" t="str">
        <f>VLOOKUP(E182,Sales_Reps!$A$2:$E$100,3,FALSE)</f>
        <v>South</v>
      </c>
      <c r="S182" s="34" t="str">
        <f t="shared" si="9"/>
        <v>Apparel</v>
      </c>
      <c r="T182" s="38">
        <f>VLOOKUP(D182,Products!$A$2:$F$68,4,FALSE)</f>
        <v>1748</v>
      </c>
    </row>
    <row r="183" spans="1:20" x14ac:dyDescent="0.35">
      <c r="A183" s="13" t="s">
        <v>496</v>
      </c>
      <c r="B183" s="14">
        <v>45443</v>
      </c>
      <c r="C183" s="13" t="s">
        <v>130</v>
      </c>
      <c r="D183" s="13" t="s">
        <v>443</v>
      </c>
      <c r="E183" s="13" t="s">
        <v>229</v>
      </c>
      <c r="F183" s="15">
        <v>7</v>
      </c>
      <c r="G183" s="15">
        <v>5080</v>
      </c>
      <c r="H183" s="15">
        <v>25.4</v>
      </c>
      <c r="I183" s="15">
        <v>26527.759999999998</v>
      </c>
      <c r="J183" s="13" t="s">
        <v>93</v>
      </c>
      <c r="K183" s="13" t="s">
        <v>133</v>
      </c>
      <c r="L183" s="34" t="str">
        <f>VLOOKUP(D183,Products!$A$2:$F$61,3,FALSE)</f>
        <v>Home</v>
      </c>
      <c r="M183" s="34" t="str">
        <f>VLOOKUP(C183,Customers!$A$2:$F$301,5,FALSE)</f>
        <v>Retail</v>
      </c>
      <c r="N183" s="34">
        <f>VLOOKUP(C183,Customers!$A$2:$F$301,3,FALSE)</f>
        <v>60</v>
      </c>
      <c r="O183" s="34" t="str">
        <f>VLOOKUP(E183,Sales_Reps!$A$2:$E$31,3,FALSE)</f>
        <v>West</v>
      </c>
      <c r="P183" s="13" t="s">
        <v>229</v>
      </c>
      <c r="Q183" s="34">
        <f t="shared" si="8"/>
        <v>1016696.8000000002</v>
      </c>
      <c r="R183" s="34" t="str">
        <f>VLOOKUP(E183,Sales_Reps!$A$2:$E$100,3,FALSE)</f>
        <v>West</v>
      </c>
      <c r="S183" s="34" t="str">
        <f t="shared" si="9"/>
        <v>Home</v>
      </c>
      <c r="T183" s="38">
        <f>VLOOKUP(D183,Products!$A$2:$F$68,4,FALSE)</f>
        <v>2459</v>
      </c>
    </row>
    <row r="184" spans="1:20" x14ac:dyDescent="0.35">
      <c r="A184" s="13" t="s">
        <v>497</v>
      </c>
      <c r="B184" s="14">
        <v>45333</v>
      </c>
      <c r="C184" s="13" t="s">
        <v>324</v>
      </c>
      <c r="D184" s="13" t="s">
        <v>200</v>
      </c>
      <c r="E184" s="13" t="s">
        <v>128</v>
      </c>
      <c r="F184" s="15">
        <v>10</v>
      </c>
      <c r="G184" s="15">
        <v>2760</v>
      </c>
      <c r="H184" s="15">
        <v>20.100000000000001</v>
      </c>
      <c r="I184" s="15">
        <v>22052.400000000001</v>
      </c>
      <c r="J184" s="13" t="s">
        <v>87</v>
      </c>
      <c r="K184" s="13" t="s">
        <v>133</v>
      </c>
      <c r="L184" s="34" t="str">
        <f>VLOOKUP(D184,Products!$A$2:$F$61,3,FALSE)</f>
        <v>Grocery</v>
      </c>
      <c r="M184" s="34" t="str">
        <f>VLOOKUP(C184,Customers!$A$2:$F$301,5,FALSE)</f>
        <v>Retail</v>
      </c>
      <c r="N184" s="34">
        <f>VLOOKUP(C184,Customers!$A$2:$F$301,3,FALSE)</f>
        <v>28</v>
      </c>
      <c r="O184" s="34" t="str">
        <f>VLOOKUP(E184,Sales_Reps!$A$2:$E$31,3,FALSE)</f>
        <v>West</v>
      </c>
      <c r="P184" s="13" t="s">
        <v>128</v>
      </c>
      <c r="Q184" s="34">
        <f t="shared" si="8"/>
        <v>880468.05</v>
      </c>
      <c r="R184" s="34" t="str">
        <f>VLOOKUP(E184,Sales_Reps!$A$2:$E$100,3,FALSE)</f>
        <v>West</v>
      </c>
      <c r="S184" s="34" t="str">
        <f t="shared" si="9"/>
        <v>Grocery</v>
      </c>
      <c r="T184" s="38">
        <f>VLOOKUP(D184,Products!$A$2:$F$68,4,FALSE)</f>
        <v>1435</v>
      </c>
    </row>
    <row r="185" spans="1:20" x14ac:dyDescent="0.35">
      <c r="A185" s="13" t="s">
        <v>498</v>
      </c>
      <c r="B185" s="14">
        <v>45456</v>
      </c>
      <c r="C185" s="13" t="s">
        <v>411</v>
      </c>
      <c r="D185" s="13" t="s">
        <v>176</v>
      </c>
      <c r="E185" s="13" t="s">
        <v>346</v>
      </c>
      <c r="F185" s="15">
        <v>6</v>
      </c>
      <c r="G185" s="15">
        <v>1650</v>
      </c>
      <c r="H185" s="15">
        <v>11.3</v>
      </c>
      <c r="I185" s="15">
        <v>8781.2999999999993</v>
      </c>
      <c r="J185" s="13" t="s">
        <v>93</v>
      </c>
      <c r="K185" s="13" t="s">
        <v>112</v>
      </c>
      <c r="L185" s="34" t="str">
        <f>VLOOKUP(D185,Products!$A$2:$F$61,3,FALSE)</f>
        <v>Beauty</v>
      </c>
      <c r="M185" s="34" t="str">
        <f>VLOOKUP(C185,Customers!$A$2:$F$301,5,FALSE)</f>
        <v>Retail</v>
      </c>
      <c r="N185" s="34">
        <f>VLOOKUP(C185,Customers!$A$2:$F$301,3,FALSE)</f>
        <v>61</v>
      </c>
      <c r="O185" s="34" t="str">
        <f>VLOOKUP(E185,Sales_Reps!$A$2:$E$31,3,FALSE)</f>
        <v>South</v>
      </c>
      <c r="P185" s="13" t="s">
        <v>346</v>
      </c>
      <c r="Q185" s="34">
        <f t="shared" si="8"/>
        <v>814563.7100000002</v>
      </c>
      <c r="R185" s="34" t="str">
        <f>VLOOKUP(E185,Sales_Reps!$A$2:$E$100,3,FALSE)</f>
        <v>South</v>
      </c>
      <c r="S185" s="34" t="str">
        <f t="shared" si="9"/>
        <v>Beauty</v>
      </c>
      <c r="T185" s="38">
        <f>VLOOKUP(D185,Products!$A$2:$F$68,4,FALSE)</f>
        <v>1222</v>
      </c>
    </row>
    <row r="186" spans="1:20" x14ac:dyDescent="0.35">
      <c r="A186" s="13" t="s">
        <v>499</v>
      </c>
      <c r="B186" s="14">
        <v>45295</v>
      </c>
      <c r="C186" s="13" t="s">
        <v>294</v>
      </c>
      <c r="D186" s="13" t="s">
        <v>248</v>
      </c>
      <c r="E186" s="13" t="s">
        <v>86</v>
      </c>
      <c r="F186" s="15">
        <v>9</v>
      </c>
      <c r="G186" s="15">
        <v>3870</v>
      </c>
      <c r="H186" s="15">
        <v>27.5</v>
      </c>
      <c r="I186" s="15">
        <v>25251.75</v>
      </c>
      <c r="J186" s="13" t="s">
        <v>87</v>
      </c>
      <c r="K186" s="13" t="s">
        <v>133</v>
      </c>
      <c r="L186" s="34" t="str">
        <f>VLOOKUP(D186,Products!$A$2:$F$61,3,FALSE)</f>
        <v>Electronics</v>
      </c>
      <c r="M186" s="34" t="str">
        <f>VLOOKUP(C186,Customers!$A$2:$F$301,5,FALSE)</f>
        <v>SMB</v>
      </c>
      <c r="N186" s="34">
        <f>VLOOKUP(C186,Customers!$A$2:$F$301,3,FALSE)</f>
        <v>43</v>
      </c>
      <c r="O186" s="34" t="str">
        <f>VLOOKUP(E186,Sales_Reps!$A$2:$E$31,3,FALSE)</f>
        <v>North</v>
      </c>
      <c r="P186" s="13" t="s">
        <v>86</v>
      </c>
      <c r="Q186" s="34">
        <f t="shared" si="8"/>
        <v>855749.67999999982</v>
      </c>
      <c r="R186" s="34" t="str">
        <f>VLOOKUP(E186,Sales_Reps!$A$2:$E$100,3,FALSE)</f>
        <v>North</v>
      </c>
      <c r="S186" s="34" t="str">
        <f t="shared" si="9"/>
        <v>Electronics</v>
      </c>
      <c r="T186" s="38">
        <f>VLOOKUP(D186,Products!$A$2:$F$68,4,FALSE)</f>
        <v>1559</v>
      </c>
    </row>
    <row r="187" spans="1:20" x14ac:dyDescent="0.35">
      <c r="A187" s="13" t="s">
        <v>500</v>
      </c>
      <c r="B187" s="14">
        <v>45532</v>
      </c>
      <c r="C187" s="13" t="s">
        <v>501</v>
      </c>
      <c r="D187" s="13" t="s">
        <v>502</v>
      </c>
      <c r="E187" s="13" t="s">
        <v>285</v>
      </c>
      <c r="F187" s="15">
        <v>2</v>
      </c>
      <c r="G187" s="15">
        <v>1090</v>
      </c>
      <c r="H187" s="15">
        <v>18.7</v>
      </c>
      <c r="I187" s="15">
        <v>1772.34</v>
      </c>
      <c r="J187" s="13" t="s">
        <v>144</v>
      </c>
      <c r="K187" s="13" t="s">
        <v>133</v>
      </c>
      <c r="L187" s="34" t="str">
        <f>VLOOKUP(D187,Products!$A$2:$F$61,3,FALSE)</f>
        <v>Home</v>
      </c>
      <c r="M187" s="34" t="str">
        <f>VLOOKUP(C187,Customers!$A$2:$F$301,5,FALSE)</f>
        <v>SMB</v>
      </c>
      <c r="N187" s="34">
        <f>VLOOKUP(C187,Customers!$A$2:$F$301,3,FALSE)</f>
        <v>65</v>
      </c>
      <c r="O187" s="34" t="str">
        <f>VLOOKUP(E187,Sales_Reps!$A$2:$E$31,3,FALSE)</f>
        <v>East</v>
      </c>
      <c r="P187" s="13" t="s">
        <v>285</v>
      </c>
      <c r="Q187" s="34">
        <f t="shared" si="8"/>
        <v>1069570.5400000003</v>
      </c>
      <c r="R187" s="34" t="str">
        <f>VLOOKUP(E187,Sales_Reps!$A$2:$E$100,3,FALSE)</f>
        <v>East</v>
      </c>
      <c r="S187" s="34" t="str">
        <f t="shared" si="9"/>
        <v>Home</v>
      </c>
      <c r="T187" s="38">
        <f>VLOOKUP(D187,Products!$A$2:$F$68,4,FALSE)</f>
        <v>464</v>
      </c>
    </row>
    <row r="188" spans="1:20" x14ac:dyDescent="0.35">
      <c r="A188" s="13" t="s">
        <v>503</v>
      </c>
      <c r="B188" s="14">
        <v>45564</v>
      </c>
      <c r="C188" s="13" t="s">
        <v>504</v>
      </c>
      <c r="D188" s="13" t="s">
        <v>380</v>
      </c>
      <c r="E188" s="13" t="s">
        <v>111</v>
      </c>
      <c r="F188" s="15">
        <v>4</v>
      </c>
      <c r="G188" s="15">
        <v>960</v>
      </c>
      <c r="H188" s="15">
        <v>23.4</v>
      </c>
      <c r="I188" s="15">
        <v>2941.44</v>
      </c>
      <c r="J188" s="13" t="s">
        <v>87</v>
      </c>
      <c r="K188" s="13" t="s">
        <v>117</v>
      </c>
      <c r="L188" s="34" t="str">
        <f>VLOOKUP(D188,Products!$A$2:$F$61,3,FALSE)</f>
        <v>Beauty</v>
      </c>
      <c r="M188" s="34" t="str">
        <f>VLOOKUP(C188,Customers!$A$2:$F$301,5,FALSE)</f>
        <v>Corporate</v>
      </c>
      <c r="N188" s="34">
        <f>VLOOKUP(C188,Customers!$A$2:$F$301,3,FALSE)</f>
        <v>36</v>
      </c>
      <c r="O188" s="34" t="str">
        <f>VLOOKUP(E188,Sales_Reps!$A$2:$E$31,3,FALSE)</f>
        <v>West</v>
      </c>
      <c r="P188" s="13" t="s">
        <v>111</v>
      </c>
      <c r="Q188" s="34">
        <f t="shared" si="8"/>
        <v>901298.89</v>
      </c>
      <c r="R188" s="34" t="str">
        <f>VLOOKUP(E188,Sales_Reps!$A$2:$E$100,3,FALSE)</f>
        <v>West</v>
      </c>
      <c r="S188" s="34" t="str">
        <f t="shared" si="9"/>
        <v>Beauty</v>
      </c>
      <c r="T188" s="38">
        <f>VLOOKUP(D188,Products!$A$2:$F$68,4,FALSE)</f>
        <v>675</v>
      </c>
    </row>
    <row r="189" spans="1:20" x14ac:dyDescent="0.35">
      <c r="A189" s="13" t="s">
        <v>505</v>
      </c>
      <c r="B189" s="14">
        <v>45539</v>
      </c>
      <c r="C189" s="13" t="s">
        <v>247</v>
      </c>
      <c r="D189" s="13" t="s">
        <v>179</v>
      </c>
      <c r="E189" s="13" t="s">
        <v>158</v>
      </c>
      <c r="F189" s="15">
        <v>3</v>
      </c>
      <c r="G189" s="15">
        <v>3350</v>
      </c>
      <c r="H189" s="15">
        <v>17.899999999999999</v>
      </c>
      <c r="I189" s="15">
        <v>8251.0499999999993</v>
      </c>
      <c r="J189" s="13" t="s">
        <v>87</v>
      </c>
      <c r="K189" s="13" t="s">
        <v>117</v>
      </c>
      <c r="L189" s="34" t="str">
        <f>VLOOKUP(D189,Products!$A$2:$F$61,3,FALSE)</f>
        <v>Beauty</v>
      </c>
      <c r="M189" s="34" t="str">
        <f>VLOOKUP(C189,Customers!$A$2:$F$301,5,FALSE)</f>
        <v>Retail</v>
      </c>
      <c r="N189" s="34">
        <f>VLOOKUP(C189,Customers!$A$2:$F$301,3,FALSE)</f>
        <v>34</v>
      </c>
      <c r="O189" s="34" t="str">
        <f>VLOOKUP(E189,Sales_Reps!$A$2:$E$31,3,FALSE)</f>
        <v>East</v>
      </c>
      <c r="P189" s="13" t="s">
        <v>158</v>
      </c>
      <c r="Q189" s="34">
        <f t="shared" si="8"/>
        <v>761507.17000000027</v>
      </c>
      <c r="R189" s="34" t="str">
        <f>VLOOKUP(E189,Sales_Reps!$A$2:$E$100,3,FALSE)</f>
        <v>East</v>
      </c>
      <c r="S189" s="34" t="str">
        <f t="shared" si="9"/>
        <v>Beauty</v>
      </c>
      <c r="T189" s="38">
        <f>VLOOKUP(D189,Products!$A$2:$F$68,4,FALSE)</f>
        <v>1728</v>
      </c>
    </row>
    <row r="190" spans="1:20" x14ac:dyDescent="0.35">
      <c r="A190" s="13" t="s">
        <v>506</v>
      </c>
      <c r="B190" s="14">
        <v>45605</v>
      </c>
      <c r="C190" s="13" t="s">
        <v>507</v>
      </c>
      <c r="D190" s="13" t="s">
        <v>245</v>
      </c>
      <c r="E190" s="13" t="s">
        <v>92</v>
      </c>
      <c r="F190" s="15">
        <v>4</v>
      </c>
      <c r="G190" s="15">
        <v>2270</v>
      </c>
      <c r="H190" s="15">
        <v>29</v>
      </c>
      <c r="I190" s="15">
        <v>6446.8</v>
      </c>
      <c r="J190" s="13" t="s">
        <v>87</v>
      </c>
      <c r="K190" s="13" t="s">
        <v>88</v>
      </c>
      <c r="L190" s="34" t="str">
        <f>VLOOKUP(D190,Products!$A$2:$F$61,3,FALSE)</f>
        <v>Grocery</v>
      </c>
      <c r="M190" s="34" t="str">
        <f>VLOOKUP(C190,Customers!$A$2:$F$301,5,FALSE)</f>
        <v>Retail</v>
      </c>
      <c r="N190" s="34">
        <f>VLOOKUP(C190,Customers!$A$2:$F$301,3,FALSE)</f>
        <v>59</v>
      </c>
      <c r="O190" s="34" t="str">
        <f>VLOOKUP(E190,Sales_Reps!$A$2:$E$31,3,FALSE)</f>
        <v>North</v>
      </c>
      <c r="P190" s="13" t="s">
        <v>92</v>
      </c>
      <c r="Q190" s="34">
        <f t="shared" si="8"/>
        <v>782445.33</v>
      </c>
      <c r="R190" s="34" t="str">
        <f>VLOOKUP(E190,Sales_Reps!$A$2:$E$100,3,FALSE)</f>
        <v>North</v>
      </c>
      <c r="S190" s="34" t="str">
        <f t="shared" si="9"/>
        <v>Grocery</v>
      </c>
      <c r="T190" s="38">
        <f>VLOOKUP(D190,Products!$A$2:$F$68,4,FALSE)</f>
        <v>1412</v>
      </c>
    </row>
    <row r="191" spans="1:20" x14ac:dyDescent="0.35">
      <c r="A191" s="13" t="s">
        <v>508</v>
      </c>
      <c r="B191" s="14">
        <v>45460</v>
      </c>
      <c r="C191" s="13" t="s">
        <v>429</v>
      </c>
      <c r="D191" s="13" t="s">
        <v>270</v>
      </c>
      <c r="E191" s="13" t="s">
        <v>154</v>
      </c>
      <c r="F191" s="15">
        <v>9</v>
      </c>
      <c r="G191" s="15">
        <v>4610</v>
      </c>
      <c r="H191" s="15">
        <v>28.3</v>
      </c>
      <c r="I191" s="15">
        <v>29748.33</v>
      </c>
      <c r="J191" s="13" t="s">
        <v>93</v>
      </c>
      <c r="K191" s="13" t="s">
        <v>117</v>
      </c>
      <c r="L191" s="34" t="str">
        <f>VLOOKUP(D191,Products!$A$2:$F$61,3,FALSE)</f>
        <v>Home</v>
      </c>
      <c r="M191" s="34" t="str">
        <f>VLOOKUP(C191,Customers!$A$2:$F$301,5,FALSE)</f>
        <v>Retail</v>
      </c>
      <c r="N191" s="34">
        <f>VLOOKUP(C191,Customers!$A$2:$F$301,3,FALSE)</f>
        <v>55</v>
      </c>
      <c r="O191" s="34" t="str">
        <f>VLOOKUP(E191,Sales_Reps!$A$2:$E$31,3,FALSE)</f>
        <v>East</v>
      </c>
      <c r="P191" s="13" t="s">
        <v>154</v>
      </c>
      <c r="Q191" s="34">
        <f t="shared" si="8"/>
        <v>983787.4800000001</v>
      </c>
      <c r="R191" s="34" t="str">
        <f>VLOOKUP(E191,Sales_Reps!$A$2:$E$100,3,FALSE)</f>
        <v>East</v>
      </c>
      <c r="S191" s="34" t="str">
        <f t="shared" si="9"/>
        <v>Home</v>
      </c>
      <c r="T191" s="38">
        <f>VLOOKUP(D191,Products!$A$2:$F$68,4,FALSE)</f>
        <v>1850</v>
      </c>
    </row>
    <row r="192" spans="1:20" x14ac:dyDescent="0.35">
      <c r="A192" s="13" t="s">
        <v>509</v>
      </c>
      <c r="B192" s="14">
        <v>45538</v>
      </c>
      <c r="C192" s="13" t="s">
        <v>510</v>
      </c>
      <c r="D192" s="13" t="s">
        <v>106</v>
      </c>
      <c r="E192" s="13" t="s">
        <v>204</v>
      </c>
      <c r="F192" s="15">
        <v>3</v>
      </c>
      <c r="G192" s="15">
        <v>3160</v>
      </c>
      <c r="H192" s="15">
        <v>7.3</v>
      </c>
      <c r="I192" s="15">
        <v>8787.9599999999991</v>
      </c>
      <c r="J192" s="13" t="s">
        <v>87</v>
      </c>
      <c r="K192" s="13" t="s">
        <v>117</v>
      </c>
      <c r="L192" s="34" t="str">
        <f>VLOOKUP(D192,Products!$A$2:$F$61,3,FALSE)</f>
        <v>Apparel</v>
      </c>
      <c r="M192" s="34" t="str">
        <f>VLOOKUP(C192,Customers!$A$2:$F$301,5,FALSE)</f>
        <v>SMB</v>
      </c>
      <c r="N192" s="34">
        <f>VLOOKUP(C192,Customers!$A$2:$F$301,3,FALSE)</f>
        <v>26</v>
      </c>
      <c r="O192" s="34" t="str">
        <f>VLOOKUP(E192,Sales_Reps!$A$2:$E$31,3,FALSE)</f>
        <v>South</v>
      </c>
      <c r="P192" s="13" t="s">
        <v>204</v>
      </c>
      <c r="Q192" s="34">
        <f t="shared" si="8"/>
        <v>914554.71999999986</v>
      </c>
      <c r="R192" s="34" t="str">
        <f>VLOOKUP(E192,Sales_Reps!$A$2:$E$100,3,FALSE)</f>
        <v>South</v>
      </c>
      <c r="S192" s="34" t="str">
        <f t="shared" si="9"/>
        <v>Apparel</v>
      </c>
      <c r="T192" s="38">
        <f>VLOOKUP(D192,Products!$A$2:$F$68,4,FALSE)</f>
        <v>1886</v>
      </c>
    </row>
    <row r="193" spans="1:20" x14ac:dyDescent="0.35">
      <c r="A193" s="13" t="s">
        <v>511</v>
      </c>
      <c r="B193" s="14">
        <v>45573</v>
      </c>
      <c r="C193" s="13" t="s">
        <v>512</v>
      </c>
      <c r="D193" s="13" t="s">
        <v>245</v>
      </c>
      <c r="E193" s="13" t="s">
        <v>139</v>
      </c>
      <c r="F193" s="15">
        <v>8</v>
      </c>
      <c r="G193" s="15">
        <v>2270</v>
      </c>
      <c r="H193" s="15">
        <v>15.6</v>
      </c>
      <c r="I193" s="15">
        <v>15327.04</v>
      </c>
      <c r="J193" s="13" t="s">
        <v>87</v>
      </c>
      <c r="K193" s="13" t="s">
        <v>133</v>
      </c>
      <c r="L193" s="34" t="str">
        <f>VLOOKUP(D193,Products!$A$2:$F$61,3,FALSE)</f>
        <v>Grocery</v>
      </c>
      <c r="M193" s="34" t="str">
        <f>VLOOKUP(C193,Customers!$A$2:$F$301,5,FALSE)</f>
        <v>Retail</v>
      </c>
      <c r="N193" s="34">
        <f>VLOOKUP(C193,Customers!$A$2:$F$301,3,FALSE)</f>
        <v>61</v>
      </c>
      <c r="O193" s="34" t="str">
        <f>VLOOKUP(E193,Sales_Reps!$A$2:$E$31,3,FALSE)</f>
        <v>North</v>
      </c>
      <c r="P193" s="13" t="s">
        <v>139</v>
      </c>
      <c r="Q193" s="34">
        <f t="shared" si="8"/>
        <v>589026.2899999998</v>
      </c>
      <c r="R193" s="34" t="str">
        <f>VLOOKUP(E193,Sales_Reps!$A$2:$E$100,3,FALSE)</f>
        <v>North</v>
      </c>
      <c r="S193" s="34" t="str">
        <f t="shared" si="9"/>
        <v>Grocery</v>
      </c>
      <c r="T193" s="38">
        <f>VLOOKUP(D193,Products!$A$2:$F$68,4,FALSE)</f>
        <v>1412</v>
      </c>
    </row>
    <row r="194" spans="1:20" x14ac:dyDescent="0.35">
      <c r="A194" s="13" t="s">
        <v>513</v>
      </c>
      <c r="B194" s="14">
        <v>45483</v>
      </c>
      <c r="C194" s="13" t="s">
        <v>126</v>
      </c>
      <c r="D194" s="13" t="s">
        <v>276</v>
      </c>
      <c r="E194" s="13" t="s">
        <v>128</v>
      </c>
      <c r="F194" s="15">
        <v>8</v>
      </c>
      <c r="G194" s="15">
        <v>3020</v>
      </c>
      <c r="H194" s="15">
        <v>16.3</v>
      </c>
      <c r="I194" s="15">
        <v>20221.919999999998</v>
      </c>
      <c r="J194" s="13" t="s">
        <v>140</v>
      </c>
      <c r="K194" s="13" t="s">
        <v>88</v>
      </c>
      <c r="L194" s="34" t="str">
        <f>VLOOKUP(D194,Products!$A$2:$F$61,3,FALSE)</f>
        <v>Beauty</v>
      </c>
      <c r="M194" s="34" t="str">
        <f>VLOOKUP(C194,Customers!$A$2:$F$301,5,FALSE)</f>
        <v>Retail</v>
      </c>
      <c r="N194" s="34">
        <f>VLOOKUP(C194,Customers!$A$2:$F$301,3,FALSE)</f>
        <v>56</v>
      </c>
      <c r="O194" s="34" t="str">
        <f>VLOOKUP(E194,Sales_Reps!$A$2:$E$31,3,FALSE)</f>
        <v>West</v>
      </c>
      <c r="P194" s="13" t="s">
        <v>128</v>
      </c>
      <c r="Q194" s="34">
        <f t="shared" si="8"/>
        <v>880468.05</v>
      </c>
      <c r="R194" s="34" t="str">
        <f>VLOOKUP(E194,Sales_Reps!$A$2:$E$100,3,FALSE)</f>
        <v>West</v>
      </c>
      <c r="S194" s="34" t="str">
        <f t="shared" si="9"/>
        <v>Beauty</v>
      </c>
      <c r="T194" s="38">
        <f>VLOOKUP(D194,Products!$A$2:$F$68,4,FALSE)</f>
        <v>1626</v>
      </c>
    </row>
    <row r="195" spans="1:20" x14ac:dyDescent="0.35">
      <c r="A195" s="13" t="s">
        <v>514</v>
      </c>
      <c r="B195" s="14">
        <v>45617</v>
      </c>
      <c r="C195" s="13" t="s">
        <v>153</v>
      </c>
      <c r="D195" s="13" t="s">
        <v>515</v>
      </c>
      <c r="E195" s="13" t="s">
        <v>170</v>
      </c>
      <c r="F195" s="15">
        <v>7</v>
      </c>
      <c r="G195" s="15">
        <v>6940</v>
      </c>
      <c r="H195" s="15">
        <v>8.5</v>
      </c>
      <c r="I195" s="15">
        <v>44450.7</v>
      </c>
      <c r="J195" s="13" t="s">
        <v>87</v>
      </c>
      <c r="K195" s="13" t="s">
        <v>117</v>
      </c>
      <c r="L195" s="34" t="str">
        <f>VLOOKUP(D195,Products!$A$2:$F$61,3,FALSE)</f>
        <v>Sports</v>
      </c>
      <c r="M195" s="34" t="str">
        <f>VLOOKUP(C195,Customers!$A$2:$F$301,5,FALSE)</f>
        <v>SMB</v>
      </c>
      <c r="N195" s="34">
        <f>VLOOKUP(C195,Customers!$A$2:$F$301,3,FALSE)</f>
        <v>46</v>
      </c>
      <c r="O195" s="34" t="str">
        <f>VLOOKUP(E195,Sales_Reps!$A$2:$E$31,3,FALSE)</f>
        <v>West</v>
      </c>
      <c r="P195" s="13" t="s">
        <v>170</v>
      </c>
      <c r="Q195" s="34">
        <f t="shared" ref="Q195:Q258" si="10">SUMIFS($I:$I,$E:$E,P195)</f>
        <v>747624.36999999988</v>
      </c>
      <c r="R195" s="34" t="str">
        <f>VLOOKUP(E195,Sales_Reps!$A$2:$E$100,3,FALSE)</f>
        <v>West</v>
      </c>
      <c r="S195" s="34" t="str">
        <f t="shared" ref="S195:S258" si="11">L195</f>
        <v>Sports</v>
      </c>
      <c r="T195" s="38">
        <f>VLOOKUP(D195,Products!$A$2:$F$68,4,FALSE)</f>
        <v>2827</v>
      </c>
    </row>
    <row r="196" spans="1:20" x14ac:dyDescent="0.35">
      <c r="A196" s="13" t="s">
        <v>516</v>
      </c>
      <c r="B196" s="14">
        <v>45546</v>
      </c>
      <c r="C196" s="13" t="s">
        <v>487</v>
      </c>
      <c r="D196" s="13" t="s">
        <v>259</v>
      </c>
      <c r="E196" s="13" t="s">
        <v>325</v>
      </c>
      <c r="F196" s="15">
        <v>8</v>
      </c>
      <c r="G196" s="15">
        <v>1540</v>
      </c>
      <c r="H196" s="15">
        <v>21</v>
      </c>
      <c r="I196" s="15">
        <v>9732.7999999999993</v>
      </c>
      <c r="J196" s="13" t="s">
        <v>87</v>
      </c>
      <c r="K196" s="13" t="s">
        <v>88</v>
      </c>
      <c r="L196" s="34" t="str">
        <f>VLOOKUP(D196,Products!$A$2:$F$61,3,FALSE)</f>
        <v>Beauty</v>
      </c>
      <c r="M196" s="34" t="str">
        <f>VLOOKUP(C196,Customers!$A$2:$F$301,5,FALSE)</f>
        <v>Corporate</v>
      </c>
      <c r="N196" s="34">
        <f>VLOOKUP(C196,Customers!$A$2:$F$301,3,FALSE)</f>
        <v>29</v>
      </c>
      <c r="O196" s="34" t="str">
        <f>VLOOKUP(E196,Sales_Reps!$A$2:$E$31,3,FALSE)</f>
        <v>South</v>
      </c>
      <c r="P196" s="13" t="s">
        <v>325</v>
      </c>
      <c r="Q196" s="34">
        <f t="shared" si="10"/>
        <v>901394.32000000007</v>
      </c>
      <c r="R196" s="34" t="str">
        <f>VLOOKUP(E196,Sales_Reps!$A$2:$E$100,3,FALSE)</f>
        <v>South</v>
      </c>
      <c r="S196" s="34" t="str">
        <f t="shared" si="11"/>
        <v>Beauty</v>
      </c>
      <c r="T196" s="38">
        <f>VLOOKUP(D196,Products!$A$2:$F$68,4,FALSE)</f>
        <v>647</v>
      </c>
    </row>
    <row r="197" spans="1:20" x14ac:dyDescent="0.35">
      <c r="A197" s="13" t="s">
        <v>517</v>
      </c>
      <c r="B197" s="14">
        <v>45380</v>
      </c>
      <c r="C197" s="13" t="s">
        <v>518</v>
      </c>
      <c r="D197" s="13" t="s">
        <v>167</v>
      </c>
      <c r="E197" s="13" t="s">
        <v>229</v>
      </c>
      <c r="F197" s="15">
        <v>6</v>
      </c>
      <c r="G197" s="15">
        <v>2480</v>
      </c>
      <c r="H197" s="15">
        <v>27.9</v>
      </c>
      <c r="I197" s="15">
        <v>10728.48</v>
      </c>
      <c r="J197" s="13" t="s">
        <v>87</v>
      </c>
      <c r="K197" s="13" t="s">
        <v>88</v>
      </c>
      <c r="L197" s="34" t="str">
        <f>VLOOKUP(D197,Products!$A$2:$F$61,3,FALSE)</f>
        <v>Apparel</v>
      </c>
      <c r="M197" s="34" t="str">
        <f>VLOOKUP(C197,Customers!$A$2:$F$301,5,FALSE)</f>
        <v>Retail</v>
      </c>
      <c r="N197" s="34">
        <f>VLOOKUP(C197,Customers!$A$2:$F$301,3,FALSE)</f>
        <v>49</v>
      </c>
      <c r="O197" s="34" t="str">
        <f>VLOOKUP(E197,Sales_Reps!$A$2:$E$31,3,FALSE)</f>
        <v>West</v>
      </c>
      <c r="P197" s="13" t="s">
        <v>229</v>
      </c>
      <c r="Q197" s="34">
        <f t="shared" si="10"/>
        <v>1016696.8000000002</v>
      </c>
      <c r="R197" s="34" t="str">
        <f>VLOOKUP(E197,Sales_Reps!$A$2:$E$100,3,FALSE)</f>
        <v>West</v>
      </c>
      <c r="S197" s="34" t="str">
        <f t="shared" si="11"/>
        <v>Apparel</v>
      </c>
      <c r="T197" s="38">
        <f>VLOOKUP(D197,Products!$A$2:$F$68,4,FALSE)</f>
        <v>1173</v>
      </c>
    </row>
    <row r="198" spans="1:20" x14ac:dyDescent="0.35">
      <c r="A198" s="13" t="s">
        <v>519</v>
      </c>
      <c r="B198" s="14">
        <v>45320</v>
      </c>
      <c r="C198" s="13" t="s">
        <v>520</v>
      </c>
      <c r="D198" s="13" t="s">
        <v>147</v>
      </c>
      <c r="E198" s="13" t="s">
        <v>285</v>
      </c>
      <c r="F198" s="15">
        <v>4</v>
      </c>
      <c r="G198" s="15">
        <v>190</v>
      </c>
      <c r="H198" s="15">
        <v>21.5</v>
      </c>
      <c r="I198" s="15">
        <v>596.6</v>
      </c>
      <c r="J198" s="13" t="s">
        <v>87</v>
      </c>
      <c r="K198" s="13" t="s">
        <v>112</v>
      </c>
      <c r="L198" s="34" t="str">
        <f>VLOOKUP(D198,Products!$A$2:$F$61,3,FALSE)</f>
        <v>Sports</v>
      </c>
      <c r="M198" s="34" t="str">
        <f>VLOOKUP(C198,Customers!$A$2:$F$301,5,FALSE)</f>
        <v>Corporate</v>
      </c>
      <c r="N198" s="34">
        <f>VLOOKUP(C198,Customers!$A$2:$F$301,3,FALSE)</f>
        <v>35</v>
      </c>
      <c r="O198" s="34" t="str">
        <f>VLOOKUP(E198,Sales_Reps!$A$2:$E$31,3,FALSE)</f>
        <v>East</v>
      </c>
      <c r="P198" s="13" t="s">
        <v>285</v>
      </c>
      <c r="Q198" s="34">
        <f t="shared" si="10"/>
        <v>1069570.5400000003</v>
      </c>
      <c r="R198" s="34" t="str">
        <f>VLOOKUP(E198,Sales_Reps!$A$2:$E$100,3,FALSE)</f>
        <v>East</v>
      </c>
      <c r="S198" s="34" t="str">
        <f t="shared" si="11"/>
        <v>Sports</v>
      </c>
      <c r="T198" s="38">
        <f>VLOOKUP(D198,Products!$A$2:$F$68,4,FALSE)</f>
        <v>147</v>
      </c>
    </row>
    <row r="199" spans="1:20" x14ac:dyDescent="0.35">
      <c r="A199" s="13" t="s">
        <v>521</v>
      </c>
      <c r="B199" s="14">
        <v>45355</v>
      </c>
      <c r="C199" s="13" t="s">
        <v>522</v>
      </c>
      <c r="D199" s="13" t="s">
        <v>195</v>
      </c>
      <c r="E199" s="13" t="s">
        <v>98</v>
      </c>
      <c r="F199" s="15">
        <v>1</v>
      </c>
      <c r="G199" s="15">
        <v>2860</v>
      </c>
      <c r="H199" s="15">
        <v>15.3</v>
      </c>
      <c r="I199" s="15">
        <v>2422.42</v>
      </c>
      <c r="J199" s="13" t="s">
        <v>87</v>
      </c>
      <c r="K199" s="13" t="s">
        <v>99</v>
      </c>
      <c r="L199" s="34" t="str">
        <f>VLOOKUP(D199,Products!$A$2:$F$61,3,FALSE)</f>
        <v>Sports</v>
      </c>
      <c r="M199" s="34" t="str">
        <f>VLOOKUP(C199,Customers!$A$2:$F$301,5,FALSE)</f>
        <v>SMB</v>
      </c>
      <c r="N199" s="34">
        <f>VLOOKUP(C199,Customers!$A$2:$F$301,3,FALSE)</f>
        <v>55</v>
      </c>
      <c r="O199" s="34" t="str">
        <f>VLOOKUP(E199,Sales_Reps!$A$2:$E$31,3,FALSE)</f>
        <v>South</v>
      </c>
      <c r="P199" s="13" t="s">
        <v>98</v>
      </c>
      <c r="Q199" s="34">
        <f t="shared" si="10"/>
        <v>995713.54000000015</v>
      </c>
      <c r="R199" s="34" t="str">
        <f>VLOOKUP(E199,Sales_Reps!$A$2:$E$100,3,FALSE)</f>
        <v>South</v>
      </c>
      <c r="S199" s="34" t="str">
        <f t="shared" si="11"/>
        <v>Sports</v>
      </c>
      <c r="T199" s="38">
        <f>VLOOKUP(D199,Products!$A$2:$F$68,4,FALSE)</f>
        <v>2028</v>
      </c>
    </row>
    <row r="200" spans="1:20" x14ac:dyDescent="0.35">
      <c r="A200" s="13" t="s">
        <v>523</v>
      </c>
      <c r="B200" s="14">
        <v>45350</v>
      </c>
      <c r="C200" s="13" t="s">
        <v>524</v>
      </c>
      <c r="D200" s="13" t="s">
        <v>355</v>
      </c>
      <c r="E200" s="13" t="s">
        <v>188</v>
      </c>
      <c r="F200" s="15">
        <v>4</v>
      </c>
      <c r="G200" s="15">
        <v>2510</v>
      </c>
      <c r="H200" s="15">
        <v>10.1</v>
      </c>
      <c r="I200" s="15">
        <v>9025.9599999999991</v>
      </c>
      <c r="J200" s="13" t="s">
        <v>144</v>
      </c>
      <c r="K200" s="13" t="s">
        <v>112</v>
      </c>
      <c r="L200" s="34" t="str">
        <f>VLOOKUP(D200,Products!$A$2:$F$61,3,FALSE)</f>
        <v>Apparel</v>
      </c>
      <c r="M200" s="34" t="str">
        <f>VLOOKUP(C200,Customers!$A$2:$F$301,5,FALSE)</f>
        <v>Corporate</v>
      </c>
      <c r="N200" s="34">
        <f>VLOOKUP(C200,Customers!$A$2:$F$301,3,FALSE)</f>
        <v>55</v>
      </c>
      <c r="O200" s="34" t="str">
        <f>VLOOKUP(E200,Sales_Reps!$A$2:$E$31,3,FALSE)</f>
        <v>South</v>
      </c>
      <c r="P200" s="13" t="s">
        <v>188</v>
      </c>
      <c r="Q200" s="34">
        <f t="shared" si="10"/>
        <v>1091740.1799999997</v>
      </c>
      <c r="R200" s="34" t="str">
        <f>VLOOKUP(E200,Sales_Reps!$A$2:$E$100,3,FALSE)</f>
        <v>South</v>
      </c>
      <c r="S200" s="34" t="str">
        <f t="shared" si="11"/>
        <v>Apparel</v>
      </c>
      <c r="T200" s="38">
        <f>VLOOKUP(D200,Products!$A$2:$F$68,4,FALSE)</f>
        <v>1075</v>
      </c>
    </row>
    <row r="201" spans="1:20" x14ac:dyDescent="0.35">
      <c r="A201" s="13" t="s">
        <v>525</v>
      </c>
      <c r="B201" s="14">
        <v>45587</v>
      </c>
      <c r="C201" s="13" t="s">
        <v>385</v>
      </c>
      <c r="D201" s="13" t="s">
        <v>187</v>
      </c>
      <c r="E201" s="13" t="s">
        <v>148</v>
      </c>
      <c r="F201" s="15">
        <v>2</v>
      </c>
      <c r="G201" s="15">
        <v>3570</v>
      </c>
      <c r="H201" s="15">
        <v>11.6</v>
      </c>
      <c r="I201" s="15">
        <v>6311.76</v>
      </c>
      <c r="J201" s="13" t="s">
        <v>93</v>
      </c>
      <c r="K201" s="13" t="s">
        <v>117</v>
      </c>
      <c r="L201" s="34" t="str">
        <f>VLOOKUP(D201,Products!$A$2:$F$61,3,FALSE)</f>
        <v>Electronics</v>
      </c>
      <c r="M201" s="34" t="str">
        <f>VLOOKUP(C201,Customers!$A$2:$F$301,5,FALSE)</f>
        <v>Retail</v>
      </c>
      <c r="N201" s="34">
        <f>VLOOKUP(C201,Customers!$A$2:$F$301,3,FALSE)</f>
        <v>23</v>
      </c>
      <c r="O201" s="34" t="str">
        <f>VLOOKUP(E201,Sales_Reps!$A$2:$E$31,3,FALSE)</f>
        <v>North</v>
      </c>
      <c r="P201" s="13" t="s">
        <v>148</v>
      </c>
      <c r="Q201" s="34">
        <f t="shared" si="10"/>
        <v>986692.91</v>
      </c>
      <c r="R201" s="34" t="str">
        <f>VLOOKUP(E201,Sales_Reps!$A$2:$E$100,3,FALSE)</f>
        <v>North</v>
      </c>
      <c r="S201" s="34" t="str">
        <f t="shared" si="11"/>
        <v>Electronics</v>
      </c>
      <c r="T201" s="38">
        <f>VLOOKUP(D201,Products!$A$2:$F$68,4,FALSE)</f>
        <v>1665</v>
      </c>
    </row>
    <row r="202" spans="1:20" x14ac:dyDescent="0.35">
      <c r="A202" s="13" t="s">
        <v>526</v>
      </c>
      <c r="B202" s="14">
        <v>45344</v>
      </c>
      <c r="C202" s="13" t="s">
        <v>490</v>
      </c>
      <c r="D202" s="13" t="s">
        <v>226</v>
      </c>
      <c r="E202" s="13" t="s">
        <v>346</v>
      </c>
      <c r="F202" s="15">
        <v>7</v>
      </c>
      <c r="G202" s="15">
        <v>3730</v>
      </c>
      <c r="H202" s="15">
        <v>2.5</v>
      </c>
      <c r="I202" s="15">
        <v>25457.25</v>
      </c>
      <c r="J202" s="13" t="s">
        <v>140</v>
      </c>
      <c r="K202" s="13" t="s">
        <v>99</v>
      </c>
      <c r="L202" s="34" t="str">
        <f>VLOOKUP(D202,Products!$A$2:$F$61,3,FALSE)</f>
        <v>Home</v>
      </c>
      <c r="M202" s="34" t="str">
        <f>VLOOKUP(C202,Customers!$A$2:$F$301,5,FALSE)</f>
        <v>Retail</v>
      </c>
      <c r="N202" s="34">
        <f>VLOOKUP(C202,Customers!$A$2:$F$301,3,FALSE)</f>
        <v>59</v>
      </c>
      <c r="O202" s="34" t="str">
        <f>VLOOKUP(E202,Sales_Reps!$A$2:$E$31,3,FALSE)</f>
        <v>South</v>
      </c>
      <c r="P202" s="13" t="s">
        <v>346</v>
      </c>
      <c r="Q202" s="34">
        <f t="shared" si="10"/>
        <v>814563.7100000002</v>
      </c>
      <c r="R202" s="34" t="str">
        <f>VLOOKUP(E202,Sales_Reps!$A$2:$E$100,3,FALSE)</f>
        <v>South</v>
      </c>
      <c r="S202" s="34" t="str">
        <f t="shared" si="11"/>
        <v>Home</v>
      </c>
      <c r="T202" s="38">
        <f>VLOOKUP(D202,Products!$A$2:$F$68,4,FALSE)</f>
        <v>2135</v>
      </c>
    </row>
    <row r="203" spans="1:20" x14ac:dyDescent="0.35">
      <c r="A203" s="13" t="s">
        <v>527</v>
      </c>
      <c r="B203" s="14">
        <v>45492</v>
      </c>
      <c r="C203" s="13" t="s">
        <v>528</v>
      </c>
      <c r="D203" s="13" t="s">
        <v>110</v>
      </c>
      <c r="E203" s="13" t="s">
        <v>170</v>
      </c>
      <c r="F203" s="15">
        <v>6</v>
      </c>
      <c r="G203" s="15">
        <v>370</v>
      </c>
      <c r="H203" s="15">
        <v>9.9</v>
      </c>
      <c r="I203" s="15">
        <v>2000.22</v>
      </c>
      <c r="J203" s="13" t="s">
        <v>87</v>
      </c>
      <c r="K203" s="13" t="s">
        <v>112</v>
      </c>
      <c r="L203" s="34" t="str">
        <f>VLOOKUP(D203,Products!$A$2:$F$61,3,FALSE)</f>
        <v>Home</v>
      </c>
      <c r="M203" s="34" t="str">
        <f>VLOOKUP(C203,Customers!$A$2:$F$301,5,FALSE)</f>
        <v>Retail</v>
      </c>
      <c r="N203" s="34">
        <f>VLOOKUP(C203,Customers!$A$2:$F$301,3,FALSE)</f>
        <v>44</v>
      </c>
      <c r="O203" s="34" t="str">
        <f>VLOOKUP(E203,Sales_Reps!$A$2:$E$31,3,FALSE)</f>
        <v>West</v>
      </c>
      <c r="P203" s="13" t="s">
        <v>170</v>
      </c>
      <c r="Q203" s="34">
        <f t="shared" si="10"/>
        <v>747624.36999999988</v>
      </c>
      <c r="R203" s="34" t="str">
        <f>VLOOKUP(E203,Sales_Reps!$A$2:$E$100,3,FALSE)</f>
        <v>West</v>
      </c>
      <c r="S203" s="34" t="str">
        <f t="shared" si="11"/>
        <v>Home</v>
      </c>
      <c r="T203" s="38">
        <f>VLOOKUP(D203,Products!$A$2:$F$68,4,FALSE)</f>
        <v>288</v>
      </c>
    </row>
    <row r="204" spans="1:20" x14ac:dyDescent="0.35">
      <c r="A204" s="13" t="s">
        <v>529</v>
      </c>
      <c r="B204" s="14">
        <v>45490</v>
      </c>
      <c r="C204" s="13" t="s">
        <v>530</v>
      </c>
      <c r="D204" s="13" t="s">
        <v>279</v>
      </c>
      <c r="E204" s="13" t="s">
        <v>98</v>
      </c>
      <c r="F204" s="15">
        <v>4</v>
      </c>
      <c r="G204" s="15">
        <v>2660</v>
      </c>
      <c r="H204" s="15">
        <v>29.7</v>
      </c>
      <c r="I204" s="15">
        <v>7479.92</v>
      </c>
      <c r="J204" s="13" t="s">
        <v>87</v>
      </c>
      <c r="K204" s="13" t="s">
        <v>99</v>
      </c>
      <c r="L204" s="34" t="str">
        <f>VLOOKUP(D204,Products!$A$2:$F$61,3,FALSE)</f>
        <v>Electronics</v>
      </c>
      <c r="M204" s="34" t="str">
        <f>VLOOKUP(C204,Customers!$A$2:$F$301,5,FALSE)</f>
        <v>Retail</v>
      </c>
      <c r="N204" s="34">
        <f>VLOOKUP(C204,Customers!$A$2:$F$301,3,FALSE)</f>
        <v>45</v>
      </c>
      <c r="O204" s="34" t="str">
        <f>VLOOKUP(E204,Sales_Reps!$A$2:$E$31,3,FALSE)</f>
        <v>South</v>
      </c>
      <c r="P204" s="13" t="s">
        <v>98</v>
      </c>
      <c r="Q204" s="34">
        <f t="shared" si="10"/>
        <v>995713.54000000015</v>
      </c>
      <c r="R204" s="34" t="str">
        <f>VLOOKUP(E204,Sales_Reps!$A$2:$E$100,3,FALSE)</f>
        <v>South</v>
      </c>
      <c r="S204" s="34" t="str">
        <f t="shared" si="11"/>
        <v>Electronics</v>
      </c>
      <c r="T204" s="38">
        <f>VLOOKUP(D204,Products!$A$2:$F$68,4,FALSE)</f>
        <v>1259</v>
      </c>
    </row>
    <row r="205" spans="1:20" x14ac:dyDescent="0.35">
      <c r="A205" s="13" t="s">
        <v>531</v>
      </c>
      <c r="B205" s="14">
        <v>45538</v>
      </c>
      <c r="C205" s="13" t="s">
        <v>385</v>
      </c>
      <c r="D205" s="13" t="s">
        <v>200</v>
      </c>
      <c r="E205" s="13" t="s">
        <v>188</v>
      </c>
      <c r="F205" s="15">
        <v>6</v>
      </c>
      <c r="G205" s="15">
        <v>2760</v>
      </c>
      <c r="H205" s="15">
        <v>0.9</v>
      </c>
      <c r="I205" s="15">
        <v>16410.96</v>
      </c>
      <c r="J205" s="13" t="s">
        <v>87</v>
      </c>
      <c r="K205" s="13" t="s">
        <v>117</v>
      </c>
      <c r="L205" s="34" t="str">
        <f>VLOOKUP(D205,Products!$A$2:$F$61,3,FALSE)</f>
        <v>Grocery</v>
      </c>
      <c r="M205" s="34" t="str">
        <f>VLOOKUP(C205,Customers!$A$2:$F$301,5,FALSE)</f>
        <v>Retail</v>
      </c>
      <c r="N205" s="34">
        <f>VLOOKUP(C205,Customers!$A$2:$F$301,3,FALSE)</f>
        <v>23</v>
      </c>
      <c r="O205" s="34" t="str">
        <f>VLOOKUP(E205,Sales_Reps!$A$2:$E$31,3,FALSE)</f>
        <v>South</v>
      </c>
      <c r="P205" s="13" t="s">
        <v>188</v>
      </c>
      <c r="Q205" s="34">
        <f t="shared" si="10"/>
        <v>1091740.1799999997</v>
      </c>
      <c r="R205" s="34" t="str">
        <f>VLOOKUP(E205,Sales_Reps!$A$2:$E$100,3,FALSE)</f>
        <v>South</v>
      </c>
      <c r="S205" s="34" t="str">
        <f t="shared" si="11"/>
        <v>Grocery</v>
      </c>
      <c r="T205" s="38">
        <f>VLOOKUP(D205,Products!$A$2:$F$68,4,FALSE)</f>
        <v>1435</v>
      </c>
    </row>
    <row r="206" spans="1:20" x14ac:dyDescent="0.35">
      <c r="A206" s="13" t="s">
        <v>532</v>
      </c>
      <c r="B206" s="14">
        <v>45591</v>
      </c>
      <c r="C206" s="13" t="s">
        <v>533</v>
      </c>
      <c r="D206" s="13" t="s">
        <v>179</v>
      </c>
      <c r="E206" s="13" t="s">
        <v>204</v>
      </c>
      <c r="F206" s="15">
        <v>6</v>
      </c>
      <c r="G206" s="15">
        <v>3350</v>
      </c>
      <c r="H206" s="15">
        <v>17.899999999999999</v>
      </c>
      <c r="I206" s="15">
        <v>16502.099999999999</v>
      </c>
      <c r="J206" s="13" t="s">
        <v>87</v>
      </c>
      <c r="K206" s="13" t="s">
        <v>99</v>
      </c>
      <c r="L206" s="34" t="str">
        <f>VLOOKUP(D206,Products!$A$2:$F$61,3,FALSE)</f>
        <v>Beauty</v>
      </c>
      <c r="M206" s="34" t="str">
        <f>VLOOKUP(C206,Customers!$A$2:$F$301,5,FALSE)</f>
        <v>SMB</v>
      </c>
      <c r="N206" s="34">
        <f>VLOOKUP(C206,Customers!$A$2:$F$301,3,FALSE)</f>
        <v>48</v>
      </c>
      <c r="O206" s="34" t="str">
        <f>VLOOKUP(E206,Sales_Reps!$A$2:$E$31,3,FALSE)</f>
        <v>South</v>
      </c>
      <c r="P206" s="13" t="s">
        <v>204</v>
      </c>
      <c r="Q206" s="34">
        <f t="shared" si="10"/>
        <v>914554.71999999986</v>
      </c>
      <c r="R206" s="34" t="str">
        <f>VLOOKUP(E206,Sales_Reps!$A$2:$E$100,3,FALSE)</f>
        <v>South</v>
      </c>
      <c r="S206" s="34" t="str">
        <f t="shared" si="11"/>
        <v>Beauty</v>
      </c>
      <c r="T206" s="38">
        <f>VLOOKUP(D206,Products!$A$2:$F$68,4,FALSE)</f>
        <v>1728</v>
      </c>
    </row>
    <row r="207" spans="1:20" x14ac:dyDescent="0.35">
      <c r="A207" s="13" t="s">
        <v>534</v>
      </c>
      <c r="B207" s="14">
        <v>45319</v>
      </c>
      <c r="C207" s="13" t="s">
        <v>440</v>
      </c>
      <c r="D207" s="13" t="s">
        <v>282</v>
      </c>
      <c r="E207" s="13" t="s">
        <v>238</v>
      </c>
      <c r="F207" s="15">
        <v>8</v>
      </c>
      <c r="G207" s="15">
        <v>300</v>
      </c>
      <c r="H207" s="15">
        <v>20.6</v>
      </c>
      <c r="I207" s="15">
        <v>1905.6</v>
      </c>
      <c r="J207" s="13" t="s">
        <v>144</v>
      </c>
      <c r="K207" s="13" t="s">
        <v>88</v>
      </c>
      <c r="L207" s="34" t="str">
        <f>VLOOKUP(D207,Products!$A$2:$F$61,3,FALSE)</f>
        <v>Electronics</v>
      </c>
      <c r="M207" s="34" t="str">
        <f>VLOOKUP(C207,Customers!$A$2:$F$301,5,FALSE)</f>
        <v>SMB</v>
      </c>
      <c r="N207" s="34">
        <f>VLOOKUP(C207,Customers!$A$2:$F$301,3,FALSE)</f>
        <v>30</v>
      </c>
      <c r="O207" s="34" t="str">
        <f>VLOOKUP(E207,Sales_Reps!$A$2:$E$31,3,FALSE)</f>
        <v>East</v>
      </c>
      <c r="P207" s="13" t="s">
        <v>238</v>
      </c>
      <c r="Q207" s="34">
        <f t="shared" si="10"/>
        <v>780384.40999999992</v>
      </c>
      <c r="R207" s="34" t="str">
        <f>VLOOKUP(E207,Sales_Reps!$A$2:$E$100,3,FALSE)</f>
        <v>East</v>
      </c>
      <c r="S207" s="34" t="str">
        <f t="shared" si="11"/>
        <v>Electronics</v>
      </c>
      <c r="T207" s="38">
        <f>VLOOKUP(D207,Products!$A$2:$F$68,4,FALSE)</f>
        <v>128</v>
      </c>
    </row>
    <row r="208" spans="1:20" x14ac:dyDescent="0.35">
      <c r="A208" s="13" t="s">
        <v>535</v>
      </c>
      <c r="B208" s="14">
        <v>45527</v>
      </c>
      <c r="C208" s="13" t="s">
        <v>528</v>
      </c>
      <c r="D208" s="13" t="s">
        <v>173</v>
      </c>
      <c r="E208" s="13" t="s">
        <v>297</v>
      </c>
      <c r="F208" s="15">
        <v>5</v>
      </c>
      <c r="G208" s="15">
        <v>2720</v>
      </c>
      <c r="H208" s="15">
        <v>17.100000000000001</v>
      </c>
      <c r="I208" s="15">
        <v>11274.4</v>
      </c>
      <c r="J208" s="13" t="s">
        <v>93</v>
      </c>
      <c r="K208" s="13" t="s">
        <v>112</v>
      </c>
      <c r="L208" s="34" t="str">
        <f>VLOOKUP(D208,Products!$A$2:$F$61,3,FALSE)</f>
        <v>Apparel</v>
      </c>
      <c r="M208" s="34" t="str">
        <f>VLOOKUP(C208,Customers!$A$2:$F$301,5,FALSE)</f>
        <v>Retail</v>
      </c>
      <c r="N208" s="34">
        <f>VLOOKUP(C208,Customers!$A$2:$F$301,3,FALSE)</f>
        <v>44</v>
      </c>
      <c r="O208" s="34" t="str">
        <f>VLOOKUP(E208,Sales_Reps!$A$2:$E$31,3,FALSE)</f>
        <v>North</v>
      </c>
      <c r="P208" s="13" t="s">
        <v>297</v>
      </c>
      <c r="Q208" s="34">
        <f t="shared" si="10"/>
        <v>980063.65999999968</v>
      </c>
      <c r="R208" s="34" t="str">
        <f>VLOOKUP(E208,Sales_Reps!$A$2:$E$100,3,FALSE)</f>
        <v>North</v>
      </c>
      <c r="S208" s="34" t="str">
        <f t="shared" si="11"/>
        <v>Apparel</v>
      </c>
      <c r="T208" s="38">
        <f>VLOOKUP(D208,Products!$A$2:$F$68,4,FALSE)</f>
        <v>1962</v>
      </c>
    </row>
    <row r="209" spans="1:20" x14ac:dyDescent="0.35">
      <c r="A209" s="13" t="s">
        <v>536</v>
      </c>
      <c r="B209" s="14">
        <v>45572</v>
      </c>
      <c r="C209" s="13" t="s">
        <v>537</v>
      </c>
      <c r="D209" s="13" t="s">
        <v>248</v>
      </c>
      <c r="E209" s="13" t="s">
        <v>188</v>
      </c>
      <c r="F209" s="15">
        <v>1</v>
      </c>
      <c r="G209" s="15">
        <v>3870</v>
      </c>
      <c r="H209" s="15">
        <v>23.5</v>
      </c>
      <c r="I209" s="15">
        <v>2960.55</v>
      </c>
      <c r="J209" s="13" t="s">
        <v>93</v>
      </c>
      <c r="K209" s="13" t="s">
        <v>133</v>
      </c>
      <c r="L209" s="34" t="str">
        <f>VLOOKUP(D209,Products!$A$2:$F$61,3,FALSE)</f>
        <v>Electronics</v>
      </c>
      <c r="M209" s="34" t="str">
        <f>VLOOKUP(C209,Customers!$A$2:$F$301,5,FALSE)</f>
        <v>SMB</v>
      </c>
      <c r="N209" s="34">
        <f>VLOOKUP(C209,Customers!$A$2:$F$301,3,FALSE)</f>
        <v>48</v>
      </c>
      <c r="O209" s="34" t="str">
        <f>VLOOKUP(E209,Sales_Reps!$A$2:$E$31,3,FALSE)</f>
        <v>South</v>
      </c>
      <c r="P209" s="13" t="s">
        <v>188</v>
      </c>
      <c r="Q209" s="34">
        <f t="shared" si="10"/>
        <v>1091740.1799999997</v>
      </c>
      <c r="R209" s="34" t="str">
        <f>VLOOKUP(E209,Sales_Reps!$A$2:$E$100,3,FALSE)</f>
        <v>South</v>
      </c>
      <c r="S209" s="34" t="str">
        <f t="shared" si="11"/>
        <v>Electronics</v>
      </c>
      <c r="T209" s="38">
        <f>VLOOKUP(D209,Products!$A$2:$F$68,4,FALSE)</f>
        <v>1559</v>
      </c>
    </row>
    <row r="210" spans="1:20" x14ac:dyDescent="0.35">
      <c r="A210" s="13" t="s">
        <v>538</v>
      </c>
      <c r="B210" s="14">
        <v>45637</v>
      </c>
      <c r="C210" s="13" t="s">
        <v>539</v>
      </c>
      <c r="D210" s="13" t="s">
        <v>226</v>
      </c>
      <c r="E210" s="13" t="s">
        <v>325</v>
      </c>
      <c r="F210" s="15">
        <v>3</v>
      </c>
      <c r="G210" s="15">
        <v>3730</v>
      </c>
      <c r="H210" s="15">
        <v>0.7</v>
      </c>
      <c r="I210" s="15">
        <v>11111.67</v>
      </c>
      <c r="J210" s="13" t="s">
        <v>93</v>
      </c>
      <c r="K210" s="13" t="s">
        <v>133</v>
      </c>
      <c r="L210" s="34" t="str">
        <f>VLOOKUP(D210,Products!$A$2:$F$61,3,FALSE)</f>
        <v>Home</v>
      </c>
      <c r="M210" s="34" t="str">
        <f>VLOOKUP(C210,Customers!$A$2:$F$301,5,FALSE)</f>
        <v>Retail</v>
      </c>
      <c r="N210" s="34">
        <f>VLOOKUP(C210,Customers!$A$2:$F$301,3,FALSE)</f>
        <v>38</v>
      </c>
      <c r="O210" s="34" t="str">
        <f>VLOOKUP(E210,Sales_Reps!$A$2:$E$31,3,FALSE)</f>
        <v>South</v>
      </c>
      <c r="P210" s="13" t="s">
        <v>325</v>
      </c>
      <c r="Q210" s="34">
        <f t="shared" si="10"/>
        <v>901394.32000000007</v>
      </c>
      <c r="R210" s="34" t="str">
        <f>VLOOKUP(E210,Sales_Reps!$A$2:$E$100,3,FALSE)</f>
        <v>South</v>
      </c>
      <c r="S210" s="34" t="str">
        <f t="shared" si="11"/>
        <v>Home</v>
      </c>
      <c r="T210" s="38">
        <f>VLOOKUP(D210,Products!$A$2:$F$68,4,FALSE)</f>
        <v>2135</v>
      </c>
    </row>
    <row r="211" spans="1:20" x14ac:dyDescent="0.35">
      <c r="A211" s="13" t="s">
        <v>540</v>
      </c>
      <c r="B211" s="14">
        <v>45315</v>
      </c>
      <c r="C211" s="13" t="s">
        <v>541</v>
      </c>
      <c r="D211" s="13" t="s">
        <v>167</v>
      </c>
      <c r="E211" s="13" t="s">
        <v>325</v>
      </c>
      <c r="F211" s="15">
        <v>8</v>
      </c>
      <c r="G211" s="15">
        <v>2480</v>
      </c>
      <c r="H211" s="15">
        <v>18.2</v>
      </c>
      <c r="I211" s="15">
        <v>16229.12</v>
      </c>
      <c r="J211" s="13" t="s">
        <v>140</v>
      </c>
      <c r="K211" s="13" t="s">
        <v>94</v>
      </c>
      <c r="L211" s="34" t="str">
        <f>VLOOKUP(D211,Products!$A$2:$F$61,3,FALSE)</f>
        <v>Apparel</v>
      </c>
      <c r="M211" s="34" t="str">
        <f>VLOOKUP(C211,Customers!$A$2:$F$301,5,FALSE)</f>
        <v>Corporate</v>
      </c>
      <c r="N211" s="34">
        <f>VLOOKUP(C211,Customers!$A$2:$F$301,3,FALSE)</f>
        <v>34</v>
      </c>
      <c r="O211" s="34" t="str">
        <f>VLOOKUP(E211,Sales_Reps!$A$2:$E$31,3,FALSE)</f>
        <v>South</v>
      </c>
      <c r="P211" s="13" t="s">
        <v>325</v>
      </c>
      <c r="Q211" s="34">
        <f t="shared" si="10"/>
        <v>901394.32000000007</v>
      </c>
      <c r="R211" s="34" t="str">
        <f>VLOOKUP(E211,Sales_Reps!$A$2:$E$100,3,FALSE)</f>
        <v>South</v>
      </c>
      <c r="S211" s="34" t="str">
        <f t="shared" si="11"/>
        <v>Apparel</v>
      </c>
      <c r="T211" s="38">
        <f>VLOOKUP(D211,Products!$A$2:$F$68,4,FALSE)</f>
        <v>1173</v>
      </c>
    </row>
    <row r="212" spans="1:20" x14ac:dyDescent="0.35">
      <c r="A212" s="13" t="s">
        <v>542</v>
      </c>
      <c r="B212" s="14">
        <v>45374</v>
      </c>
      <c r="C212" s="13" t="s">
        <v>388</v>
      </c>
      <c r="D212" s="13" t="s">
        <v>115</v>
      </c>
      <c r="E212" s="13" t="s">
        <v>121</v>
      </c>
      <c r="F212" s="15">
        <v>2</v>
      </c>
      <c r="G212" s="15">
        <v>960</v>
      </c>
      <c r="H212" s="15">
        <v>2.2000000000000002</v>
      </c>
      <c r="I212" s="15">
        <v>1877.76</v>
      </c>
      <c r="J212" s="13" t="s">
        <v>87</v>
      </c>
      <c r="K212" s="13" t="s">
        <v>133</v>
      </c>
      <c r="L212" s="34" t="str">
        <f>VLOOKUP(D212,Products!$A$2:$F$61,3,FALSE)</f>
        <v>Sports</v>
      </c>
      <c r="M212" s="34" t="str">
        <f>VLOOKUP(C212,Customers!$A$2:$F$301,5,FALSE)</f>
        <v>Retail</v>
      </c>
      <c r="N212" s="34">
        <f>VLOOKUP(C212,Customers!$A$2:$F$301,3,FALSE)</f>
        <v>44</v>
      </c>
      <c r="O212" s="34" t="str">
        <f>VLOOKUP(E212,Sales_Reps!$A$2:$E$31,3,FALSE)</f>
        <v>East</v>
      </c>
      <c r="P212" s="13" t="s">
        <v>121</v>
      </c>
      <c r="Q212" s="34">
        <f t="shared" si="10"/>
        <v>971183.52000000014</v>
      </c>
      <c r="R212" s="34" t="str">
        <f>VLOOKUP(E212,Sales_Reps!$A$2:$E$100,3,FALSE)</f>
        <v>East</v>
      </c>
      <c r="S212" s="34" t="str">
        <f t="shared" si="11"/>
        <v>Sports</v>
      </c>
      <c r="T212" s="38">
        <f>VLOOKUP(D212,Products!$A$2:$F$68,4,FALSE)</f>
        <v>705</v>
      </c>
    </row>
    <row r="213" spans="1:20" x14ac:dyDescent="0.35">
      <c r="A213" s="13" t="s">
        <v>543</v>
      </c>
      <c r="B213" s="14">
        <v>45335</v>
      </c>
      <c r="C213" s="13" t="s">
        <v>544</v>
      </c>
      <c r="D213" s="13" t="s">
        <v>184</v>
      </c>
      <c r="E213" s="13" t="s">
        <v>303</v>
      </c>
      <c r="F213" s="15">
        <v>8</v>
      </c>
      <c r="G213" s="15">
        <v>4880</v>
      </c>
      <c r="H213" s="15">
        <v>11.9</v>
      </c>
      <c r="I213" s="15">
        <v>34394.239999999998</v>
      </c>
      <c r="J213" s="13" t="s">
        <v>87</v>
      </c>
      <c r="K213" s="13" t="s">
        <v>133</v>
      </c>
      <c r="L213" s="34" t="str">
        <f>VLOOKUP(D213,Products!$A$2:$F$61,3,FALSE)</f>
        <v>Beauty</v>
      </c>
      <c r="M213" s="34" t="str">
        <f>VLOOKUP(C213,Customers!$A$2:$F$301,5,FALSE)</f>
        <v>Retail</v>
      </c>
      <c r="N213" s="34">
        <f>VLOOKUP(C213,Customers!$A$2:$F$301,3,FALSE)</f>
        <v>25</v>
      </c>
      <c r="O213" s="34" t="str">
        <f>VLOOKUP(E213,Sales_Reps!$A$2:$E$31,3,FALSE)</f>
        <v>East</v>
      </c>
      <c r="P213" s="13" t="s">
        <v>303</v>
      </c>
      <c r="Q213" s="34">
        <f t="shared" si="10"/>
        <v>1112289.6400000001</v>
      </c>
      <c r="R213" s="34" t="str">
        <f>VLOOKUP(E213,Sales_Reps!$A$2:$E$100,3,FALSE)</f>
        <v>East</v>
      </c>
      <c r="S213" s="34" t="str">
        <f t="shared" si="11"/>
        <v>Beauty</v>
      </c>
      <c r="T213" s="38">
        <f>VLOOKUP(D213,Products!$A$2:$F$68,4,FALSE)</f>
        <v>2768</v>
      </c>
    </row>
    <row r="214" spans="1:20" x14ac:dyDescent="0.35">
      <c r="A214" s="13" t="s">
        <v>545</v>
      </c>
      <c r="B214" s="14">
        <v>45656</v>
      </c>
      <c r="C214" s="13" t="s">
        <v>546</v>
      </c>
      <c r="D214" s="13" t="s">
        <v>85</v>
      </c>
      <c r="E214" s="13" t="s">
        <v>170</v>
      </c>
      <c r="F214" s="15">
        <v>2</v>
      </c>
      <c r="G214" s="15">
        <v>3620</v>
      </c>
      <c r="H214" s="15">
        <v>1.1000000000000001</v>
      </c>
      <c r="I214" s="15">
        <v>7160.36</v>
      </c>
      <c r="J214" s="13" t="s">
        <v>93</v>
      </c>
      <c r="K214" s="13" t="s">
        <v>99</v>
      </c>
      <c r="L214" s="34" t="str">
        <f>VLOOKUP(D214,Products!$A$2:$F$61,3,FALSE)</f>
        <v>Apparel</v>
      </c>
      <c r="M214" s="34" t="str">
        <f>VLOOKUP(C214,Customers!$A$2:$F$301,5,FALSE)</f>
        <v>SMB</v>
      </c>
      <c r="N214" s="34">
        <f>VLOOKUP(C214,Customers!$A$2:$F$301,3,FALSE)</f>
        <v>29</v>
      </c>
      <c r="O214" s="34" t="str">
        <f>VLOOKUP(E214,Sales_Reps!$A$2:$E$31,3,FALSE)</f>
        <v>West</v>
      </c>
      <c r="P214" s="13" t="s">
        <v>170</v>
      </c>
      <c r="Q214" s="34">
        <f t="shared" si="10"/>
        <v>747624.36999999988</v>
      </c>
      <c r="R214" s="34" t="str">
        <f>VLOOKUP(E214,Sales_Reps!$A$2:$E$100,3,FALSE)</f>
        <v>West</v>
      </c>
      <c r="S214" s="34" t="str">
        <f t="shared" si="11"/>
        <v>Apparel</v>
      </c>
      <c r="T214" s="38">
        <f>VLOOKUP(D214,Products!$A$2:$F$68,4,FALSE)</f>
        <v>2509</v>
      </c>
    </row>
    <row r="215" spans="1:20" x14ac:dyDescent="0.35">
      <c r="A215" s="13" t="s">
        <v>547</v>
      </c>
      <c r="B215" s="14">
        <v>45573</v>
      </c>
      <c r="C215" s="13" t="s">
        <v>291</v>
      </c>
      <c r="D215" s="13" t="s">
        <v>408</v>
      </c>
      <c r="E215" s="13" t="s">
        <v>107</v>
      </c>
      <c r="F215" s="15">
        <v>8</v>
      </c>
      <c r="G215" s="15">
        <v>3970</v>
      </c>
      <c r="H215" s="15">
        <v>18.100000000000001</v>
      </c>
      <c r="I215" s="15">
        <v>26011.439999999999</v>
      </c>
      <c r="J215" s="13" t="s">
        <v>87</v>
      </c>
      <c r="K215" s="13" t="s">
        <v>99</v>
      </c>
      <c r="L215" s="34" t="str">
        <f>VLOOKUP(D215,Products!$A$2:$F$61,3,FALSE)</f>
        <v>Electronics</v>
      </c>
      <c r="M215" s="34" t="str">
        <f>VLOOKUP(C215,Customers!$A$2:$F$301,5,FALSE)</f>
        <v>Retail</v>
      </c>
      <c r="N215" s="34">
        <f>VLOOKUP(C215,Customers!$A$2:$F$301,3,FALSE)</f>
        <v>35</v>
      </c>
      <c r="O215" s="34" t="str">
        <f>VLOOKUP(E215,Sales_Reps!$A$2:$E$31,3,FALSE)</f>
        <v>North</v>
      </c>
      <c r="P215" s="13" t="s">
        <v>107</v>
      </c>
      <c r="Q215" s="34">
        <f t="shared" si="10"/>
        <v>861553.33</v>
      </c>
      <c r="R215" s="34" t="str">
        <f>VLOOKUP(E215,Sales_Reps!$A$2:$E$100,3,FALSE)</f>
        <v>North</v>
      </c>
      <c r="S215" s="34" t="str">
        <f t="shared" si="11"/>
        <v>Electronics</v>
      </c>
      <c r="T215" s="38">
        <f>VLOOKUP(D215,Products!$A$2:$F$68,4,FALSE)</f>
        <v>2865</v>
      </c>
    </row>
    <row r="216" spans="1:20" x14ac:dyDescent="0.35">
      <c r="A216" s="13" t="s">
        <v>548</v>
      </c>
      <c r="B216" s="14">
        <v>45534</v>
      </c>
      <c r="C216" s="13" t="s">
        <v>166</v>
      </c>
      <c r="D216" s="13" t="s">
        <v>245</v>
      </c>
      <c r="E216" s="13" t="s">
        <v>201</v>
      </c>
      <c r="F216" s="15">
        <v>8</v>
      </c>
      <c r="G216" s="15">
        <v>2270</v>
      </c>
      <c r="H216" s="15">
        <v>19.600000000000001</v>
      </c>
      <c r="I216" s="15">
        <v>14600.64</v>
      </c>
      <c r="J216" s="13" t="s">
        <v>87</v>
      </c>
      <c r="K216" s="13" t="s">
        <v>133</v>
      </c>
      <c r="L216" s="34" t="str">
        <f>VLOOKUP(D216,Products!$A$2:$F$61,3,FALSE)</f>
        <v>Grocery</v>
      </c>
      <c r="M216" s="34" t="str">
        <f>VLOOKUP(C216,Customers!$A$2:$F$301,5,FALSE)</f>
        <v>Retail</v>
      </c>
      <c r="N216" s="34">
        <f>VLOOKUP(C216,Customers!$A$2:$F$301,3,FALSE)</f>
        <v>32</v>
      </c>
      <c r="O216" s="34" t="str">
        <f>VLOOKUP(E216,Sales_Reps!$A$2:$E$31,3,FALSE)</f>
        <v>West</v>
      </c>
      <c r="P216" s="13" t="s">
        <v>201</v>
      </c>
      <c r="Q216" s="34">
        <f t="shared" si="10"/>
        <v>576305.08000000019</v>
      </c>
      <c r="R216" s="34" t="str">
        <f>VLOOKUP(E216,Sales_Reps!$A$2:$E$100,3,FALSE)</f>
        <v>West</v>
      </c>
      <c r="S216" s="34" t="str">
        <f t="shared" si="11"/>
        <v>Grocery</v>
      </c>
      <c r="T216" s="38">
        <f>VLOOKUP(D216,Products!$A$2:$F$68,4,FALSE)</f>
        <v>1412</v>
      </c>
    </row>
    <row r="217" spans="1:20" x14ac:dyDescent="0.35">
      <c r="A217" s="13" t="s">
        <v>549</v>
      </c>
      <c r="B217" s="14">
        <v>45639</v>
      </c>
      <c r="C217" s="13" t="s">
        <v>266</v>
      </c>
      <c r="D217" s="13" t="s">
        <v>234</v>
      </c>
      <c r="E217" s="13" t="s">
        <v>252</v>
      </c>
      <c r="F217" s="15">
        <v>1</v>
      </c>
      <c r="G217" s="15">
        <v>3780</v>
      </c>
      <c r="H217" s="15">
        <v>22.6</v>
      </c>
      <c r="I217" s="15">
        <v>2925.72</v>
      </c>
      <c r="J217" s="13" t="s">
        <v>87</v>
      </c>
      <c r="K217" s="13" t="s">
        <v>99</v>
      </c>
      <c r="L217" s="34" t="str">
        <f>VLOOKUP(D217,Products!$A$2:$F$61,3,FALSE)</f>
        <v>Grocery</v>
      </c>
      <c r="M217" s="34" t="str">
        <f>VLOOKUP(C217,Customers!$A$2:$F$301,5,FALSE)</f>
        <v>Corporate</v>
      </c>
      <c r="N217" s="34">
        <f>VLOOKUP(C217,Customers!$A$2:$F$301,3,FALSE)</f>
        <v>55</v>
      </c>
      <c r="O217" s="34" t="str">
        <f>VLOOKUP(E217,Sales_Reps!$A$2:$E$31,3,FALSE)</f>
        <v>South</v>
      </c>
      <c r="P217" s="13" t="s">
        <v>252</v>
      </c>
      <c r="Q217" s="34">
        <f t="shared" si="10"/>
        <v>811524.37999999989</v>
      </c>
      <c r="R217" s="34" t="str">
        <f>VLOOKUP(E217,Sales_Reps!$A$2:$E$100,3,FALSE)</f>
        <v>South</v>
      </c>
      <c r="S217" s="34" t="str">
        <f t="shared" si="11"/>
        <v>Grocery</v>
      </c>
      <c r="T217" s="38">
        <f>VLOOKUP(D217,Products!$A$2:$F$68,4,FALSE)</f>
        <v>2436</v>
      </c>
    </row>
    <row r="218" spans="1:20" x14ac:dyDescent="0.35">
      <c r="A218" s="13" t="s">
        <v>550</v>
      </c>
      <c r="B218" s="14">
        <v>45653</v>
      </c>
      <c r="C218" s="13" t="s">
        <v>551</v>
      </c>
      <c r="D218" s="13" t="s">
        <v>264</v>
      </c>
      <c r="E218" s="13" t="s">
        <v>285</v>
      </c>
      <c r="F218" s="15">
        <v>9</v>
      </c>
      <c r="G218" s="15">
        <v>4070</v>
      </c>
      <c r="H218" s="15">
        <v>28.2</v>
      </c>
      <c r="I218" s="15">
        <v>26300.34</v>
      </c>
      <c r="J218" s="13" t="s">
        <v>87</v>
      </c>
      <c r="K218" s="13" t="s">
        <v>112</v>
      </c>
      <c r="L218" s="34" t="str">
        <f>VLOOKUP(D218,Products!$A$2:$F$61,3,FALSE)</f>
        <v>Grocery</v>
      </c>
      <c r="M218" s="34" t="str">
        <f>VLOOKUP(C218,Customers!$A$2:$F$301,5,FALSE)</f>
        <v>Corporate</v>
      </c>
      <c r="N218" s="34">
        <f>VLOOKUP(C218,Customers!$A$2:$F$301,3,FALSE)</f>
        <v>60</v>
      </c>
      <c r="O218" s="34" t="str">
        <f>VLOOKUP(E218,Sales_Reps!$A$2:$E$31,3,FALSE)</f>
        <v>East</v>
      </c>
      <c r="P218" s="13" t="s">
        <v>285</v>
      </c>
      <c r="Q218" s="34">
        <f t="shared" si="10"/>
        <v>1069570.5400000003</v>
      </c>
      <c r="R218" s="34" t="str">
        <f>VLOOKUP(E218,Sales_Reps!$A$2:$E$100,3,FALSE)</f>
        <v>East</v>
      </c>
      <c r="S218" s="34" t="str">
        <f t="shared" si="11"/>
        <v>Grocery</v>
      </c>
      <c r="T218" s="38">
        <f>VLOOKUP(D218,Products!$A$2:$F$68,4,FALSE)</f>
        <v>2027</v>
      </c>
    </row>
    <row r="219" spans="1:20" x14ac:dyDescent="0.35">
      <c r="A219" s="13" t="s">
        <v>552</v>
      </c>
      <c r="B219" s="14">
        <v>45424</v>
      </c>
      <c r="C219" s="13" t="s">
        <v>553</v>
      </c>
      <c r="D219" s="13" t="s">
        <v>279</v>
      </c>
      <c r="E219" s="13" t="s">
        <v>103</v>
      </c>
      <c r="F219" s="15">
        <v>9</v>
      </c>
      <c r="G219" s="15">
        <v>2660</v>
      </c>
      <c r="H219" s="15">
        <v>13.1</v>
      </c>
      <c r="I219" s="15">
        <v>20803.86</v>
      </c>
      <c r="J219" s="13" t="s">
        <v>93</v>
      </c>
      <c r="K219" s="13" t="s">
        <v>112</v>
      </c>
      <c r="L219" s="34" t="str">
        <f>VLOOKUP(D219,Products!$A$2:$F$61,3,FALSE)</f>
        <v>Electronics</v>
      </c>
      <c r="M219" s="34" t="str">
        <f>VLOOKUP(C219,Customers!$A$2:$F$301,5,FALSE)</f>
        <v>Retail</v>
      </c>
      <c r="N219" s="34">
        <f>VLOOKUP(C219,Customers!$A$2:$F$301,3,FALSE)</f>
        <v>65</v>
      </c>
      <c r="O219" s="34" t="str">
        <f>VLOOKUP(E219,Sales_Reps!$A$2:$E$31,3,FALSE)</f>
        <v>North</v>
      </c>
      <c r="P219" s="13" t="s">
        <v>103</v>
      </c>
      <c r="Q219" s="34">
        <f t="shared" si="10"/>
        <v>1138648.73</v>
      </c>
      <c r="R219" s="34" t="str">
        <f>VLOOKUP(E219,Sales_Reps!$A$2:$E$100,3,FALSE)</f>
        <v>North</v>
      </c>
      <c r="S219" s="34" t="str">
        <f t="shared" si="11"/>
        <v>Electronics</v>
      </c>
      <c r="T219" s="38">
        <f>VLOOKUP(D219,Products!$A$2:$F$68,4,FALSE)</f>
        <v>1259</v>
      </c>
    </row>
    <row r="220" spans="1:20" x14ac:dyDescent="0.35">
      <c r="A220" s="13" t="s">
        <v>554</v>
      </c>
      <c r="B220" s="14">
        <v>45400</v>
      </c>
      <c r="C220" s="13" t="s">
        <v>555</v>
      </c>
      <c r="D220" s="13" t="s">
        <v>187</v>
      </c>
      <c r="E220" s="13" t="s">
        <v>139</v>
      </c>
      <c r="F220" s="15">
        <v>4</v>
      </c>
      <c r="G220" s="15">
        <v>3570</v>
      </c>
      <c r="H220" s="15">
        <v>1.5</v>
      </c>
      <c r="I220" s="15">
        <v>14065.8</v>
      </c>
      <c r="J220" s="13" t="s">
        <v>140</v>
      </c>
      <c r="K220" s="13" t="s">
        <v>112</v>
      </c>
      <c r="L220" s="34" t="str">
        <f>VLOOKUP(D220,Products!$A$2:$F$61,3,FALSE)</f>
        <v>Electronics</v>
      </c>
      <c r="M220" s="34" t="str">
        <f>VLOOKUP(C220,Customers!$A$2:$F$301,5,FALSE)</f>
        <v>Retail</v>
      </c>
      <c r="N220" s="34">
        <f>VLOOKUP(C220,Customers!$A$2:$F$301,3,FALSE)</f>
        <v>37</v>
      </c>
      <c r="O220" s="34" t="str">
        <f>VLOOKUP(E220,Sales_Reps!$A$2:$E$31,3,FALSE)</f>
        <v>North</v>
      </c>
      <c r="P220" s="13" t="s">
        <v>139</v>
      </c>
      <c r="Q220" s="34">
        <f t="shared" si="10"/>
        <v>589026.2899999998</v>
      </c>
      <c r="R220" s="34" t="str">
        <f>VLOOKUP(E220,Sales_Reps!$A$2:$E$100,3,FALSE)</f>
        <v>North</v>
      </c>
      <c r="S220" s="34" t="str">
        <f t="shared" si="11"/>
        <v>Electronics</v>
      </c>
      <c r="T220" s="38">
        <f>VLOOKUP(D220,Products!$A$2:$F$68,4,FALSE)</f>
        <v>1665</v>
      </c>
    </row>
    <row r="221" spans="1:20" x14ac:dyDescent="0.35">
      <c r="A221" s="13" t="s">
        <v>556</v>
      </c>
      <c r="B221" s="14">
        <v>45531</v>
      </c>
      <c r="C221" s="13" t="s">
        <v>557</v>
      </c>
      <c r="D221" s="13" t="s">
        <v>380</v>
      </c>
      <c r="E221" s="13" t="s">
        <v>215</v>
      </c>
      <c r="F221" s="15">
        <v>2</v>
      </c>
      <c r="G221" s="15">
        <v>960</v>
      </c>
      <c r="H221" s="15">
        <v>18.600000000000001</v>
      </c>
      <c r="I221" s="15">
        <v>1562.88</v>
      </c>
      <c r="J221" s="13" t="s">
        <v>87</v>
      </c>
      <c r="K221" s="13" t="s">
        <v>112</v>
      </c>
      <c r="L221" s="34" t="str">
        <f>VLOOKUP(D221,Products!$A$2:$F$61,3,FALSE)</f>
        <v>Beauty</v>
      </c>
      <c r="M221" s="34" t="str">
        <f>VLOOKUP(C221,Customers!$A$2:$F$301,5,FALSE)</f>
        <v>Retail</v>
      </c>
      <c r="N221" s="34">
        <f>VLOOKUP(C221,Customers!$A$2:$F$301,3,FALSE)</f>
        <v>65</v>
      </c>
      <c r="O221" s="34" t="str">
        <f>VLOOKUP(E221,Sales_Reps!$A$2:$E$31,3,FALSE)</f>
        <v>North</v>
      </c>
      <c r="P221" s="13" t="s">
        <v>215</v>
      </c>
      <c r="Q221" s="34">
        <f t="shared" si="10"/>
        <v>789849.60000000009</v>
      </c>
      <c r="R221" s="34" t="str">
        <f>VLOOKUP(E221,Sales_Reps!$A$2:$E$100,3,FALSE)</f>
        <v>North</v>
      </c>
      <c r="S221" s="34" t="str">
        <f t="shared" si="11"/>
        <v>Beauty</v>
      </c>
      <c r="T221" s="38">
        <f>VLOOKUP(D221,Products!$A$2:$F$68,4,FALSE)</f>
        <v>675</v>
      </c>
    </row>
    <row r="222" spans="1:20" x14ac:dyDescent="0.35">
      <c r="A222" s="13" t="s">
        <v>558</v>
      </c>
      <c r="B222" s="14">
        <v>45546</v>
      </c>
      <c r="C222" s="13" t="s">
        <v>559</v>
      </c>
      <c r="D222" s="13" t="s">
        <v>157</v>
      </c>
      <c r="E222" s="13" t="s">
        <v>303</v>
      </c>
      <c r="F222" s="15">
        <v>2</v>
      </c>
      <c r="G222" s="15">
        <v>3450</v>
      </c>
      <c r="H222" s="15">
        <v>3.7</v>
      </c>
      <c r="I222" s="15">
        <v>6644.7</v>
      </c>
      <c r="J222" s="13" t="s">
        <v>87</v>
      </c>
      <c r="K222" s="13" t="s">
        <v>88</v>
      </c>
      <c r="L222" s="34" t="str">
        <f>VLOOKUP(D222,Products!$A$2:$F$61,3,FALSE)</f>
        <v>Beauty</v>
      </c>
      <c r="M222" s="34" t="str">
        <f>VLOOKUP(C222,Customers!$A$2:$F$301,5,FALSE)</f>
        <v>Retail</v>
      </c>
      <c r="N222" s="34">
        <f>VLOOKUP(C222,Customers!$A$2:$F$301,3,FALSE)</f>
        <v>62</v>
      </c>
      <c r="O222" s="34" t="str">
        <f>VLOOKUP(E222,Sales_Reps!$A$2:$E$31,3,FALSE)</f>
        <v>East</v>
      </c>
      <c r="P222" s="13" t="s">
        <v>303</v>
      </c>
      <c r="Q222" s="34">
        <f t="shared" si="10"/>
        <v>1112289.6400000001</v>
      </c>
      <c r="R222" s="34" t="str">
        <f>VLOOKUP(E222,Sales_Reps!$A$2:$E$100,3,FALSE)</f>
        <v>East</v>
      </c>
      <c r="S222" s="34" t="str">
        <f t="shared" si="11"/>
        <v>Beauty</v>
      </c>
      <c r="T222" s="38">
        <f>VLOOKUP(D222,Products!$A$2:$F$68,4,FALSE)</f>
        <v>2420</v>
      </c>
    </row>
    <row r="223" spans="1:20" x14ac:dyDescent="0.35">
      <c r="A223" s="13" t="s">
        <v>560</v>
      </c>
      <c r="B223" s="14">
        <v>45608</v>
      </c>
      <c r="C223" s="13" t="s">
        <v>561</v>
      </c>
      <c r="D223" s="13" t="s">
        <v>191</v>
      </c>
      <c r="E223" s="13" t="s">
        <v>86</v>
      </c>
      <c r="F223" s="15">
        <v>6</v>
      </c>
      <c r="G223" s="15">
        <v>5100</v>
      </c>
      <c r="H223" s="15">
        <v>1.2</v>
      </c>
      <c r="I223" s="15">
        <v>30232.799999999999</v>
      </c>
      <c r="J223" s="13" t="s">
        <v>87</v>
      </c>
      <c r="K223" s="13" t="s">
        <v>133</v>
      </c>
      <c r="L223" s="34" t="str">
        <f>VLOOKUP(D223,Products!$A$2:$F$61,3,FALSE)</f>
        <v>Beauty</v>
      </c>
      <c r="M223" s="34" t="str">
        <f>VLOOKUP(C223,Customers!$A$2:$F$301,5,FALSE)</f>
        <v>SMB</v>
      </c>
      <c r="N223" s="34">
        <f>VLOOKUP(C223,Customers!$A$2:$F$301,3,FALSE)</f>
        <v>43</v>
      </c>
      <c r="O223" s="34" t="str">
        <f>VLOOKUP(E223,Sales_Reps!$A$2:$E$31,3,FALSE)</f>
        <v>North</v>
      </c>
      <c r="P223" s="13" t="s">
        <v>86</v>
      </c>
      <c r="Q223" s="34">
        <f t="shared" si="10"/>
        <v>855749.67999999982</v>
      </c>
      <c r="R223" s="34" t="str">
        <f>VLOOKUP(E223,Sales_Reps!$A$2:$E$100,3,FALSE)</f>
        <v>North</v>
      </c>
      <c r="S223" s="34" t="str">
        <f t="shared" si="11"/>
        <v>Beauty</v>
      </c>
      <c r="T223" s="38">
        <f>VLOOKUP(D223,Products!$A$2:$F$68,4,FALSE)</f>
        <v>2237</v>
      </c>
    </row>
    <row r="224" spans="1:20" x14ac:dyDescent="0.35">
      <c r="A224" s="13" t="s">
        <v>562</v>
      </c>
      <c r="B224" s="14">
        <v>45614</v>
      </c>
      <c r="C224" s="13" t="s">
        <v>563</v>
      </c>
      <c r="D224" s="13" t="s">
        <v>282</v>
      </c>
      <c r="E224" s="13" t="s">
        <v>92</v>
      </c>
      <c r="F224" s="15">
        <v>9</v>
      </c>
      <c r="G224" s="15">
        <v>300</v>
      </c>
      <c r="H224" s="15">
        <v>25.4</v>
      </c>
      <c r="I224" s="15">
        <v>2014.2</v>
      </c>
      <c r="J224" s="13" t="s">
        <v>140</v>
      </c>
      <c r="K224" s="13" t="s">
        <v>88</v>
      </c>
      <c r="L224" s="34" t="str">
        <f>VLOOKUP(D224,Products!$A$2:$F$61,3,FALSE)</f>
        <v>Electronics</v>
      </c>
      <c r="M224" s="34" t="str">
        <f>VLOOKUP(C224,Customers!$A$2:$F$301,5,FALSE)</f>
        <v>SMB</v>
      </c>
      <c r="N224" s="34">
        <f>VLOOKUP(C224,Customers!$A$2:$F$301,3,FALSE)</f>
        <v>24</v>
      </c>
      <c r="O224" s="34" t="str">
        <f>VLOOKUP(E224,Sales_Reps!$A$2:$E$31,3,FALSE)</f>
        <v>North</v>
      </c>
      <c r="P224" s="13" t="s">
        <v>92</v>
      </c>
      <c r="Q224" s="34">
        <f t="shared" si="10"/>
        <v>782445.33</v>
      </c>
      <c r="R224" s="34" t="str">
        <f>VLOOKUP(E224,Sales_Reps!$A$2:$E$100,3,FALSE)</f>
        <v>North</v>
      </c>
      <c r="S224" s="34" t="str">
        <f t="shared" si="11"/>
        <v>Electronics</v>
      </c>
      <c r="T224" s="38">
        <f>VLOOKUP(D224,Products!$A$2:$F$68,4,FALSE)</f>
        <v>128</v>
      </c>
    </row>
    <row r="225" spans="1:20" x14ac:dyDescent="0.35">
      <c r="A225" s="13" t="s">
        <v>564</v>
      </c>
      <c r="B225" s="14">
        <v>45405</v>
      </c>
      <c r="C225" s="13" t="s">
        <v>565</v>
      </c>
      <c r="D225" s="13" t="s">
        <v>184</v>
      </c>
      <c r="E225" s="13" t="s">
        <v>192</v>
      </c>
      <c r="F225" s="15">
        <v>7</v>
      </c>
      <c r="G225" s="15">
        <v>4880</v>
      </c>
      <c r="H225" s="15">
        <v>16.899999999999999</v>
      </c>
      <c r="I225" s="15">
        <v>28386.959999999999</v>
      </c>
      <c r="J225" s="13" t="s">
        <v>93</v>
      </c>
      <c r="K225" s="13" t="s">
        <v>112</v>
      </c>
      <c r="L225" s="34" t="str">
        <f>VLOOKUP(D225,Products!$A$2:$F$61,3,FALSE)</f>
        <v>Beauty</v>
      </c>
      <c r="M225" s="34" t="str">
        <f>VLOOKUP(C225,Customers!$A$2:$F$301,5,FALSE)</f>
        <v>SMB</v>
      </c>
      <c r="N225" s="34">
        <f>VLOOKUP(C225,Customers!$A$2:$F$301,3,FALSE)</f>
        <v>61</v>
      </c>
      <c r="O225" s="34" t="str">
        <f>VLOOKUP(E225,Sales_Reps!$A$2:$E$31,3,FALSE)</f>
        <v>East</v>
      </c>
      <c r="P225" s="13" t="s">
        <v>192</v>
      </c>
      <c r="Q225" s="34">
        <f t="shared" si="10"/>
        <v>906107.71000000008</v>
      </c>
      <c r="R225" s="34" t="str">
        <f>VLOOKUP(E225,Sales_Reps!$A$2:$E$100,3,FALSE)</f>
        <v>East</v>
      </c>
      <c r="S225" s="34" t="str">
        <f t="shared" si="11"/>
        <v>Beauty</v>
      </c>
      <c r="T225" s="38">
        <f>VLOOKUP(D225,Products!$A$2:$F$68,4,FALSE)</f>
        <v>2768</v>
      </c>
    </row>
    <row r="226" spans="1:20" x14ac:dyDescent="0.35">
      <c r="A226" s="13" t="s">
        <v>566</v>
      </c>
      <c r="B226" s="14">
        <v>45504</v>
      </c>
      <c r="C226" s="13" t="s">
        <v>567</v>
      </c>
      <c r="D226" s="13" t="s">
        <v>143</v>
      </c>
      <c r="E226" s="13" t="s">
        <v>154</v>
      </c>
      <c r="F226" s="15">
        <v>9</v>
      </c>
      <c r="G226" s="15">
        <v>3250</v>
      </c>
      <c r="H226" s="15">
        <v>10.8</v>
      </c>
      <c r="I226" s="15">
        <v>26091</v>
      </c>
      <c r="J226" s="13" t="s">
        <v>140</v>
      </c>
      <c r="K226" s="13" t="s">
        <v>117</v>
      </c>
      <c r="L226" s="34" t="str">
        <f>VLOOKUP(D226,Products!$A$2:$F$61,3,FALSE)</f>
        <v>Home</v>
      </c>
      <c r="M226" s="34" t="str">
        <f>VLOOKUP(C226,Customers!$A$2:$F$301,5,FALSE)</f>
        <v>Corporate</v>
      </c>
      <c r="N226" s="34">
        <f>VLOOKUP(C226,Customers!$A$2:$F$301,3,FALSE)</f>
        <v>41</v>
      </c>
      <c r="O226" s="34" t="str">
        <f>VLOOKUP(E226,Sales_Reps!$A$2:$E$31,3,FALSE)</f>
        <v>East</v>
      </c>
      <c r="P226" s="13" t="s">
        <v>154</v>
      </c>
      <c r="Q226" s="34">
        <f t="shared" si="10"/>
        <v>983787.4800000001</v>
      </c>
      <c r="R226" s="34" t="str">
        <f>VLOOKUP(E226,Sales_Reps!$A$2:$E$100,3,FALSE)</f>
        <v>East</v>
      </c>
      <c r="S226" s="34" t="str">
        <f t="shared" si="11"/>
        <v>Home</v>
      </c>
      <c r="T226" s="38">
        <f>VLOOKUP(D226,Products!$A$2:$F$68,4,FALSE)</f>
        <v>1556</v>
      </c>
    </row>
    <row r="227" spans="1:20" x14ac:dyDescent="0.35">
      <c r="A227" s="13" t="s">
        <v>568</v>
      </c>
      <c r="B227" s="14">
        <v>45298</v>
      </c>
      <c r="C227" s="13" t="s">
        <v>442</v>
      </c>
      <c r="D227" s="13" t="s">
        <v>157</v>
      </c>
      <c r="E227" s="13" t="s">
        <v>103</v>
      </c>
      <c r="F227" s="15">
        <v>3</v>
      </c>
      <c r="G227" s="15">
        <v>3450</v>
      </c>
      <c r="H227" s="15">
        <v>5.4</v>
      </c>
      <c r="I227" s="15">
        <v>9791.1</v>
      </c>
      <c r="J227" s="13" t="s">
        <v>93</v>
      </c>
      <c r="K227" s="13" t="s">
        <v>88</v>
      </c>
      <c r="L227" s="34" t="str">
        <f>VLOOKUP(D227,Products!$A$2:$F$61,3,FALSE)</f>
        <v>Beauty</v>
      </c>
      <c r="M227" s="34" t="str">
        <f>VLOOKUP(C227,Customers!$A$2:$F$301,5,FALSE)</f>
        <v>Retail</v>
      </c>
      <c r="N227" s="34">
        <f>VLOOKUP(C227,Customers!$A$2:$F$301,3,FALSE)</f>
        <v>65</v>
      </c>
      <c r="O227" s="34" t="str">
        <f>VLOOKUP(E227,Sales_Reps!$A$2:$E$31,3,FALSE)</f>
        <v>North</v>
      </c>
      <c r="P227" s="13" t="s">
        <v>103</v>
      </c>
      <c r="Q227" s="34">
        <f t="shared" si="10"/>
        <v>1138648.73</v>
      </c>
      <c r="R227" s="34" t="str">
        <f>VLOOKUP(E227,Sales_Reps!$A$2:$E$100,3,FALSE)</f>
        <v>North</v>
      </c>
      <c r="S227" s="34" t="str">
        <f t="shared" si="11"/>
        <v>Beauty</v>
      </c>
      <c r="T227" s="38">
        <f>VLOOKUP(D227,Products!$A$2:$F$68,4,FALSE)</f>
        <v>2420</v>
      </c>
    </row>
    <row r="228" spans="1:20" x14ac:dyDescent="0.35">
      <c r="A228" s="13" t="s">
        <v>569</v>
      </c>
      <c r="B228" s="14">
        <v>45346</v>
      </c>
      <c r="C228" s="13" t="s">
        <v>570</v>
      </c>
      <c r="D228" s="13" t="s">
        <v>241</v>
      </c>
      <c r="E228" s="13" t="s">
        <v>158</v>
      </c>
      <c r="F228" s="15">
        <v>5</v>
      </c>
      <c r="G228" s="15">
        <v>6080</v>
      </c>
      <c r="H228" s="15">
        <v>18</v>
      </c>
      <c r="I228" s="15">
        <v>24928</v>
      </c>
      <c r="J228" s="13" t="s">
        <v>87</v>
      </c>
      <c r="K228" s="13" t="s">
        <v>99</v>
      </c>
      <c r="L228" s="34" t="str">
        <f>VLOOKUP(D228,Products!$A$2:$F$61,3,FALSE)</f>
        <v>Beauty</v>
      </c>
      <c r="M228" s="34" t="str">
        <f>VLOOKUP(C228,Customers!$A$2:$F$301,5,FALSE)</f>
        <v>Corporate</v>
      </c>
      <c r="N228" s="34">
        <f>VLOOKUP(C228,Customers!$A$2:$F$301,3,FALSE)</f>
        <v>47</v>
      </c>
      <c r="O228" s="34" t="str">
        <f>VLOOKUP(E228,Sales_Reps!$A$2:$E$31,3,FALSE)</f>
        <v>East</v>
      </c>
      <c r="P228" s="13" t="s">
        <v>158</v>
      </c>
      <c r="Q228" s="34">
        <f t="shared" si="10"/>
        <v>761507.17000000027</v>
      </c>
      <c r="R228" s="34" t="str">
        <f>VLOOKUP(E228,Sales_Reps!$A$2:$E$100,3,FALSE)</f>
        <v>East</v>
      </c>
      <c r="S228" s="34" t="str">
        <f t="shared" si="11"/>
        <v>Beauty</v>
      </c>
      <c r="T228" s="38">
        <f>VLOOKUP(D228,Products!$A$2:$F$68,4,FALSE)</f>
        <v>2617</v>
      </c>
    </row>
    <row r="229" spans="1:20" x14ac:dyDescent="0.35">
      <c r="A229" s="13" t="s">
        <v>571</v>
      </c>
      <c r="B229" s="14">
        <v>45487</v>
      </c>
      <c r="C229" s="13" t="s">
        <v>440</v>
      </c>
      <c r="D229" s="13" t="s">
        <v>241</v>
      </c>
      <c r="E229" s="13" t="s">
        <v>285</v>
      </c>
      <c r="F229" s="15">
        <v>7</v>
      </c>
      <c r="G229" s="15">
        <v>6080</v>
      </c>
      <c r="H229" s="15">
        <v>9.1999999999999993</v>
      </c>
      <c r="I229" s="15">
        <v>38644.480000000003</v>
      </c>
      <c r="J229" s="13" t="s">
        <v>87</v>
      </c>
      <c r="K229" s="13" t="s">
        <v>88</v>
      </c>
      <c r="L229" s="34" t="str">
        <f>VLOOKUP(D229,Products!$A$2:$F$61,3,FALSE)</f>
        <v>Beauty</v>
      </c>
      <c r="M229" s="34" t="str">
        <f>VLOOKUP(C229,Customers!$A$2:$F$301,5,FALSE)</f>
        <v>SMB</v>
      </c>
      <c r="N229" s="34">
        <f>VLOOKUP(C229,Customers!$A$2:$F$301,3,FALSE)</f>
        <v>30</v>
      </c>
      <c r="O229" s="34" t="str">
        <f>VLOOKUP(E229,Sales_Reps!$A$2:$E$31,3,FALSE)</f>
        <v>East</v>
      </c>
      <c r="P229" s="13" t="s">
        <v>285</v>
      </c>
      <c r="Q229" s="34">
        <f t="shared" si="10"/>
        <v>1069570.5400000003</v>
      </c>
      <c r="R229" s="34" t="str">
        <f>VLOOKUP(E229,Sales_Reps!$A$2:$E$100,3,FALSE)</f>
        <v>East</v>
      </c>
      <c r="S229" s="34" t="str">
        <f t="shared" si="11"/>
        <v>Beauty</v>
      </c>
      <c r="T229" s="38">
        <f>VLOOKUP(D229,Products!$A$2:$F$68,4,FALSE)</f>
        <v>2617</v>
      </c>
    </row>
    <row r="230" spans="1:20" x14ac:dyDescent="0.35">
      <c r="A230" s="13" t="s">
        <v>572</v>
      </c>
      <c r="B230" s="14">
        <v>45585</v>
      </c>
      <c r="C230" s="13" t="s">
        <v>539</v>
      </c>
      <c r="D230" s="13" t="s">
        <v>131</v>
      </c>
      <c r="E230" s="13" t="s">
        <v>98</v>
      </c>
      <c r="F230" s="15">
        <v>5</v>
      </c>
      <c r="G230" s="15">
        <v>2270</v>
      </c>
      <c r="H230" s="15">
        <v>0.4</v>
      </c>
      <c r="I230" s="15">
        <v>11304.6</v>
      </c>
      <c r="J230" s="13" t="s">
        <v>140</v>
      </c>
      <c r="K230" s="13" t="s">
        <v>133</v>
      </c>
      <c r="L230" s="34" t="str">
        <f>VLOOKUP(D230,Products!$A$2:$F$61,3,FALSE)</f>
        <v>Grocery</v>
      </c>
      <c r="M230" s="34" t="str">
        <f>VLOOKUP(C230,Customers!$A$2:$F$301,5,FALSE)</f>
        <v>Retail</v>
      </c>
      <c r="N230" s="34">
        <f>VLOOKUP(C230,Customers!$A$2:$F$301,3,FALSE)</f>
        <v>38</v>
      </c>
      <c r="O230" s="34" t="str">
        <f>VLOOKUP(E230,Sales_Reps!$A$2:$E$31,3,FALSE)</f>
        <v>South</v>
      </c>
      <c r="P230" s="13" t="s">
        <v>98</v>
      </c>
      <c r="Q230" s="34">
        <f t="shared" si="10"/>
        <v>995713.54000000015</v>
      </c>
      <c r="R230" s="34" t="str">
        <f>VLOOKUP(E230,Sales_Reps!$A$2:$E$100,3,FALSE)</f>
        <v>South</v>
      </c>
      <c r="S230" s="34" t="str">
        <f t="shared" si="11"/>
        <v>Grocery</v>
      </c>
      <c r="T230" s="38">
        <f>VLOOKUP(D230,Products!$A$2:$F$68,4,FALSE)</f>
        <v>1203</v>
      </c>
    </row>
    <row r="231" spans="1:20" x14ac:dyDescent="0.35">
      <c r="A231" s="13" t="s">
        <v>573</v>
      </c>
      <c r="B231" s="14">
        <v>45373</v>
      </c>
      <c r="C231" s="13" t="s">
        <v>371</v>
      </c>
      <c r="D231" s="13" t="s">
        <v>184</v>
      </c>
      <c r="E231" s="13" t="s">
        <v>346</v>
      </c>
      <c r="F231" s="15">
        <v>10</v>
      </c>
      <c r="G231" s="15">
        <v>4880</v>
      </c>
      <c r="H231" s="15">
        <v>24.5</v>
      </c>
      <c r="I231" s="15">
        <v>36844</v>
      </c>
      <c r="J231" s="13" t="s">
        <v>144</v>
      </c>
      <c r="K231" s="13" t="s">
        <v>112</v>
      </c>
      <c r="L231" s="34" t="str">
        <f>VLOOKUP(D231,Products!$A$2:$F$61,3,FALSE)</f>
        <v>Beauty</v>
      </c>
      <c r="M231" s="34" t="str">
        <f>VLOOKUP(C231,Customers!$A$2:$F$301,5,FALSE)</f>
        <v>Retail</v>
      </c>
      <c r="N231" s="34">
        <f>VLOOKUP(C231,Customers!$A$2:$F$301,3,FALSE)</f>
        <v>42</v>
      </c>
      <c r="O231" s="34" t="str">
        <f>VLOOKUP(E231,Sales_Reps!$A$2:$E$31,3,FALSE)</f>
        <v>South</v>
      </c>
      <c r="P231" s="13" t="s">
        <v>346</v>
      </c>
      <c r="Q231" s="34">
        <f t="shared" si="10"/>
        <v>814563.7100000002</v>
      </c>
      <c r="R231" s="34" t="str">
        <f>VLOOKUP(E231,Sales_Reps!$A$2:$E$100,3,FALSE)</f>
        <v>South</v>
      </c>
      <c r="S231" s="34" t="str">
        <f t="shared" si="11"/>
        <v>Beauty</v>
      </c>
      <c r="T231" s="38">
        <f>VLOOKUP(D231,Products!$A$2:$F$68,4,FALSE)</f>
        <v>2768</v>
      </c>
    </row>
    <row r="232" spans="1:20" x14ac:dyDescent="0.35">
      <c r="A232" s="13" t="s">
        <v>574</v>
      </c>
      <c r="B232" s="14">
        <v>45293</v>
      </c>
      <c r="C232" s="13" t="s">
        <v>178</v>
      </c>
      <c r="D232" s="13" t="s">
        <v>367</v>
      </c>
      <c r="E232" s="13" t="s">
        <v>297</v>
      </c>
      <c r="F232" s="15">
        <v>2</v>
      </c>
      <c r="G232" s="15">
        <v>2380</v>
      </c>
      <c r="H232" s="15">
        <v>2.2999999999999998</v>
      </c>
      <c r="I232" s="15">
        <v>4650.5200000000004</v>
      </c>
      <c r="J232" s="13" t="s">
        <v>87</v>
      </c>
      <c r="K232" s="13" t="s">
        <v>94</v>
      </c>
      <c r="L232" s="34" t="str">
        <f>VLOOKUP(D232,Products!$A$2:$F$61,3,FALSE)</f>
        <v>Grocery</v>
      </c>
      <c r="M232" s="34" t="str">
        <f>VLOOKUP(C232,Customers!$A$2:$F$301,5,FALSE)</f>
        <v>Corporate</v>
      </c>
      <c r="N232" s="34">
        <f>VLOOKUP(C232,Customers!$A$2:$F$301,3,FALSE)</f>
        <v>55</v>
      </c>
      <c r="O232" s="34" t="str">
        <f>VLOOKUP(E232,Sales_Reps!$A$2:$E$31,3,FALSE)</f>
        <v>North</v>
      </c>
      <c r="P232" s="13" t="s">
        <v>297</v>
      </c>
      <c r="Q232" s="34">
        <f t="shared" si="10"/>
        <v>980063.65999999968</v>
      </c>
      <c r="R232" s="34" t="str">
        <f>VLOOKUP(E232,Sales_Reps!$A$2:$E$100,3,FALSE)</f>
        <v>North</v>
      </c>
      <c r="S232" s="34" t="str">
        <f t="shared" si="11"/>
        <v>Grocery</v>
      </c>
      <c r="T232" s="38">
        <f>VLOOKUP(D232,Products!$A$2:$F$68,4,FALSE)</f>
        <v>1182</v>
      </c>
    </row>
    <row r="233" spans="1:20" x14ac:dyDescent="0.35">
      <c r="A233" s="13" t="s">
        <v>575</v>
      </c>
      <c r="B233" s="14">
        <v>45498</v>
      </c>
      <c r="C233" s="13" t="s">
        <v>289</v>
      </c>
      <c r="D233" s="13" t="s">
        <v>182</v>
      </c>
      <c r="E233" s="13" t="s">
        <v>111</v>
      </c>
      <c r="F233" s="15">
        <v>1</v>
      </c>
      <c r="G233" s="15">
        <v>1010</v>
      </c>
      <c r="H233" s="15">
        <v>29.9</v>
      </c>
      <c r="I233" s="15">
        <v>708.01</v>
      </c>
      <c r="J233" s="13" t="s">
        <v>87</v>
      </c>
      <c r="K233" s="13" t="s">
        <v>94</v>
      </c>
      <c r="L233" s="34" t="str">
        <f>VLOOKUP(D233,Products!$A$2:$F$61,3,FALSE)</f>
        <v>Sports</v>
      </c>
      <c r="M233" s="34" t="str">
        <f>VLOOKUP(C233,Customers!$A$2:$F$301,5,FALSE)</f>
        <v>Retail</v>
      </c>
      <c r="N233" s="34">
        <f>VLOOKUP(C233,Customers!$A$2:$F$301,3,FALSE)</f>
        <v>38</v>
      </c>
      <c r="O233" s="34" t="str">
        <f>VLOOKUP(E233,Sales_Reps!$A$2:$E$31,3,FALSE)</f>
        <v>West</v>
      </c>
      <c r="P233" s="13" t="s">
        <v>111</v>
      </c>
      <c r="Q233" s="34">
        <f t="shared" si="10"/>
        <v>901298.89</v>
      </c>
      <c r="R233" s="34" t="str">
        <f>VLOOKUP(E233,Sales_Reps!$A$2:$E$100,3,FALSE)</f>
        <v>West</v>
      </c>
      <c r="S233" s="34" t="str">
        <f t="shared" si="11"/>
        <v>Sports</v>
      </c>
      <c r="T233" s="38">
        <f>VLOOKUP(D233,Products!$A$2:$F$68,4,FALSE)</f>
        <v>516</v>
      </c>
    </row>
    <row r="234" spans="1:20" x14ac:dyDescent="0.35">
      <c r="A234" s="13" t="s">
        <v>576</v>
      </c>
      <c r="B234" s="14">
        <v>45643</v>
      </c>
      <c r="C234" s="13" t="s">
        <v>312</v>
      </c>
      <c r="D234" s="13" t="s">
        <v>515</v>
      </c>
      <c r="E234" s="13" t="s">
        <v>229</v>
      </c>
      <c r="F234" s="15">
        <v>7</v>
      </c>
      <c r="G234" s="15">
        <v>6940</v>
      </c>
      <c r="H234" s="15">
        <v>25.8</v>
      </c>
      <c r="I234" s="15">
        <v>36046.36</v>
      </c>
      <c r="J234" s="13" t="s">
        <v>87</v>
      </c>
      <c r="K234" s="13" t="s">
        <v>133</v>
      </c>
      <c r="L234" s="34" t="str">
        <f>VLOOKUP(D234,Products!$A$2:$F$61,3,FALSE)</f>
        <v>Sports</v>
      </c>
      <c r="M234" s="34" t="str">
        <f>VLOOKUP(C234,Customers!$A$2:$F$301,5,FALSE)</f>
        <v>Retail</v>
      </c>
      <c r="N234" s="34">
        <f>VLOOKUP(C234,Customers!$A$2:$F$301,3,FALSE)</f>
        <v>46</v>
      </c>
      <c r="O234" s="34" t="str">
        <f>VLOOKUP(E234,Sales_Reps!$A$2:$E$31,3,FALSE)</f>
        <v>West</v>
      </c>
      <c r="P234" s="13" t="s">
        <v>229</v>
      </c>
      <c r="Q234" s="34">
        <f t="shared" si="10"/>
        <v>1016696.8000000002</v>
      </c>
      <c r="R234" s="34" t="str">
        <f>VLOOKUP(E234,Sales_Reps!$A$2:$E$100,3,FALSE)</f>
        <v>West</v>
      </c>
      <c r="S234" s="34" t="str">
        <f t="shared" si="11"/>
        <v>Sports</v>
      </c>
      <c r="T234" s="38">
        <f>VLOOKUP(D234,Products!$A$2:$F$68,4,FALSE)</f>
        <v>2827</v>
      </c>
    </row>
    <row r="235" spans="1:20" x14ac:dyDescent="0.35">
      <c r="A235" s="13" t="s">
        <v>577</v>
      </c>
      <c r="B235" s="14">
        <v>45542</v>
      </c>
      <c r="C235" s="13" t="s">
        <v>553</v>
      </c>
      <c r="D235" s="13" t="s">
        <v>386</v>
      </c>
      <c r="E235" s="13" t="s">
        <v>116</v>
      </c>
      <c r="F235" s="15">
        <v>6</v>
      </c>
      <c r="G235" s="15">
        <v>2290</v>
      </c>
      <c r="H235" s="15">
        <v>25.9</v>
      </c>
      <c r="I235" s="15">
        <v>10181.34</v>
      </c>
      <c r="J235" s="13" t="s">
        <v>93</v>
      </c>
      <c r="K235" s="13" t="s">
        <v>112</v>
      </c>
      <c r="L235" s="34" t="str">
        <f>VLOOKUP(D235,Products!$A$2:$F$61,3,FALSE)</f>
        <v>Beauty</v>
      </c>
      <c r="M235" s="34" t="str">
        <f>VLOOKUP(C235,Customers!$A$2:$F$301,5,FALSE)</f>
        <v>Retail</v>
      </c>
      <c r="N235" s="34">
        <f>VLOOKUP(C235,Customers!$A$2:$F$301,3,FALSE)</f>
        <v>65</v>
      </c>
      <c r="O235" s="34" t="str">
        <f>VLOOKUP(E235,Sales_Reps!$A$2:$E$31,3,FALSE)</f>
        <v>West</v>
      </c>
      <c r="P235" s="13" t="s">
        <v>116</v>
      </c>
      <c r="Q235" s="34">
        <f t="shared" si="10"/>
        <v>819558.58</v>
      </c>
      <c r="R235" s="34" t="str">
        <f>VLOOKUP(E235,Sales_Reps!$A$2:$E$100,3,FALSE)</f>
        <v>West</v>
      </c>
      <c r="S235" s="34" t="str">
        <f t="shared" si="11"/>
        <v>Beauty</v>
      </c>
      <c r="T235" s="38">
        <f>VLOOKUP(D235,Products!$A$2:$F$68,4,FALSE)</f>
        <v>1219</v>
      </c>
    </row>
    <row r="236" spans="1:20" x14ac:dyDescent="0.35">
      <c r="A236" s="13" t="s">
        <v>578</v>
      </c>
      <c r="B236" s="14">
        <v>45508</v>
      </c>
      <c r="C236" s="13" t="s">
        <v>137</v>
      </c>
      <c r="D236" s="13" t="s">
        <v>110</v>
      </c>
      <c r="E236" s="13" t="s">
        <v>98</v>
      </c>
      <c r="F236" s="15">
        <v>2</v>
      </c>
      <c r="G236" s="15">
        <v>370</v>
      </c>
      <c r="H236" s="15">
        <v>3.9</v>
      </c>
      <c r="I236" s="15">
        <v>711.14</v>
      </c>
      <c r="J236" s="13" t="s">
        <v>87</v>
      </c>
      <c r="K236" s="13" t="s">
        <v>99</v>
      </c>
      <c r="L236" s="34" t="str">
        <f>VLOOKUP(D236,Products!$A$2:$F$61,3,FALSE)</f>
        <v>Home</v>
      </c>
      <c r="M236" s="34" t="str">
        <f>VLOOKUP(C236,Customers!$A$2:$F$301,5,FALSE)</f>
        <v>SMB</v>
      </c>
      <c r="N236" s="34">
        <f>VLOOKUP(C236,Customers!$A$2:$F$301,3,FALSE)</f>
        <v>27</v>
      </c>
      <c r="O236" s="34" t="str">
        <f>VLOOKUP(E236,Sales_Reps!$A$2:$E$31,3,FALSE)</f>
        <v>South</v>
      </c>
      <c r="P236" s="13" t="s">
        <v>98</v>
      </c>
      <c r="Q236" s="34">
        <f t="shared" si="10"/>
        <v>995713.54000000015</v>
      </c>
      <c r="R236" s="34" t="str">
        <f>VLOOKUP(E236,Sales_Reps!$A$2:$E$100,3,FALSE)</f>
        <v>South</v>
      </c>
      <c r="S236" s="34" t="str">
        <f t="shared" si="11"/>
        <v>Home</v>
      </c>
      <c r="T236" s="38">
        <f>VLOOKUP(D236,Products!$A$2:$F$68,4,FALSE)</f>
        <v>288</v>
      </c>
    </row>
    <row r="237" spans="1:20" x14ac:dyDescent="0.35">
      <c r="A237" s="13" t="s">
        <v>579</v>
      </c>
      <c r="B237" s="14">
        <v>45353</v>
      </c>
      <c r="C237" s="13" t="s">
        <v>580</v>
      </c>
      <c r="D237" s="13" t="s">
        <v>245</v>
      </c>
      <c r="E237" s="13" t="s">
        <v>192</v>
      </c>
      <c r="F237" s="15">
        <v>1</v>
      </c>
      <c r="G237" s="15">
        <v>2270</v>
      </c>
      <c r="H237" s="15">
        <v>25.3</v>
      </c>
      <c r="I237" s="15">
        <v>1695.69</v>
      </c>
      <c r="J237" s="13" t="s">
        <v>87</v>
      </c>
      <c r="K237" s="13" t="s">
        <v>88</v>
      </c>
      <c r="L237" s="34" t="str">
        <f>VLOOKUP(D237,Products!$A$2:$F$61,3,FALSE)</f>
        <v>Grocery</v>
      </c>
      <c r="M237" s="34" t="str">
        <f>VLOOKUP(C237,Customers!$A$2:$F$301,5,FALSE)</f>
        <v>Corporate</v>
      </c>
      <c r="N237" s="34">
        <f>VLOOKUP(C237,Customers!$A$2:$F$301,3,FALSE)</f>
        <v>40</v>
      </c>
      <c r="O237" s="34" t="str">
        <f>VLOOKUP(E237,Sales_Reps!$A$2:$E$31,3,FALSE)</f>
        <v>East</v>
      </c>
      <c r="P237" s="13" t="s">
        <v>192</v>
      </c>
      <c r="Q237" s="34">
        <f t="shared" si="10"/>
        <v>906107.71000000008</v>
      </c>
      <c r="R237" s="34" t="str">
        <f>VLOOKUP(E237,Sales_Reps!$A$2:$E$100,3,FALSE)</f>
        <v>East</v>
      </c>
      <c r="S237" s="34" t="str">
        <f t="shared" si="11"/>
        <v>Grocery</v>
      </c>
      <c r="T237" s="38">
        <f>VLOOKUP(D237,Products!$A$2:$F$68,4,FALSE)</f>
        <v>1412</v>
      </c>
    </row>
    <row r="238" spans="1:20" x14ac:dyDescent="0.35">
      <c r="A238" s="13" t="s">
        <v>581</v>
      </c>
      <c r="B238" s="14">
        <v>45344</v>
      </c>
      <c r="C238" s="13" t="s">
        <v>582</v>
      </c>
      <c r="D238" s="13" t="s">
        <v>241</v>
      </c>
      <c r="E238" s="13" t="s">
        <v>297</v>
      </c>
      <c r="F238" s="15">
        <v>4</v>
      </c>
      <c r="G238" s="15">
        <v>6080</v>
      </c>
      <c r="H238" s="15">
        <v>28.8</v>
      </c>
      <c r="I238" s="15">
        <v>17315.84</v>
      </c>
      <c r="J238" s="13" t="s">
        <v>93</v>
      </c>
      <c r="K238" s="13" t="s">
        <v>94</v>
      </c>
      <c r="L238" s="34" t="str">
        <f>VLOOKUP(D238,Products!$A$2:$F$61,3,FALSE)</f>
        <v>Beauty</v>
      </c>
      <c r="M238" s="34" t="str">
        <f>VLOOKUP(C238,Customers!$A$2:$F$301,5,FALSE)</f>
        <v>SMB</v>
      </c>
      <c r="N238" s="34">
        <f>VLOOKUP(C238,Customers!$A$2:$F$301,3,FALSE)</f>
        <v>59</v>
      </c>
      <c r="O238" s="34" t="str">
        <f>VLOOKUP(E238,Sales_Reps!$A$2:$E$31,3,FALSE)</f>
        <v>North</v>
      </c>
      <c r="P238" s="13" t="s">
        <v>297</v>
      </c>
      <c r="Q238" s="34">
        <f t="shared" si="10"/>
        <v>980063.65999999968</v>
      </c>
      <c r="R238" s="34" t="str">
        <f>VLOOKUP(E238,Sales_Reps!$A$2:$E$100,3,FALSE)</f>
        <v>North</v>
      </c>
      <c r="S238" s="34" t="str">
        <f t="shared" si="11"/>
        <v>Beauty</v>
      </c>
      <c r="T238" s="38">
        <f>VLOOKUP(D238,Products!$A$2:$F$68,4,FALSE)</f>
        <v>2617</v>
      </c>
    </row>
    <row r="239" spans="1:20" x14ac:dyDescent="0.35">
      <c r="A239" s="13" t="s">
        <v>583</v>
      </c>
      <c r="B239" s="14">
        <v>45389</v>
      </c>
      <c r="C239" s="13" t="s">
        <v>247</v>
      </c>
      <c r="D239" s="13" t="s">
        <v>364</v>
      </c>
      <c r="E239" s="13" t="s">
        <v>303</v>
      </c>
      <c r="F239" s="15">
        <v>2</v>
      </c>
      <c r="G239" s="15">
        <v>5330</v>
      </c>
      <c r="H239" s="15">
        <v>23.8</v>
      </c>
      <c r="I239" s="15">
        <v>8122.92</v>
      </c>
      <c r="J239" s="13" t="s">
        <v>93</v>
      </c>
      <c r="K239" s="13" t="s">
        <v>117</v>
      </c>
      <c r="L239" s="34" t="str">
        <f>VLOOKUP(D239,Products!$A$2:$F$61,3,FALSE)</f>
        <v>Electronics</v>
      </c>
      <c r="M239" s="34" t="str">
        <f>VLOOKUP(C239,Customers!$A$2:$F$301,5,FALSE)</f>
        <v>Retail</v>
      </c>
      <c r="N239" s="34">
        <f>VLOOKUP(C239,Customers!$A$2:$F$301,3,FALSE)</f>
        <v>34</v>
      </c>
      <c r="O239" s="34" t="str">
        <f>VLOOKUP(E239,Sales_Reps!$A$2:$E$31,3,FALSE)</f>
        <v>East</v>
      </c>
      <c r="P239" s="13" t="s">
        <v>303</v>
      </c>
      <c r="Q239" s="34">
        <f t="shared" si="10"/>
        <v>1112289.6400000001</v>
      </c>
      <c r="R239" s="34" t="str">
        <f>VLOOKUP(E239,Sales_Reps!$A$2:$E$100,3,FALSE)</f>
        <v>East</v>
      </c>
      <c r="S239" s="34" t="str">
        <f t="shared" si="11"/>
        <v>Electronics</v>
      </c>
      <c r="T239" s="38">
        <f>VLOOKUP(D239,Products!$A$2:$F$68,4,FALSE)</f>
        <v>2405</v>
      </c>
    </row>
    <row r="240" spans="1:20" x14ac:dyDescent="0.35">
      <c r="A240" s="13" t="s">
        <v>584</v>
      </c>
      <c r="B240" s="14">
        <v>45344</v>
      </c>
      <c r="C240" s="13" t="s">
        <v>585</v>
      </c>
      <c r="D240" s="13" t="s">
        <v>264</v>
      </c>
      <c r="E240" s="13" t="s">
        <v>116</v>
      </c>
      <c r="F240" s="15">
        <v>2</v>
      </c>
      <c r="G240" s="15">
        <v>4070</v>
      </c>
      <c r="H240" s="15">
        <v>4.3</v>
      </c>
      <c r="I240" s="15">
        <v>7789.98</v>
      </c>
      <c r="J240" s="13" t="s">
        <v>87</v>
      </c>
      <c r="K240" s="13" t="s">
        <v>94</v>
      </c>
      <c r="L240" s="34" t="str">
        <f>VLOOKUP(D240,Products!$A$2:$F$61,3,FALSE)</f>
        <v>Grocery</v>
      </c>
      <c r="M240" s="34" t="str">
        <f>VLOOKUP(C240,Customers!$A$2:$F$301,5,FALSE)</f>
        <v>Retail</v>
      </c>
      <c r="N240" s="34">
        <f>VLOOKUP(C240,Customers!$A$2:$F$301,3,FALSE)</f>
        <v>26</v>
      </c>
      <c r="O240" s="34" t="str">
        <f>VLOOKUP(E240,Sales_Reps!$A$2:$E$31,3,FALSE)</f>
        <v>West</v>
      </c>
      <c r="P240" s="13" t="s">
        <v>116</v>
      </c>
      <c r="Q240" s="34">
        <f t="shared" si="10"/>
        <v>819558.58</v>
      </c>
      <c r="R240" s="34" t="str">
        <f>VLOOKUP(E240,Sales_Reps!$A$2:$E$100,3,FALSE)</f>
        <v>West</v>
      </c>
      <c r="S240" s="34" t="str">
        <f t="shared" si="11"/>
        <v>Grocery</v>
      </c>
      <c r="T240" s="38">
        <f>VLOOKUP(D240,Products!$A$2:$F$68,4,FALSE)</f>
        <v>2027</v>
      </c>
    </row>
    <row r="241" spans="1:20" x14ac:dyDescent="0.35">
      <c r="A241" s="13" t="s">
        <v>586</v>
      </c>
      <c r="B241" s="14">
        <v>45480</v>
      </c>
      <c r="C241" s="13" t="s">
        <v>460</v>
      </c>
      <c r="D241" s="13" t="s">
        <v>282</v>
      </c>
      <c r="E241" s="13" t="s">
        <v>139</v>
      </c>
      <c r="F241" s="15">
        <v>6</v>
      </c>
      <c r="G241" s="15">
        <v>300</v>
      </c>
      <c r="H241" s="15">
        <v>17.399999999999999</v>
      </c>
      <c r="I241" s="15">
        <v>1486.8</v>
      </c>
      <c r="J241" s="13" t="s">
        <v>140</v>
      </c>
      <c r="K241" s="13" t="s">
        <v>88</v>
      </c>
      <c r="L241" s="34" t="str">
        <f>VLOOKUP(D241,Products!$A$2:$F$61,3,FALSE)</f>
        <v>Electronics</v>
      </c>
      <c r="M241" s="34" t="str">
        <f>VLOOKUP(C241,Customers!$A$2:$F$301,5,FALSE)</f>
        <v>Corporate</v>
      </c>
      <c r="N241" s="34">
        <f>VLOOKUP(C241,Customers!$A$2:$F$301,3,FALSE)</f>
        <v>37</v>
      </c>
      <c r="O241" s="34" t="str">
        <f>VLOOKUP(E241,Sales_Reps!$A$2:$E$31,3,FALSE)</f>
        <v>North</v>
      </c>
      <c r="P241" s="13" t="s">
        <v>139</v>
      </c>
      <c r="Q241" s="34">
        <f t="shared" si="10"/>
        <v>589026.2899999998</v>
      </c>
      <c r="R241" s="34" t="str">
        <f>VLOOKUP(E241,Sales_Reps!$A$2:$E$100,3,FALSE)</f>
        <v>North</v>
      </c>
      <c r="S241" s="34" t="str">
        <f t="shared" si="11"/>
        <v>Electronics</v>
      </c>
      <c r="T241" s="38">
        <f>VLOOKUP(D241,Products!$A$2:$F$68,4,FALSE)</f>
        <v>128</v>
      </c>
    </row>
    <row r="242" spans="1:20" x14ac:dyDescent="0.35">
      <c r="A242" s="13" t="s">
        <v>587</v>
      </c>
      <c r="B242" s="14">
        <v>45488</v>
      </c>
      <c r="C242" s="13" t="s">
        <v>126</v>
      </c>
      <c r="D242" s="13" t="s">
        <v>184</v>
      </c>
      <c r="E242" s="13" t="s">
        <v>98</v>
      </c>
      <c r="F242" s="15">
        <v>1</v>
      </c>
      <c r="G242" s="15">
        <v>4880</v>
      </c>
      <c r="H242" s="15">
        <v>17.5</v>
      </c>
      <c r="I242" s="15">
        <v>4026</v>
      </c>
      <c r="J242" s="13" t="s">
        <v>87</v>
      </c>
      <c r="K242" s="13" t="s">
        <v>88</v>
      </c>
      <c r="L242" s="34" t="str">
        <f>VLOOKUP(D242,Products!$A$2:$F$61,3,FALSE)</f>
        <v>Beauty</v>
      </c>
      <c r="M242" s="34" t="str">
        <f>VLOOKUP(C242,Customers!$A$2:$F$301,5,FALSE)</f>
        <v>Retail</v>
      </c>
      <c r="N242" s="34">
        <f>VLOOKUP(C242,Customers!$A$2:$F$301,3,FALSE)</f>
        <v>56</v>
      </c>
      <c r="O242" s="34" t="str">
        <f>VLOOKUP(E242,Sales_Reps!$A$2:$E$31,3,FALSE)</f>
        <v>South</v>
      </c>
      <c r="P242" s="13" t="s">
        <v>98</v>
      </c>
      <c r="Q242" s="34">
        <f t="shared" si="10"/>
        <v>995713.54000000015</v>
      </c>
      <c r="R242" s="34" t="str">
        <f>VLOOKUP(E242,Sales_Reps!$A$2:$E$100,3,FALSE)</f>
        <v>South</v>
      </c>
      <c r="S242" s="34" t="str">
        <f t="shared" si="11"/>
        <v>Beauty</v>
      </c>
      <c r="T242" s="38">
        <f>VLOOKUP(D242,Products!$A$2:$F$68,4,FALSE)</f>
        <v>2768</v>
      </c>
    </row>
    <row r="243" spans="1:20" x14ac:dyDescent="0.35">
      <c r="A243" s="13" t="s">
        <v>588</v>
      </c>
      <c r="B243" s="14">
        <v>45326</v>
      </c>
      <c r="C243" s="13" t="s">
        <v>589</v>
      </c>
      <c r="D243" s="13" t="s">
        <v>195</v>
      </c>
      <c r="E243" s="13" t="s">
        <v>343</v>
      </c>
      <c r="F243" s="15">
        <v>3</v>
      </c>
      <c r="G243" s="15">
        <v>2860</v>
      </c>
      <c r="H243" s="15">
        <v>20.100000000000001</v>
      </c>
      <c r="I243" s="15">
        <v>6855.42</v>
      </c>
      <c r="J243" s="13" t="s">
        <v>87</v>
      </c>
      <c r="K243" s="13" t="s">
        <v>94</v>
      </c>
      <c r="L243" s="34" t="str">
        <f>VLOOKUP(D243,Products!$A$2:$F$61,3,FALSE)</f>
        <v>Sports</v>
      </c>
      <c r="M243" s="34" t="str">
        <f>VLOOKUP(C243,Customers!$A$2:$F$301,5,FALSE)</f>
        <v>Corporate</v>
      </c>
      <c r="N243" s="34">
        <f>VLOOKUP(C243,Customers!$A$2:$F$301,3,FALSE)</f>
        <v>30</v>
      </c>
      <c r="O243" s="34" t="str">
        <f>VLOOKUP(E243,Sales_Reps!$A$2:$E$31,3,FALSE)</f>
        <v>West</v>
      </c>
      <c r="P243" s="13" t="s">
        <v>343</v>
      </c>
      <c r="Q243" s="34">
        <f t="shared" si="10"/>
        <v>917092.61999999965</v>
      </c>
      <c r="R243" s="34" t="str">
        <f>VLOOKUP(E243,Sales_Reps!$A$2:$E$100,3,FALSE)</f>
        <v>West</v>
      </c>
      <c r="S243" s="34" t="str">
        <f t="shared" si="11"/>
        <v>Sports</v>
      </c>
      <c r="T243" s="38">
        <f>VLOOKUP(D243,Products!$A$2:$F$68,4,FALSE)</f>
        <v>2028</v>
      </c>
    </row>
    <row r="244" spans="1:20" x14ac:dyDescent="0.35">
      <c r="A244" s="13" t="s">
        <v>590</v>
      </c>
      <c r="B244" s="14">
        <v>45627</v>
      </c>
      <c r="C244" s="13" t="s">
        <v>308</v>
      </c>
      <c r="D244" s="13" t="s">
        <v>259</v>
      </c>
      <c r="E244" s="13" t="s">
        <v>297</v>
      </c>
      <c r="F244" s="15">
        <v>3</v>
      </c>
      <c r="G244" s="15">
        <v>1540</v>
      </c>
      <c r="H244" s="15">
        <v>20.9</v>
      </c>
      <c r="I244" s="15">
        <v>3654.42</v>
      </c>
      <c r="J244" s="13" t="s">
        <v>87</v>
      </c>
      <c r="K244" s="13" t="s">
        <v>88</v>
      </c>
      <c r="L244" s="34" t="str">
        <f>VLOOKUP(D244,Products!$A$2:$F$61,3,FALSE)</f>
        <v>Beauty</v>
      </c>
      <c r="M244" s="34" t="str">
        <f>VLOOKUP(C244,Customers!$A$2:$F$301,5,FALSE)</f>
        <v>SMB</v>
      </c>
      <c r="N244" s="34">
        <f>VLOOKUP(C244,Customers!$A$2:$F$301,3,FALSE)</f>
        <v>54</v>
      </c>
      <c r="O244" s="34" t="str">
        <f>VLOOKUP(E244,Sales_Reps!$A$2:$E$31,3,FALSE)</f>
        <v>North</v>
      </c>
      <c r="P244" s="13" t="s">
        <v>297</v>
      </c>
      <c r="Q244" s="34">
        <f t="shared" si="10"/>
        <v>980063.65999999968</v>
      </c>
      <c r="R244" s="34" t="str">
        <f>VLOOKUP(E244,Sales_Reps!$A$2:$E$100,3,FALSE)</f>
        <v>North</v>
      </c>
      <c r="S244" s="34" t="str">
        <f t="shared" si="11"/>
        <v>Beauty</v>
      </c>
      <c r="T244" s="38">
        <f>VLOOKUP(D244,Products!$A$2:$F$68,4,FALSE)</f>
        <v>647</v>
      </c>
    </row>
    <row r="245" spans="1:20" x14ac:dyDescent="0.35">
      <c r="A245" s="13" t="s">
        <v>591</v>
      </c>
      <c r="B245" s="14">
        <v>45576</v>
      </c>
      <c r="C245" s="13" t="s">
        <v>592</v>
      </c>
      <c r="D245" s="13" t="s">
        <v>135</v>
      </c>
      <c r="E245" s="13" t="s">
        <v>132</v>
      </c>
      <c r="F245" s="15">
        <v>10</v>
      </c>
      <c r="G245" s="15">
        <v>2640</v>
      </c>
      <c r="H245" s="15">
        <v>11.2</v>
      </c>
      <c r="I245" s="15">
        <v>23443.200000000001</v>
      </c>
      <c r="J245" s="13" t="s">
        <v>93</v>
      </c>
      <c r="K245" s="13" t="s">
        <v>133</v>
      </c>
      <c r="L245" s="34" t="str">
        <f>VLOOKUP(D245,Products!$A$2:$F$61,3,FALSE)</f>
        <v>Electronics</v>
      </c>
      <c r="M245" s="34" t="str">
        <f>VLOOKUP(C245,Customers!$A$2:$F$301,5,FALSE)</f>
        <v>Retail</v>
      </c>
      <c r="N245" s="34">
        <f>VLOOKUP(C245,Customers!$A$2:$F$301,3,FALSE)</f>
        <v>22</v>
      </c>
      <c r="O245" s="34" t="str">
        <f>VLOOKUP(E245,Sales_Reps!$A$2:$E$31,3,FALSE)</f>
        <v>South</v>
      </c>
      <c r="P245" s="13" t="s">
        <v>132</v>
      </c>
      <c r="Q245" s="34">
        <f t="shared" si="10"/>
        <v>880345.20000000007</v>
      </c>
      <c r="R245" s="34" t="str">
        <f>VLOOKUP(E245,Sales_Reps!$A$2:$E$100,3,FALSE)</f>
        <v>South</v>
      </c>
      <c r="S245" s="34" t="str">
        <f t="shared" si="11"/>
        <v>Electronics</v>
      </c>
      <c r="T245" s="38">
        <f>VLOOKUP(D245,Products!$A$2:$F$68,4,FALSE)</f>
        <v>1149</v>
      </c>
    </row>
    <row r="246" spans="1:20" x14ac:dyDescent="0.35">
      <c r="A246" s="13" t="s">
        <v>593</v>
      </c>
      <c r="B246" s="14">
        <v>45317</v>
      </c>
      <c r="C246" s="13" t="s">
        <v>416</v>
      </c>
      <c r="D246" s="13" t="s">
        <v>106</v>
      </c>
      <c r="E246" s="13" t="s">
        <v>252</v>
      </c>
      <c r="F246" s="15">
        <v>1</v>
      </c>
      <c r="G246" s="15">
        <v>3160</v>
      </c>
      <c r="H246" s="15">
        <v>11.5</v>
      </c>
      <c r="I246" s="15">
        <v>2796.6</v>
      </c>
      <c r="J246" s="13" t="s">
        <v>87</v>
      </c>
      <c r="K246" s="13" t="s">
        <v>117</v>
      </c>
      <c r="L246" s="34" t="str">
        <f>VLOOKUP(D246,Products!$A$2:$F$61,3,FALSE)</f>
        <v>Apparel</v>
      </c>
      <c r="M246" s="34" t="str">
        <f>VLOOKUP(C246,Customers!$A$2:$F$301,5,FALSE)</f>
        <v>Corporate</v>
      </c>
      <c r="N246" s="34">
        <f>VLOOKUP(C246,Customers!$A$2:$F$301,3,FALSE)</f>
        <v>42</v>
      </c>
      <c r="O246" s="34" t="str">
        <f>VLOOKUP(E246,Sales_Reps!$A$2:$E$31,3,FALSE)</f>
        <v>South</v>
      </c>
      <c r="P246" s="13" t="s">
        <v>252</v>
      </c>
      <c r="Q246" s="34">
        <f t="shared" si="10"/>
        <v>811524.37999999989</v>
      </c>
      <c r="R246" s="34" t="str">
        <f>VLOOKUP(E246,Sales_Reps!$A$2:$E$100,3,FALSE)</f>
        <v>South</v>
      </c>
      <c r="S246" s="34" t="str">
        <f t="shared" si="11"/>
        <v>Apparel</v>
      </c>
      <c r="T246" s="38">
        <f>VLOOKUP(D246,Products!$A$2:$F$68,4,FALSE)</f>
        <v>1886</v>
      </c>
    </row>
    <row r="247" spans="1:20" x14ac:dyDescent="0.35">
      <c r="A247" s="13" t="s">
        <v>594</v>
      </c>
      <c r="B247" s="14">
        <v>45650</v>
      </c>
      <c r="C247" s="13" t="s">
        <v>595</v>
      </c>
      <c r="D247" s="13" t="s">
        <v>164</v>
      </c>
      <c r="E247" s="13" t="s">
        <v>86</v>
      </c>
      <c r="F247" s="15">
        <v>4</v>
      </c>
      <c r="G247" s="15">
        <v>1080</v>
      </c>
      <c r="H247" s="15">
        <v>20.7</v>
      </c>
      <c r="I247" s="15">
        <v>3425.76</v>
      </c>
      <c r="J247" s="13" t="s">
        <v>93</v>
      </c>
      <c r="K247" s="13" t="s">
        <v>99</v>
      </c>
      <c r="L247" s="34" t="str">
        <f>VLOOKUP(D247,Products!$A$2:$F$61,3,FALSE)</f>
        <v>Home</v>
      </c>
      <c r="M247" s="34" t="str">
        <f>VLOOKUP(C247,Customers!$A$2:$F$301,5,FALSE)</f>
        <v>SMB</v>
      </c>
      <c r="N247" s="34">
        <f>VLOOKUP(C247,Customers!$A$2:$F$301,3,FALSE)</f>
        <v>48</v>
      </c>
      <c r="O247" s="34" t="str">
        <f>VLOOKUP(E247,Sales_Reps!$A$2:$E$31,3,FALSE)</f>
        <v>North</v>
      </c>
      <c r="P247" s="13" t="s">
        <v>86</v>
      </c>
      <c r="Q247" s="34">
        <f t="shared" si="10"/>
        <v>855749.67999999982</v>
      </c>
      <c r="R247" s="34" t="str">
        <f>VLOOKUP(E247,Sales_Reps!$A$2:$E$100,3,FALSE)</f>
        <v>North</v>
      </c>
      <c r="S247" s="34" t="str">
        <f t="shared" si="11"/>
        <v>Home</v>
      </c>
      <c r="T247" s="38">
        <f>VLOOKUP(D247,Products!$A$2:$F$68,4,FALSE)</f>
        <v>519</v>
      </c>
    </row>
    <row r="248" spans="1:20" x14ac:dyDescent="0.35">
      <c r="A248" s="13" t="s">
        <v>596</v>
      </c>
      <c r="B248" s="14">
        <v>45585</v>
      </c>
      <c r="C248" s="13" t="s">
        <v>597</v>
      </c>
      <c r="D248" s="13" t="s">
        <v>182</v>
      </c>
      <c r="E248" s="13" t="s">
        <v>252</v>
      </c>
      <c r="F248" s="15">
        <v>4</v>
      </c>
      <c r="G248" s="15">
        <v>1010</v>
      </c>
      <c r="H248" s="15">
        <v>29.5</v>
      </c>
      <c r="I248" s="15">
        <v>2848.2</v>
      </c>
      <c r="J248" s="13" t="s">
        <v>93</v>
      </c>
      <c r="K248" s="13" t="s">
        <v>112</v>
      </c>
      <c r="L248" s="34" t="str">
        <f>VLOOKUP(D248,Products!$A$2:$F$61,3,FALSE)</f>
        <v>Sports</v>
      </c>
      <c r="M248" s="34" t="str">
        <f>VLOOKUP(C248,Customers!$A$2:$F$301,5,FALSE)</f>
        <v>Retail</v>
      </c>
      <c r="N248" s="34">
        <f>VLOOKUP(C248,Customers!$A$2:$F$301,3,FALSE)</f>
        <v>39</v>
      </c>
      <c r="O248" s="34" t="str">
        <f>VLOOKUP(E248,Sales_Reps!$A$2:$E$31,3,FALSE)</f>
        <v>South</v>
      </c>
      <c r="P248" s="13" t="s">
        <v>252</v>
      </c>
      <c r="Q248" s="34">
        <f t="shared" si="10"/>
        <v>811524.37999999989</v>
      </c>
      <c r="R248" s="34" t="str">
        <f>VLOOKUP(E248,Sales_Reps!$A$2:$E$100,3,FALSE)</f>
        <v>South</v>
      </c>
      <c r="S248" s="34" t="str">
        <f t="shared" si="11"/>
        <v>Sports</v>
      </c>
      <c r="T248" s="38">
        <f>VLOOKUP(D248,Products!$A$2:$F$68,4,FALSE)</f>
        <v>516</v>
      </c>
    </row>
    <row r="249" spans="1:20" x14ac:dyDescent="0.35">
      <c r="A249" s="13" t="s">
        <v>598</v>
      </c>
      <c r="B249" s="14">
        <v>45545</v>
      </c>
      <c r="C249" s="13" t="s">
        <v>599</v>
      </c>
      <c r="D249" s="13" t="s">
        <v>138</v>
      </c>
      <c r="E249" s="13" t="s">
        <v>343</v>
      </c>
      <c r="F249" s="15">
        <v>7</v>
      </c>
      <c r="G249" s="15">
        <v>2600</v>
      </c>
      <c r="H249" s="15">
        <v>6.6</v>
      </c>
      <c r="I249" s="15">
        <v>16998.8</v>
      </c>
      <c r="J249" s="13" t="s">
        <v>87</v>
      </c>
      <c r="K249" s="13" t="s">
        <v>117</v>
      </c>
      <c r="L249" s="34" t="str">
        <f>VLOOKUP(D249,Products!$A$2:$F$61,3,FALSE)</f>
        <v>Electronics</v>
      </c>
      <c r="M249" s="34" t="str">
        <f>VLOOKUP(C249,Customers!$A$2:$F$301,5,FALSE)</f>
        <v>Corporate</v>
      </c>
      <c r="N249" s="34">
        <f>VLOOKUP(C249,Customers!$A$2:$F$301,3,FALSE)</f>
        <v>26</v>
      </c>
      <c r="O249" s="34" t="str">
        <f>VLOOKUP(E249,Sales_Reps!$A$2:$E$31,3,FALSE)</f>
        <v>West</v>
      </c>
      <c r="P249" s="13" t="s">
        <v>343</v>
      </c>
      <c r="Q249" s="34">
        <f t="shared" si="10"/>
        <v>917092.61999999965</v>
      </c>
      <c r="R249" s="34" t="str">
        <f>VLOOKUP(E249,Sales_Reps!$A$2:$E$100,3,FALSE)</f>
        <v>West</v>
      </c>
      <c r="S249" s="34" t="str">
        <f t="shared" si="11"/>
        <v>Electronics</v>
      </c>
      <c r="T249" s="38">
        <f>VLOOKUP(D249,Products!$A$2:$F$68,4,FALSE)</f>
        <v>1052</v>
      </c>
    </row>
    <row r="250" spans="1:20" x14ac:dyDescent="0.35">
      <c r="A250" s="13" t="s">
        <v>600</v>
      </c>
      <c r="B250" s="14">
        <v>45395</v>
      </c>
      <c r="C250" s="13" t="s">
        <v>258</v>
      </c>
      <c r="D250" s="13" t="s">
        <v>355</v>
      </c>
      <c r="E250" s="13" t="s">
        <v>204</v>
      </c>
      <c r="F250" s="15">
        <v>4</v>
      </c>
      <c r="G250" s="15">
        <v>2510</v>
      </c>
      <c r="H250" s="15">
        <v>1</v>
      </c>
      <c r="I250" s="15">
        <v>9939.6</v>
      </c>
      <c r="J250" s="13" t="s">
        <v>87</v>
      </c>
      <c r="K250" s="13" t="s">
        <v>99</v>
      </c>
      <c r="L250" s="34" t="str">
        <f>VLOOKUP(D250,Products!$A$2:$F$61,3,FALSE)</f>
        <v>Apparel</v>
      </c>
      <c r="M250" s="34" t="str">
        <f>VLOOKUP(C250,Customers!$A$2:$F$301,5,FALSE)</f>
        <v>SMB</v>
      </c>
      <c r="N250" s="34">
        <f>VLOOKUP(C250,Customers!$A$2:$F$301,3,FALSE)</f>
        <v>55</v>
      </c>
      <c r="O250" s="34" t="str">
        <f>VLOOKUP(E250,Sales_Reps!$A$2:$E$31,3,FALSE)</f>
        <v>South</v>
      </c>
      <c r="P250" s="13" t="s">
        <v>204</v>
      </c>
      <c r="Q250" s="34">
        <f t="shared" si="10"/>
        <v>914554.71999999986</v>
      </c>
      <c r="R250" s="34" t="str">
        <f>VLOOKUP(E250,Sales_Reps!$A$2:$E$100,3,FALSE)</f>
        <v>South</v>
      </c>
      <c r="S250" s="34" t="str">
        <f t="shared" si="11"/>
        <v>Apparel</v>
      </c>
      <c r="T250" s="38">
        <f>VLOOKUP(D250,Products!$A$2:$F$68,4,FALSE)</f>
        <v>1075</v>
      </c>
    </row>
    <row r="251" spans="1:20" x14ac:dyDescent="0.35">
      <c r="A251" s="13" t="s">
        <v>601</v>
      </c>
      <c r="B251" s="14">
        <v>45636</v>
      </c>
      <c r="C251" s="13" t="s">
        <v>602</v>
      </c>
      <c r="D251" s="13" t="s">
        <v>264</v>
      </c>
      <c r="E251" s="13" t="s">
        <v>285</v>
      </c>
      <c r="F251" s="15">
        <v>9</v>
      </c>
      <c r="G251" s="15">
        <v>4070</v>
      </c>
      <c r="H251" s="15">
        <v>6.7</v>
      </c>
      <c r="I251" s="15">
        <v>34175.79</v>
      </c>
      <c r="J251" s="13" t="s">
        <v>140</v>
      </c>
      <c r="K251" s="13" t="s">
        <v>94</v>
      </c>
      <c r="L251" s="34" t="str">
        <f>VLOOKUP(D251,Products!$A$2:$F$61,3,FALSE)</f>
        <v>Grocery</v>
      </c>
      <c r="M251" s="34" t="str">
        <f>VLOOKUP(C251,Customers!$A$2:$F$301,5,FALSE)</f>
        <v>Retail</v>
      </c>
      <c r="N251" s="34">
        <f>VLOOKUP(C251,Customers!$A$2:$F$301,3,FALSE)</f>
        <v>61</v>
      </c>
      <c r="O251" s="34" t="str">
        <f>VLOOKUP(E251,Sales_Reps!$A$2:$E$31,3,FALSE)</f>
        <v>East</v>
      </c>
      <c r="P251" s="13" t="s">
        <v>285</v>
      </c>
      <c r="Q251" s="34">
        <f t="shared" si="10"/>
        <v>1069570.5400000003</v>
      </c>
      <c r="R251" s="34" t="str">
        <f>VLOOKUP(E251,Sales_Reps!$A$2:$E$100,3,FALSE)</f>
        <v>East</v>
      </c>
      <c r="S251" s="34" t="str">
        <f t="shared" si="11"/>
        <v>Grocery</v>
      </c>
      <c r="T251" s="38">
        <f>VLOOKUP(D251,Products!$A$2:$F$68,4,FALSE)</f>
        <v>2027</v>
      </c>
    </row>
    <row r="252" spans="1:20" x14ac:dyDescent="0.35">
      <c r="A252" s="13" t="s">
        <v>603</v>
      </c>
      <c r="B252" s="14">
        <v>45612</v>
      </c>
      <c r="C252" s="13" t="s">
        <v>604</v>
      </c>
      <c r="D252" s="13" t="s">
        <v>91</v>
      </c>
      <c r="E252" s="13" t="s">
        <v>132</v>
      </c>
      <c r="F252" s="15">
        <v>6</v>
      </c>
      <c r="G252" s="15">
        <v>820</v>
      </c>
      <c r="H252" s="15">
        <v>14</v>
      </c>
      <c r="I252" s="15">
        <v>4231.2</v>
      </c>
      <c r="J252" s="13" t="s">
        <v>87</v>
      </c>
      <c r="K252" s="13" t="s">
        <v>117</v>
      </c>
      <c r="L252" s="34" t="str">
        <f>VLOOKUP(D252,Products!$A$2:$F$61,3,FALSE)</f>
        <v>Apparel</v>
      </c>
      <c r="M252" s="34" t="str">
        <f>VLOOKUP(C252,Customers!$A$2:$F$301,5,FALSE)</f>
        <v>Retail</v>
      </c>
      <c r="N252" s="34">
        <f>VLOOKUP(C252,Customers!$A$2:$F$301,3,FALSE)</f>
        <v>34</v>
      </c>
      <c r="O252" s="34" t="str">
        <f>VLOOKUP(E252,Sales_Reps!$A$2:$E$31,3,FALSE)</f>
        <v>South</v>
      </c>
      <c r="P252" s="13" t="s">
        <v>132</v>
      </c>
      <c r="Q252" s="34">
        <f t="shared" si="10"/>
        <v>880345.20000000007</v>
      </c>
      <c r="R252" s="34" t="str">
        <f>VLOOKUP(E252,Sales_Reps!$A$2:$E$100,3,FALSE)</f>
        <v>South</v>
      </c>
      <c r="S252" s="34" t="str">
        <f t="shared" si="11"/>
        <v>Apparel</v>
      </c>
      <c r="T252" s="38">
        <f>VLOOKUP(D252,Products!$A$2:$F$68,4,FALSE)</f>
        <v>391</v>
      </c>
    </row>
    <row r="253" spans="1:20" x14ac:dyDescent="0.35">
      <c r="A253" s="13" t="s">
        <v>605</v>
      </c>
      <c r="B253" s="14">
        <v>45495</v>
      </c>
      <c r="C253" s="13" t="s">
        <v>606</v>
      </c>
      <c r="D253" s="13" t="s">
        <v>127</v>
      </c>
      <c r="E253" s="13" t="s">
        <v>92</v>
      </c>
      <c r="F253" s="15">
        <v>2</v>
      </c>
      <c r="G253" s="15">
        <v>970</v>
      </c>
      <c r="H253" s="15">
        <v>23.8</v>
      </c>
      <c r="I253" s="15">
        <v>1478.28</v>
      </c>
      <c r="J253" s="13" t="s">
        <v>87</v>
      </c>
      <c r="K253" s="13" t="s">
        <v>112</v>
      </c>
      <c r="L253" s="34" t="str">
        <f>VLOOKUP(D253,Products!$A$2:$F$61,3,FALSE)</f>
        <v>Grocery</v>
      </c>
      <c r="M253" s="34" t="str">
        <f>VLOOKUP(C253,Customers!$A$2:$F$301,5,FALSE)</f>
        <v>Retail</v>
      </c>
      <c r="N253" s="34">
        <f>VLOOKUP(C253,Customers!$A$2:$F$301,3,FALSE)</f>
        <v>52</v>
      </c>
      <c r="O253" s="34" t="str">
        <f>VLOOKUP(E253,Sales_Reps!$A$2:$E$31,3,FALSE)</f>
        <v>North</v>
      </c>
      <c r="P253" s="13" t="s">
        <v>92</v>
      </c>
      <c r="Q253" s="34">
        <f t="shared" si="10"/>
        <v>782445.33</v>
      </c>
      <c r="R253" s="34" t="str">
        <f>VLOOKUP(E253,Sales_Reps!$A$2:$E$100,3,FALSE)</f>
        <v>North</v>
      </c>
      <c r="S253" s="34" t="str">
        <f t="shared" si="11"/>
        <v>Grocery</v>
      </c>
      <c r="T253" s="38">
        <f>VLOOKUP(D253,Products!$A$2:$F$68,4,FALSE)</f>
        <v>434</v>
      </c>
    </row>
    <row r="254" spans="1:20" x14ac:dyDescent="0.35">
      <c r="A254" s="13" t="s">
        <v>607</v>
      </c>
      <c r="B254" s="14">
        <v>45337</v>
      </c>
      <c r="C254" s="13" t="s">
        <v>608</v>
      </c>
      <c r="D254" s="13" t="s">
        <v>264</v>
      </c>
      <c r="E254" s="13" t="s">
        <v>325</v>
      </c>
      <c r="F254" s="15">
        <v>4</v>
      </c>
      <c r="G254" s="15">
        <v>4070</v>
      </c>
      <c r="H254" s="15">
        <v>19</v>
      </c>
      <c r="I254" s="15">
        <v>13186.8</v>
      </c>
      <c r="J254" s="13" t="s">
        <v>93</v>
      </c>
      <c r="K254" s="13" t="s">
        <v>88</v>
      </c>
      <c r="L254" s="34" t="str">
        <f>VLOOKUP(D254,Products!$A$2:$F$61,3,FALSE)</f>
        <v>Grocery</v>
      </c>
      <c r="M254" s="34" t="str">
        <f>VLOOKUP(C254,Customers!$A$2:$F$301,5,FALSE)</f>
        <v>Corporate</v>
      </c>
      <c r="N254" s="34">
        <f>VLOOKUP(C254,Customers!$A$2:$F$301,3,FALSE)</f>
        <v>40</v>
      </c>
      <c r="O254" s="34" t="str">
        <f>VLOOKUP(E254,Sales_Reps!$A$2:$E$31,3,FALSE)</f>
        <v>South</v>
      </c>
      <c r="P254" s="13" t="s">
        <v>325</v>
      </c>
      <c r="Q254" s="34">
        <f t="shared" si="10"/>
        <v>901394.32000000007</v>
      </c>
      <c r="R254" s="34" t="str">
        <f>VLOOKUP(E254,Sales_Reps!$A$2:$E$100,3,FALSE)</f>
        <v>South</v>
      </c>
      <c r="S254" s="34" t="str">
        <f t="shared" si="11"/>
        <v>Grocery</v>
      </c>
      <c r="T254" s="38">
        <f>VLOOKUP(D254,Products!$A$2:$F$68,4,FALSE)</f>
        <v>2027</v>
      </c>
    </row>
    <row r="255" spans="1:20" x14ac:dyDescent="0.35">
      <c r="A255" s="13" t="s">
        <v>609</v>
      </c>
      <c r="B255" s="14">
        <v>45333</v>
      </c>
      <c r="C255" s="13" t="s">
        <v>610</v>
      </c>
      <c r="D255" s="13" t="s">
        <v>157</v>
      </c>
      <c r="E255" s="13" t="s">
        <v>238</v>
      </c>
      <c r="F255" s="15">
        <v>3</v>
      </c>
      <c r="G255" s="15">
        <v>3450</v>
      </c>
      <c r="H255" s="15">
        <v>4.4000000000000004</v>
      </c>
      <c r="I255" s="15">
        <v>9894.6</v>
      </c>
      <c r="J255" s="13" t="s">
        <v>140</v>
      </c>
      <c r="K255" s="13" t="s">
        <v>117</v>
      </c>
      <c r="L255" s="34" t="str">
        <f>VLOOKUP(D255,Products!$A$2:$F$61,3,FALSE)</f>
        <v>Beauty</v>
      </c>
      <c r="M255" s="34" t="str">
        <f>VLOOKUP(C255,Customers!$A$2:$F$301,5,FALSE)</f>
        <v>SMB</v>
      </c>
      <c r="N255" s="34">
        <f>VLOOKUP(C255,Customers!$A$2:$F$301,3,FALSE)</f>
        <v>42</v>
      </c>
      <c r="O255" s="34" t="str">
        <f>VLOOKUP(E255,Sales_Reps!$A$2:$E$31,3,FALSE)</f>
        <v>East</v>
      </c>
      <c r="P255" s="13" t="s">
        <v>238</v>
      </c>
      <c r="Q255" s="34">
        <f t="shared" si="10"/>
        <v>780384.40999999992</v>
      </c>
      <c r="R255" s="34" t="str">
        <f>VLOOKUP(E255,Sales_Reps!$A$2:$E$100,3,FALSE)</f>
        <v>East</v>
      </c>
      <c r="S255" s="34" t="str">
        <f t="shared" si="11"/>
        <v>Beauty</v>
      </c>
      <c r="T255" s="38">
        <f>VLOOKUP(D255,Products!$A$2:$F$68,4,FALSE)</f>
        <v>2420</v>
      </c>
    </row>
    <row r="256" spans="1:20" x14ac:dyDescent="0.35">
      <c r="A256" s="13" t="s">
        <v>611</v>
      </c>
      <c r="B256" s="14">
        <v>45511</v>
      </c>
      <c r="C256" s="13" t="s">
        <v>336</v>
      </c>
      <c r="D256" s="13" t="s">
        <v>234</v>
      </c>
      <c r="E256" s="13" t="s">
        <v>132</v>
      </c>
      <c r="F256" s="15">
        <v>5</v>
      </c>
      <c r="G256" s="15">
        <v>3780</v>
      </c>
      <c r="H256" s="15">
        <v>13.5</v>
      </c>
      <c r="I256" s="15">
        <v>16348.5</v>
      </c>
      <c r="J256" s="13" t="s">
        <v>87</v>
      </c>
      <c r="K256" s="13" t="s">
        <v>112</v>
      </c>
      <c r="L256" s="34" t="str">
        <f>VLOOKUP(D256,Products!$A$2:$F$61,3,FALSE)</f>
        <v>Grocery</v>
      </c>
      <c r="M256" s="34" t="str">
        <f>VLOOKUP(C256,Customers!$A$2:$F$301,5,FALSE)</f>
        <v>Retail</v>
      </c>
      <c r="N256" s="34">
        <f>VLOOKUP(C256,Customers!$A$2:$F$301,3,FALSE)</f>
        <v>49</v>
      </c>
      <c r="O256" s="34" t="str">
        <f>VLOOKUP(E256,Sales_Reps!$A$2:$E$31,3,FALSE)</f>
        <v>South</v>
      </c>
      <c r="P256" s="13" t="s">
        <v>132</v>
      </c>
      <c r="Q256" s="34">
        <f t="shared" si="10"/>
        <v>880345.20000000007</v>
      </c>
      <c r="R256" s="34" t="str">
        <f>VLOOKUP(E256,Sales_Reps!$A$2:$E$100,3,FALSE)</f>
        <v>South</v>
      </c>
      <c r="S256" s="34" t="str">
        <f t="shared" si="11"/>
        <v>Grocery</v>
      </c>
      <c r="T256" s="38">
        <f>VLOOKUP(D256,Products!$A$2:$F$68,4,FALSE)</f>
        <v>2436</v>
      </c>
    </row>
    <row r="257" spans="1:20" x14ac:dyDescent="0.35">
      <c r="A257" s="13" t="s">
        <v>612</v>
      </c>
      <c r="B257" s="14">
        <v>45595</v>
      </c>
      <c r="C257" s="13" t="s">
        <v>613</v>
      </c>
      <c r="D257" s="13" t="s">
        <v>115</v>
      </c>
      <c r="E257" s="13" t="s">
        <v>139</v>
      </c>
      <c r="F257" s="15">
        <v>1</v>
      </c>
      <c r="G257" s="15">
        <v>960</v>
      </c>
      <c r="H257" s="15">
        <v>29.2</v>
      </c>
      <c r="I257" s="15">
        <v>679.68</v>
      </c>
      <c r="J257" s="13" t="s">
        <v>87</v>
      </c>
      <c r="K257" s="13" t="s">
        <v>112</v>
      </c>
      <c r="L257" s="34" t="str">
        <f>VLOOKUP(D257,Products!$A$2:$F$61,3,FALSE)</f>
        <v>Sports</v>
      </c>
      <c r="M257" s="34" t="str">
        <f>VLOOKUP(C257,Customers!$A$2:$F$301,5,FALSE)</f>
        <v>Retail</v>
      </c>
      <c r="N257" s="34">
        <f>VLOOKUP(C257,Customers!$A$2:$F$301,3,FALSE)</f>
        <v>44</v>
      </c>
      <c r="O257" s="34" t="str">
        <f>VLOOKUP(E257,Sales_Reps!$A$2:$E$31,3,FALSE)</f>
        <v>North</v>
      </c>
      <c r="P257" s="13" t="s">
        <v>139</v>
      </c>
      <c r="Q257" s="34">
        <f t="shared" si="10"/>
        <v>589026.2899999998</v>
      </c>
      <c r="R257" s="34" t="str">
        <f>VLOOKUP(E257,Sales_Reps!$A$2:$E$100,3,FALSE)</f>
        <v>North</v>
      </c>
      <c r="S257" s="34" t="str">
        <f t="shared" si="11"/>
        <v>Sports</v>
      </c>
      <c r="T257" s="38">
        <f>VLOOKUP(D257,Products!$A$2:$F$68,4,FALSE)</f>
        <v>705</v>
      </c>
    </row>
    <row r="258" spans="1:20" x14ac:dyDescent="0.35">
      <c r="A258" s="13" t="s">
        <v>614</v>
      </c>
      <c r="B258" s="14">
        <v>45321</v>
      </c>
      <c r="C258" s="13" t="s">
        <v>615</v>
      </c>
      <c r="D258" s="13" t="s">
        <v>187</v>
      </c>
      <c r="E258" s="13" t="s">
        <v>285</v>
      </c>
      <c r="F258" s="15">
        <v>10</v>
      </c>
      <c r="G258" s="15">
        <v>3570</v>
      </c>
      <c r="H258" s="15">
        <v>10.7</v>
      </c>
      <c r="I258" s="15">
        <v>31880.1</v>
      </c>
      <c r="J258" s="13" t="s">
        <v>87</v>
      </c>
      <c r="K258" s="13" t="s">
        <v>112</v>
      </c>
      <c r="L258" s="34" t="str">
        <f>VLOOKUP(D258,Products!$A$2:$F$61,3,FALSE)</f>
        <v>Electronics</v>
      </c>
      <c r="M258" s="34" t="str">
        <f>VLOOKUP(C258,Customers!$A$2:$F$301,5,FALSE)</f>
        <v>Retail</v>
      </c>
      <c r="N258" s="34">
        <f>VLOOKUP(C258,Customers!$A$2:$F$301,3,FALSE)</f>
        <v>53</v>
      </c>
      <c r="O258" s="34" t="str">
        <f>VLOOKUP(E258,Sales_Reps!$A$2:$E$31,3,FALSE)</f>
        <v>East</v>
      </c>
      <c r="P258" s="13" t="s">
        <v>285</v>
      </c>
      <c r="Q258" s="34">
        <f t="shared" si="10"/>
        <v>1069570.5400000003</v>
      </c>
      <c r="R258" s="34" t="str">
        <f>VLOOKUP(E258,Sales_Reps!$A$2:$E$100,3,FALSE)</f>
        <v>East</v>
      </c>
      <c r="S258" s="34" t="str">
        <f t="shared" si="11"/>
        <v>Electronics</v>
      </c>
      <c r="T258" s="38">
        <f>VLOOKUP(D258,Products!$A$2:$F$68,4,FALSE)</f>
        <v>1665</v>
      </c>
    </row>
    <row r="259" spans="1:20" x14ac:dyDescent="0.35">
      <c r="A259" s="13" t="s">
        <v>616</v>
      </c>
      <c r="B259" s="14">
        <v>45511</v>
      </c>
      <c r="C259" s="13" t="s">
        <v>617</v>
      </c>
      <c r="D259" s="13" t="s">
        <v>187</v>
      </c>
      <c r="E259" s="13" t="s">
        <v>116</v>
      </c>
      <c r="F259" s="15">
        <v>7</v>
      </c>
      <c r="G259" s="15">
        <v>3570</v>
      </c>
      <c r="H259" s="15">
        <v>12.2</v>
      </c>
      <c r="I259" s="15">
        <v>21941.22</v>
      </c>
      <c r="J259" s="13" t="s">
        <v>87</v>
      </c>
      <c r="K259" s="13" t="s">
        <v>112</v>
      </c>
      <c r="L259" s="34" t="str">
        <f>VLOOKUP(D259,Products!$A$2:$F$61,3,FALSE)</f>
        <v>Electronics</v>
      </c>
      <c r="M259" s="34" t="str">
        <f>VLOOKUP(C259,Customers!$A$2:$F$301,5,FALSE)</f>
        <v>SMB</v>
      </c>
      <c r="N259" s="34">
        <f>VLOOKUP(C259,Customers!$A$2:$F$301,3,FALSE)</f>
        <v>65</v>
      </c>
      <c r="O259" s="34" t="str">
        <f>VLOOKUP(E259,Sales_Reps!$A$2:$E$31,3,FALSE)</f>
        <v>West</v>
      </c>
      <c r="P259" s="13" t="s">
        <v>116</v>
      </c>
      <c r="Q259" s="34">
        <f t="shared" ref="Q259:Q322" si="12">SUMIFS($I:$I,$E:$E,P259)</f>
        <v>819558.58</v>
      </c>
      <c r="R259" s="34" t="str">
        <f>VLOOKUP(E259,Sales_Reps!$A$2:$E$100,3,FALSE)</f>
        <v>West</v>
      </c>
      <c r="S259" s="34" t="str">
        <f t="shared" ref="S259:S322" si="13">L259</f>
        <v>Electronics</v>
      </c>
      <c r="T259" s="38">
        <f>VLOOKUP(D259,Products!$A$2:$F$68,4,FALSE)</f>
        <v>1665</v>
      </c>
    </row>
    <row r="260" spans="1:20" x14ac:dyDescent="0.35">
      <c r="A260" s="13" t="s">
        <v>618</v>
      </c>
      <c r="B260" s="14">
        <v>45575</v>
      </c>
      <c r="C260" s="13" t="s">
        <v>510</v>
      </c>
      <c r="D260" s="13" t="s">
        <v>164</v>
      </c>
      <c r="E260" s="13" t="s">
        <v>98</v>
      </c>
      <c r="F260" s="15">
        <v>6</v>
      </c>
      <c r="G260" s="15">
        <v>1080</v>
      </c>
      <c r="H260" s="15">
        <v>19.8</v>
      </c>
      <c r="I260" s="15">
        <v>5196.96</v>
      </c>
      <c r="J260" s="13" t="s">
        <v>87</v>
      </c>
      <c r="K260" s="13" t="s">
        <v>117</v>
      </c>
      <c r="L260" s="34" t="str">
        <f>VLOOKUP(D260,Products!$A$2:$F$61,3,FALSE)</f>
        <v>Home</v>
      </c>
      <c r="M260" s="34" t="str">
        <f>VLOOKUP(C260,Customers!$A$2:$F$301,5,FALSE)</f>
        <v>SMB</v>
      </c>
      <c r="N260" s="34">
        <f>VLOOKUP(C260,Customers!$A$2:$F$301,3,FALSE)</f>
        <v>26</v>
      </c>
      <c r="O260" s="34" t="str">
        <f>VLOOKUP(E260,Sales_Reps!$A$2:$E$31,3,FALSE)</f>
        <v>South</v>
      </c>
      <c r="P260" s="13" t="s">
        <v>98</v>
      </c>
      <c r="Q260" s="34">
        <f t="shared" si="12"/>
        <v>995713.54000000015</v>
      </c>
      <c r="R260" s="34" t="str">
        <f>VLOOKUP(E260,Sales_Reps!$A$2:$E$100,3,FALSE)</f>
        <v>South</v>
      </c>
      <c r="S260" s="34" t="str">
        <f t="shared" si="13"/>
        <v>Home</v>
      </c>
      <c r="T260" s="38">
        <f>VLOOKUP(D260,Products!$A$2:$F$68,4,FALSE)</f>
        <v>519</v>
      </c>
    </row>
    <row r="261" spans="1:20" x14ac:dyDescent="0.35">
      <c r="A261" s="13" t="s">
        <v>619</v>
      </c>
      <c r="B261" s="14">
        <v>45649</v>
      </c>
      <c r="C261" s="13" t="s">
        <v>175</v>
      </c>
      <c r="D261" s="13" t="s">
        <v>452</v>
      </c>
      <c r="E261" s="13" t="s">
        <v>132</v>
      </c>
      <c r="F261" s="15">
        <v>8</v>
      </c>
      <c r="G261" s="15">
        <v>3450</v>
      </c>
      <c r="H261" s="15">
        <v>19</v>
      </c>
      <c r="I261" s="15">
        <v>22356</v>
      </c>
      <c r="J261" s="13" t="s">
        <v>87</v>
      </c>
      <c r="K261" s="13" t="s">
        <v>133</v>
      </c>
      <c r="L261" s="34" t="str">
        <f>VLOOKUP(D261,Products!$A$2:$F$61,3,FALSE)</f>
        <v>Apparel</v>
      </c>
      <c r="M261" s="34" t="str">
        <f>VLOOKUP(C261,Customers!$A$2:$F$301,5,FALSE)</f>
        <v>SMB</v>
      </c>
      <c r="N261" s="34">
        <f>VLOOKUP(C261,Customers!$A$2:$F$301,3,FALSE)</f>
        <v>40</v>
      </c>
      <c r="O261" s="34" t="str">
        <f>VLOOKUP(E261,Sales_Reps!$A$2:$E$31,3,FALSE)</f>
        <v>South</v>
      </c>
      <c r="P261" s="13" t="s">
        <v>132</v>
      </c>
      <c r="Q261" s="34">
        <f t="shared" si="12"/>
        <v>880345.20000000007</v>
      </c>
      <c r="R261" s="34" t="str">
        <f>VLOOKUP(E261,Sales_Reps!$A$2:$E$100,3,FALSE)</f>
        <v>South</v>
      </c>
      <c r="S261" s="34" t="str">
        <f t="shared" si="13"/>
        <v>Apparel</v>
      </c>
      <c r="T261" s="38">
        <f>VLOOKUP(D261,Products!$A$2:$F$68,4,FALSE)</f>
        <v>1748</v>
      </c>
    </row>
    <row r="262" spans="1:20" x14ac:dyDescent="0.35">
      <c r="A262" s="13" t="s">
        <v>620</v>
      </c>
      <c r="B262" s="14">
        <v>45371</v>
      </c>
      <c r="C262" s="13" t="s">
        <v>621</v>
      </c>
      <c r="D262" s="13" t="s">
        <v>279</v>
      </c>
      <c r="E262" s="13" t="s">
        <v>154</v>
      </c>
      <c r="F262" s="15">
        <v>4</v>
      </c>
      <c r="G262" s="15">
        <v>2660</v>
      </c>
      <c r="H262" s="15">
        <v>18.8</v>
      </c>
      <c r="I262" s="15">
        <v>8639.68</v>
      </c>
      <c r="J262" s="13" t="s">
        <v>93</v>
      </c>
      <c r="K262" s="13" t="s">
        <v>94</v>
      </c>
      <c r="L262" s="34" t="str">
        <f>VLOOKUP(D262,Products!$A$2:$F$61,3,FALSE)</f>
        <v>Electronics</v>
      </c>
      <c r="M262" s="34" t="str">
        <f>VLOOKUP(C262,Customers!$A$2:$F$301,5,FALSE)</f>
        <v>Corporate</v>
      </c>
      <c r="N262" s="34">
        <f>VLOOKUP(C262,Customers!$A$2:$F$301,3,FALSE)</f>
        <v>22</v>
      </c>
      <c r="O262" s="34" t="str">
        <f>VLOOKUP(E262,Sales_Reps!$A$2:$E$31,3,FALSE)</f>
        <v>East</v>
      </c>
      <c r="P262" s="13" t="s">
        <v>154</v>
      </c>
      <c r="Q262" s="34">
        <f t="shared" si="12"/>
        <v>983787.4800000001</v>
      </c>
      <c r="R262" s="34" t="str">
        <f>VLOOKUP(E262,Sales_Reps!$A$2:$E$100,3,FALSE)</f>
        <v>East</v>
      </c>
      <c r="S262" s="34" t="str">
        <f t="shared" si="13"/>
        <v>Electronics</v>
      </c>
      <c r="T262" s="38">
        <f>VLOOKUP(D262,Products!$A$2:$F$68,4,FALSE)</f>
        <v>1259</v>
      </c>
    </row>
    <row r="263" spans="1:20" x14ac:dyDescent="0.35">
      <c r="A263" s="13" t="s">
        <v>622</v>
      </c>
      <c r="B263" s="14">
        <v>45522</v>
      </c>
      <c r="C263" s="13" t="s">
        <v>305</v>
      </c>
      <c r="D263" s="13" t="s">
        <v>151</v>
      </c>
      <c r="E263" s="13" t="s">
        <v>204</v>
      </c>
      <c r="F263" s="15">
        <v>4</v>
      </c>
      <c r="G263" s="15">
        <v>2400</v>
      </c>
      <c r="H263" s="15">
        <v>5.6</v>
      </c>
      <c r="I263" s="15">
        <v>9062.4</v>
      </c>
      <c r="J263" s="13" t="s">
        <v>87</v>
      </c>
      <c r="K263" s="13" t="s">
        <v>133</v>
      </c>
      <c r="L263" s="34" t="str">
        <f>VLOOKUP(D263,Products!$A$2:$F$61,3,FALSE)</f>
        <v>Sports</v>
      </c>
      <c r="M263" s="34" t="str">
        <f>VLOOKUP(C263,Customers!$A$2:$F$301,5,FALSE)</f>
        <v>Corporate</v>
      </c>
      <c r="N263" s="34">
        <f>VLOOKUP(C263,Customers!$A$2:$F$301,3,FALSE)</f>
        <v>46</v>
      </c>
      <c r="O263" s="34" t="str">
        <f>VLOOKUP(E263,Sales_Reps!$A$2:$E$31,3,FALSE)</f>
        <v>South</v>
      </c>
      <c r="P263" s="13" t="s">
        <v>204</v>
      </c>
      <c r="Q263" s="34">
        <f t="shared" si="12"/>
        <v>914554.71999999986</v>
      </c>
      <c r="R263" s="34" t="str">
        <f>VLOOKUP(E263,Sales_Reps!$A$2:$E$100,3,FALSE)</f>
        <v>South</v>
      </c>
      <c r="S263" s="34" t="str">
        <f t="shared" si="13"/>
        <v>Sports</v>
      </c>
      <c r="T263" s="38">
        <f>VLOOKUP(D263,Products!$A$2:$F$68,4,FALSE)</f>
        <v>974</v>
      </c>
    </row>
    <row r="264" spans="1:20" x14ac:dyDescent="0.35">
      <c r="A264" s="13" t="s">
        <v>623</v>
      </c>
      <c r="B264" s="14">
        <v>45513</v>
      </c>
      <c r="C264" s="13" t="s">
        <v>624</v>
      </c>
      <c r="D264" s="13" t="s">
        <v>138</v>
      </c>
      <c r="E264" s="13" t="s">
        <v>148</v>
      </c>
      <c r="F264" s="15">
        <v>10</v>
      </c>
      <c r="G264" s="15">
        <v>2600</v>
      </c>
      <c r="H264" s="15">
        <v>24.7</v>
      </c>
      <c r="I264" s="15">
        <v>19578</v>
      </c>
      <c r="J264" s="13" t="s">
        <v>87</v>
      </c>
      <c r="K264" s="13" t="s">
        <v>88</v>
      </c>
      <c r="L264" s="34" t="str">
        <f>VLOOKUP(D264,Products!$A$2:$F$61,3,FALSE)</f>
        <v>Electronics</v>
      </c>
      <c r="M264" s="34" t="str">
        <f>VLOOKUP(C264,Customers!$A$2:$F$301,5,FALSE)</f>
        <v>Corporate</v>
      </c>
      <c r="N264" s="34">
        <f>VLOOKUP(C264,Customers!$A$2:$F$301,3,FALSE)</f>
        <v>31</v>
      </c>
      <c r="O264" s="34" t="str">
        <f>VLOOKUP(E264,Sales_Reps!$A$2:$E$31,3,FALSE)</f>
        <v>North</v>
      </c>
      <c r="P264" s="13" t="s">
        <v>148</v>
      </c>
      <c r="Q264" s="34">
        <f t="shared" si="12"/>
        <v>986692.91</v>
      </c>
      <c r="R264" s="34" t="str">
        <f>VLOOKUP(E264,Sales_Reps!$A$2:$E$100,3,FALSE)</f>
        <v>North</v>
      </c>
      <c r="S264" s="34" t="str">
        <f t="shared" si="13"/>
        <v>Electronics</v>
      </c>
      <c r="T264" s="38">
        <f>VLOOKUP(D264,Products!$A$2:$F$68,4,FALSE)</f>
        <v>1052</v>
      </c>
    </row>
    <row r="265" spans="1:20" x14ac:dyDescent="0.35">
      <c r="A265" s="13" t="s">
        <v>625</v>
      </c>
      <c r="B265" s="14">
        <v>45513</v>
      </c>
      <c r="C265" s="13" t="s">
        <v>626</v>
      </c>
      <c r="D265" s="13" t="s">
        <v>351</v>
      </c>
      <c r="E265" s="13" t="s">
        <v>139</v>
      </c>
      <c r="F265" s="15">
        <v>3</v>
      </c>
      <c r="G265" s="15">
        <v>4060</v>
      </c>
      <c r="H265" s="15">
        <v>6.9</v>
      </c>
      <c r="I265" s="15">
        <v>11339.58</v>
      </c>
      <c r="J265" s="13" t="s">
        <v>87</v>
      </c>
      <c r="K265" s="13" t="s">
        <v>99</v>
      </c>
      <c r="L265" s="34" t="str">
        <f>VLOOKUP(D265,Products!$A$2:$F$61,3,FALSE)</f>
        <v>Grocery</v>
      </c>
      <c r="M265" s="34" t="str">
        <f>VLOOKUP(C265,Customers!$A$2:$F$301,5,FALSE)</f>
        <v>Retail</v>
      </c>
      <c r="N265" s="34">
        <f>VLOOKUP(C265,Customers!$A$2:$F$301,3,FALSE)</f>
        <v>40</v>
      </c>
      <c r="O265" s="34" t="str">
        <f>VLOOKUP(E265,Sales_Reps!$A$2:$E$31,3,FALSE)</f>
        <v>North</v>
      </c>
      <c r="P265" s="13" t="s">
        <v>139</v>
      </c>
      <c r="Q265" s="34">
        <f t="shared" si="12"/>
        <v>589026.2899999998</v>
      </c>
      <c r="R265" s="34" t="str">
        <f>VLOOKUP(E265,Sales_Reps!$A$2:$E$100,3,FALSE)</f>
        <v>North</v>
      </c>
      <c r="S265" s="34" t="str">
        <f t="shared" si="13"/>
        <v>Grocery</v>
      </c>
      <c r="T265" s="38">
        <f>VLOOKUP(D265,Products!$A$2:$F$68,4,FALSE)</f>
        <v>2911</v>
      </c>
    </row>
    <row r="266" spans="1:20" x14ac:dyDescent="0.35">
      <c r="A266" s="13" t="s">
        <v>627</v>
      </c>
      <c r="B266" s="14">
        <v>45465</v>
      </c>
      <c r="C266" s="13" t="s">
        <v>628</v>
      </c>
      <c r="D266" s="13" t="s">
        <v>124</v>
      </c>
      <c r="E266" s="13" t="s">
        <v>154</v>
      </c>
      <c r="F266" s="15">
        <v>6</v>
      </c>
      <c r="G266" s="15">
        <v>5490</v>
      </c>
      <c r="H266" s="15">
        <v>8.4</v>
      </c>
      <c r="I266" s="15">
        <v>30173.040000000001</v>
      </c>
      <c r="J266" s="13" t="s">
        <v>87</v>
      </c>
      <c r="K266" s="13" t="s">
        <v>133</v>
      </c>
      <c r="L266" s="34" t="str">
        <f>VLOOKUP(D266,Products!$A$2:$F$61,3,FALSE)</f>
        <v>Home</v>
      </c>
      <c r="M266" s="34" t="str">
        <f>VLOOKUP(C266,Customers!$A$2:$F$301,5,FALSE)</f>
        <v>Corporate</v>
      </c>
      <c r="N266" s="34">
        <f>VLOOKUP(C266,Customers!$A$2:$F$301,3,FALSE)</f>
        <v>22</v>
      </c>
      <c r="O266" s="34" t="str">
        <f>VLOOKUP(E266,Sales_Reps!$A$2:$E$31,3,FALSE)</f>
        <v>East</v>
      </c>
      <c r="P266" s="13" t="s">
        <v>154</v>
      </c>
      <c r="Q266" s="34">
        <f t="shared" si="12"/>
        <v>983787.4800000001</v>
      </c>
      <c r="R266" s="34" t="str">
        <f>VLOOKUP(E266,Sales_Reps!$A$2:$E$100,3,FALSE)</f>
        <v>East</v>
      </c>
      <c r="S266" s="34" t="str">
        <f t="shared" si="13"/>
        <v>Home</v>
      </c>
      <c r="T266" s="38">
        <f>VLOOKUP(D266,Products!$A$2:$F$68,4,FALSE)</f>
        <v>2549</v>
      </c>
    </row>
    <row r="267" spans="1:20" x14ac:dyDescent="0.35">
      <c r="A267" s="13" t="s">
        <v>629</v>
      </c>
      <c r="B267" s="14">
        <v>45407</v>
      </c>
      <c r="C267" s="13" t="s">
        <v>485</v>
      </c>
      <c r="D267" s="13" t="s">
        <v>110</v>
      </c>
      <c r="E267" s="13" t="s">
        <v>303</v>
      </c>
      <c r="F267" s="15">
        <v>6</v>
      </c>
      <c r="G267" s="15">
        <v>370</v>
      </c>
      <c r="H267" s="15">
        <v>15.1</v>
      </c>
      <c r="I267" s="15">
        <v>1884.78</v>
      </c>
      <c r="J267" s="13" t="s">
        <v>87</v>
      </c>
      <c r="K267" s="13" t="s">
        <v>88</v>
      </c>
      <c r="L267" s="34" t="str">
        <f>VLOOKUP(D267,Products!$A$2:$F$61,3,FALSE)</f>
        <v>Home</v>
      </c>
      <c r="M267" s="34" t="str">
        <f>VLOOKUP(C267,Customers!$A$2:$F$301,5,FALSE)</f>
        <v>Retail</v>
      </c>
      <c r="N267" s="34">
        <f>VLOOKUP(C267,Customers!$A$2:$F$301,3,FALSE)</f>
        <v>49</v>
      </c>
      <c r="O267" s="34" t="str">
        <f>VLOOKUP(E267,Sales_Reps!$A$2:$E$31,3,FALSE)</f>
        <v>East</v>
      </c>
      <c r="P267" s="13" t="s">
        <v>303</v>
      </c>
      <c r="Q267" s="34">
        <f t="shared" si="12"/>
        <v>1112289.6400000001</v>
      </c>
      <c r="R267" s="34" t="str">
        <f>VLOOKUP(E267,Sales_Reps!$A$2:$E$100,3,FALSE)</f>
        <v>East</v>
      </c>
      <c r="S267" s="34" t="str">
        <f t="shared" si="13"/>
        <v>Home</v>
      </c>
      <c r="T267" s="38">
        <f>VLOOKUP(D267,Products!$A$2:$F$68,4,FALSE)</f>
        <v>288</v>
      </c>
    </row>
    <row r="268" spans="1:20" x14ac:dyDescent="0.35">
      <c r="A268" s="13" t="s">
        <v>630</v>
      </c>
      <c r="B268" s="14">
        <v>45405</v>
      </c>
      <c r="C268" s="13" t="s">
        <v>357</v>
      </c>
      <c r="D268" s="13" t="s">
        <v>292</v>
      </c>
      <c r="E268" s="13" t="s">
        <v>154</v>
      </c>
      <c r="F268" s="15">
        <v>5</v>
      </c>
      <c r="G268" s="15">
        <v>620</v>
      </c>
      <c r="H268" s="15">
        <v>13.1</v>
      </c>
      <c r="I268" s="15">
        <v>2693.9</v>
      </c>
      <c r="J268" s="13" t="s">
        <v>140</v>
      </c>
      <c r="K268" s="13" t="s">
        <v>99</v>
      </c>
      <c r="L268" s="34" t="str">
        <f>VLOOKUP(D268,Products!$A$2:$F$61,3,FALSE)</f>
        <v>Apparel</v>
      </c>
      <c r="M268" s="34" t="str">
        <f>VLOOKUP(C268,Customers!$A$2:$F$301,5,FALSE)</f>
        <v>SMB</v>
      </c>
      <c r="N268" s="34">
        <f>VLOOKUP(C268,Customers!$A$2:$F$301,3,FALSE)</f>
        <v>38</v>
      </c>
      <c r="O268" s="34" t="str">
        <f>VLOOKUP(E268,Sales_Reps!$A$2:$E$31,3,FALSE)</f>
        <v>East</v>
      </c>
      <c r="P268" s="13" t="s">
        <v>154</v>
      </c>
      <c r="Q268" s="34">
        <f t="shared" si="12"/>
        <v>983787.4800000001</v>
      </c>
      <c r="R268" s="34" t="str">
        <f>VLOOKUP(E268,Sales_Reps!$A$2:$E$100,3,FALSE)</f>
        <v>East</v>
      </c>
      <c r="S268" s="34" t="str">
        <f t="shared" si="13"/>
        <v>Apparel</v>
      </c>
      <c r="T268" s="38">
        <f>VLOOKUP(D268,Products!$A$2:$F$68,4,FALSE)</f>
        <v>396</v>
      </c>
    </row>
    <row r="269" spans="1:20" x14ac:dyDescent="0.35">
      <c r="A269" s="13" t="s">
        <v>631</v>
      </c>
      <c r="B269" s="14">
        <v>45332</v>
      </c>
      <c r="C269" s="13" t="s">
        <v>342</v>
      </c>
      <c r="D269" s="13" t="s">
        <v>143</v>
      </c>
      <c r="E269" s="13" t="s">
        <v>229</v>
      </c>
      <c r="F269" s="15">
        <v>9</v>
      </c>
      <c r="G269" s="15">
        <v>3250</v>
      </c>
      <c r="H269" s="15">
        <v>16.5</v>
      </c>
      <c r="I269" s="15">
        <v>24423.75</v>
      </c>
      <c r="J269" s="13" t="s">
        <v>87</v>
      </c>
      <c r="K269" s="13" t="s">
        <v>94</v>
      </c>
      <c r="L269" s="34" t="str">
        <f>VLOOKUP(D269,Products!$A$2:$F$61,3,FALSE)</f>
        <v>Home</v>
      </c>
      <c r="M269" s="34" t="str">
        <f>VLOOKUP(C269,Customers!$A$2:$F$301,5,FALSE)</f>
        <v>Retail</v>
      </c>
      <c r="N269" s="34">
        <f>VLOOKUP(C269,Customers!$A$2:$F$301,3,FALSE)</f>
        <v>26</v>
      </c>
      <c r="O269" s="34" t="str">
        <f>VLOOKUP(E269,Sales_Reps!$A$2:$E$31,3,FALSE)</f>
        <v>West</v>
      </c>
      <c r="P269" s="13" t="s">
        <v>229</v>
      </c>
      <c r="Q269" s="34">
        <f t="shared" si="12"/>
        <v>1016696.8000000002</v>
      </c>
      <c r="R269" s="34" t="str">
        <f>VLOOKUP(E269,Sales_Reps!$A$2:$E$100,3,FALSE)</f>
        <v>West</v>
      </c>
      <c r="S269" s="34" t="str">
        <f t="shared" si="13"/>
        <v>Home</v>
      </c>
      <c r="T269" s="38">
        <f>VLOOKUP(D269,Products!$A$2:$F$68,4,FALSE)</f>
        <v>1556</v>
      </c>
    </row>
    <row r="270" spans="1:20" x14ac:dyDescent="0.35">
      <c r="A270" s="13" t="s">
        <v>632</v>
      </c>
      <c r="B270" s="14">
        <v>45299</v>
      </c>
      <c r="C270" s="13" t="s">
        <v>228</v>
      </c>
      <c r="D270" s="13" t="s">
        <v>241</v>
      </c>
      <c r="E270" s="13" t="s">
        <v>273</v>
      </c>
      <c r="F270" s="15">
        <v>1</v>
      </c>
      <c r="G270" s="15">
        <v>6080</v>
      </c>
      <c r="H270" s="15">
        <v>0.1</v>
      </c>
      <c r="I270" s="15">
        <v>6073.92</v>
      </c>
      <c r="J270" s="13" t="s">
        <v>87</v>
      </c>
      <c r="K270" s="13" t="s">
        <v>112</v>
      </c>
      <c r="L270" s="34" t="str">
        <f>VLOOKUP(D270,Products!$A$2:$F$61,3,FALSE)</f>
        <v>Beauty</v>
      </c>
      <c r="M270" s="34" t="str">
        <f>VLOOKUP(C270,Customers!$A$2:$F$301,5,FALSE)</f>
        <v>SMB</v>
      </c>
      <c r="N270" s="34">
        <f>VLOOKUP(C270,Customers!$A$2:$F$301,3,FALSE)</f>
        <v>54</v>
      </c>
      <c r="O270" s="34" t="str">
        <f>VLOOKUP(E270,Sales_Reps!$A$2:$E$31,3,FALSE)</f>
        <v>South</v>
      </c>
      <c r="P270" s="13" t="s">
        <v>273</v>
      </c>
      <c r="Q270" s="34">
        <f t="shared" si="12"/>
        <v>735207.75999999989</v>
      </c>
      <c r="R270" s="34" t="str">
        <f>VLOOKUP(E270,Sales_Reps!$A$2:$E$100,3,FALSE)</f>
        <v>South</v>
      </c>
      <c r="S270" s="34" t="str">
        <f t="shared" si="13"/>
        <v>Beauty</v>
      </c>
      <c r="T270" s="38">
        <f>VLOOKUP(D270,Products!$A$2:$F$68,4,FALSE)</f>
        <v>2617</v>
      </c>
    </row>
    <row r="271" spans="1:20" x14ac:dyDescent="0.35">
      <c r="A271" s="13" t="s">
        <v>633</v>
      </c>
      <c r="B271" s="14">
        <v>45386</v>
      </c>
      <c r="C271" s="13" t="s">
        <v>589</v>
      </c>
      <c r="D271" s="13" t="s">
        <v>237</v>
      </c>
      <c r="E271" s="13" t="s">
        <v>98</v>
      </c>
      <c r="F271" s="15">
        <v>8</v>
      </c>
      <c r="G271" s="15">
        <v>3640</v>
      </c>
      <c r="H271" s="15">
        <v>13.5</v>
      </c>
      <c r="I271" s="15">
        <v>25188.799999999999</v>
      </c>
      <c r="J271" s="13" t="s">
        <v>87</v>
      </c>
      <c r="K271" s="13" t="s">
        <v>94</v>
      </c>
      <c r="L271" s="34" t="str">
        <f>VLOOKUP(D271,Products!$A$2:$F$61,3,FALSE)</f>
        <v>Apparel</v>
      </c>
      <c r="M271" s="34" t="str">
        <f>VLOOKUP(C271,Customers!$A$2:$F$301,5,FALSE)</f>
        <v>Corporate</v>
      </c>
      <c r="N271" s="34">
        <f>VLOOKUP(C271,Customers!$A$2:$F$301,3,FALSE)</f>
        <v>30</v>
      </c>
      <c r="O271" s="34" t="str">
        <f>VLOOKUP(E271,Sales_Reps!$A$2:$E$31,3,FALSE)</f>
        <v>South</v>
      </c>
      <c r="P271" s="13" t="s">
        <v>98</v>
      </c>
      <c r="Q271" s="34">
        <f t="shared" si="12"/>
        <v>995713.54000000015</v>
      </c>
      <c r="R271" s="34" t="str">
        <f>VLOOKUP(E271,Sales_Reps!$A$2:$E$100,3,FALSE)</f>
        <v>South</v>
      </c>
      <c r="S271" s="34" t="str">
        <f t="shared" si="13"/>
        <v>Apparel</v>
      </c>
      <c r="T271" s="38">
        <f>VLOOKUP(D271,Products!$A$2:$F$68,4,FALSE)</f>
        <v>2611</v>
      </c>
    </row>
    <row r="272" spans="1:20" x14ac:dyDescent="0.35">
      <c r="A272" s="13" t="s">
        <v>634</v>
      </c>
      <c r="B272" s="14">
        <v>45472</v>
      </c>
      <c r="C272" s="13" t="s">
        <v>635</v>
      </c>
      <c r="D272" s="13" t="s">
        <v>106</v>
      </c>
      <c r="E272" s="13" t="s">
        <v>92</v>
      </c>
      <c r="F272" s="15">
        <v>9</v>
      </c>
      <c r="G272" s="15">
        <v>3160</v>
      </c>
      <c r="H272" s="15">
        <v>29.7</v>
      </c>
      <c r="I272" s="15">
        <v>19993.32</v>
      </c>
      <c r="J272" s="13" t="s">
        <v>87</v>
      </c>
      <c r="K272" s="13" t="s">
        <v>99</v>
      </c>
      <c r="L272" s="34" t="str">
        <f>VLOOKUP(D272,Products!$A$2:$F$61,3,FALSE)</f>
        <v>Apparel</v>
      </c>
      <c r="M272" s="34" t="str">
        <f>VLOOKUP(C272,Customers!$A$2:$F$301,5,FALSE)</f>
        <v>Retail</v>
      </c>
      <c r="N272" s="34">
        <f>VLOOKUP(C272,Customers!$A$2:$F$301,3,FALSE)</f>
        <v>49</v>
      </c>
      <c r="O272" s="34" t="str">
        <f>VLOOKUP(E272,Sales_Reps!$A$2:$E$31,3,FALSE)</f>
        <v>North</v>
      </c>
      <c r="P272" s="13" t="s">
        <v>92</v>
      </c>
      <c r="Q272" s="34">
        <f t="shared" si="12"/>
        <v>782445.33</v>
      </c>
      <c r="R272" s="34" t="str">
        <f>VLOOKUP(E272,Sales_Reps!$A$2:$E$100,3,FALSE)</f>
        <v>North</v>
      </c>
      <c r="S272" s="34" t="str">
        <f t="shared" si="13"/>
        <v>Apparel</v>
      </c>
      <c r="T272" s="38">
        <f>VLOOKUP(D272,Products!$A$2:$F$68,4,FALSE)</f>
        <v>1886</v>
      </c>
    </row>
    <row r="273" spans="1:20" x14ac:dyDescent="0.35">
      <c r="A273" s="13" t="s">
        <v>636</v>
      </c>
      <c r="B273" s="14">
        <v>45428</v>
      </c>
      <c r="C273" s="13" t="s">
        <v>561</v>
      </c>
      <c r="D273" s="13" t="s">
        <v>248</v>
      </c>
      <c r="E273" s="13" t="s">
        <v>86</v>
      </c>
      <c r="F273" s="15">
        <v>2</v>
      </c>
      <c r="G273" s="15">
        <v>3870</v>
      </c>
      <c r="H273" s="15">
        <v>18.100000000000001</v>
      </c>
      <c r="I273" s="15">
        <v>6339.06</v>
      </c>
      <c r="J273" s="13" t="s">
        <v>140</v>
      </c>
      <c r="K273" s="13" t="s">
        <v>133</v>
      </c>
      <c r="L273" s="34" t="str">
        <f>VLOOKUP(D273,Products!$A$2:$F$61,3,FALSE)</f>
        <v>Electronics</v>
      </c>
      <c r="M273" s="34" t="str">
        <f>VLOOKUP(C273,Customers!$A$2:$F$301,5,FALSE)</f>
        <v>SMB</v>
      </c>
      <c r="N273" s="34">
        <f>VLOOKUP(C273,Customers!$A$2:$F$301,3,FALSE)</f>
        <v>43</v>
      </c>
      <c r="O273" s="34" t="str">
        <f>VLOOKUP(E273,Sales_Reps!$A$2:$E$31,3,FALSE)</f>
        <v>North</v>
      </c>
      <c r="P273" s="13" t="s">
        <v>86</v>
      </c>
      <c r="Q273" s="34">
        <f t="shared" si="12"/>
        <v>855749.67999999982</v>
      </c>
      <c r="R273" s="34" t="str">
        <f>VLOOKUP(E273,Sales_Reps!$A$2:$E$100,3,FALSE)</f>
        <v>North</v>
      </c>
      <c r="S273" s="34" t="str">
        <f t="shared" si="13"/>
        <v>Electronics</v>
      </c>
      <c r="T273" s="38">
        <f>VLOOKUP(D273,Products!$A$2:$F$68,4,FALSE)</f>
        <v>1559</v>
      </c>
    </row>
    <row r="274" spans="1:20" x14ac:dyDescent="0.35">
      <c r="A274" s="13" t="s">
        <v>637</v>
      </c>
      <c r="B274" s="14">
        <v>45430</v>
      </c>
      <c r="C274" s="13" t="s">
        <v>638</v>
      </c>
      <c r="D274" s="13" t="s">
        <v>203</v>
      </c>
      <c r="E274" s="13" t="s">
        <v>170</v>
      </c>
      <c r="F274" s="15">
        <v>3</v>
      </c>
      <c r="G274" s="15">
        <v>660</v>
      </c>
      <c r="H274" s="15">
        <v>9.1999999999999993</v>
      </c>
      <c r="I274" s="15">
        <v>1797.84</v>
      </c>
      <c r="J274" s="13" t="s">
        <v>87</v>
      </c>
      <c r="K274" s="13" t="s">
        <v>99</v>
      </c>
      <c r="L274" s="34" t="str">
        <f>VLOOKUP(D274,Products!$A$2:$F$61,3,FALSE)</f>
        <v>Home</v>
      </c>
      <c r="M274" s="34" t="str">
        <f>VLOOKUP(C274,Customers!$A$2:$F$301,5,FALSE)</f>
        <v>Retail</v>
      </c>
      <c r="N274" s="34">
        <f>VLOOKUP(C274,Customers!$A$2:$F$301,3,FALSE)</f>
        <v>43</v>
      </c>
      <c r="O274" s="34" t="str">
        <f>VLOOKUP(E274,Sales_Reps!$A$2:$E$31,3,FALSE)</f>
        <v>West</v>
      </c>
      <c r="P274" s="13" t="s">
        <v>170</v>
      </c>
      <c r="Q274" s="34">
        <f t="shared" si="12"/>
        <v>747624.36999999988</v>
      </c>
      <c r="R274" s="34" t="str">
        <f>VLOOKUP(E274,Sales_Reps!$A$2:$E$100,3,FALSE)</f>
        <v>West</v>
      </c>
      <c r="S274" s="34" t="str">
        <f t="shared" si="13"/>
        <v>Home</v>
      </c>
      <c r="T274" s="38">
        <f>VLOOKUP(D274,Products!$A$2:$F$68,4,FALSE)</f>
        <v>329</v>
      </c>
    </row>
    <row r="275" spans="1:20" x14ac:dyDescent="0.35">
      <c r="A275" s="13" t="s">
        <v>639</v>
      </c>
      <c r="B275" s="14">
        <v>45418</v>
      </c>
      <c r="C275" s="13" t="s">
        <v>405</v>
      </c>
      <c r="D275" s="13" t="s">
        <v>351</v>
      </c>
      <c r="E275" s="13" t="s">
        <v>252</v>
      </c>
      <c r="F275" s="15">
        <v>4</v>
      </c>
      <c r="G275" s="15">
        <v>4060</v>
      </c>
      <c r="H275" s="15">
        <v>28</v>
      </c>
      <c r="I275" s="15">
        <v>11692.8</v>
      </c>
      <c r="J275" s="13" t="s">
        <v>87</v>
      </c>
      <c r="K275" s="13" t="s">
        <v>94</v>
      </c>
      <c r="L275" s="34" t="str">
        <f>VLOOKUP(D275,Products!$A$2:$F$61,3,FALSE)</f>
        <v>Grocery</v>
      </c>
      <c r="M275" s="34" t="str">
        <f>VLOOKUP(C275,Customers!$A$2:$F$301,5,FALSE)</f>
        <v>Corporate</v>
      </c>
      <c r="N275" s="34">
        <f>VLOOKUP(C275,Customers!$A$2:$F$301,3,FALSE)</f>
        <v>24</v>
      </c>
      <c r="O275" s="34" t="str">
        <f>VLOOKUP(E275,Sales_Reps!$A$2:$E$31,3,FALSE)</f>
        <v>South</v>
      </c>
      <c r="P275" s="13" t="s">
        <v>252</v>
      </c>
      <c r="Q275" s="34">
        <f t="shared" si="12"/>
        <v>811524.37999999989</v>
      </c>
      <c r="R275" s="34" t="str">
        <f>VLOOKUP(E275,Sales_Reps!$A$2:$E$100,3,FALSE)</f>
        <v>South</v>
      </c>
      <c r="S275" s="34" t="str">
        <f t="shared" si="13"/>
        <v>Grocery</v>
      </c>
      <c r="T275" s="38">
        <f>VLOOKUP(D275,Products!$A$2:$F$68,4,FALSE)</f>
        <v>2911</v>
      </c>
    </row>
    <row r="276" spans="1:20" x14ac:dyDescent="0.35">
      <c r="A276" s="13" t="s">
        <v>640</v>
      </c>
      <c r="B276" s="14">
        <v>45360</v>
      </c>
      <c r="C276" s="13" t="s">
        <v>357</v>
      </c>
      <c r="D276" s="13" t="s">
        <v>443</v>
      </c>
      <c r="E276" s="13" t="s">
        <v>346</v>
      </c>
      <c r="F276" s="15">
        <v>2</v>
      </c>
      <c r="G276" s="15">
        <v>5080</v>
      </c>
      <c r="H276" s="15">
        <v>7.7</v>
      </c>
      <c r="I276" s="15">
        <v>9377.68</v>
      </c>
      <c r="J276" s="13" t="s">
        <v>144</v>
      </c>
      <c r="K276" s="13" t="s">
        <v>99</v>
      </c>
      <c r="L276" s="34" t="str">
        <f>VLOOKUP(D276,Products!$A$2:$F$61,3,FALSE)</f>
        <v>Home</v>
      </c>
      <c r="M276" s="34" t="str">
        <f>VLOOKUP(C276,Customers!$A$2:$F$301,5,FALSE)</f>
        <v>SMB</v>
      </c>
      <c r="N276" s="34">
        <f>VLOOKUP(C276,Customers!$A$2:$F$301,3,FALSE)</f>
        <v>38</v>
      </c>
      <c r="O276" s="34" t="str">
        <f>VLOOKUP(E276,Sales_Reps!$A$2:$E$31,3,FALSE)</f>
        <v>South</v>
      </c>
      <c r="P276" s="13" t="s">
        <v>346</v>
      </c>
      <c r="Q276" s="34">
        <f t="shared" si="12"/>
        <v>814563.7100000002</v>
      </c>
      <c r="R276" s="34" t="str">
        <f>VLOOKUP(E276,Sales_Reps!$A$2:$E$100,3,FALSE)</f>
        <v>South</v>
      </c>
      <c r="S276" s="34" t="str">
        <f t="shared" si="13"/>
        <v>Home</v>
      </c>
      <c r="T276" s="38">
        <f>VLOOKUP(D276,Products!$A$2:$F$68,4,FALSE)</f>
        <v>2459</v>
      </c>
    </row>
    <row r="277" spans="1:20" x14ac:dyDescent="0.35">
      <c r="A277" s="13" t="s">
        <v>641</v>
      </c>
      <c r="B277" s="14">
        <v>45296</v>
      </c>
      <c r="C277" s="13" t="s">
        <v>312</v>
      </c>
      <c r="D277" s="13" t="s">
        <v>187</v>
      </c>
      <c r="E277" s="13" t="s">
        <v>92</v>
      </c>
      <c r="F277" s="15">
        <v>3</v>
      </c>
      <c r="G277" s="15">
        <v>3570</v>
      </c>
      <c r="H277" s="15">
        <v>9.5</v>
      </c>
      <c r="I277" s="15">
        <v>9692.5499999999993</v>
      </c>
      <c r="J277" s="13" t="s">
        <v>87</v>
      </c>
      <c r="K277" s="13" t="s">
        <v>133</v>
      </c>
      <c r="L277" s="34" t="str">
        <f>VLOOKUP(D277,Products!$A$2:$F$61,3,FALSE)</f>
        <v>Electronics</v>
      </c>
      <c r="M277" s="34" t="str">
        <f>VLOOKUP(C277,Customers!$A$2:$F$301,5,FALSE)</f>
        <v>Retail</v>
      </c>
      <c r="N277" s="34">
        <f>VLOOKUP(C277,Customers!$A$2:$F$301,3,FALSE)</f>
        <v>46</v>
      </c>
      <c r="O277" s="34" t="str">
        <f>VLOOKUP(E277,Sales_Reps!$A$2:$E$31,3,FALSE)</f>
        <v>North</v>
      </c>
      <c r="P277" s="13" t="s">
        <v>92</v>
      </c>
      <c r="Q277" s="34">
        <f t="shared" si="12"/>
        <v>782445.33</v>
      </c>
      <c r="R277" s="34" t="str">
        <f>VLOOKUP(E277,Sales_Reps!$A$2:$E$100,3,FALSE)</f>
        <v>North</v>
      </c>
      <c r="S277" s="34" t="str">
        <f t="shared" si="13"/>
        <v>Electronics</v>
      </c>
      <c r="T277" s="38">
        <f>VLOOKUP(D277,Products!$A$2:$F$68,4,FALSE)</f>
        <v>1665</v>
      </c>
    </row>
    <row r="278" spans="1:20" x14ac:dyDescent="0.35">
      <c r="A278" s="13" t="s">
        <v>642</v>
      </c>
      <c r="B278" s="14">
        <v>45460</v>
      </c>
      <c r="C278" s="13" t="s">
        <v>643</v>
      </c>
      <c r="D278" s="13" t="s">
        <v>292</v>
      </c>
      <c r="E278" s="13" t="s">
        <v>192</v>
      </c>
      <c r="F278" s="15">
        <v>2</v>
      </c>
      <c r="G278" s="15">
        <v>620</v>
      </c>
      <c r="H278" s="15">
        <v>29.5</v>
      </c>
      <c r="I278" s="15">
        <v>874.2</v>
      </c>
      <c r="J278" s="13" t="s">
        <v>87</v>
      </c>
      <c r="K278" s="13" t="s">
        <v>112</v>
      </c>
      <c r="L278" s="34" t="str">
        <f>VLOOKUP(D278,Products!$A$2:$F$61,3,FALSE)</f>
        <v>Apparel</v>
      </c>
      <c r="M278" s="34" t="str">
        <f>VLOOKUP(C278,Customers!$A$2:$F$301,5,FALSE)</f>
        <v>SMB</v>
      </c>
      <c r="N278" s="34">
        <f>VLOOKUP(C278,Customers!$A$2:$F$301,3,FALSE)</f>
        <v>27</v>
      </c>
      <c r="O278" s="34" t="str">
        <f>VLOOKUP(E278,Sales_Reps!$A$2:$E$31,3,FALSE)</f>
        <v>East</v>
      </c>
      <c r="P278" s="13" t="s">
        <v>192</v>
      </c>
      <c r="Q278" s="34">
        <f t="shared" si="12"/>
        <v>906107.71000000008</v>
      </c>
      <c r="R278" s="34" t="str">
        <f>VLOOKUP(E278,Sales_Reps!$A$2:$E$100,3,FALSE)</f>
        <v>East</v>
      </c>
      <c r="S278" s="34" t="str">
        <f t="shared" si="13"/>
        <v>Apparel</v>
      </c>
      <c r="T278" s="38">
        <f>VLOOKUP(D278,Products!$A$2:$F$68,4,FALSE)</f>
        <v>396</v>
      </c>
    </row>
    <row r="279" spans="1:20" x14ac:dyDescent="0.35">
      <c r="A279" s="13" t="s">
        <v>644</v>
      </c>
      <c r="B279" s="14">
        <v>45638</v>
      </c>
      <c r="C279" s="13" t="s">
        <v>403</v>
      </c>
      <c r="D279" s="13" t="s">
        <v>452</v>
      </c>
      <c r="E279" s="13" t="s">
        <v>252</v>
      </c>
      <c r="F279" s="15">
        <v>3</v>
      </c>
      <c r="G279" s="15">
        <v>3450</v>
      </c>
      <c r="H279" s="15">
        <v>3</v>
      </c>
      <c r="I279" s="15">
        <v>10039.5</v>
      </c>
      <c r="J279" s="13" t="s">
        <v>87</v>
      </c>
      <c r="K279" s="13" t="s">
        <v>117</v>
      </c>
      <c r="L279" s="34" t="str">
        <f>VLOOKUP(D279,Products!$A$2:$F$61,3,FALSE)</f>
        <v>Apparel</v>
      </c>
      <c r="M279" s="34" t="str">
        <f>VLOOKUP(C279,Customers!$A$2:$F$301,5,FALSE)</f>
        <v>Retail</v>
      </c>
      <c r="N279" s="34">
        <f>VLOOKUP(C279,Customers!$A$2:$F$301,3,FALSE)</f>
        <v>59</v>
      </c>
      <c r="O279" s="34" t="str">
        <f>VLOOKUP(E279,Sales_Reps!$A$2:$E$31,3,FALSE)</f>
        <v>South</v>
      </c>
      <c r="P279" s="13" t="s">
        <v>252</v>
      </c>
      <c r="Q279" s="34">
        <f t="shared" si="12"/>
        <v>811524.37999999989</v>
      </c>
      <c r="R279" s="34" t="str">
        <f>VLOOKUP(E279,Sales_Reps!$A$2:$E$100,3,FALSE)</f>
        <v>South</v>
      </c>
      <c r="S279" s="34" t="str">
        <f t="shared" si="13"/>
        <v>Apparel</v>
      </c>
      <c r="T279" s="38">
        <f>VLOOKUP(D279,Products!$A$2:$F$68,4,FALSE)</f>
        <v>1748</v>
      </c>
    </row>
    <row r="280" spans="1:20" x14ac:dyDescent="0.35">
      <c r="A280" s="13" t="s">
        <v>645</v>
      </c>
      <c r="B280" s="14">
        <v>45408</v>
      </c>
      <c r="C280" s="13" t="s">
        <v>522</v>
      </c>
      <c r="D280" s="13" t="s">
        <v>191</v>
      </c>
      <c r="E280" s="13" t="s">
        <v>103</v>
      </c>
      <c r="F280" s="15">
        <v>7</v>
      </c>
      <c r="G280" s="15">
        <v>5100</v>
      </c>
      <c r="H280" s="15">
        <v>4.3</v>
      </c>
      <c r="I280" s="15">
        <v>34164.9</v>
      </c>
      <c r="J280" s="13" t="s">
        <v>87</v>
      </c>
      <c r="K280" s="13" t="s">
        <v>99</v>
      </c>
      <c r="L280" s="34" t="str">
        <f>VLOOKUP(D280,Products!$A$2:$F$61,3,FALSE)</f>
        <v>Beauty</v>
      </c>
      <c r="M280" s="34" t="str">
        <f>VLOOKUP(C280,Customers!$A$2:$F$301,5,FALSE)</f>
        <v>SMB</v>
      </c>
      <c r="N280" s="34">
        <f>VLOOKUP(C280,Customers!$A$2:$F$301,3,FALSE)</f>
        <v>55</v>
      </c>
      <c r="O280" s="34" t="str">
        <f>VLOOKUP(E280,Sales_Reps!$A$2:$E$31,3,FALSE)</f>
        <v>North</v>
      </c>
      <c r="P280" s="13" t="s">
        <v>103</v>
      </c>
      <c r="Q280" s="34">
        <f t="shared" si="12"/>
        <v>1138648.73</v>
      </c>
      <c r="R280" s="34" t="str">
        <f>VLOOKUP(E280,Sales_Reps!$A$2:$E$100,3,FALSE)</f>
        <v>North</v>
      </c>
      <c r="S280" s="34" t="str">
        <f t="shared" si="13"/>
        <v>Beauty</v>
      </c>
      <c r="T280" s="38">
        <f>VLOOKUP(D280,Products!$A$2:$F$68,4,FALSE)</f>
        <v>2237</v>
      </c>
    </row>
    <row r="281" spans="1:20" x14ac:dyDescent="0.35">
      <c r="A281" s="13" t="s">
        <v>646</v>
      </c>
      <c r="B281" s="14">
        <v>45541</v>
      </c>
      <c r="C281" s="13" t="s">
        <v>429</v>
      </c>
      <c r="D281" s="13" t="s">
        <v>248</v>
      </c>
      <c r="E281" s="13" t="s">
        <v>148</v>
      </c>
      <c r="F281" s="15">
        <v>9</v>
      </c>
      <c r="G281" s="15">
        <v>3870</v>
      </c>
      <c r="H281" s="15">
        <v>4.8</v>
      </c>
      <c r="I281" s="15">
        <v>33158.160000000003</v>
      </c>
      <c r="J281" s="13" t="s">
        <v>87</v>
      </c>
      <c r="K281" s="13" t="s">
        <v>117</v>
      </c>
      <c r="L281" s="34" t="str">
        <f>VLOOKUP(D281,Products!$A$2:$F$61,3,FALSE)</f>
        <v>Electronics</v>
      </c>
      <c r="M281" s="34" t="str">
        <f>VLOOKUP(C281,Customers!$A$2:$F$301,5,FALSE)</f>
        <v>Retail</v>
      </c>
      <c r="N281" s="34">
        <f>VLOOKUP(C281,Customers!$A$2:$F$301,3,FALSE)</f>
        <v>55</v>
      </c>
      <c r="O281" s="34" t="str">
        <f>VLOOKUP(E281,Sales_Reps!$A$2:$E$31,3,FALSE)</f>
        <v>North</v>
      </c>
      <c r="P281" s="13" t="s">
        <v>148</v>
      </c>
      <c r="Q281" s="34">
        <f t="shared" si="12"/>
        <v>986692.91</v>
      </c>
      <c r="R281" s="34" t="str">
        <f>VLOOKUP(E281,Sales_Reps!$A$2:$E$100,3,FALSE)</f>
        <v>North</v>
      </c>
      <c r="S281" s="34" t="str">
        <f t="shared" si="13"/>
        <v>Electronics</v>
      </c>
      <c r="T281" s="38">
        <f>VLOOKUP(D281,Products!$A$2:$F$68,4,FALSE)</f>
        <v>1559</v>
      </c>
    </row>
    <row r="282" spans="1:20" x14ac:dyDescent="0.35">
      <c r="A282" s="13" t="s">
        <v>647</v>
      </c>
      <c r="B282" s="14">
        <v>45633</v>
      </c>
      <c r="C282" s="13" t="s">
        <v>608</v>
      </c>
      <c r="D282" s="13" t="s">
        <v>267</v>
      </c>
      <c r="E282" s="13" t="s">
        <v>229</v>
      </c>
      <c r="F282" s="15">
        <v>5</v>
      </c>
      <c r="G282" s="15">
        <v>1220</v>
      </c>
      <c r="H282" s="15">
        <v>4</v>
      </c>
      <c r="I282" s="15">
        <v>5856</v>
      </c>
      <c r="J282" s="13" t="s">
        <v>140</v>
      </c>
      <c r="K282" s="13" t="s">
        <v>88</v>
      </c>
      <c r="L282" s="34" t="str">
        <f>VLOOKUP(D282,Products!$A$2:$F$61,3,FALSE)</f>
        <v>Electronics</v>
      </c>
      <c r="M282" s="34" t="str">
        <f>VLOOKUP(C282,Customers!$A$2:$F$301,5,FALSE)</f>
        <v>Corporate</v>
      </c>
      <c r="N282" s="34">
        <f>VLOOKUP(C282,Customers!$A$2:$F$301,3,FALSE)</f>
        <v>40</v>
      </c>
      <c r="O282" s="34" t="str">
        <f>VLOOKUP(E282,Sales_Reps!$A$2:$E$31,3,FALSE)</f>
        <v>West</v>
      </c>
      <c r="P282" s="13" t="s">
        <v>229</v>
      </c>
      <c r="Q282" s="34">
        <f t="shared" si="12"/>
        <v>1016696.8000000002</v>
      </c>
      <c r="R282" s="34" t="str">
        <f>VLOOKUP(E282,Sales_Reps!$A$2:$E$100,3,FALSE)</f>
        <v>West</v>
      </c>
      <c r="S282" s="34" t="str">
        <f t="shared" si="13"/>
        <v>Electronics</v>
      </c>
      <c r="T282" s="38">
        <f>VLOOKUP(D282,Products!$A$2:$F$68,4,FALSE)</f>
        <v>517</v>
      </c>
    </row>
    <row r="283" spans="1:20" x14ac:dyDescent="0.35">
      <c r="A283" s="13" t="s">
        <v>648</v>
      </c>
      <c r="B283" s="14">
        <v>45338</v>
      </c>
      <c r="C283" s="13" t="s">
        <v>166</v>
      </c>
      <c r="D283" s="13" t="s">
        <v>124</v>
      </c>
      <c r="E283" s="13" t="s">
        <v>154</v>
      </c>
      <c r="F283" s="15">
        <v>5</v>
      </c>
      <c r="G283" s="15">
        <v>5490</v>
      </c>
      <c r="H283" s="15">
        <v>19.8</v>
      </c>
      <c r="I283" s="15">
        <v>22014.9</v>
      </c>
      <c r="J283" s="13" t="s">
        <v>87</v>
      </c>
      <c r="K283" s="13" t="s">
        <v>133</v>
      </c>
      <c r="L283" s="34" t="str">
        <f>VLOOKUP(D283,Products!$A$2:$F$61,3,FALSE)</f>
        <v>Home</v>
      </c>
      <c r="M283" s="34" t="str">
        <f>VLOOKUP(C283,Customers!$A$2:$F$301,5,FALSE)</f>
        <v>Retail</v>
      </c>
      <c r="N283" s="34">
        <f>VLOOKUP(C283,Customers!$A$2:$F$301,3,FALSE)</f>
        <v>32</v>
      </c>
      <c r="O283" s="34" t="str">
        <f>VLOOKUP(E283,Sales_Reps!$A$2:$E$31,3,FALSE)</f>
        <v>East</v>
      </c>
      <c r="P283" s="13" t="s">
        <v>154</v>
      </c>
      <c r="Q283" s="34">
        <f t="shared" si="12"/>
        <v>983787.4800000001</v>
      </c>
      <c r="R283" s="34" t="str">
        <f>VLOOKUP(E283,Sales_Reps!$A$2:$E$100,3,FALSE)</f>
        <v>East</v>
      </c>
      <c r="S283" s="34" t="str">
        <f t="shared" si="13"/>
        <v>Home</v>
      </c>
      <c r="T283" s="38">
        <f>VLOOKUP(D283,Products!$A$2:$F$68,4,FALSE)</f>
        <v>2549</v>
      </c>
    </row>
    <row r="284" spans="1:20" x14ac:dyDescent="0.35">
      <c r="A284" s="13" t="s">
        <v>649</v>
      </c>
      <c r="B284" s="14">
        <v>45529</v>
      </c>
      <c r="C284" s="13" t="s">
        <v>385</v>
      </c>
      <c r="D284" s="13" t="s">
        <v>176</v>
      </c>
      <c r="E284" s="13" t="s">
        <v>215</v>
      </c>
      <c r="F284" s="15">
        <v>1</v>
      </c>
      <c r="G284" s="15">
        <v>1650</v>
      </c>
      <c r="H284" s="15">
        <v>26.2</v>
      </c>
      <c r="I284" s="15">
        <v>1217.7</v>
      </c>
      <c r="J284" s="13" t="s">
        <v>87</v>
      </c>
      <c r="K284" s="13" t="s">
        <v>117</v>
      </c>
      <c r="L284" s="34" t="str">
        <f>VLOOKUP(D284,Products!$A$2:$F$61,3,FALSE)</f>
        <v>Beauty</v>
      </c>
      <c r="M284" s="34" t="str">
        <f>VLOOKUP(C284,Customers!$A$2:$F$301,5,FALSE)</f>
        <v>Retail</v>
      </c>
      <c r="N284" s="34">
        <f>VLOOKUP(C284,Customers!$A$2:$F$301,3,FALSE)</f>
        <v>23</v>
      </c>
      <c r="O284" s="34" t="str">
        <f>VLOOKUP(E284,Sales_Reps!$A$2:$E$31,3,FALSE)</f>
        <v>North</v>
      </c>
      <c r="P284" s="13" t="s">
        <v>215</v>
      </c>
      <c r="Q284" s="34">
        <f t="shared" si="12"/>
        <v>789849.60000000009</v>
      </c>
      <c r="R284" s="34" t="str">
        <f>VLOOKUP(E284,Sales_Reps!$A$2:$E$100,3,FALSE)</f>
        <v>North</v>
      </c>
      <c r="S284" s="34" t="str">
        <f t="shared" si="13"/>
        <v>Beauty</v>
      </c>
      <c r="T284" s="38">
        <f>VLOOKUP(D284,Products!$A$2:$F$68,4,FALSE)</f>
        <v>1222</v>
      </c>
    </row>
    <row r="285" spans="1:20" x14ac:dyDescent="0.35">
      <c r="A285" s="13" t="s">
        <v>650</v>
      </c>
      <c r="B285" s="14">
        <v>45460</v>
      </c>
      <c r="C285" s="13" t="s">
        <v>651</v>
      </c>
      <c r="D285" s="13" t="s">
        <v>279</v>
      </c>
      <c r="E285" s="13" t="s">
        <v>148</v>
      </c>
      <c r="F285" s="15">
        <v>1</v>
      </c>
      <c r="G285" s="15">
        <v>2660</v>
      </c>
      <c r="H285" s="15">
        <v>21</v>
      </c>
      <c r="I285" s="15">
        <v>2101.4</v>
      </c>
      <c r="J285" s="13" t="s">
        <v>87</v>
      </c>
      <c r="K285" s="13" t="s">
        <v>133</v>
      </c>
      <c r="L285" s="34" t="str">
        <f>VLOOKUP(D285,Products!$A$2:$F$61,3,FALSE)</f>
        <v>Electronics</v>
      </c>
      <c r="M285" s="34" t="str">
        <f>VLOOKUP(C285,Customers!$A$2:$F$301,5,FALSE)</f>
        <v>Retail</v>
      </c>
      <c r="N285" s="34">
        <f>VLOOKUP(C285,Customers!$A$2:$F$301,3,FALSE)</f>
        <v>50</v>
      </c>
      <c r="O285" s="34" t="str">
        <f>VLOOKUP(E285,Sales_Reps!$A$2:$E$31,3,FALSE)</f>
        <v>North</v>
      </c>
      <c r="P285" s="13" t="s">
        <v>148</v>
      </c>
      <c r="Q285" s="34">
        <f t="shared" si="12"/>
        <v>986692.91</v>
      </c>
      <c r="R285" s="34" t="str">
        <f>VLOOKUP(E285,Sales_Reps!$A$2:$E$100,3,FALSE)</f>
        <v>North</v>
      </c>
      <c r="S285" s="34" t="str">
        <f t="shared" si="13"/>
        <v>Electronics</v>
      </c>
      <c r="T285" s="38">
        <f>VLOOKUP(D285,Products!$A$2:$F$68,4,FALSE)</f>
        <v>1259</v>
      </c>
    </row>
    <row r="286" spans="1:20" x14ac:dyDescent="0.35">
      <c r="A286" s="13" t="s">
        <v>652</v>
      </c>
      <c r="B286" s="14">
        <v>45375</v>
      </c>
      <c r="C286" s="13" t="s">
        <v>331</v>
      </c>
      <c r="D286" s="13" t="s">
        <v>338</v>
      </c>
      <c r="E286" s="13" t="s">
        <v>148</v>
      </c>
      <c r="F286" s="15">
        <v>6</v>
      </c>
      <c r="G286" s="15">
        <v>2210</v>
      </c>
      <c r="H286" s="15">
        <v>9.8000000000000007</v>
      </c>
      <c r="I286" s="15">
        <v>11960.52</v>
      </c>
      <c r="J286" s="13" t="s">
        <v>93</v>
      </c>
      <c r="K286" s="13" t="s">
        <v>117</v>
      </c>
      <c r="L286" s="34" t="str">
        <f>VLOOKUP(D286,Products!$A$2:$F$61,3,FALSE)</f>
        <v>Grocery</v>
      </c>
      <c r="M286" s="34" t="str">
        <f>VLOOKUP(C286,Customers!$A$2:$F$301,5,FALSE)</f>
        <v>Corporate</v>
      </c>
      <c r="N286" s="34">
        <f>VLOOKUP(C286,Customers!$A$2:$F$301,3,FALSE)</f>
        <v>59</v>
      </c>
      <c r="O286" s="34" t="str">
        <f>VLOOKUP(E286,Sales_Reps!$A$2:$E$31,3,FALSE)</f>
        <v>North</v>
      </c>
      <c r="P286" s="13" t="s">
        <v>148</v>
      </c>
      <c r="Q286" s="34">
        <f t="shared" si="12"/>
        <v>986692.91</v>
      </c>
      <c r="R286" s="34" t="str">
        <f>VLOOKUP(E286,Sales_Reps!$A$2:$E$100,3,FALSE)</f>
        <v>North</v>
      </c>
      <c r="S286" s="34" t="str">
        <f t="shared" si="13"/>
        <v>Grocery</v>
      </c>
      <c r="T286" s="38">
        <f>VLOOKUP(D286,Products!$A$2:$F$68,4,FALSE)</f>
        <v>1010</v>
      </c>
    </row>
    <row r="287" spans="1:20" x14ac:dyDescent="0.35">
      <c r="A287" s="13" t="s">
        <v>653</v>
      </c>
      <c r="B287" s="14">
        <v>45310</v>
      </c>
      <c r="C287" s="13" t="s">
        <v>522</v>
      </c>
      <c r="D287" s="13" t="s">
        <v>138</v>
      </c>
      <c r="E287" s="13" t="s">
        <v>215</v>
      </c>
      <c r="F287" s="15">
        <v>9</v>
      </c>
      <c r="G287" s="15">
        <v>2600</v>
      </c>
      <c r="H287" s="15">
        <v>15.7</v>
      </c>
      <c r="I287" s="15">
        <v>19726.2</v>
      </c>
      <c r="J287" s="13" t="s">
        <v>87</v>
      </c>
      <c r="K287" s="13" t="s">
        <v>99</v>
      </c>
      <c r="L287" s="34" t="str">
        <f>VLOOKUP(D287,Products!$A$2:$F$61,3,FALSE)</f>
        <v>Electronics</v>
      </c>
      <c r="M287" s="34" t="str">
        <f>VLOOKUP(C287,Customers!$A$2:$F$301,5,FALSE)</f>
        <v>SMB</v>
      </c>
      <c r="N287" s="34">
        <f>VLOOKUP(C287,Customers!$A$2:$F$301,3,FALSE)</f>
        <v>55</v>
      </c>
      <c r="O287" s="34" t="str">
        <f>VLOOKUP(E287,Sales_Reps!$A$2:$E$31,3,FALSE)</f>
        <v>North</v>
      </c>
      <c r="P287" s="13" t="s">
        <v>215</v>
      </c>
      <c r="Q287" s="34">
        <f t="shared" si="12"/>
        <v>789849.60000000009</v>
      </c>
      <c r="R287" s="34" t="str">
        <f>VLOOKUP(E287,Sales_Reps!$A$2:$E$100,3,FALSE)</f>
        <v>North</v>
      </c>
      <c r="S287" s="34" t="str">
        <f t="shared" si="13"/>
        <v>Electronics</v>
      </c>
      <c r="T287" s="38">
        <f>VLOOKUP(D287,Products!$A$2:$F$68,4,FALSE)</f>
        <v>1052</v>
      </c>
    </row>
    <row r="288" spans="1:20" x14ac:dyDescent="0.35">
      <c r="A288" s="13" t="s">
        <v>654</v>
      </c>
      <c r="B288" s="14">
        <v>45314</v>
      </c>
      <c r="C288" s="13" t="s">
        <v>655</v>
      </c>
      <c r="D288" s="13" t="s">
        <v>276</v>
      </c>
      <c r="E288" s="13" t="s">
        <v>111</v>
      </c>
      <c r="F288" s="15">
        <v>3</v>
      </c>
      <c r="G288" s="15">
        <v>3020</v>
      </c>
      <c r="H288" s="15">
        <v>22.6</v>
      </c>
      <c r="I288" s="15">
        <v>7012.44</v>
      </c>
      <c r="J288" s="13" t="s">
        <v>87</v>
      </c>
      <c r="K288" s="13" t="s">
        <v>133</v>
      </c>
      <c r="L288" s="34" t="str">
        <f>VLOOKUP(D288,Products!$A$2:$F$61,3,FALSE)</f>
        <v>Beauty</v>
      </c>
      <c r="M288" s="34" t="str">
        <f>VLOOKUP(C288,Customers!$A$2:$F$301,5,FALSE)</f>
        <v>Retail</v>
      </c>
      <c r="N288" s="34">
        <f>VLOOKUP(C288,Customers!$A$2:$F$301,3,FALSE)</f>
        <v>27</v>
      </c>
      <c r="O288" s="34" t="str">
        <f>VLOOKUP(E288,Sales_Reps!$A$2:$E$31,3,FALSE)</f>
        <v>West</v>
      </c>
      <c r="P288" s="13" t="s">
        <v>111</v>
      </c>
      <c r="Q288" s="34">
        <f t="shared" si="12"/>
        <v>901298.89</v>
      </c>
      <c r="R288" s="34" t="str">
        <f>VLOOKUP(E288,Sales_Reps!$A$2:$E$100,3,FALSE)</f>
        <v>West</v>
      </c>
      <c r="S288" s="34" t="str">
        <f t="shared" si="13"/>
        <v>Beauty</v>
      </c>
      <c r="T288" s="38">
        <f>VLOOKUP(D288,Products!$A$2:$F$68,4,FALSE)</f>
        <v>1626</v>
      </c>
    </row>
    <row r="289" spans="1:20" x14ac:dyDescent="0.35">
      <c r="A289" s="13" t="s">
        <v>656</v>
      </c>
      <c r="B289" s="14">
        <v>45459</v>
      </c>
      <c r="C289" s="13" t="s">
        <v>314</v>
      </c>
      <c r="D289" s="13" t="s">
        <v>110</v>
      </c>
      <c r="E289" s="13" t="s">
        <v>92</v>
      </c>
      <c r="F289" s="15">
        <v>6</v>
      </c>
      <c r="G289" s="15">
        <v>370</v>
      </c>
      <c r="H289" s="15">
        <v>12.4</v>
      </c>
      <c r="I289" s="15">
        <v>1944.72</v>
      </c>
      <c r="J289" s="13" t="s">
        <v>87</v>
      </c>
      <c r="K289" s="13" t="s">
        <v>88</v>
      </c>
      <c r="L289" s="34" t="str">
        <f>VLOOKUP(D289,Products!$A$2:$F$61,3,FALSE)</f>
        <v>Home</v>
      </c>
      <c r="M289" s="34" t="str">
        <f>VLOOKUP(C289,Customers!$A$2:$F$301,5,FALSE)</f>
        <v>Corporate</v>
      </c>
      <c r="N289" s="34">
        <f>VLOOKUP(C289,Customers!$A$2:$F$301,3,FALSE)</f>
        <v>33</v>
      </c>
      <c r="O289" s="34" t="str">
        <f>VLOOKUP(E289,Sales_Reps!$A$2:$E$31,3,FALSE)</f>
        <v>North</v>
      </c>
      <c r="P289" s="13" t="s">
        <v>92</v>
      </c>
      <c r="Q289" s="34">
        <f t="shared" si="12"/>
        <v>782445.33</v>
      </c>
      <c r="R289" s="34" t="str">
        <f>VLOOKUP(E289,Sales_Reps!$A$2:$E$100,3,FALSE)</f>
        <v>North</v>
      </c>
      <c r="S289" s="34" t="str">
        <f t="shared" si="13"/>
        <v>Home</v>
      </c>
      <c r="T289" s="38">
        <f>VLOOKUP(D289,Products!$A$2:$F$68,4,FALSE)</f>
        <v>288</v>
      </c>
    </row>
    <row r="290" spans="1:20" x14ac:dyDescent="0.35">
      <c r="A290" s="13" t="s">
        <v>657</v>
      </c>
      <c r="B290" s="14">
        <v>45312</v>
      </c>
      <c r="C290" s="13" t="s">
        <v>615</v>
      </c>
      <c r="D290" s="13" t="s">
        <v>364</v>
      </c>
      <c r="E290" s="13" t="s">
        <v>103</v>
      </c>
      <c r="F290" s="15">
        <v>8</v>
      </c>
      <c r="G290" s="15">
        <v>5330</v>
      </c>
      <c r="H290" s="15">
        <v>16.2</v>
      </c>
      <c r="I290" s="15">
        <v>35732.32</v>
      </c>
      <c r="J290" s="13" t="s">
        <v>87</v>
      </c>
      <c r="K290" s="13" t="s">
        <v>112</v>
      </c>
      <c r="L290" s="34" t="str">
        <f>VLOOKUP(D290,Products!$A$2:$F$61,3,FALSE)</f>
        <v>Electronics</v>
      </c>
      <c r="M290" s="34" t="str">
        <f>VLOOKUP(C290,Customers!$A$2:$F$301,5,FALSE)</f>
        <v>Retail</v>
      </c>
      <c r="N290" s="34">
        <f>VLOOKUP(C290,Customers!$A$2:$F$301,3,FALSE)</f>
        <v>53</v>
      </c>
      <c r="O290" s="34" t="str">
        <f>VLOOKUP(E290,Sales_Reps!$A$2:$E$31,3,FALSE)</f>
        <v>North</v>
      </c>
      <c r="P290" s="13" t="s">
        <v>103</v>
      </c>
      <c r="Q290" s="34">
        <f t="shared" si="12"/>
        <v>1138648.73</v>
      </c>
      <c r="R290" s="34" t="str">
        <f>VLOOKUP(E290,Sales_Reps!$A$2:$E$100,3,FALSE)</f>
        <v>North</v>
      </c>
      <c r="S290" s="34" t="str">
        <f t="shared" si="13"/>
        <v>Electronics</v>
      </c>
      <c r="T290" s="38">
        <f>VLOOKUP(D290,Products!$A$2:$F$68,4,FALSE)</f>
        <v>2405</v>
      </c>
    </row>
    <row r="291" spans="1:20" x14ac:dyDescent="0.35">
      <c r="A291" s="13" t="s">
        <v>658</v>
      </c>
      <c r="B291" s="14">
        <v>45500</v>
      </c>
      <c r="C291" s="13" t="s">
        <v>225</v>
      </c>
      <c r="D291" s="13" t="s">
        <v>659</v>
      </c>
      <c r="E291" s="13" t="s">
        <v>170</v>
      </c>
      <c r="F291" s="15">
        <v>4</v>
      </c>
      <c r="G291" s="15">
        <v>3560</v>
      </c>
      <c r="H291" s="15">
        <v>10.5</v>
      </c>
      <c r="I291" s="15">
        <v>12744.8</v>
      </c>
      <c r="J291" s="13" t="s">
        <v>87</v>
      </c>
      <c r="K291" s="13" t="s">
        <v>94</v>
      </c>
      <c r="L291" s="34" t="str">
        <f>VLOOKUP(D291,Products!$A$2:$F$61,3,FALSE)</f>
        <v>Apparel</v>
      </c>
      <c r="M291" s="34" t="str">
        <f>VLOOKUP(C291,Customers!$A$2:$F$301,5,FALSE)</f>
        <v>Retail</v>
      </c>
      <c r="N291" s="34">
        <f>VLOOKUP(C291,Customers!$A$2:$F$301,3,FALSE)</f>
        <v>37</v>
      </c>
      <c r="O291" s="34" t="str">
        <f>VLOOKUP(E291,Sales_Reps!$A$2:$E$31,3,FALSE)</f>
        <v>West</v>
      </c>
      <c r="P291" s="13" t="s">
        <v>170</v>
      </c>
      <c r="Q291" s="34">
        <f t="shared" si="12"/>
        <v>747624.36999999988</v>
      </c>
      <c r="R291" s="34" t="str">
        <f>VLOOKUP(E291,Sales_Reps!$A$2:$E$100,3,FALSE)</f>
        <v>West</v>
      </c>
      <c r="S291" s="34" t="str">
        <f t="shared" si="13"/>
        <v>Apparel</v>
      </c>
      <c r="T291" s="38">
        <f>VLOOKUP(D291,Products!$A$2:$F$68,4,FALSE)</f>
        <v>2629</v>
      </c>
    </row>
    <row r="292" spans="1:20" x14ac:dyDescent="0.35">
      <c r="A292" s="13" t="s">
        <v>660</v>
      </c>
      <c r="B292" s="14">
        <v>45389</v>
      </c>
      <c r="C292" s="13" t="s">
        <v>604</v>
      </c>
      <c r="D292" s="13" t="s">
        <v>182</v>
      </c>
      <c r="E292" s="13" t="s">
        <v>170</v>
      </c>
      <c r="F292" s="15">
        <v>10</v>
      </c>
      <c r="G292" s="15">
        <v>1010</v>
      </c>
      <c r="H292" s="15">
        <v>10.8</v>
      </c>
      <c r="I292" s="15">
        <v>9009.2000000000007</v>
      </c>
      <c r="J292" s="13" t="s">
        <v>87</v>
      </c>
      <c r="K292" s="13" t="s">
        <v>117</v>
      </c>
      <c r="L292" s="34" t="str">
        <f>VLOOKUP(D292,Products!$A$2:$F$61,3,FALSE)</f>
        <v>Sports</v>
      </c>
      <c r="M292" s="34" t="str">
        <f>VLOOKUP(C292,Customers!$A$2:$F$301,5,FALSE)</f>
        <v>Retail</v>
      </c>
      <c r="N292" s="34">
        <f>VLOOKUP(C292,Customers!$A$2:$F$301,3,FALSE)</f>
        <v>34</v>
      </c>
      <c r="O292" s="34" t="str">
        <f>VLOOKUP(E292,Sales_Reps!$A$2:$E$31,3,FALSE)</f>
        <v>West</v>
      </c>
      <c r="P292" s="13" t="s">
        <v>170</v>
      </c>
      <c r="Q292" s="34">
        <f t="shared" si="12"/>
        <v>747624.36999999988</v>
      </c>
      <c r="R292" s="34" t="str">
        <f>VLOOKUP(E292,Sales_Reps!$A$2:$E$100,3,FALSE)</f>
        <v>West</v>
      </c>
      <c r="S292" s="34" t="str">
        <f t="shared" si="13"/>
        <v>Sports</v>
      </c>
      <c r="T292" s="38">
        <f>VLOOKUP(D292,Products!$A$2:$F$68,4,FALSE)</f>
        <v>516</v>
      </c>
    </row>
    <row r="293" spans="1:20" x14ac:dyDescent="0.35">
      <c r="A293" s="13" t="s">
        <v>661</v>
      </c>
      <c r="B293" s="14">
        <v>45619</v>
      </c>
      <c r="C293" s="13" t="s">
        <v>662</v>
      </c>
      <c r="D293" s="13" t="s">
        <v>515</v>
      </c>
      <c r="E293" s="13" t="s">
        <v>103</v>
      </c>
      <c r="F293" s="15">
        <v>8</v>
      </c>
      <c r="G293" s="15">
        <v>6940</v>
      </c>
      <c r="H293" s="15">
        <v>3.2</v>
      </c>
      <c r="I293" s="15">
        <v>53743.360000000001</v>
      </c>
      <c r="J293" s="13" t="s">
        <v>140</v>
      </c>
      <c r="K293" s="13" t="s">
        <v>94</v>
      </c>
      <c r="L293" s="34" t="str">
        <f>VLOOKUP(D293,Products!$A$2:$F$61,3,FALSE)</f>
        <v>Sports</v>
      </c>
      <c r="M293" s="34" t="str">
        <f>VLOOKUP(C293,Customers!$A$2:$F$301,5,FALSE)</f>
        <v>Corporate</v>
      </c>
      <c r="N293" s="34">
        <f>VLOOKUP(C293,Customers!$A$2:$F$301,3,FALSE)</f>
        <v>41</v>
      </c>
      <c r="O293" s="34" t="str">
        <f>VLOOKUP(E293,Sales_Reps!$A$2:$E$31,3,FALSE)</f>
        <v>North</v>
      </c>
      <c r="P293" s="13" t="s">
        <v>103</v>
      </c>
      <c r="Q293" s="34">
        <f t="shared" si="12"/>
        <v>1138648.73</v>
      </c>
      <c r="R293" s="34" t="str">
        <f>VLOOKUP(E293,Sales_Reps!$A$2:$E$100,3,FALSE)</f>
        <v>North</v>
      </c>
      <c r="S293" s="34" t="str">
        <f t="shared" si="13"/>
        <v>Sports</v>
      </c>
      <c r="T293" s="38">
        <f>VLOOKUP(D293,Products!$A$2:$F$68,4,FALSE)</f>
        <v>2827</v>
      </c>
    </row>
    <row r="294" spans="1:20" x14ac:dyDescent="0.35">
      <c r="A294" s="13" t="s">
        <v>663</v>
      </c>
      <c r="B294" s="14">
        <v>45617</v>
      </c>
      <c r="C294" s="13" t="s">
        <v>312</v>
      </c>
      <c r="D294" s="13" t="s">
        <v>106</v>
      </c>
      <c r="E294" s="13" t="s">
        <v>188</v>
      </c>
      <c r="F294" s="15">
        <v>7</v>
      </c>
      <c r="G294" s="15">
        <v>3160</v>
      </c>
      <c r="H294" s="15">
        <v>3.6</v>
      </c>
      <c r="I294" s="15">
        <v>21323.68</v>
      </c>
      <c r="J294" s="13" t="s">
        <v>87</v>
      </c>
      <c r="K294" s="13" t="s">
        <v>133</v>
      </c>
      <c r="L294" s="34" t="str">
        <f>VLOOKUP(D294,Products!$A$2:$F$61,3,FALSE)</f>
        <v>Apparel</v>
      </c>
      <c r="M294" s="34" t="str">
        <f>VLOOKUP(C294,Customers!$A$2:$F$301,5,FALSE)</f>
        <v>Retail</v>
      </c>
      <c r="N294" s="34">
        <f>VLOOKUP(C294,Customers!$A$2:$F$301,3,FALSE)</f>
        <v>46</v>
      </c>
      <c r="O294" s="34" t="str">
        <f>VLOOKUP(E294,Sales_Reps!$A$2:$E$31,3,FALSE)</f>
        <v>South</v>
      </c>
      <c r="P294" s="13" t="s">
        <v>188</v>
      </c>
      <c r="Q294" s="34">
        <f t="shared" si="12"/>
        <v>1091740.1799999997</v>
      </c>
      <c r="R294" s="34" t="str">
        <f>VLOOKUP(E294,Sales_Reps!$A$2:$E$100,3,FALSE)</f>
        <v>South</v>
      </c>
      <c r="S294" s="34" t="str">
        <f t="shared" si="13"/>
        <v>Apparel</v>
      </c>
      <c r="T294" s="38">
        <f>VLOOKUP(D294,Products!$A$2:$F$68,4,FALSE)</f>
        <v>1886</v>
      </c>
    </row>
    <row r="295" spans="1:20" x14ac:dyDescent="0.35">
      <c r="A295" s="13" t="s">
        <v>664</v>
      </c>
      <c r="B295" s="14">
        <v>45640</v>
      </c>
      <c r="C295" s="13" t="s">
        <v>485</v>
      </c>
      <c r="D295" s="13" t="s">
        <v>102</v>
      </c>
      <c r="E295" s="13" t="s">
        <v>107</v>
      </c>
      <c r="F295" s="15">
        <v>2</v>
      </c>
      <c r="G295" s="15">
        <v>3660</v>
      </c>
      <c r="H295" s="15">
        <v>30</v>
      </c>
      <c r="I295" s="15">
        <v>5124</v>
      </c>
      <c r="J295" s="13" t="s">
        <v>93</v>
      </c>
      <c r="K295" s="13" t="s">
        <v>88</v>
      </c>
      <c r="L295" s="34" t="str">
        <f>VLOOKUP(D295,Products!$A$2:$F$61,3,FALSE)</f>
        <v>Grocery</v>
      </c>
      <c r="M295" s="34" t="str">
        <f>VLOOKUP(C295,Customers!$A$2:$F$301,5,FALSE)</f>
        <v>Retail</v>
      </c>
      <c r="N295" s="34">
        <f>VLOOKUP(C295,Customers!$A$2:$F$301,3,FALSE)</f>
        <v>49</v>
      </c>
      <c r="O295" s="34" t="str">
        <f>VLOOKUP(E295,Sales_Reps!$A$2:$E$31,3,FALSE)</f>
        <v>North</v>
      </c>
      <c r="P295" s="13" t="s">
        <v>107</v>
      </c>
      <c r="Q295" s="34">
        <f t="shared" si="12"/>
        <v>861553.33</v>
      </c>
      <c r="R295" s="34" t="str">
        <f>VLOOKUP(E295,Sales_Reps!$A$2:$E$100,3,FALSE)</f>
        <v>North</v>
      </c>
      <c r="S295" s="34" t="str">
        <f t="shared" si="13"/>
        <v>Grocery</v>
      </c>
      <c r="T295" s="38">
        <f>VLOOKUP(D295,Products!$A$2:$F$68,4,FALSE)</f>
        <v>2214</v>
      </c>
    </row>
    <row r="296" spans="1:20" x14ac:dyDescent="0.35">
      <c r="A296" s="13" t="s">
        <v>665</v>
      </c>
      <c r="B296" s="14">
        <v>45401</v>
      </c>
      <c r="C296" s="13" t="s">
        <v>366</v>
      </c>
      <c r="D296" s="13" t="s">
        <v>131</v>
      </c>
      <c r="E296" s="13" t="s">
        <v>92</v>
      </c>
      <c r="F296" s="15">
        <v>1</v>
      </c>
      <c r="G296" s="15">
        <v>2270</v>
      </c>
      <c r="H296" s="15">
        <v>4.8</v>
      </c>
      <c r="I296" s="15">
        <v>2161.04</v>
      </c>
      <c r="J296" s="13" t="s">
        <v>140</v>
      </c>
      <c r="K296" s="13" t="s">
        <v>112</v>
      </c>
      <c r="L296" s="34" t="str">
        <f>VLOOKUP(D296,Products!$A$2:$F$61,3,FALSE)</f>
        <v>Grocery</v>
      </c>
      <c r="M296" s="34" t="str">
        <f>VLOOKUP(C296,Customers!$A$2:$F$301,5,FALSE)</f>
        <v>Retail</v>
      </c>
      <c r="N296" s="34">
        <f>VLOOKUP(C296,Customers!$A$2:$F$301,3,FALSE)</f>
        <v>25</v>
      </c>
      <c r="O296" s="34" t="str">
        <f>VLOOKUP(E296,Sales_Reps!$A$2:$E$31,3,FALSE)</f>
        <v>North</v>
      </c>
      <c r="P296" s="13" t="s">
        <v>92</v>
      </c>
      <c r="Q296" s="34">
        <f t="shared" si="12"/>
        <v>782445.33</v>
      </c>
      <c r="R296" s="34" t="str">
        <f>VLOOKUP(E296,Sales_Reps!$A$2:$E$100,3,FALSE)</f>
        <v>North</v>
      </c>
      <c r="S296" s="34" t="str">
        <f t="shared" si="13"/>
        <v>Grocery</v>
      </c>
      <c r="T296" s="38">
        <f>VLOOKUP(D296,Products!$A$2:$F$68,4,FALSE)</f>
        <v>1203</v>
      </c>
    </row>
    <row r="297" spans="1:20" x14ac:dyDescent="0.35">
      <c r="A297" s="13" t="s">
        <v>666</v>
      </c>
      <c r="B297" s="14">
        <v>45405</v>
      </c>
      <c r="C297" s="13" t="s">
        <v>223</v>
      </c>
      <c r="D297" s="13" t="s">
        <v>461</v>
      </c>
      <c r="E297" s="13" t="s">
        <v>111</v>
      </c>
      <c r="F297" s="15">
        <v>8</v>
      </c>
      <c r="G297" s="15">
        <v>3780</v>
      </c>
      <c r="H297" s="15">
        <v>13</v>
      </c>
      <c r="I297" s="15">
        <v>26308.799999999999</v>
      </c>
      <c r="J297" s="13" t="s">
        <v>87</v>
      </c>
      <c r="K297" s="13" t="s">
        <v>99</v>
      </c>
      <c r="L297" s="34" t="str">
        <f>VLOOKUP(D297,Products!$A$2:$F$61,3,FALSE)</f>
        <v>Sports</v>
      </c>
      <c r="M297" s="34" t="str">
        <f>VLOOKUP(C297,Customers!$A$2:$F$301,5,FALSE)</f>
        <v>Retail</v>
      </c>
      <c r="N297" s="34">
        <f>VLOOKUP(C297,Customers!$A$2:$F$301,3,FALSE)</f>
        <v>53</v>
      </c>
      <c r="O297" s="34" t="str">
        <f>VLOOKUP(E297,Sales_Reps!$A$2:$E$31,3,FALSE)</f>
        <v>West</v>
      </c>
      <c r="P297" s="13" t="s">
        <v>111</v>
      </c>
      <c r="Q297" s="34">
        <f t="shared" si="12"/>
        <v>901298.89</v>
      </c>
      <c r="R297" s="34" t="str">
        <f>VLOOKUP(E297,Sales_Reps!$A$2:$E$100,3,FALSE)</f>
        <v>West</v>
      </c>
      <c r="S297" s="34" t="str">
        <f t="shared" si="13"/>
        <v>Sports</v>
      </c>
      <c r="T297" s="38">
        <f>VLOOKUP(D297,Products!$A$2:$F$68,4,FALSE)</f>
        <v>1860</v>
      </c>
    </row>
    <row r="298" spans="1:20" x14ac:dyDescent="0.35">
      <c r="A298" s="13" t="s">
        <v>667</v>
      </c>
      <c r="B298" s="14">
        <v>45537</v>
      </c>
      <c r="C298" s="13" t="s">
        <v>617</v>
      </c>
      <c r="D298" s="13" t="s">
        <v>237</v>
      </c>
      <c r="E298" s="13" t="s">
        <v>325</v>
      </c>
      <c r="F298" s="15">
        <v>1</v>
      </c>
      <c r="G298" s="15">
        <v>3640</v>
      </c>
      <c r="H298" s="15">
        <v>15.3</v>
      </c>
      <c r="I298" s="15">
        <v>3083.08</v>
      </c>
      <c r="J298" s="13" t="s">
        <v>93</v>
      </c>
      <c r="K298" s="13" t="s">
        <v>112</v>
      </c>
      <c r="L298" s="34" t="str">
        <f>VLOOKUP(D298,Products!$A$2:$F$61,3,FALSE)</f>
        <v>Apparel</v>
      </c>
      <c r="M298" s="34" t="str">
        <f>VLOOKUP(C298,Customers!$A$2:$F$301,5,FALSE)</f>
        <v>SMB</v>
      </c>
      <c r="N298" s="34">
        <f>VLOOKUP(C298,Customers!$A$2:$F$301,3,FALSE)</f>
        <v>65</v>
      </c>
      <c r="O298" s="34" t="str">
        <f>VLOOKUP(E298,Sales_Reps!$A$2:$E$31,3,FALSE)</f>
        <v>South</v>
      </c>
      <c r="P298" s="13" t="s">
        <v>325</v>
      </c>
      <c r="Q298" s="34">
        <f t="shared" si="12"/>
        <v>901394.32000000007</v>
      </c>
      <c r="R298" s="34" t="str">
        <f>VLOOKUP(E298,Sales_Reps!$A$2:$E$100,3,FALSE)</f>
        <v>South</v>
      </c>
      <c r="S298" s="34" t="str">
        <f t="shared" si="13"/>
        <v>Apparel</v>
      </c>
      <c r="T298" s="38">
        <f>VLOOKUP(D298,Products!$A$2:$F$68,4,FALSE)</f>
        <v>2611</v>
      </c>
    </row>
    <row r="299" spans="1:20" x14ac:dyDescent="0.35">
      <c r="A299" s="13" t="s">
        <v>668</v>
      </c>
      <c r="B299" s="14">
        <v>45475</v>
      </c>
      <c r="C299" s="13" t="s">
        <v>669</v>
      </c>
      <c r="D299" s="13" t="s">
        <v>267</v>
      </c>
      <c r="E299" s="13" t="s">
        <v>204</v>
      </c>
      <c r="F299" s="15">
        <v>8</v>
      </c>
      <c r="G299" s="15">
        <v>1220</v>
      </c>
      <c r="H299" s="15">
        <v>28.2</v>
      </c>
      <c r="I299" s="15">
        <v>7007.68</v>
      </c>
      <c r="J299" s="13" t="s">
        <v>87</v>
      </c>
      <c r="K299" s="13" t="s">
        <v>133</v>
      </c>
      <c r="L299" s="34" t="str">
        <f>VLOOKUP(D299,Products!$A$2:$F$61,3,FALSE)</f>
        <v>Electronics</v>
      </c>
      <c r="M299" s="34" t="str">
        <f>VLOOKUP(C299,Customers!$A$2:$F$301,5,FALSE)</f>
        <v>Retail</v>
      </c>
      <c r="N299" s="34">
        <f>VLOOKUP(C299,Customers!$A$2:$F$301,3,FALSE)</f>
        <v>31</v>
      </c>
      <c r="O299" s="34" t="str">
        <f>VLOOKUP(E299,Sales_Reps!$A$2:$E$31,3,FALSE)</f>
        <v>South</v>
      </c>
      <c r="P299" s="13" t="s">
        <v>204</v>
      </c>
      <c r="Q299" s="34">
        <f t="shared" si="12"/>
        <v>914554.71999999986</v>
      </c>
      <c r="R299" s="34" t="str">
        <f>VLOOKUP(E299,Sales_Reps!$A$2:$E$100,3,FALSE)</f>
        <v>South</v>
      </c>
      <c r="S299" s="34" t="str">
        <f t="shared" si="13"/>
        <v>Electronics</v>
      </c>
      <c r="T299" s="38">
        <f>VLOOKUP(D299,Products!$A$2:$F$68,4,FALSE)</f>
        <v>517</v>
      </c>
    </row>
    <row r="300" spans="1:20" x14ac:dyDescent="0.35">
      <c r="A300" s="13" t="s">
        <v>670</v>
      </c>
      <c r="B300" s="14">
        <v>45624</v>
      </c>
      <c r="C300" s="13" t="s">
        <v>269</v>
      </c>
      <c r="D300" s="13" t="s">
        <v>355</v>
      </c>
      <c r="E300" s="13" t="s">
        <v>170</v>
      </c>
      <c r="F300" s="15">
        <v>3</v>
      </c>
      <c r="G300" s="15">
        <v>2510</v>
      </c>
      <c r="H300" s="15">
        <v>17.399999999999999</v>
      </c>
      <c r="I300" s="15">
        <v>6219.78</v>
      </c>
      <c r="J300" s="13" t="s">
        <v>87</v>
      </c>
      <c r="K300" s="13" t="s">
        <v>112</v>
      </c>
      <c r="L300" s="34" t="str">
        <f>VLOOKUP(D300,Products!$A$2:$F$61,3,FALSE)</f>
        <v>Apparel</v>
      </c>
      <c r="M300" s="34" t="str">
        <f>VLOOKUP(C300,Customers!$A$2:$F$301,5,FALSE)</f>
        <v>Retail</v>
      </c>
      <c r="N300" s="34">
        <f>VLOOKUP(C300,Customers!$A$2:$F$301,3,FALSE)</f>
        <v>40</v>
      </c>
      <c r="O300" s="34" t="str">
        <f>VLOOKUP(E300,Sales_Reps!$A$2:$E$31,3,FALSE)</f>
        <v>West</v>
      </c>
      <c r="P300" s="13" t="s">
        <v>170</v>
      </c>
      <c r="Q300" s="34">
        <f t="shared" si="12"/>
        <v>747624.36999999988</v>
      </c>
      <c r="R300" s="34" t="str">
        <f>VLOOKUP(E300,Sales_Reps!$A$2:$E$100,3,FALSE)</f>
        <v>West</v>
      </c>
      <c r="S300" s="34" t="str">
        <f t="shared" si="13"/>
        <v>Apparel</v>
      </c>
      <c r="T300" s="38">
        <f>VLOOKUP(D300,Products!$A$2:$F$68,4,FALSE)</f>
        <v>1075</v>
      </c>
    </row>
    <row r="301" spans="1:20" x14ac:dyDescent="0.35">
      <c r="A301" s="13" t="s">
        <v>671</v>
      </c>
      <c r="B301" s="14">
        <v>45635</v>
      </c>
      <c r="C301" s="13" t="s">
        <v>565</v>
      </c>
      <c r="D301" s="13" t="s">
        <v>164</v>
      </c>
      <c r="E301" s="13" t="s">
        <v>139</v>
      </c>
      <c r="F301" s="15">
        <v>1</v>
      </c>
      <c r="G301" s="15">
        <v>1080</v>
      </c>
      <c r="H301" s="15">
        <v>13.9</v>
      </c>
      <c r="I301" s="15">
        <v>929.88</v>
      </c>
      <c r="J301" s="13" t="s">
        <v>87</v>
      </c>
      <c r="K301" s="13" t="s">
        <v>112</v>
      </c>
      <c r="L301" s="34" t="str">
        <f>VLOOKUP(D301,Products!$A$2:$F$61,3,FALSE)</f>
        <v>Home</v>
      </c>
      <c r="M301" s="34" t="str">
        <f>VLOOKUP(C301,Customers!$A$2:$F$301,5,FALSE)</f>
        <v>SMB</v>
      </c>
      <c r="N301" s="34">
        <f>VLOOKUP(C301,Customers!$A$2:$F$301,3,FALSE)</f>
        <v>61</v>
      </c>
      <c r="O301" s="34" t="str">
        <f>VLOOKUP(E301,Sales_Reps!$A$2:$E$31,3,FALSE)</f>
        <v>North</v>
      </c>
      <c r="P301" s="13" t="s">
        <v>139</v>
      </c>
      <c r="Q301" s="34">
        <f t="shared" si="12"/>
        <v>589026.2899999998</v>
      </c>
      <c r="R301" s="34" t="str">
        <f>VLOOKUP(E301,Sales_Reps!$A$2:$E$100,3,FALSE)</f>
        <v>North</v>
      </c>
      <c r="S301" s="34" t="str">
        <f t="shared" si="13"/>
        <v>Home</v>
      </c>
      <c r="T301" s="38">
        <f>VLOOKUP(D301,Products!$A$2:$F$68,4,FALSE)</f>
        <v>519</v>
      </c>
    </row>
    <row r="302" spans="1:20" x14ac:dyDescent="0.35">
      <c r="A302" s="13" t="s">
        <v>672</v>
      </c>
      <c r="B302" s="14">
        <v>45395</v>
      </c>
      <c r="C302" s="13" t="s">
        <v>673</v>
      </c>
      <c r="D302" s="13" t="s">
        <v>295</v>
      </c>
      <c r="E302" s="13" t="s">
        <v>346</v>
      </c>
      <c r="F302" s="15">
        <v>7</v>
      </c>
      <c r="G302" s="15">
        <v>2030</v>
      </c>
      <c r="H302" s="15">
        <v>29.2</v>
      </c>
      <c r="I302" s="15">
        <v>10060.68</v>
      </c>
      <c r="J302" s="13" t="s">
        <v>87</v>
      </c>
      <c r="K302" s="13" t="s">
        <v>112</v>
      </c>
      <c r="L302" s="34" t="str">
        <f>VLOOKUP(D302,Products!$A$2:$F$61,3,FALSE)</f>
        <v>Home</v>
      </c>
      <c r="M302" s="34" t="str">
        <f>VLOOKUP(C302,Customers!$A$2:$F$301,5,FALSE)</f>
        <v>Retail</v>
      </c>
      <c r="N302" s="34">
        <f>VLOOKUP(C302,Customers!$A$2:$F$301,3,FALSE)</f>
        <v>35</v>
      </c>
      <c r="O302" s="34" t="str">
        <f>VLOOKUP(E302,Sales_Reps!$A$2:$E$31,3,FALSE)</f>
        <v>South</v>
      </c>
      <c r="P302" s="13" t="s">
        <v>346</v>
      </c>
      <c r="Q302" s="34">
        <f t="shared" si="12"/>
        <v>814563.7100000002</v>
      </c>
      <c r="R302" s="34" t="str">
        <f>VLOOKUP(E302,Sales_Reps!$A$2:$E$100,3,FALSE)</f>
        <v>South</v>
      </c>
      <c r="S302" s="34" t="str">
        <f t="shared" si="13"/>
        <v>Home</v>
      </c>
      <c r="T302" s="38">
        <f>VLOOKUP(D302,Products!$A$2:$F$68,4,FALSE)</f>
        <v>1143</v>
      </c>
    </row>
    <row r="303" spans="1:20" x14ac:dyDescent="0.35">
      <c r="A303" s="13" t="s">
        <v>674</v>
      </c>
      <c r="B303" s="14">
        <v>45415</v>
      </c>
      <c r="C303" s="13" t="s">
        <v>169</v>
      </c>
      <c r="D303" s="13" t="s">
        <v>461</v>
      </c>
      <c r="E303" s="13" t="s">
        <v>192</v>
      </c>
      <c r="F303" s="15">
        <v>6</v>
      </c>
      <c r="G303" s="15">
        <v>3780</v>
      </c>
      <c r="H303" s="15">
        <v>20.9</v>
      </c>
      <c r="I303" s="15">
        <v>17939.88</v>
      </c>
      <c r="J303" s="13" t="s">
        <v>144</v>
      </c>
      <c r="K303" s="13" t="s">
        <v>112</v>
      </c>
      <c r="L303" s="34" t="str">
        <f>VLOOKUP(D303,Products!$A$2:$F$61,3,FALSE)</f>
        <v>Sports</v>
      </c>
      <c r="M303" s="34" t="str">
        <f>VLOOKUP(C303,Customers!$A$2:$F$301,5,FALSE)</f>
        <v>Retail</v>
      </c>
      <c r="N303" s="34">
        <f>VLOOKUP(C303,Customers!$A$2:$F$301,3,FALSE)</f>
        <v>34</v>
      </c>
      <c r="O303" s="34" t="str">
        <f>VLOOKUP(E303,Sales_Reps!$A$2:$E$31,3,FALSE)</f>
        <v>East</v>
      </c>
      <c r="P303" s="13" t="s">
        <v>192</v>
      </c>
      <c r="Q303" s="34">
        <f t="shared" si="12"/>
        <v>906107.71000000008</v>
      </c>
      <c r="R303" s="34" t="str">
        <f>VLOOKUP(E303,Sales_Reps!$A$2:$E$100,3,FALSE)</f>
        <v>East</v>
      </c>
      <c r="S303" s="34" t="str">
        <f t="shared" si="13"/>
        <v>Sports</v>
      </c>
      <c r="T303" s="38">
        <f>VLOOKUP(D303,Products!$A$2:$F$68,4,FALSE)</f>
        <v>1860</v>
      </c>
    </row>
    <row r="304" spans="1:20" x14ac:dyDescent="0.35">
      <c r="A304" s="13" t="s">
        <v>675</v>
      </c>
      <c r="B304" s="14">
        <v>45653</v>
      </c>
      <c r="C304" s="13" t="s">
        <v>676</v>
      </c>
      <c r="D304" s="13" t="s">
        <v>106</v>
      </c>
      <c r="E304" s="13" t="s">
        <v>346</v>
      </c>
      <c r="F304" s="15">
        <v>1</v>
      </c>
      <c r="G304" s="15">
        <v>3160</v>
      </c>
      <c r="H304" s="15">
        <v>10.7</v>
      </c>
      <c r="I304" s="15">
        <v>2821.88</v>
      </c>
      <c r="J304" s="13" t="s">
        <v>87</v>
      </c>
      <c r="K304" s="13" t="s">
        <v>88</v>
      </c>
      <c r="L304" s="34" t="str">
        <f>VLOOKUP(D304,Products!$A$2:$F$61,3,FALSE)</f>
        <v>Apparel</v>
      </c>
      <c r="M304" s="34" t="str">
        <f>VLOOKUP(C304,Customers!$A$2:$F$301,5,FALSE)</f>
        <v>SMB</v>
      </c>
      <c r="N304" s="34">
        <f>VLOOKUP(C304,Customers!$A$2:$F$301,3,FALSE)</f>
        <v>35</v>
      </c>
      <c r="O304" s="34" t="str">
        <f>VLOOKUP(E304,Sales_Reps!$A$2:$E$31,3,FALSE)</f>
        <v>South</v>
      </c>
      <c r="P304" s="13" t="s">
        <v>346</v>
      </c>
      <c r="Q304" s="34">
        <f t="shared" si="12"/>
        <v>814563.7100000002</v>
      </c>
      <c r="R304" s="34" t="str">
        <f>VLOOKUP(E304,Sales_Reps!$A$2:$E$100,3,FALSE)</f>
        <v>South</v>
      </c>
      <c r="S304" s="34" t="str">
        <f t="shared" si="13"/>
        <v>Apparel</v>
      </c>
      <c r="T304" s="38">
        <f>VLOOKUP(D304,Products!$A$2:$F$68,4,FALSE)</f>
        <v>1886</v>
      </c>
    </row>
    <row r="305" spans="1:20" x14ac:dyDescent="0.35">
      <c r="A305" s="13" t="s">
        <v>677</v>
      </c>
      <c r="B305" s="14">
        <v>45564</v>
      </c>
      <c r="C305" s="13" t="s">
        <v>294</v>
      </c>
      <c r="D305" s="13" t="s">
        <v>184</v>
      </c>
      <c r="E305" s="13" t="s">
        <v>132</v>
      </c>
      <c r="F305" s="15">
        <v>5</v>
      </c>
      <c r="G305" s="15">
        <v>4880</v>
      </c>
      <c r="H305" s="15">
        <v>11.4</v>
      </c>
      <c r="I305" s="15">
        <v>21618.400000000001</v>
      </c>
      <c r="J305" s="13" t="s">
        <v>87</v>
      </c>
      <c r="K305" s="13" t="s">
        <v>133</v>
      </c>
      <c r="L305" s="34" t="str">
        <f>VLOOKUP(D305,Products!$A$2:$F$61,3,FALSE)</f>
        <v>Beauty</v>
      </c>
      <c r="M305" s="34" t="str">
        <f>VLOOKUP(C305,Customers!$A$2:$F$301,5,FALSE)</f>
        <v>SMB</v>
      </c>
      <c r="N305" s="34">
        <f>VLOOKUP(C305,Customers!$A$2:$F$301,3,FALSE)</f>
        <v>43</v>
      </c>
      <c r="O305" s="34" t="str">
        <f>VLOOKUP(E305,Sales_Reps!$A$2:$E$31,3,FALSE)</f>
        <v>South</v>
      </c>
      <c r="P305" s="13" t="s">
        <v>132</v>
      </c>
      <c r="Q305" s="34">
        <f t="shared" si="12"/>
        <v>880345.20000000007</v>
      </c>
      <c r="R305" s="34" t="str">
        <f>VLOOKUP(E305,Sales_Reps!$A$2:$E$100,3,FALSE)</f>
        <v>South</v>
      </c>
      <c r="S305" s="34" t="str">
        <f t="shared" si="13"/>
        <v>Beauty</v>
      </c>
      <c r="T305" s="38">
        <f>VLOOKUP(D305,Products!$A$2:$F$68,4,FALSE)</f>
        <v>2768</v>
      </c>
    </row>
    <row r="306" spans="1:20" x14ac:dyDescent="0.35">
      <c r="A306" s="13" t="s">
        <v>678</v>
      </c>
      <c r="B306" s="14">
        <v>45633</v>
      </c>
      <c r="C306" s="13" t="s">
        <v>638</v>
      </c>
      <c r="D306" s="13" t="s">
        <v>226</v>
      </c>
      <c r="E306" s="13" t="s">
        <v>204</v>
      </c>
      <c r="F306" s="15">
        <v>9</v>
      </c>
      <c r="G306" s="15">
        <v>3730</v>
      </c>
      <c r="H306" s="15">
        <v>10</v>
      </c>
      <c r="I306" s="15">
        <v>30213</v>
      </c>
      <c r="J306" s="13" t="s">
        <v>87</v>
      </c>
      <c r="K306" s="13" t="s">
        <v>99</v>
      </c>
      <c r="L306" s="34" t="str">
        <f>VLOOKUP(D306,Products!$A$2:$F$61,3,FALSE)</f>
        <v>Home</v>
      </c>
      <c r="M306" s="34" t="str">
        <f>VLOOKUP(C306,Customers!$A$2:$F$301,5,FALSE)</f>
        <v>Retail</v>
      </c>
      <c r="N306" s="34">
        <f>VLOOKUP(C306,Customers!$A$2:$F$301,3,FALSE)</f>
        <v>43</v>
      </c>
      <c r="O306" s="34" t="str">
        <f>VLOOKUP(E306,Sales_Reps!$A$2:$E$31,3,FALSE)</f>
        <v>South</v>
      </c>
      <c r="P306" s="13" t="s">
        <v>204</v>
      </c>
      <c r="Q306" s="34">
        <f t="shared" si="12"/>
        <v>914554.71999999986</v>
      </c>
      <c r="R306" s="34" t="str">
        <f>VLOOKUP(E306,Sales_Reps!$A$2:$E$100,3,FALSE)</f>
        <v>South</v>
      </c>
      <c r="S306" s="34" t="str">
        <f t="shared" si="13"/>
        <v>Home</v>
      </c>
      <c r="T306" s="38">
        <f>VLOOKUP(D306,Products!$A$2:$F$68,4,FALSE)</f>
        <v>2135</v>
      </c>
    </row>
    <row r="307" spans="1:20" x14ac:dyDescent="0.35">
      <c r="A307" s="13" t="s">
        <v>679</v>
      </c>
      <c r="B307" s="14">
        <v>45309</v>
      </c>
      <c r="C307" s="13" t="s">
        <v>680</v>
      </c>
      <c r="D307" s="13" t="s">
        <v>443</v>
      </c>
      <c r="E307" s="13" t="s">
        <v>139</v>
      </c>
      <c r="F307" s="15">
        <v>5</v>
      </c>
      <c r="G307" s="15">
        <v>5080</v>
      </c>
      <c r="H307" s="15">
        <v>15.3</v>
      </c>
      <c r="I307" s="15">
        <v>21513.8</v>
      </c>
      <c r="J307" s="13" t="s">
        <v>87</v>
      </c>
      <c r="K307" s="13" t="s">
        <v>94</v>
      </c>
      <c r="L307" s="34" t="str">
        <f>VLOOKUP(D307,Products!$A$2:$F$61,3,FALSE)</f>
        <v>Home</v>
      </c>
      <c r="M307" s="34" t="str">
        <f>VLOOKUP(C307,Customers!$A$2:$F$301,5,FALSE)</f>
        <v>Retail</v>
      </c>
      <c r="N307" s="34">
        <f>VLOOKUP(C307,Customers!$A$2:$F$301,3,FALSE)</f>
        <v>26</v>
      </c>
      <c r="O307" s="34" t="str">
        <f>VLOOKUP(E307,Sales_Reps!$A$2:$E$31,3,FALSE)</f>
        <v>North</v>
      </c>
      <c r="P307" s="13" t="s">
        <v>139</v>
      </c>
      <c r="Q307" s="34">
        <f t="shared" si="12"/>
        <v>589026.2899999998</v>
      </c>
      <c r="R307" s="34" t="str">
        <f>VLOOKUP(E307,Sales_Reps!$A$2:$E$100,3,FALSE)</f>
        <v>North</v>
      </c>
      <c r="S307" s="34" t="str">
        <f t="shared" si="13"/>
        <v>Home</v>
      </c>
      <c r="T307" s="38">
        <f>VLOOKUP(D307,Products!$A$2:$F$68,4,FALSE)</f>
        <v>2459</v>
      </c>
    </row>
    <row r="308" spans="1:20" x14ac:dyDescent="0.35">
      <c r="A308" s="13" t="s">
        <v>681</v>
      </c>
      <c r="B308" s="14">
        <v>45403</v>
      </c>
      <c r="C308" s="13" t="s">
        <v>160</v>
      </c>
      <c r="D308" s="13" t="s">
        <v>386</v>
      </c>
      <c r="E308" s="13" t="s">
        <v>252</v>
      </c>
      <c r="F308" s="15">
        <v>9</v>
      </c>
      <c r="G308" s="15">
        <v>2290</v>
      </c>
      <c r="H308" s="15">
        <v>3.3</v>
      </c>
      <c r="I308" s="15">
        <v>19929.87</v>
      </c>
      <c r="J308" s="13" t="s">
        <v>93</v>
      </c>
      <c r="K308" s="13" t="s">
        <v>112</v>
      </c>
      <c r="L308" s="34" t="str">
        <f>VLOOKUP(D308,Products!$A$2:$F$61,3,FALSE)</f>
        <v>Beauty</v>
      </c>
      <c r="M308" s="34" t="str">
        <f>VLOOKUP(C308,Customers!$A$2:$F$301,5,FALSE)</f>
        <v>Retail</v>
      </c>
      <c r="N308" s="34">
        <f>VLOOKUP(C308,Customers!$A$2:$F$301,3,FALSE)</f>
        <v>54</v>
      </c>
      <c r="O308" s="34" t="str">
        <f>VLOOKUP(E308,Sales_Reps!$A$2:$E$31,3,FALSE)</f>
        <v>South</v>
      </c>
      <c r="P308" s="13" t="s">
        <v>252</v>
      </c>
      <c r="Q308" s="34">
        <f t="shared" si="12"/>
        <v>811524.37999999989</v>
      </c>
      <c r="R308" s="34" t="str">
        <f>VLOOKUP(E308,Sales_Reps!$A$2:$E$100,3,FALSE)</f>
        <v>South</v>
      </c>
      <c r="S308" s="34" t="str">
        <f t="shared" si="13"/>
        <v>Beauty</v>
      </c>
      <c r="T308" s="38">
        <f>VLOOKUP(D308,Products!$A$2:$F$68,4,FALSE)</f>
        <v>1219</v>
      </c>
    </row>
    <row r="309" spans="1:20" x14ac:dyDescent="0.35">
      <c r="A309" s="13" t="s">
        <v>682</v>
      </c>
      <c r="B309" s="14">
        <v>45554</v>
      </c>
      <c r="C309" s="13" t="s">
        <v>546</v>
      </c>
      <c r="D309" s="13" t="s">
        <v>279</v>
      </c>
      <c r="E309" s="13" t="s">
        <v>132</v>
      </c>
      <c r="F309" s="15">
        <v>5</v>
      </c>
      <c r="G309" s="15">
        <v>2660</v>
      </c>
      <c r="H309" s="15">
        <v>8.3000000000000007</v>
      </c>
      <c r="I309" s="15">
        <v>12196.1</v>
      </c>
      <c r="J309" s="13" t="s">
        <v>87</v>
      </c>
      <c r="K309" s="13" t="s">
        <v>99</v>
      </c>
      <c r="L309" s="34" t="str">
        <f>VLOOKUP(D309,Products!$A$2:$F$61,3,FALSE)</f>
        <v>Electronics</v>
      </c>
      <c r="M309" s="34" t="str">
        <f>VLOOKUP(C309,Customers!$A$2:$F$301,5,FALSE)</f>
        <v>SMB</v>
      </c>
      <c r="N309" s="34">
        <f>VLOOKUP(C309,Customers!$A$2:$F$301,3,FALSE)</f>
        <v>29</v>
      </c>
      <c r="O309" s="34" t="str">
        <f>VLOOKUP(E309,Sales_Reps!$A$2:$E$31,3,FALSE)</f>
        <v>South</v>
      </c>
      <c r="P309" s="13" t="s">
        <v>132</v>
      </c>
      <c r="Q309" s="34">
        <f t="shared" si="12"/>
        <v>880345.20000000007</v>
      </c>
      <c r="R309" s="34" t="str">
        <f>VLOOKUP(E309,Sales_Reps!$A$2:$E$100,3,FALSE)</f>
        <v>South</v>
      </c>
      <c r="S309" s="34" t="str">
        <f t="shared" si="13"/>
        <v>Electronics</v>
      </c>
      <c r="T309" s="38">
        <f>VLOOKUP(D309,Products!$A$2:$F$68,4,FALSE)</f>
        <v>1259</v>
      </c>
    </row>
    <row r="310" spans="1:20" x14ac:dyDescent="0.35">
      <c r="A310" s="13" t="s">
        <v>683</v>
      </c>
      <c r="B310" s="14">
        <v>45529</v>
      </c>
      <c r="C310" s="13" t="s">
        <v>684</v>
      </c>
      <c r="D310" s="13" t="s">
        <v>234</v>
      </c>
      <c r="E310" s="13" t="s">
        <v>111</v>
      </c>
      <c r="F310" s="15">
        <v>6</v>
      </c>
      <c r="G310" s="15">
        <v>3780</v>
      </c>
      <c r="H310" s="15">
        <v>28.3</v>
      </c>
      <c r="I310" s="15">
        <v>16261.56</v>
      </c>
      <c r="J310" s="13" t="s">
        <v>87</v>
      </c>
      <c r="K310" s="13" t="s">
        <v>99</v>
      </c>
      <c r="L310" s="34" t="str">
        <f>VLOOKUP(D310,Products!$A$2:$F$61,3,FALSE)</f>
        <v>Grocery</v>
      </c>
      <c r="M310" s="34" t="str">
        <f>VLOOKUP(C310,Customers!$A$2:$F$301,5,FALSE)</f>
        <v>Retail</v>
      </c>
      <c r="N310" s="34">
        <f>VLOOKUP(C310,Customers!$A$2:$F$301,3,FALSE)</f>
        <v>41</v>
      </c>
      <c r="O310" s="34" t="str">
        <f>VLOOKUP(E310,Sales_Reps!$A$2:$E$31,3,FALSE)</f>
        <v>West</v>
      </c>
      <c r="P310" s="13" t="s">
        <v>111</v>
      </c>
      <c r="Q310" s="34">
        <f t="shared" si="12"/>
        <v>901298.89</v>
      </c>
      <c r="R310" s="34" t="str">
        <f>VLOOKUP(E310,Sales_Reps!$A$2:$E$100,3,FALSE)</f>
        <v>West</v>
      </c>
      <c r="S310" s="34" t="str">
        <f t="shared" si="13"/>
        <v>Grocery</v>
      </c>
      <c r="T310" s="38">
        <f>VLOOKUP(D310,Products!$A$2:$F$68,4,FALSE)</f>
        <v>2436</v>
      </c>
    </row>
    <row r="311" spans="1:20" x14ac:dyDescent="0.35">
      <c r="A311" s="13" t="s">
        <v>685</v>
      </c>
      <c r="B311" s="14">
        <v>45300</v>
      </c>
      <c r="C311" s="13" t="s">
        <v>686</v>
      </c>
      <c r="D311" s="13" t="s">
        <v>200</v>
      </c>
      <c r="E311" s="13" t="s">
        <v>128</v>
      </c>
      <c r="F311" s="15">
        <v>5</v>
      </c>
      <c r="G311" s="15">
        <v>2760</v>
      </c>
      <c r="H311" s="15">
        <v>4.9000000000000004</v>
      </c>
      <c r="I311" s="15">
        <v>13123.8</v>
      </c>
      <c r="J311" s="13" t="s">
        <v>87</v>
      </c>
      <c r="K311" s="13" t="s">
        <v>112</v>
      </c>
      <c r="L311" s="34" t="str">
        <f>VLOOKUP(D311,Products!$A$2:$F$61,3,FALSE)</f>
        <v>Grocery</v>
      </c>
      <c r="M311" s="34" t="str">
        <f>VLOOKUP(C311,Customers!$A$2:$F$301,5,FALSE)</f>
        <v>Retail</v>
      </c>
      <c r="N311" s="34">
        <f>VLOOKUP(C311,Customers!$A$2:$F$301,3,FALSE)</f>
        <v>35</v>
      </c>
      <c r="O311" s="34" t="str">
        <f>VLOOKUP(E311,Sales_Reps!$A$2:$E$31,3,FALSE)</f>
        <v>West</v>
      </c>
      <c r="P311" s="13" t="s">
        <v>128</v>
      </c>
      <c r="Q311" s="34">
        <f t="shared" si="12"/>
        <v>880468.05</v>
      </c>
      <c r="R311" s="34" t="str">
        <f>VLOOKUP(E311,Sales_Reps!$A$2:$E$100,3,FALSE)</f>
        <v>West</v>
      </c>
      <c r="S311" s="34" t="str">
        <f t="shared" si="13"/>
        <v>Grocery</v>
      </c>
      <c r="T311" s="38">
        <f>VLOOKUP(D311,Products!$A$2:$F$68,4,FALSE)</f>
        <v>1435</v>
      </c>
    </row>
    <row r="312" spans="1:20" x14ac:dyDescent="0.35">
      <c r="A312" s="13" t="s">
        <v>687</v>
      </c>
      <c r="B312" s="14">
        <v>45368</v>
      </c>
      <c r="C312" s="13" t="s">
        <v>333</v>
      </c>
      <c r="D312" s="13" t="s">
        <v>259</v>
      </c>
      <c r="E312" s="13" t="s">
        <v>103</v>
      </c>
      <c r="F312" s="15">
        <v>8</v>
      </c>
      <c r="G312" s="15">
        <v>1540</v>
      </c>
      <c r="H312" s="15">
        <v>29.4</v>
      </c>
      <c r="I312" s="15">
        <v>8697.92</v>
      </c>
      <c r="J312" s="13" t="s">
        <v>140</v>
      </c>
      <c r="K312" s="13" t="s">
        <v>133</v>
      </c>
      <c r="L312" s="34" t="str">
        <f>VLOOKUP(D312,Products!$A$2:$F$61,3,FALSE)</f>
        <v>Beauty</v>
      </c>
      <c r="M312" s="34" t="str">
        <f>VLOOKUP(C312,Customers!$A$2:$F$301,5,FALSE)</f>
        <v>SMB</v>
      </c>
      <c r="N312" s="34">
        <f>VLOOKUP(C312,Customers!$A$2:$F$301,3,FALSE)</f>
        <v>65</v>
      </c>
      <c r="O312" s="34" t="str">
        <f>VLOOKUP(E312,Sales_Reps!$A$2:$E$31,3,FALSE)</f>
        <v>North</v>
      </c>
      <c r="P312" s="13" t="s">
        <v>103</v>
      </c>
      <c r="Q312" s="34">
        <f t="shared" si="12"/>
        <v>1138648.73</v>
      </c>
      <c r="R312" s="34" t="str">
        <f>VLOOKUP(E312,Sales_Reps!$A$2:$E$100,3,FALSE)</f>
        <v>North</v>
      </c>
      <c r="S312" s="34" t="str">
        <f t="shared" si="13"/>
        <v>Beauty</v>
      </c>
      <c r="T312" s="38">
        <f>VLOOKUP(D312,Products!$A$2:$F$68,4,FALSE)</f>
        <v>647</v>
      </c>
    </row>
    <row r="313" spans="1:20" x14ac:dyDescent="0.35">
      <c r="A313" s="13" t="s">
        <v>688</v>
      </c>
      <c r="B313" s="14">
        <v>45374</v>
      </c>
      <c r="C313" s="13" t="s">
        <v>689</v>
      </c>
      <c r="D313" s="13" t="s">
        <v>184</v>
      </c>
      <c r="E313" s="13" t="s">
        <v>285</v>
      </c>
      <c r="F313" s="15">
        <v>1</v>
      </c>
      <c r="G313" s="15">
        <v>4880</v>
      </c>
      <c r="H313" s="15">
        <v>18.100000000000001</v>
      </c>
      <c r="I313" s="15">
        <v>3996.72</v>
      </c>
      <c r="J313" s="13" t="s">
        <v>87</v>
      </c>
      <c r="K313" s="13" t="s">
        <v>133</v>
      </c>
      <c r="L313" s="34" t="str">
        <f>VLOOKUP(D313,Products!$A$2:$F$61,3,FALSE)</f>
        <v>Beauty</v>
      </c>
      <c r="M313" s="34" t="str">
        <f>VLOOKUP(C313,Customers!$A$2:$F$301,5,FALSE)</f>
        <v>Retail</v>
      </c>
      <c r="N313" s="34">
        <f>VLOOKUP(C313,Customers!$A$2:$F$301,3,FALSE)</f>
        <v>28</v>
      </c>
      <c r="O313" s="34" t="str">
        <f>VLOOKUP(E313,Sales_Reps!$A$2:$E$31,3,FALSE)</f>
        <v>East</v>
      </c>
      <c r="P313" s="13" t="s">
        <v>285</v>
      </c>
      <c r="Q313" s="34">
        <f t="shared" si="12"/>
        <v>1069570.5400000003</v>
      </c>
      <c r="R313" s="34" t="str">
        <f>VLOOKUP(E313,Sales_Reps!$A$2:$E$100,3,FALSE)</f>
        <v>East</v>
      </c>
      <c r="S313" s="34" t="str">
        <f t="shared" si="13"/>
        <v>Beauty</v>
      </c>
      <c r="T313" s="38">
        <f>VLOOKUP(D313,Products!$A$2:$F$68,4,FALSE)</f>
        <v>2768</v>
      </c>
    </row>
    <row r="314" spans="1:20" x14ac:dyDescent="0.35">
      <c r="A314" s="13" t="s">
        <v>690</v>
      </c>
      <c r="B314" s="14">
        <v>45592</v>
      </c>
      <c r="C314" s="13" t="s">
        <v>482</v>
      </c>
      <c r="D314" s="13" t="s">
        <v>131</v>
      </c>
      <c r="E314" s="13" t="s">
        <v>188</v>
      </c>
      <c r="F314" s="15">
        <v>8</v>
      </c>
      <c r="G314" s="15">
        <v>2270</v>
      </c>
      <c r="H314" s="15">
        <v>19.8</v>
      </c>
      <c r="I314" s="15">
        <v>14564.32</v>
      </c>
      <c r="J314" s="13" t="s">
        <v>93</v>
      </c>
      <c r="K314" s="13" t="s">
        <v>133</v>
      </c>
      <c r="L314" s="34" t="str">
        <f>VLOOKUP(D314,Products!$A$2:$F$61,3,FALSE)</f>
        <v>Grocery</v>
      </c>
      <c r="M314" s="34" t="str">
        <f>VLOOKUP(C314,Customers!$A$2:$F$301,5,FALSE)</f>
        <v>Corporate</v>
      </c>
      <c r="N314" s="34">
        <f>VLOOKUP(C314,Customers!$A$2:$F$301,3,FALSE)</f>
        <v>52</v>
      </c>
      <c r="O314" s="34" t="str">
        <f>VLOOKUP(E314,Sales_Reps!$A$2:$E$31,3,FALSE)</f>
        <v>South</v>
      </c>
      <c r="P314" s="13" t="s">
        <v>188</v>
      </c>
      <c r="Q314" s="34">
        <f t="shared" si="12"/>
        <v>1091740.1799999997</v>
      </c>
      <c r="R314" s="34" t="str">
        <f>VLOOKUP(E314,Sales_Reps!$A$2:$E$100,3,FALSE)</f>
        <v>South</v>
      </c>
      <c r="S314" s="34" t="str">
        <f t="shared" si="13"/>
        <v>Grocery</v>
      </c>
      <c r="T314" s="38">
        <f>VLOOKUP(D314,Products!$A$2:$F$68,4,FALSE)</f>
        <v>1203</v>
      </c>
    </row>
    <row r="315" spans="1:20" x14ac:dyDescent="0.35">
      <c r="A315" s="13" t="s">
        <v>691</v>
      </c>
      <c r="B315" s="14">
        <v>45508</v>
      </c>
      <c r="C315" s="13" t="s">
        <v>615</v>
      </c>
      <c r="D315" s="13" t="s">
        <v>167</v>
      </c>
      <c r="E315" s="13" t="s">
        <v>132</v>
      </c>
      <c r="F315" s="15">
        <v>10</v>
      </c>
      <c r="G315" s="15">
        <v>2480</v>
      </c>
      <c r="H315" s="15">
        <v>24.4</v>
      </c>
      <c r="I315" s="15">
        <v>18748.8</v>
      </c>
      <c r="J315" s="13" t="s">
        <v>93</v>
      </c>
      <c r="K315" s="13" t="s">
        <v>112</v>
      </c>
      <c r="L315" s="34" t="str">
        <f>VLOOKUP(D315,Products!$A$2:$F$61,3,FALSE)</f>
        <v>Apparel</v>
      </c>
      <c r="M315" s="34" t="str">
        <f>VLOOKUP(C315,Customers!$A$2:$F$301,5,FALSE)</f>
        <v>Retail</v>
      </c>
      <c r="N315" s="34">
        <f>VLOOKUP(C315,Customers!$A$2:$F$301,3,FALSE)</f>
        <v>53</v>
      </c>
      <c r="O315" s="34" t="str">
        <f>VLOOKUP(E315,Sales_Reps!$A$2:$E$31,3,FALSE)</f>
        <v>South</v>
      </c>
      <c r="P315" s="13" t="s">
        <v>132</v>
      </c>
      <c r="Q315" s="34">
        <f t="shared" si="12"/>
        <v>880345.20000000007</v>
      </c>
      <c r="R315" s="34" t="str">
        <f>VLOOKUP(E315,Sales_Reps!$A$2:$E$100,3,FALSE)</f>
        <v>South</v>
      </c>
      <c r="S315" s="34" t="str">
        <f t="shared" si="13"/>
        <v>Apparel</v>
      </c>
      <c r="T315" s="38">
        <f>VLOOKUP(D315,Products!$A$2:$F$68,4,FALSE)</f>
        <v>1173</v>
      </c>
    </row>
    <row r="316" spans="1:20" x14ac:dyDescent="0.35">
      <c r="A316" s="13" t="s">
        <v>692</v>
      </c>
      <c r="B316" s="14">
        <v>45481</v>
      </c>
      <c r="C316" s="13" t="s">
        <v>130</v>
      </c>
      <c r="D316" s="13" t="s">
        <v>276</v>
      </c>
      <c r="E316" s="13" t="s">
        <v>98</v>
      </c>
      <c r="F316" s="15">
        <v>8</v>
      </c>
      <c r="G316" s="15">
        <v>3020</v>
      </c>
      <c r="H316" s="15">
        <v>15.2</v>
      </c>
      <c r="I316" s="15">
        <v>20487.68</v>
      </c>
      <c r="J316" s="13" t="s">
        <v>93</v>
      </c>
      <c r="K316" s="13" t="s">
        <v>133</v>
      </c>
      <c r="L316" s="34" t="str">
        <f>VLOOKUP(D316,Products!$A$2:$F$61,3,FALSE)</f>
        <v>Beauty</v>
      </c>
      <c r="M316" s="34" t="str">
        <f>VLOOKUP(C316,Customers!$A$2:$F$301,5,FALSE)</f>
        <v>Retail</v>
      </c>
      <c r="N316" s="34">
        <f>VLOOKUP(C316,Customers!$A$2:$F$301,3,FALSE)</f>
        <v>60</v>
      </c>
      <c r="O316" s="34" t="str">
        <f>VLOOKUP(E316,Sales_Reps!$A$2:$E$31,3,FALSE)</f>
        <v>South</v>
      </c>
      <c r="P316" s="13" t="s">
        <v>98</v>
      </c>
      <c r="Q316" s="34">
        <f t="shared" si="12"/>
        <v>995713.54000000015</v>
      </c>
      <c r="R316" s="34" t="str">
        <f>VLOOKUP(E316,Sales_Reps!$A$2:$E$100,3,FALSE)</f>
        <v>South</v>
      </c>
      <c r="S316" s="34" t="str">
        <f t="shared" si="13"/>
        <v>Beauty</v>
      </c>
      <c r="T316" s="38">
        <f>VLOOKUP(D316,Products!$A$2:$F$68,4,FALSE)</f>
        <v>1626</v>
      </c>
    </row>
    <row r="317" spans="1:20" x14ac:dyDescent="0.35">
      <c r="A317" s="13" t="s">
        <v>693</v>
      </c>
      <c r="B317" s="14">
        <v>45517</v>
      </c>
      <c r="C317" s="13" t="s">
        <v>328</v>
      </c>
      <c r="D317" s="13" t="s">
        <v>259</v>
      </c>
      <c r="E317" s="13" t="s">
        <v>121</v>
      </c>
      <c r="F317" s="15">
        <v>10</v>
      </c>
      <c r="G317" s="15">
        <v>1540</v>
      </c>
      <c r="H317" s="15">
        <v>0.6</v>
      </c>
      <c r="I317" s="15">
        <v>15307.6</v>
      </c>
      <c r="J317" s="13" t="s">
        <v>87</v>
      </c>
      <c r="K317" s="13" t="s">
        <v>94</v>
      </c>
      <c r="L317" s="34" t="str">
        <f>VLOOKUP(D317,Products!$A$2:$F$61,3,FALSE)</f>
        <v>Beauty</v>
      </c>
      <c r="M317" s="34" t="str">
        <f>VLOOKUP(C317,Customers!$A$2:$F$301,5,FALSE)</f>
        <v>Retail</v>
      </c>
      <c r="N317" s="34">
        <f>VLOOKUP(C317,Customers!$A$2:$F$301,3,FALSE)</f>
        <v>28</v>
      </c>
      <c r="O317" s="34" t="str">
        <f>VLOOKUP(E317,Sales_Reps!$A$2:$E$31,3,FALSE)</f>
        <v>East</v>
      </c>
      <c r="P317" s="13" t="s">
        <v>121</v>
      </c>
      <c r="Q317" s="34">
        <f t="shared" si="12"/>
        <v>971183.52000000014</v>
      </c>
      <c r="R317" s="34" t="str">
        <f>VLOOKUP(E317,Sales_Reps!$A$2:$E$100,3,FALSE)</f>
        <v>East</v>
      </c>
      <c r="S317" s="34" t="str">
        <f t="shared" si="13"/>
        <v>Beauty</v>
      </c>
      <c r="T317" s="38">
        <f>VLOOKUP(D317,Products!$A$2:$F$68,4,FALSE)</f>
        <v>647</v>
      </c>
    </row>
    <row r="318" spans="1:20" x14ac:dyDescent="0.35">
      <c r="A318" s="13" t="s">
        <v>694</v>
      </c>
      <c r="B318" s="14">
        <v>45632</v>
      </c>
      <c r="C318" s="13" t="s">
        <v>490</v>
      </c>
      <c r="D318" s="13" t="s">
        <v>106</v>
      </c>
      <c r="E318" s="13" t="s">
        <v>215</v>
      </c>
      <c r="F318" s="15">
        <v>7</v>
      </c>
      <c r="G318" s="15">
        <v>3160</v>
      </c>
      <c r="H318" s="15">
        <v>8.9</v>
      </c>
      <c r="I318" s="15">
        <v>20151.32</v>
      </c>
      <c r="J318" s="13" t="s">
        <v>87</v>
      </c>
      <c r="K318" s="13" t="s">
        <v>99</v>
      </c>
      <c r="L318" s="34" t="str">
        <f>VLOOKUP(D318,Products!$A$2:$F$61,3,FALSE)</f>
        <v>Apparel</v>
      </c>
      <c r="M318" s="34" t="str">
        <f>VLOOKUP(C318,Customers!$A$2:$F$301,5,FALSE)</f>
        <v>Retail</v>
      </c>
      <c r="N318" s="34">
        <f>VLOOKUP(C318,Customers!$A$2:$F$301,3,FALSE)</f>
        <v>59</v>
      </c>
      <c r="O318" s="34" t="str">
        <f>VLOOKUP(E318,Sales_Reps!$A$2:$E$31,3,FALSE)</f>
        <v>North</v>
      </c>
      <c r="P318" s="13" t="s">
        <v>215</v>
      </c>
      <c r="Q318" s="34">
        <f t="shared" si="12"/>
        <v>789849.60000000009</v>
      </c>
      <c r="R318" s="34" t="str">
        <f>VLOOKUP(E318,Sales_Reps!$A$2:$E$100,3,FALSE)</f>
        <v>North</v>
      </c>
      <c r="S318" s="34" t="str">
        <f t="shared" si="13"/>
        <v>Apparel</v>
      </c>
      <c r="T318" s="38">
        <f>VLOOKUP(D318,Products!$A$2:$F$68,4,FALSE)</f>
        <v>1886</v>
      </c>
    </row>
    <row r="319" spans="1:20" x14ac:dyDescent="0.35">
      <c r="A319" s="13" t="s">
        <v>695</v>
      </c>
      <c r="B319" s="14">
        <v>45592</v>
      </c>
      <c r="C319" s="13" t="s">
        <v>210</v>
      </c>
      <c r="D319" s="13" t="s">
        <v>182</v>
      </c>
      <c r="E319" s="13" t="s">
        <v>252</v>
      </c>
      <c r="F319" s="15">
        <v>6</v>
      </c>
      <c r="G319" s="15">
        <v>1010</v>
      </c>
      <c r="H319" s="15">
        <v>12.9</v>
      </c>
      <c r="I319" s="15">
        <v>5278.26</v>
      </c>
      <c r="J319" s="13" t="s">
        <v>87</v>
      </c>
      <c r="K319" s="13" t="s">
        <v>99</v>
      </c>
      <c r="L319" s="34" t="str">
        <f>VLOOKUP(D319,Products!$A$2:$F$61,3,FALSE)</f>
        <v>Sports</v>
      </c>
      <c r="M319" s="34" t="str">
        <f>VLOOKUP(C319,Customers!$A$2:$F$301,5,FALSE)</f>
        <v>Retail</v>
      </c>
      <c r="N319" s="34">
        <f>VLOOKUP(C319,Customers!$A$2:$F$301,3,FALSE)</f>
        <v>41</v>
      </c>
      <c r="O319" s="34" t="str">
        <f>VLOOKUP(E319,Sales_Reps!$A$2:$E$31,3,FALSE)</f>
        <v>South</v>
      </c>
      <c r="P319" s="13" t="s">
        <v>252</v>
      </c>
      <c r="Q319" s="34">
        <f t="shared" si="12"/>
        <v>811524.37999999989</v>
      </c>
      <c r="R319" s="34" t="str">
        <f>VLOOKUP(E319,Sales_Reps!$A$2:$E$100,3,FALSE)</f>
        <v>South</v>
      </c>
      <c r="S319" s="34" t="str">
        <f t="shared" si="13"/>
        <v>Sports</v>
      </c>
      <c r="T319" s="38">
        <f>VLOOKUP(D319,Products!$A$2:$F$68,4,FALSE)</f>
        <v>516</v>
      </c>
    </row>
    <row r="320" spans="1:20" x14ac:dyDescent="0.35">
      <c r="A320" s="13" t="s">
        <v>696</v>
      </c>
      <c r="B320" s="14">
        <v>45450</v>
      </c>
      <c r="C320" s="13" t="s">
        <v>697</v>
      </c>
      <c r="D320" s="13" t="s">
        <v>270</v>
      </c>
      <c r="E320" s="13" t="s">
        <v>192</v>
      </c>
      <c r="F320" s="15">
        <v>4</v>
      </c>
      <c r="G320" s="15">
        <v>4610</v>
      </c>
      <c r="H320" s="15">
        <v>18.2</v>
      </c>
      <c r="I320" s="15">
        <v>15083.92</v>
      </c>
      <c r="J320" s="13" t="s">
        <v>87</v>
      </c>
      <c r="K320" s="13" t="s">
        <v>133</v>
      </c>
      <c r="L320" s="34" t="str">
        <f>VLOOKUP(D320,Products!$A$2:$F$61,3,FALSE)</f>
        <v>Home</v>
      </c>
      <c r="M320" s="34" t="str">
        <f>VLOOKUP(C320,Customers!$A$2:$F$301,5,FALSE)</f>
        <v>Retail</v>
      </c>
      <c r="N320" s="34">
        <f>VLOOKUP(C320,Customers!$A$2:$F$301,3,FALSE)</f>
        <v>65</v>
      </c>
      <c r="O320" s="34" t="str">
        <f>VLOOKUP(E320,Sales_Reps!$A$2:$E$31,3,FALSE)</f>
        <v>East</v>
      </c>
      <c r="P320" s="13" t="s">
        <v>192</v>
      </c>
      <c r="Q320" s="34">
        <f t="shared" si="12"/>
        <v>906107.71000000008</v>
      </c>
      <c r="R320" s="34" t="str">
        <f>VLOOKUP(E320,Sales_Reps!$A$2:$E$100,3,FALSE)</f>
        <v>East</v>
      </c>
      <c r="S320" s="34" t="str">
        <f t="shared" si="13"/>
        <v>Home</v>
      </c>
      <c r="T320" s="38">
        <f>VLOOKUP(D320,Products!$A$2:$F$68,4,FALSE)</f>
        <v>1850</v>
      </c>
    </row>
    <row r="321" spans="1:20" x14ac:dyDescent="0.35">
      <c r="A321" s="13" t="s">
        <v>698</v>
      </c>
      <c r="B321" s="14">
        <v>45343</v>
      </c>
      <c r="C321" s="13" t="s">
        <v>263</v>
      </c>
      <c r="D321" s="13" t="s">
        <v>351</v>
      </c>
      <c r="E321" s="13" t="s">
        <v>229</v>
      </c>
      <c r="F321" s="15">
        <v>6</v>
      </c>
      <c r="G321" s="15">
        <v>4060</v>
      </c>
      <c r="H321" s="15">
        <v>24.3</v>
      </c>
      <c r="I321" s="15">
        <v>18440.52</v>
      </c>
      <c r="J321" s="13" t="s">
        <v>87</v>
      </c>
      <c r="K321" s="13" t="s">
        <v>133</v>
      </c>
      <c r="L321" s="34" t="str">
        <f>VLOOKUP(D321,Products!$A$2:$F$61,3,FALSE)</f>
        <v>Grocery</v>
      </c>
      <c r="M321" s="34" t="str">
        <f>VLOOKUP(C321,Customers!$A$2:$F$301,5,FALSE)</f>
        <v>Retail</v>
      </c>
      <c r="N321" s="34">
        <f>VLOOKUP(C321,Customers!$A$2:$F$301,3,FALSE)</f>
        <v>53</v>
      </c>
      <c r="O321" s="34" t="str">
        <f>VLOOKUP(E321,Sales_Reps!$A$2:$E$31,3,FALSE)</f>
        <v>West</v>
      </c>
      <c r="P321" s="13" t="s">
        <v>229</v>
      </c>
      <c r="Q321" s="34">
        <f t="shared" si="12"/>
        <v>1016696.8000000002</v>
      </c>
      <c r="R321" s="34" t="str">
        <f>VLOOKUP(E321,Sales_Reps!$A$2:$E$100,3,FALSE)</f>
        <v>West</v>
      </c>
      <c r="S321" s="34" t="str">
        <f t="shared" si="13"/>
        <v>Grocery</v>
      </c>
      <c r="T321" s="38">
        <f>VLOOKUP(D321,Products!$A$2:$F$68,4,FALSE)</f>
        <v>2911</v>
      </c>
    </row>
    <row r="322" spans="1:20" x14ac:dyDescent="0.35">
      <c r="A322" s="13" t="s">
        <v>699</v>
      </c>
      <c r="B322" s="14">
        <v>45509</v>
      </c>
      <c r="C322" s="13" t="s">
        <v>700</v>
      </c>
      <c r="D322" s="13" t="s">
        <v>292</v>
      </c>
      <c r="E322" s="13" t="s">
        <v>215</v>
      </c>
      <c r="F322" s="15">
        <v>5</v>
      </c>
      <c r="G322" s="15">
        <v>620</v>
      </c>
      <c r="H322" s="15">
        <v>10.7</v>
      </c>
      <c r="I322" s="15">
        <v>2768.3</v>
      </c>
      <c r="J322" s="13" t="s">
        <v>144</v>
      </c>
      <c r="K322" s="13" t="s">
        <v>94</v>
      </c>
      <c r="L322" s="34" t="str">
        <f>VLOOKUP(D322,Products!$A$2:$F$61,3,FALSE)</f>
        <v>Apparel</v>
      </c>
      <c r="M322" s="34" t="str">
        <f>VLOOKUP(C322,Customers!$A$2:$F$301,5,FALSE)</f>
        <v>SMB</v>
      </c>
      <c r="N322" s="34">
        <f>VLOOKUP(C322,Customers!$A$2:$F$301,3,FALSE)</f>
        <v>46</v>
      </c>
      <c r="O322" s="34" t="str">
        <f>VLOOKUP(E322,Sales_Reps!$A$2:$E$31,3,FALSE)</f>
        <v>North</v>
      </c>
      <c r="P322" s="13" t="s">
        <v>215</v>
      </c>
      <c r="Q322" s="34">
        <f t="shared" si="12"/>
        <v>789849.60000000009</v>
      </c>
      <c r="R322" s="34" t="str">
        <f>VLOOKUP(E322,Sales_Reps!$A$2:$E$100,3,FALSE)</f>
        <v>North</v>
      </c>
      <c r="S322" s="34" t="str">
        <f t="shared" si="13"/>
        <v>Apparel</v>
      </c>
      <c r="T322" s="38">
        <f>VLOOKUP(D322,Products!$A$2:$F$68,4,FALSE)</f>
        <v>396</v>
      </c>
    </row>
    <row r="323" spans="1:20" x14ac:dyDescent="0.35">
      <c r="A323" s="13" t="s">
        <v>701</v>
      </c>
      <c r="B323" s="14">
        <v>45513</v>
      </c>
      <c r="C323" s="13" t="s">
        <v>454</v>
      </c>
      <c r="D323" s="13" t="s">
        <v>659</v>
      </c>
      <c r="E323" s="13" t="s">
        <v>148</v>
      </c>
      <c r="F323" s="15">
        <v>3</v>
      </c>
      <c r="G323" s="15">
        <v>3560</v>
      </c>
      <c r="H323" s="15">
        <v>4.0999999999999996</v>
      </c>
      <c r="I323" s="15">
        <v>10242.120000000001</v>
      </c>
      <c r="J323" s="13" t="s">
        <v>87</v>
      </c>
      <c r="K323" s="13" t="s">
        <v>133</v>
      </c>
      <c r="L323" s="34" t="str">
        <f>VLOOKUP(D323,Products!$A$2:$F$61,3,FALSE)</f>
        <v>Apparel</v>
      </c>
      <c r="M323" s="34" t="str">
        <f>VLOOKUP(C323,Customers!$A$2:$F$301,5,FALSE)</f>
        <v>Corporate</v>
      </c>
      <c r="N323" s="34">
        <f>VLOOKUP(C323,Customers!$A$2:$F$301,3,FALSE)</f>
        <v>43</v>
      </c>
      <c r="O323" s="34" t="str">
        <f>VLOOKUP(E323,Sales_Reps!$A$2:$E$31,3,FALSE)</f>
        <v>North</v>
      </c>
      <c r="P323" s="13" t="s">
        <v>148</v>
      </c>
      <c r="Q323" s="34">
        <f t="shared" ref="Q323:Q386" si="14">SUMIFS($I:$I,$E:$E,P323)</f>
        <v>986692.91</v>
      </c>
      <c r="R323" s="34" t="str">
        <f>VLOOKUP(E323,Sales_Reps!$A$2:$E$100,3,FALSE)</f>
        <v>North</v>
      </c>
      <c r="S323" s="34" t="str">
        <f t="shared" ref="S323:S386" si="15">L323</f>
        <v>Apparel</v>
      </c>
      <c r="T323" s="38">
        <f>VLOOKUP(D323,Products!$A$2:$F$68,4,FALSE)</f>
        <v>2629</v>
      </c>
    </row>
    <row r="324" spans="1:20" x14ac:dyDescent="0.35">
      <c r="A324" s="13" t="s">
        <v>702</v>
      </c>
      <c r="B324" s="14">
        <v>45500</v>
      </c>
      <c r="C324" s="13" t="s">
        <v>703</v>
      </c>
      <c r="D324" s="13" t="s">
        <v>151</v>
      </c>
      <c r="E324" s="13" t="s">
        <v>325</v>
      </c>
      <c r="F324" s="15">
        <v>2</v>
      </c>
      <c r="G324" s="15">
        <v>2400</v>
      </c>
      <c r="H324" s="15">
        <v>13</v>
      </c>
      <c r="I324" s="15">
        <v>4176</v>
      </c>
      <c r="J324" s="13" t="s">
        <v>87</v>
      </c>
      <c r="K324" s="13" t="s">
        <v>88</v>
      </c>
      <c r="L324" s="34" t="str">
        <f>VLOOKUP(D324,Products!$A$2:$F$61,3,FALSE)</f>
        <v>Sports</v>
      </c>
      <c r="M324" s="34" t="str">
        <f>VLOOKUP(C324,Customers!$A$2:$F$301,5,FALSE)</f>
        <v>Corporate</v>
      </c>
      <c r="N324" s="34">
        <f>VLOOKUP(C324,Customers!$A$2:$F$301,3,FALSE)</f>
        <v>52</v>
      </c>
      <c r="O324" s="34" t="str">
        <f>VLOOKUP(E324,Sales_Reps!$A$2:$E$31,3,FALSE)</f>
        <v>South</v>
      </c>
      <c r="P324" s="13" t="s">
        <v>325</v>
      </c>
      <c r="Q324" s="34">
        <f t="shared" si="14"/>
        <v>901394.32000000007</v>
      </c>
      <c r="R324" s="34" t="str">
        <f>VLOOKUP(E324,Sales_Reps!$A$2:$E$100,3,FALSE)</f>
        <v>South</v>
      </c>
      <c r="S324" s="34" t="str">
        <f t="shared" si="15"/>
        <v>Sports</v>
      </c>
      <c r="T324" s="38">
        <f>VLOOKUP(D324,Products!$A$2:$F$68,4,FALSE)</f>
        <v>974</v>
      </c>
    </row>
    <row r="325" spans="1:20" x14ac:dyDescent="0.35">
      <c r="A325" s="13" t="s">
        <v>704</v>
      </c>
      <c r="B325" s="14">
        <v>45407</v>
      </c>
      <c r="C325" s="13" t="s">
        <v>705</v>
      </c>
      <c r="D325" s="13" t="s">
        <v>515</v>
      </c>
      <c r="E325" s="13" t="s">
        <v>103</v>
      </c>
      <c r="F325" s="15">
        <v>9</v>
      </c>
      <c r="G325" s="15">
        <v>6940</v>
      </c>
      <c r="H325" s="15">
        <v>26.2</v>
      </c>
      <c r="I325" s="15">
        <v>46095.48</v>
      </c>
      <c r="J325" s="13" t="s">
        <v>87</v>
      </c>
      <c r="K325" s="13" t="s">
        <v>99</v>
      </c>
      <c r="L325" s="34" t="str">
        <f>VLOOKUP(D325,Products!$A$2:$F$61,3,FALSE)</f>
        <v>Sports</v>
      </c>
      <c r="M325" s="34" t="str">
        <f>VLOOKUP(C325,Customers!$A$2:$F$301,5,FALSE)</f>
        <v>Retail</v>
      </c>
      <c r="N325" s="34">
        <f>VLOOKUP(C325,Customers!$A$2:$F$301,3,FALSE)</f>
        <v>53</v>
      </c>
      <c r="O325" s="34" t="str">
        <f>VLOOKUP(E325,Sales_Reps!$A$2:$E$31,3,FALSE)</f>
        <v>North</v>
      </c>
      <c r="P325" s="13" t="s">
        <v>103</v>
      </c>
      <c r="Q325" s="34">
        <f t="shared" si="14"/>
        <v>1138648.73</v>
      </c>
      <c r="R325" s="34" t="str">
        <f>VLOOKUP(E325,Sales_Reps!$A$2:$E$100,3,FALSE)</f>
        <v>North</v>
      </c>
      <c r="S325" s="34" t="str">
        <f t="shared" si="15"/>
        <v>Sports</v>
      </c>
      <c r="T325" s="38">
        <f>VLOOKUP(D325,Products!$A$2:$F$68,4,FALSE)</f>
        <v>2827</v>
      </c>
    </row>
    <row r="326" spans="1:20" x14ac:dyDescent="0.35">
      <c r="A326" s="13" t="s">
        <v>706</v>
      </c>
      <c r="B326" s="14">
        <v>45385</v>
      </c>
      <c r="C326" s="13" t="s">
        <v>707</v>
      </c>
      <c r="D326" s="13" t="s">
        <v>367</v>
      </c>
      <c r="E326" s="13" t="s">
        <v>111</v>
      </c>
      <c r="F326" s="15">
        <v>9</v>
      </c>
      <c r="G326" s="15">
        <v>2380</v>
      </c>
      <c r="H326" s="15">
        <v>22.7</v>
      </c>
      <c r="I326" s="15">
        <v>16557.66</v>
      </c>
      <c r="J326" s="13" t="s">
        <v>87</v>
      </c>
      <c r="K326" s="13" t="s">
        <v>112</v>
      </c>
      <c r="L326" s="34" t="str">
        <f>VLOOKUP(D326,Products!$A$2:$F$61,3,FALSE)</f>
        <v>Grocery</v>
      </c>
      <c r="M326" s="34" t="str">
        <f>VLOOKUP(C326,Customers!$A$2:$F$301,5,FALSE)</f>
        <v>Retail</v>
      </c>
      <c r="N326" s="34">
        <f>VLOOKUP(C326,Customers!$A$2:$F$301,3,FALSE)</f>
        <v>33</v>
      </c>
      <c r="O326" s="34" t="str">
        <f>VLOOKUP(E326,Sales_Reps!$A$2:$E$31,3,FALSE)</f>
        <v>West</v>
      </c>
      <c r="P326" s="13" t="s">
        <v>111</v>
      </c>
      <c r="Q326" s="34">
        <f t="shared" si="14"/>
        <v>901298.89</v>
      </c>
      <c r="R326" s="34" t="str">
        <f>VLOOKUP(E326,Sales_Reps!$A$2:$E$100,3,FALSE)</f>
        <v>West</v>
      </c>
      <c r="S326" s="34" t="str">
        <f t="shared" si="15"/>
        <v>Grocery</v>
      </c>
      <c r="T326" s="38">
        <f>VLOOKUP(D326,Products!$A$2:$F$68,4,FALSE)</f>
        <v>1182</v>
      </c>
    </row>
    <row r="327" spans="1:20" x14ac:dyDescent="0.35">
      <c r="A327" s="13" t="s">
        <v>708</v>
      </c>
      <c r="B327" s="14">
        <v>45542</v>
      </c>
      <c r="C327" s="13" t="s">
        <v>266</v>
      </c>
      <c r="D327" s="13" t="s">
        <v>85</v>
      </c>
      <c r="E327" s="13" t="s">
        <v>128</v>
      </c>
      <c r="F327" s="15">
        <v>6</v>
      </c>
      <c r="G327" s="15">
        <v>3620</v>
      </c>
      <c r="H327" s="15">
        <v>9.1999999999999993</v>
      </c>
      <c r="I327" s="15">
        <v>19721.759999999998</v>
      </c>
      <c r="J327" s="13" t="s">
        <v>87</v>
      </c>
      <c r="K327" s="13" t="s">
        <v>99</v>
      </c>
      <c r="L327" s="34" t="str">
        <f>VLOOKUP(D327,Products!$A$2:$F$61,3,FALSE)</f>
        <v>Apparel</v>
      </c>
      <c r="M327" s="34" t="str">
        <f>VLOOKUP(C327,Customers!$A$2:$F$301,5,FALSE)</f>
        <v>Corporate</v>
      </c>
      <c r="N327" s="34">
        <f>VLOOKUP(C327,Customers!$A$2:$F$301,3,FALSE)</f>
        <v>55</v>
      </c>
      <c r="O327" s="34" t="str">
        <f>VLOOKUP(E327,Sales_Reps!$A$2:$E$31,3,FALSE)</f>
        <v>West</v>
      </c>
      <c r="P327" s="13" t="s">
        <v>128</v>
      </c>
      <c r="Q327" s="34">
        <f t="shared" si="14"/>
        <v>880468.05</v>
      </c>
      <c r="R327" s="34" t="str">
        <f>VLOOKUP(E327,Sales_Reps!$A$2:$E$100,3,FALSE)</f>
        <v>West</v>
      </c>
      <c r="S327" s="34" t="str">
        <f t="shared" si="15"/>
        <v>Apparel</v>
      </c>
      <c r="T327" s="38">
        <f>VLOOKUP(D327,Products!$A$2:$F$68,4,FALSE)</f>
        <v>2509</v>
      </c>
    </row>
    <row r="328" spans="1:20" x14ac:dyDescent="0.35">
      <c r="A328" s="13" t="s">
        <v>709</v>
      </c>
      <c r="B328" s="14">
        <v>45422</v>
      </c>
      <c r="C328" s="13" t="s">
        <v>454</v>
      </c>
      <c r="D328" s="13" t="s">
        <v>241</v>
      </c>
      <c r="E328" s="13" t="s">
        <v>139</v>
      </c>
      <c r="F328" s="15">
        <v>1</v>
      </c>
      <c r="G328" s="15">
        <v>6080</v>
      </c>
      <c r="H328" s="15">
        <v>29.4</v>
      </c>
      <c r="I328" s="15">
        <v>4292.4799999999996</v>
      </c>
      <c r="J328" s="13" t="s">
        <v>140</v>
      </c>
      <c r="K328" s="13" t="s">
        <v>133</v>
      </c>
      <c r="L328" s="34" t="str">
        <f>VLOOKUP(D328,Products!$A$2:$F$61,3,FALSE)</f>
        <v>Beauty</v>
      </c>
      <c r="M328" s="34" t="str">
        <f>VLOOKUP(C328,Customers!$A$2:$F$301,5,FALSE)</f>
        <v>Corporate</v>
      </c>
      <c r="N328" s="34">
        <f>VLOOKUP(C328,Customers!$A$2:$F$301,3,FALSE)</f>
        <v>43</v>
      </c>
      <c r="O328" s="34" t="str">
        <f>VLOOKUP(E328,Sales_Reps!$A$2:$E$31,3,FALSE)</f>
        <v>North</v>
      </c>
      <c r="P328" s="13" t="s">
        <v>139</v>
      </c>
      <c r="Q328" s="34">
        <f t="shared" si="14"/>
        <v>589026.2899999998</v>
      </c>
      <c r="R328" s="34" t="str">
        <f>VLOOKUP(E328,Sales_Reps!$A$2:$E$100,3,FALSE)</f>
        <v>North</v>
      </c>
      <c r="S328" s="34" t="str">
        <f t="shared" si="15"/>
        <v>Beauty</v>
      </c>
      <c r="T328" s="38">
        <f>VLOOKUP(D328,Products!$A$2:$F$68,4,FALSE)</f>
        <v>2617</v>
      </c>
    </row>
    <row r="329" spans="1:20" x14ac:dyDescent="0.35">
      <c r="A329" s="13" t="s">
        <v>710</v>
      </c>
      <c r="B329" s="14">
        <v>45343</v>
      </c>
      <c r="C329" s="13" t="s">
        <v>680</v>
      </c>
      <c r="D329" s="13" t="s">
        <v>91</v>
      </c>
      <c r="E329" s="13" t="s">
        <v>303</v>
      </c>
      <c r="F329" s="15">
        <v>6</v>
      </c>
      <c r="G329" s="15">
        <v>820</v>
      </c>
      <c r="H329" s="15">
        <v>29.1</v>
      </c>
      <c r="I329" s="15">
        <v>3488.28</v>
      </c>
      <c r="J329" s="13" t="s">
        <v>87</v>
      </c>
      <c r="K329" s="13" t="s">
        <v>94</v>
      </c>
      <c r="L329" s="34" t="str">
        <f>VLOOKUP(D329,Products!$A$2:$F$61,3,FALSE)</f>
        <v>Apparel</v>
      </c>
      <c r="M329" s="34" t="str">
        <f>VLOOKUP(C329,Customers!$A$2:$F$301,5,FALSE)</f>
        <v>Retail</v>
      </c>
      <c r="N329" s="34">
        <f>VLOOKUP(C329,Customers!$A$2:$F$301,3,FALSE)</f>
        <v>26</v>
      </c>
      <c r="O329" s="34" t="str">
        <f>VLOOKUP(E329,Sales_Reps!$A$2:$E$31,3,FALSE)</f>
        <v>East</v>
      </c>
      <c r="P329" s="13" t="s">
        <v>303</v>
      </c>
      <c r="Q329" s="34">
        <f t="shared" si="14"/>
        <v>1112289.6400000001</v>
      </c>
      <c r="R329" s="34" t="str">
        <f>VLOOKUP(E329,Sales_Reps!$A$2:$E$100,3,FALSE)</f>
        <v>East</v>
      </c>
      <c r="S329" s="34" t="str">
        <f t="shared" si="15"/>
        <v>Apparel</v>
      </c>
      <c r="T329" s="38">
        <f>VLOOKUP(D329,Products!$A$2:$F$68,4,FALSE)</f>
        <v>391</v>
      </c>
    </row>
    <row r="330" spans="1:20" x14ac:dyDescent="0.35">
      <c r="A330" s="13" t="s">
        <v>711</v>
      </c>
      <c r="B330" s="14">
        <v>45646</v>
      </c>
      <c r="C330" s="13" t="s">
        <v>712</v>
      </c>
      <c r="D330" s="13" t="s">
        <v>276</v>
      </c>
      <c r="E330" s="13" t="s">
        <v>116</v>
      </c>
      <c r="F330" s="15">
        <v>9</v>
      </c>
      <c r="G330" s="15">
        <v>3020</v>
      </c>
      <c r="H330" s="15">
        <v>7.9</v>
      </c>
      <c r="I330" s="15">
        <v>25032.78</v>
      </c>
      <c r="J330" s="13" t="s">
        <v>87</v>
      </c>
      <c r="K330" s="13" t="s">
        <v>112</v>
      </c>
      <c r="L330" s="34" t="str">
        <f>VLOOKUP(D330,Products!$A$2:$F$61,3,FALSE)</f>
        <v>Beauty</v>
      </c>
      <c r="M330" s="34" t="str">
        <f>VLOOKUP(C330,Customers!$A$2:$F$301,5,FALSE)</f>
        <v>Corporate</v>
      </c>
      <c r="N330" s="34">
        <f>VLOOKUP(C330,Customers!$A$2:$F$301,3,FALSE)</f>
        <v>51</v>
      </c>
      <c r="O330" s="34" t="str">
        <f>VLOOKUP(E330,Sales_Reps!$A$2:$E$31,3,FALSE)</f>
        <v>West</v>
      </c>
      <c r="P330" s="13" t="s">
        <v>116</v>
      </c>
      <c r="Q330" s="34">
        <f t="shared" si="14"/>
        <v>819558.58</v>
      </c>
      <c r="R330" s="34" t="str">
        <f>VLOOKUP(E330,Sales_Reps!$A$2:$E$100,3,FALSE)</f>
        <v>West</v>
      </c>
      <c r="S330" s="34" t="str">
        <f t="shared" si="15"/>
        <v>Beauty</v>
      </c>
      <c r="T330" s="38">
        <f>VLOOKUP(D330,Products!$A$2:$F$68,4,FALSE)</f>
        <v>1626</v>
      </c>
    </row>
    <row r="331" spans="1:20" x14ac:dyDescent="0.35">
      <c r="A331" s="13" t="s">
        <v>713</v>
      </c>
      <c r="B331" s="14">
        <v>45645</v>
      </c>
      <c r="C331" s="13" t="s">
        <v>714</v>
      </c>
      <c r="D331" s="13" t="s">
        <v>248</v>
      </c>
      <c r="E331" s="13" t="s">
        <v>229</v>
      </c>
      <c r="F331" s="15">
        <v>8</v>
      </c>
      <c r="G331" s="15">
        <v>3870</v>
      </c>
      <c r="H331" s="15">
        <v>11.9</v>
      </c>
      <c r="I331" s="15">
        <v>27275.759999999998</v>
      </c>
      <c r="J331" s="13" t="s">
        <v>87</v>
      </c>
      <c r="K331" s="13" t="s">
        <v>99</v>
      </c>
      <c r="L331" s="34" t="str">
        <f>VLOOKUP(D331,Products!$A$2:$F$61,3,FALSE)</f>
        <v>Electronics</v>
      </c>
      <c r="M331" s="34" t="str">
        <f>VLOOKUP(C331,Customers!$A$2:$F$301,5,FALSE)</f>
        <v>Retail</v>
      </c>
      <c r="N331" s="34">
        <f>VLOOKUP(C331,Customers!$A$2:$F$301,3,FALSE)</f>
        <v>24</v>
      </c>
      <c r="O331" s="34" t="str">
        <f>VLOOKUP(E331,Sales_Reps!$A$2:$E$31,3,FALSE)</f>
        <v>West</v>
      </c>
      <c r="P331" s="13" t="s">
        <v>229</v>
      </c>
      <c r="Q331" s="34">
        <f t="shared" si="14"/>
        <v>1016696.8000000002</v>
      </c>
      <c r="R331" s="34" t="str">
        <f>VLOOKUP(E331,Sales_Reps!$A$2:$E$100,3,FALSE)</f>
        <v>West</v>
      </c>
      <c r="S331" s="34" t="str">
        <f t="shared" si="15"/>
        <v>Electronics</v>
      </c>
      <c r="T331" s="38">
        <f>VLOOKUP(D331,Products!$A$2:$F$68,4,FALSE)</f>
        <v>1559</v>
      </c>
    </row>
    <row r="332" spans="1:20" x14ac:dyDescent="0.35">
      <c r="A332" s="13" t="s">
        <v>715</v>
      </c>
      <c r="B332" s="14">
        <v>45528</v>
      </c>
      <c r="C332" s="13" t="s">
        <v>440</v>
      </c>
      <c r="D332" s="13" t="s">
        <v>157</v>
      </c>
      <c r="E332" s="13" t="s">
        <v>170</v>
      </c>
      <c r="F332" s="15">
        <v>6</v>
      </c>
      <c r="G332" s="15">
        <v>3450</v>
      </c>
      <c r="H332" s="15">
        <v>13.9</v>
      </c>
      <c r="I332" s="15">
        <v>17822.7</v>
      </c>
      <c r="J332" s="13" t="s">
        <v>87</v>
      </c>
      <c r="K332" s="13" t="s">
        <v>88</v>
      </c>
      <c r="L332" s="34" t="str">
        <f>VLOOKUP(D332,Products!$A$2:$F$61,3,FALSE)</f>
        <v>Beauty</v>
      </c>
      <c r="M332" s="34" t="str">
        <f>VLOOKUP(C332,Customers!$A$2:$F$301,5,FALSE)</f>
        <v>SMB</v>
      </c>
      <c r="N332" s="34">
        <f>VLOOKUP(C332,Customers!$A$2:$F$301,3,FALSE)</f>
        <v>30</v>
      </c>
      <c r="O332" s="34" t="str">
        <f>VLOOKUP(E332,Sales_Reps!$A$2:$E$31,3,FALSE)</f>
        <v>West</v>
      </c>
      <c r="P332" s="13" t="s">
        <v>170</v>
      </c>
      <c r="Q332" s="34">
        <f t="shared" si="14"/>
        <v>747624.36999999988</v>
      </c>
      <c r="R332" s="34" t="str">
        <f>VLOOKUP(E332,Sales_Reps!$A$2:$E$100,3,FALSE)</f>
        <v>West</v>
      </c>
      <c r="S332" s="34" t="str">
        <f t="shared" si="15"/>
        <v>Beauty</v>
      </c>
      <c r="T332" s="38">
        <f>VLOOKUP(D332,Products!$A$2:$F$68,4,FALSE)</f>
        <v>2420</v>
      </c>
    </row>
    <row r="333" spans="1:20" x14ac:dyDescent="0.35">
      <c r="A333" s="13" t="s">
        <v>716</v>
      </c>
      <c r="B333" s="14">
        <v>45655</v>
      </c>
      <c r="C333" s="13" t="s">
        <v>717</v>
      </c>
      <c r="D333" s="13" t="s">
        <v>191</v>
      </c>
      <c r="E333" s="13" t="s">
        <v>107</v>
      </c>
      <c r="F333" s="15">
        <v>9</v>
      </c>
      <c r="G333" s="15">
        <v>5100</v>
      </c>
      <c r="H333" s="15">
        <v>2.1</v>
      </c>
      <c r="I333" s="15">
        <v>44936.1</v>
      </c>
      <c r="J333" s="13" t="s">
        <v>87</v>
      </c>
      <c r="K333" s="13" t="s">
        <v>94</v>
      </c>
      <c r="L333" s="34" t="str">
        <f>VLOOKUP(D333,Products!$A$2:$F$61,3,FALSE)</f>
        <v>Beauty</v>
      </c>
      <c r="M333" s="34" t="str">
        <f>VLOOKUP(C333,Customers!$A$2:$F$301,5,FALSE)</f>
        <v>Retail</v>
      </c>
      <c r="N333" s="34">
        <f>VLOOKUP(C333,Customers!$A$2:$F$301,3,FALSE)</f>
        <v>24</v>
      </c>
      <c r="O333" s="34" t="str">
        <f>VLOOKUP(E333,Sales_Reps!$A$2:$E$31,3,FALSE)</f>
        <v>North</v>
      </c>
      <c r="P333" s="13" t="s">
        <v>107</v>
      </c>
      <c r="Q333" s="34">
        <f t="shared" si="14"/>
        <v>861553.33</v>
      </c>
      <c r="R333" s="34" t="str">
        <f>VLOOKUP(E333,Sales_Reps!$A$2:$E$100,3,FALSE)</f>
        <v>North</v>
      </c>
      <c r="S333" s="34" t="str">
        <f t="shared" si="15"/>
        <v>Beauty</v>
      </c>
      <c r="T333" s="38">
        <f>VLOOKUP(D333,Products!$A$2:$F$68,4,FALSE)</f>
        <v>2237</v>
      </c>
    </row>
    <row r="334" spans="1:20" x14ac:dyDescent="0.35">
      <c r="A334" s="13" t="s">
        <v>718</v>
      </c>
      <c r="B334" s="14">
        <v>45518</v>
      </c>
      <c r="C334" s="13" t="s">
        <v>399</v>
      </c>
      <c r="D334" s="13" t="s">
        <v>264</v>
      </c>
      <c r="E334" s="13" t="s">
        <v>107</v>
      </c>
      <c r="F334" s="15">
        <v>2</v>
      </c>
      <c r="G334" s="15">
        <v>4070</v>
      </c>
      <c r="H334" s="15">
        <v>28.6</v>
      </c>
      <c r="I334" s="15">
        <v>5811.96</v>
      </c>
      <c r="J334" s="13" t="s">
        <v>87</v>
      </c>
      <c r="K334" s="13" t="s">
        <v>99</v>
      </c>
      <c r="L334" s="34" t="str">
        <f>VLOOKUP(D334,Products!$A$2:$F$61,3,FALSE)</f>
        <v>Grocery</v>
      </c>
      <c r="M334" s="34" t="str">
        <f>VLOOKUP(C334,Customers!$A$2:$F$301,5,FALSE)</f>
        <v>SMB</v>
      </c>
      <c r="N334" s="34">
        <f>VLOOKUP(C334,Customers!$A$2:$F$301,3,FALSE)</f>
        <v>53</v>
      </c>
      <c r="O334" s="34" t="str">
        <f>VLOOKUP(E334,Sales_Reps!$A$2:$E$31,3,FALSE)</f>
        <v>North</v>
      </c>
      <c r="P334" s="13" t="s">
        <v>107</v>
      </c>
      <c r="Q334" s="34">
        <f t="shared" si="14"/>
        <v>861553.33</v>
      </c>
      <c r="R334" s="34" t="str">
        <f>VLOOKUP(E334,Sales_Reps!$A$2:$E$100,3,FALSE)</f>
        <v>North</v>
      </c>
      <c r="S334" s="34" t="str">
        <f t="shared" si="15"/>
        <v>Grocery</v>
      </c>
      <c r="T334" s="38">
        <f>VLOOKUP(D334,Products!$A$2:$F$68,4,FALSE)</f>
        <v>2027</v>
      </c>
    </row>
    <row r="335" spans="1:20" x14ac:dyDescent="0.35">
      <c r="A335" s="13" t="s">
        <v>719</v>
      </c>
      <c r="B335" s="14">
        <v>45339</v>
      </c>
      <c r="C335" s="13" t="s">
        <v>676</v>
      </c>
      <c r="D335" s="13" t="s">
        <v>364</v>
      </c>
      <c r="E335" s="13" t="s">
        <v>86</v>
      </c>
      <c r="F335" s="15">
        <v>9</v>
      </c>
      <c r="G335" s="15">
        <v>5330</v>
      </c>
      <c r="H335" s="15">
        <v>6.2</v>
      </c>
      <c r="I335" s="15">
        <v>44995.86</v>
      </c>
      <c r="J335" s="13" t="s">
        <v>87</v>
      </c>
      <c r="K335" s="13" t="s">
        <v>88</v>
      </c>
      <c r="L335" s="34" t="str">
        <f>VLOOKUP(D335,Products!$A$2:$F$61,3,FALSE)</f>
        <v>Electronics</v>
      </c>
      <c r="M335" s="34" t="str">
        <f>VLOOKUP(C335,Customers!$A$2:$F$301,5,FALSE)</f>
        <v>SMB</v>
      </c>
      <c r="N335" s="34">
        <f>VLOOKUP(C335,Customers!$A$2:$F$301,3,FALSE)</f>
        <v>35</v>
      </c>
      <c r="O335" s="34" t="str">
        <f>VLOOKUP(E335,Sales_Reps!$A$2:$E$31,3,FALSE)</f>
        <v>North</v>
      </c>
      <c r="P335" s="13" t="s">
        <v>86</v>
      </c>
      <c r="Q335" s="34">
        <f t="shared" si="14"/>
        <v>855749.67999999982</v>
      </c>
      <c r="R335" s="34" t="str">
        <f>VLOOKUP(E335,Sales_Reps!$A$2:$E$100,3,FALSE)</f>
        <v>North</v>
      </c>
      <c r="S335" s="34" t="str">
        <f t="shared" si="15"/>
        <v>Electronics</v>
      </c>
      <c r="T335" s="38">
        <f>VLOOKUP(D335,Products!$A$2:$F$68,4,FALSE)</f>
        <v>2405</v>
      </c>
    </row>
    <row r="336" spans="1:20" x14ac:dyDescent="0.35">
      <c r="A336" s="13" t="s">
        <v>663</v>
      </c>
      <c r="B336" s="14">
        <v>45319</v>
      </c>
      <c r="C336" s="13" t="s">
        <v>720</v>
      </c>
      <c r="D336" s="13" t="s">
        <v>131</v>
      </c>
      <c r="E336" s="13" t="s">
        <v>192</v>
      </c>
      <c r="F336" s="15">
        <v>6</v>
      </c>
      <c r="G336" s="15">
        <v>2270</v>
      </c>
      <c r="H336" s="15">
        <v>23.7</v>
      </c>
      <c r="I336" s="15">
        <v>10392.06</v>
      </c>
      <c r="J336" s="13" t="s">
        <v>87</v>
      </c>
      <c r="K336" s="13" t="s">
        <v>721</v>
      </c>
      <c r="L336" s="34" t="str">
        <f>VLOOKUP(D336,Products!$A$2:$F$61,3,FALSE)</f>
        <v>Grocery</v>
      </c>
      <c r="M336" s="34" t="str">
        <f>VLOOKUP(C336,Customers!$A$2:$F$301,5,FALSE)</f>
        <v>Retail</v>
      </c>
      <c r="N336" s="34">
        <f>VLOOKUP(C336,Customers!$A$2:$F$301,3,FALSE)</f>
        <v>48</v>
      </c>
      <c r="O336" s="34" t="str">
        <f>VLOOKUP(E336,Sales_Reps!$A$2:$E$31,3,FALSE)</f>
        <v>East</v>
      </c>
      <c r="P336" s="13" t="s">
        <v>192</v>
      </c>
      <c r="Q336" s="34">
        <f t="shared" si="14"/>
        <v>906107.71000000008</v>
      </c>
      <c r="R336" s="34" t="str">
        <f>VLOOKUP(E336,Sales_Reps!$A$2:$E$100,3,FALSE)</f>
        <v>East</v>
      </c>
      <c r="S336" s="34" t="str">
        <f t="shared" si="15"/>
        <v>Grocery</v>
      </c>
      <c r="T336" s="38">
        <f>VLOOKUP(D336,Products!$A$2:$F$68,4,FALSE)</f>
        <v>1203</v>
      </c>
    </row>
    <row r="337" spans="1:20" x14ac:dyDescent="0.35">
      <c r="A337" s="13" t="s">
        <v>722</v>
      </c>
      <c r="B337" s="14">
        <v>45618</v>
      </c>
      <c r="C337" s="13" t="s">
        <v>142</v>
      </c>
      <c r="D337" s="13" t="s">
        <v>355</v>
      </c>
      <c r="E337" s="13" t="s">
        <v>116</v>
      </c>
      <c r="F337" s="15">
        <v>5</v>
      </c>
      <c r="G337" s="15">
        <v>2510</v>
      </c>
      <c r="H337" s="15">
        <v>25</v>
      </c>
      <c r="I337" s="15">
        <v>9412.5</v>
      </c>
      <c r="J337" s="13" t="s">
        <v>87</v>
      </c>
      <c r="K337" s="13" t="s">
        <v>88</v>
      </c>
      <c r="L337" s="34" t="str">
        <f>VLOOKUP(D337,Products!$A$2:$F$61,3,FALSE)</f>
        <v>Apparel</v>
      </c>
      <c r="M337" s="34" t="str">
        <f>VLOOKUP(C337,Customers!$A$2:$F$301,5,FALSE)</f>
        <v>SMB</v>
      </c>
      <c r="N337" s="34">
        <f>VLOOKUP(C337,Customers!$A$2:$F$301,3,FALSE)</f>
        <v>39</v>
      </c>
      <c r="O337" s="34" t="str">
        <f>VLOOKUP(E337,Sales_Reps!$A$2:$E$31,3,FALSE)</f>
        <v>West</v>
      </c>
      <c r="P337" s="13" t="s">
        <v>116</v>
      </c>
      <c r="Q337" s="34">
        <f t="shared" si="14"/>
        <v>819558.58</v>
      </c>
      <c r="R337" s="34" t="str">
        <f>VLOOKUP(E337,Sales_Reps!$A$2:$E$100,3,FALSE)</f>
        <v>West</v>
      </c>
      <c r="S337" s="34" t="str">
        <f t="shared" si="15"/>
        <v>Apparel</v>
      </c>
      <c r="T337" s="38">
        <f>VLOOKUP(D337,Products!$A$2:$F$68,4,FALSE)</f>
        <v>1075</v>
      </c>
    </row>
    <row r="338" spans="1:20" x14ac:dyDescent="0.35">
      <c r="A338" s="13" t="s">
        <v>723</v>
      </c>
      <c r="B338" s="14">
        <v>45335</v>
      </c>
      <c r="C338" s="13" t="s">
        <v>626</v>
      </c>
      <c r="D338" s="13" t="s">
        <v>367</v>
      </c>
      <c r="E338" s="13" t="s">
        <v>121</v>
      </c>
      <c r="F338" s="15">
        <v>9</v>
      </c>
      <c r="G338" s="15">
        <v>2380</v>
      </c>
      <c r="H338" s="15">
        <v>16.8</v>
      </c>
      <c r="I338" s="15">
        <v>17821.439999999999</v>
      </c>
      <c r="J338" s="13" t="s">
        <v>87</v>
      </c>
      <c r="K338" s="13" t="s">
        <v>99</v>
      </c>
      <c r="L338" s="34" t="str">
        <f>VLOOKUP(D338,Products!$A$2:$F$61,3,FALSE)</f>
        <v>Grocery</v>
      </c>
      <c r="M338" s="34" t="str">
        <f>VLOOKUP(C338,Customers!$A$2:$F$301,5,FALSE)</f>
        <v>Retail</v>
      </c>
      <c r="N338" s="34">
        <f>VLOOKUP(C338,Customers!$A$2:$F$301,3,FALSE)</f>
        <v>40</v>
      </c>
      <c r="O338" s="34" t="str">
        <f>VLOOKUP(E338,Sales_Reps!$A$2:$E$31,3,FALSE)</f>
        <v>East</v>
      </c>
      <c r="P338" s="13" t="s">
        <v>121</v>
      </c>
      <c r="Q338" s="34">
        <f t="shared" si="14"/>
        <v>971183.52000000014</v>
      </c>
      <c r="R338" s="34" t="str">
        <f>VLOOKUP(E338,Sales_Reps!$A$2:$E$100,3,FALSE)</f>
        <v>East</v>
      </c>
      <c r="S338" s="34" t="str">
        <f t="shared" si="15"/>
        <v>Grocery</v>
      </c>
      <c r="T338" s="38">
        <f>VLOOKUP(D338,Products!$A$2:$F$68,4,FALSE)</f>
        <v>1182</v>
      </c>
    </row>
    <row r="339" spans="1:20" x14ac:dyDescent="0.35">
      <c r="A339" s="13" t="s">
        <v>724</v>
      </c>
      <c r="B339" s="14">
        <v>45420</v>
      </c>
      <c r="C339" s="13" t="s">
        <v>725</v>
      </c>
      <c r="D339" s="13" t="s">
        <v>452</v>
      </c>
      <c r="E339" s="13" t="s">
        <v>107</v>
      </c>
      <c r="F339" s="15">
        <v>1</v>
      </c>
      <c r="G339" s="15">
        <v>3450</v>
      </c>
      <c r="H339" s="15">
        <v>1.5</v>
      </c>
      <c r="I339" s="15">
        <v>3398.25</v>
      </c>
      <c r="J339" s="13" t="s">
        <v>144</v>
      </c>
      <c r="K339" s="13" t="s">
        <v>99</v>
      </c>
      <c r="L339" s="34" t="str">
        <f>VLOOKUP(D339,Products!$A$2:$F$61,3,FALSE)</f>
        <v>Apparel</v>
      </c>
      <c r="M339" s="34" t="str">
        <f>VLOOKUP(C339,Customers!$A$2:$F$301,5,FALSE)</f>
        <v>SMB</v>
      </c>
      <c r="N339" s="34">
        <f>VLOOKUP(C339,Customers!$A$2:$F$301,3,FALSE)</f>
        <v>26</v>
      </c>
      <c r="O339" s="34" t="str">
        <f>VLOOKUP(E339,Sales_Reps!$A$2:$E$31,3,FALSE)</f>
        <v>North</v>
      </c>
      <c r="P339" s="13" t="s">
        <v>107</v>
      </c>
      <c r="Q339" s="34">
        <f t="shared" si="14"/>
        <v>861553.33</v>
      </c>
      <c r="R339" s="34" t="str">
        <f>VLOOKUP(E339,Sales_Reps!$A$2:$E$100,3,FALSE)</f>
        <v>North</v>
      </c>
      <c r="S339" s="34" t="str">
        <f t="shared" si="15"/>
        <v>Apparel</v>
      </c>
      <c r="T339" s="38">
        <f>VLOOKUP(D339,Products!$A$2:$F$68,4,FALSE)</f>
        <v>1748</v>
      </c>
    </row>
    <row r="340" spans="1:20" x14ac:dyDescent="0.35">
      <c r="A340" s="13" t="s">
        <v>726</v>
      </c>
      <c r="B340" s="14">
        <v>45295</v>
      </c>
      <c r="C340" s="13" t="s">
        <v>119</v>
      </c>
      <c r="D340" s="13" t="s">
        <v>187</v>
      </c>
      <c r="E340" s="13" t="s">
        <v>297</v>
      </c>
      <c r="F340" s="15">
        <v>5</v>
      </c>
      <c r="G340" s="15">
        <v>3570</v>
      </c>
      <c r="H340" s="15">
        <v>12.8</v>
      </c>
      <c r="I340" s="15">
        <v>15565.2</v>
      </c>
      <c r="J340" s="13" t="s">
        <v>87</v>
      </c>
      <c r="K340" s="13" t="s">
        <v>117</v>
      </c>
      <c r="L340" s="34" t="str">
        <f>VLOOKUP(D340,Products!$A$2:$F$61,3,FALSE)</f>
        <v>Electronics</v>
      </c>
      <c r="M340" s="34" t="str">
        <f>VLOOKUP(C340,Customers!$A$2:$F$301,5,FALSE)</f>
        <v>Corporate</v>
      </c>
      <c r="N340" s="34">
        <f>VLOOKUP(C340,Customers!$A$2:$F$301,3,FALSE)</f>
        <v>57</v>
      </c>
      <c r="O340" s="34" t="str">
        <f>VLOOKUP(E340,Sales_Reps!$A$2:$E$31,3,FALSE)</f>
        <v>North</v>
      </c>
      <c r="P340" s="13" t="s">
        <v>297</v>
      </c>
      <c r="Q340" s="34">
        <f t="shared" si="14"/>
        <v>980063.65999999968</v>
      </c>
      <c r="R340" s="34" t="str">
        <f>VLOOKUP(E340,Sales_Reps!$A$2:$E$100,3,FALSE)</f>
        <v>North</v>
      </c>
      <c r="S340" s="34" t="str">
        <f t="shared" si="15"/>
        <v>Electronics</v>
      </c>
      <c r="T340" s="38">
        <f>VLOOKUP(D340,Products!$A$2:$F$68,4,FALSE)</f>
        <v>1665</v>
      </c>
    </row>
    <row r="341" spans="1:20" x14ac:dyDescent="0.35">
      <c r="A341" s="13" t="s">
        <v>727</v>
      </c>
      <c r="B341" s="14">
        <v>45590</v>
      </c>
      <c r="C341" s="13" t="s">
        <v>256</v>
      </c>
      <c r="D341" s="13" t="s">
        <v>364</v>
      </c>
      <c r="E341" s="13" t="s">
        <v>229</v>
      </c>
      <c r="F341" s="15">
        <v>3</v>
      </c>
      <c r="G341" s="15">
        <v>5330</v>
      </c>
      <c r="H341" s="15">
        <v>16.2</v>
      </c>
      <c r="I341" s="15">
        <v>13399.62</v>
      </c>
      <c r="J341" s="13" t="s">
        <v>87</v>
      </c>
      <c r="K341" s="13" t="s">
        <v>133</v>
      </c>
      <c r="L341" s="34" t="str">
        <f>VLOOKUP(D341,Products!$A$2:$F$61,3,FALSE)</f>
        <v>Electronics</v>
      </c>
      <c r="M341" s="34" t="str">
        <f>VLOOKUP(C341,Customers!$A$2:$F$301,5,FALSE)</f>
        <v>Retail</v>
      </c>
      <c r="N341" s="34">
        <f>VLOOKUP(C341,Customers!$A$2:$F$301,3,FALSE)</f>
        <v>27</v>
      </c>
      <c r="O341" s="34" t="str">
        <f>VLOOKUP(E341,Sales_Reps!$A$2:$E$31,3,FALSE)</f>
        <v>West</v>
      </c>
      <c r="P341" s="13" t="s">
        <v>229</v>
      </c>
      <c r="Q341" s="34">
        <f t="shared" si="14"/>
        <v>1016696.8000000002</v>
      </c>
      <c r="R341" s="34" t="str">
        <f>VLOOKUP(E341,Sales_Reps!$A$2:$E$100,3,FALSE)</f>
        <v>West</v>
      </c>
      <c r="S341" s="34" t="str">
        <f t="shared" si="15"/>
        <v>Electronics</v>
      </c>
      <c r="T341" s="38">
        <f>VLOOKUP(D341,Products!$A$2:$F$68,4,FALSE)</f>
        <v>2405</v>
      </c>
    </row>
    <row r="342" spans="1:20" x14ac:dyDescent="0.35">
      <c r="A342" s="13" t="s">
        <v>728</v>
      </c>
      <c r="B342" s="14">
        <v>45341</v>
      </c>
      <c r="C342" s="13" t="s">
        <v>729</v>
      </c>
      <c r="D342" s="13" t="s">
        <v>102</v>
      </c>
      <c r="E342" s="13" t="s">
        <v>343</v>
      </c>
      <c r="F342" s="15">
        <v>3</v>
      </c>
      <c r="G342" s="15">
        <v>3660</v>
      </c>
      <c r="H342" s="15">
        <v>25.3</v>
      </c>
      <c r="I342" s="15">
        <v>8202.06</v>
      </c>
      <c r="J342" s="13" t="s">
        <v>87</v>
      </c>
      <c r="K342" s="13" t="s">
        <v>112</v>
      </c>
      <c r="L342" s="34" t="str">
        <f>VLOOKUP(D342,Products!$A$2:$F$61,3,FALSE)</f>
        <v>Grocery</v>
      </c>
      <c r="M342" s="34" t="str">
        <f>VLOOKUP(C342,Customers!$A$2:$F$301,5,FALSE)</f>
        <v>Retail</v>
      </c>
      <c r="N342" s="34">
        <f>VLOOKUP(C342,Customers!$A$2:$F$301,3,FALSE)</f>
        <v>56</v>
      </c>
      <c r="O342" s="34" t="str">
        <f>VLOOKUP(E342,Sales_Reps!$A$2:$E$31,3,FALSE)</f>
        <v>West</v>
      </c>
      <c r="P342" s="13" t="s">
        <v>343</v>
      </c>
      <c r="Q342" s="34">
        <f t="shared" si="14"/>
        <v>917092.61999999965</v>
      </c>
      <c r="R342" s="34" t="str">
        <f>VLOOKUP(E342,Sales_Reps!$A$2:$E$100,3,FALSE)</f>
        <v>West</v>
      </c>
      <c r="S342" s="34" t="str">
        <f t="shared" si="15"/>
        <v>Grocery</v>
      </c>
      <c r="T342" s="38">
        <f>VLOOKUP(D342,Products!$A$2:$F$68,4,FALSE)</f>
        <v>2214</v>
      </c>
    </row>
    <row r="343" spans="1:20" x14ac:dyDescent="0.35">
      <c r="A343" s="13" t="s">
        <v>730</v>
      </c>
      <c r="B343" s="14">
        <v>45600</v>
      </c>
      <c r="C343" s="13" t="s">
        <v>673</v>
      </c>
      <c r="D343" s="13" t="s">
        <v>182</v>
      </c>
      <c r="E343" s="13" t="s">
        <v>188</v>
      </c>
      <c r="F343" s="15">
        <v>2</v>
      </c>
      <c r="G343" s="15">
        <v>1010</v>
      </c>
      <c r="H343" s="15">
        <v>29.2</v>
      </c>
      <c r="I343" s="15">
        <v>1430.16</v>
      </c>
      <c r="J343" s="13" t="s">
        <v>87</v>
      </c>
      <c r="K343" s="13" t="s">
        <v>112</v>
      </c>
      <c r="L343" s="34" t="str">
        <f>VLOOKUP(D343,Products!$A$2:$F$61,3,FALSE)</f>
        <v>Sports</v>
      </c>
      <c r="M343" s="34" t="str">
        <f>VLOOKUP(C343,Customers!$A$2:$F$301,5,FALSE)</f>
        <v>Retail</v>
      </c>
      <c r="N343" s="34">
        <f>VLOOKUP(C343,Customers!$A$2:$F$301,3,FALSE)</f>
        <v>35</v>
      </c>
      <c r="O343" s="34" t="str">
        <f>VLOOKUP(E343,Sales_Reps!$A$2:$E$31,3,FALSE)</f>
        <v>South</v>
      </c>
      <c r="P343" s="13" t="s">
        <v>188</v>
      </c>
      <c r="Q343" s="34">
        <f t="shared" si="14"/>
        <v>1091740.1799999997</v>
      </c>
      <c r="R343" s="34" t="str">
        <f>VLOOKUP(E343,Sales_Reps!$A$2:$E$100,3,FALSE)</f>
        <v>South</v>
      </c>
      <c r="S343" s="34" t="str">
        <f t="shared" si="15"/>
        <v>Sports</v>
      </c>
      <c r="T343" s="38">
        <f>VLOOKUP(D343,Products!$A$2:$F$68,4,FALSE)</f>
        <v>516</v>
      </c>
    </row>
    <row r="344" spans="1:20" x14ac:dyDescent="0.35">
      <c r="A344" s="13" t="s">
        <v>731</v>
      </c>
      <c r="B344" s="14">
        <v>45506</v>
      </c>
      <c r="C344" s="13" t="s">
        <v>595</v>
      </c>
      <c r="D344" s="13" t="s">
        <v>164</v>
      </c>
      <c r="E344" s="13" t="s">
        <v>188</v>
      </c>
      <c r="F344" s="15">
        <v>1</v>
      </c>
      <c r="G344" s="15">
        <v>1080</v>
      </c>
      <c r="H344" s="15">
        <v>1.8</v>
      </c>
      <c r="I344" s="15">
        <v>1060.56</v>
      </c>
      <c r="J344" s="13" t="s">
        <v>87</v>
      </c>
      <c r="K344" s="13" t="s">
        <v>99</v>
      </c>
      <c r="L344" s="34" t="str">
        <f>VLOOKUP(D344,Products!$A$2:$F$61,3,FALSE)</f>
        <v>Home</v>
      </c>
      <c r="M344" s="34" t="str">
        <f>VLOOKUP(C344,Customers!$A$2:$F$301,5,FALSE)</f>
        <v>SMB</v>
      </c>
      <c r="N344" s="34">
        <f>VLOOKUP(C344,Customers!$A$2:$F$301,3,FALSE)</f>
        <v>48</v>
      </c>
      <c r="O344" s="34" t="str">
        <f>VLOOKUP(E344,Sales_Reps!$A$2:$E$31,3,FALSE)</f>
        <v>South</v>
      </c>
      <c r="P344" s="13" t="s">
        <v>188</v>
      </c>
      <c r="Q344" s="34">
        <f t="shared" si="14"/>
        <v>1091740.1799999997</v>
      </c>
      <c r="R344" s="34" t="str">
        <f>VLOOKUP(E344,Sales_Reps!$A$2:$E$100,3,FALSE)</f>
        <v>South</v>
      </c>
      <c r="S344" s="34" t="str">
        <f t="shared" si="15"/>
        <v>Home</v>
      </c>
      <c r="T344" s="38">
        <f>VLOOKUP(D344,Products!$A$2:$F$68,4,FALSE)</f>
        <v>519</v>
      </c>
    </row>
    <row r="345" spans="1:20" x14ac:dyDescent="0.35">
      <c r="A345" s="13" t="s">
        <v>732</v>
      </c>
      <c r="B345" s="14">
        <v>45414</v>
      </c>
      <c r="C345" s="13" t="s">
        <v>413</v>
      </c>
      <c r="D345" s="13" t="s">
        <v>161</v>
      </c>
      <c r="E345" s="13" t="s">
        <v>132</v>
      </c>
      <c r="F345" s="15">
        <v>8</v>
      </c>
      <c r="G345" s="15">
        <v>3450</v>
      </c>
      <c r="H345" s="15">
        <v>20.399999999999999</v>
      </c>
      <c r="I345" s="15">
        <v>21969.599999999999</v>
      </c>
      <c r="J345" s="13" t="s">
        <v>87</v>
      </c>
      <c r="K345" s="13" t="s">
        <v>88</v>
      </c>
      <c r="L345" s="34" t="str">
        <f>VLOOKUP(D345,Products!$A$2:$F$61,3,FALSE)</f>
        <v>Sports</v>
      </c>
      <c r="M345" s="34" t="str">
        <f>VLOOKUP(C345,Customers!$A$2:$F$301,5,FALSE)</f>
        <v>Retail</v>
      </c>
      <c r="N345" s="34">
        <f>VLOOKUP(C345,Customers!$A$2:$F$301,3,FALSE)</f>
        <v>22</v>
      </c>
      <c r="O345" s="34" t="str">
        <f>VLOOKUP(E345,Sales_Reps!$A$2:$E$31,3,FALSE)</f>
        <v>South</v>
      </c>
      <c r="P345" s="13" t="s">
        <v>132</v>
      </c>
      <c r="Q345" s="34">
        <f t="shared" si="14"/>
        <v>880345.20000000007</v>
      </c>
      <c r="R345" s="34" t="str">
        <f>VLOOKUP(E345,Sales_Reps!$A$2:$E$100,3,FALSE)</f>
        <v>South</v>
      </c>
      <c r="S345" s="34" t="str">
        <f t="shared" si="15"/>
        <v>Sports</v>
      </c>
      <c r="T345" s="38">
        <f>VLOOKUP(D345,Products!$A$2:$F$68,4,FALSE)</f>
        <v>2467</v>
      </c>
    </row>
    <row r="346" spans="1:20" x14ac:dyDescent="0.35">
      <c r="A346" s="13" t="s">
        <v>733</v>
      </c>
      <c r="B346" s="14">
        <v>45553</v>
      </c>
      <c r="C346" s="13" t="s">
        <v>371</v>
      </c>
      <c r="D346" s="13" t="s">
        <v>515</v>
      </c>
      <c r="E346" s="13" t="s">
        <v>188</v>
      </c>
      <c r="F346" s="15">
        <v>8</v>
      </c>
      <c r="G346" s="15">
        <v>6940</v>
      </c>
      <c r="H346" s="15">
        <v>19.399999999999999</v>
      </c>
      <c r="I346" s="15">
        <v>44749.120000000003</v>
      </c>
      <c r="J346" s="13" t="s">
        <v>87</v>
      </c>
      <c r="K346" s="13" t="s">
        <v>112</v>
      </c>
      <c r="L346" s="34" t="str">
        <f>VLOOKUP(D346,Products!$A$2:$F$61,3,FALSE)</f>
        <v>Sports</v>
      </c>
      <c r="M346" s="34" t="str">
        <f>VLOOKUP(C346,Customers!$A$2:$F$301,5,FALSE)</f>
        <v>Retail</v>
      </c>
      <c r="N346" s="34">
        <f>VLOOKUP(C346,Customers!$A$2:$F$301,3,FALSE)</f>
        <v>42</v>
      </c>
      <c r="O346" s="34" t="str">
        <f>VLOOKUP(E346,Sales_Reps!$A$2:$E$31,3,FALSE)</f>
        <v>South</v>
      </c>
      <c r="P346" s="13" t="s">
        <v>188</v>
      </c>
      <c r="Q346" s="34">
        <f t="shared" si="14"/>
        <v>1091740.1799999997</v>
      </c>
      <c r="R346" s="34" t="str">
        <f>VLOOKUP(E346,Sales_Reps!$A$2:$E$100,3,FALSE)</f>
        <v>South</v>
      </c>
      <c r="S346" s="34" t="str">
        <f t="shared" si="15"/>
        <v>Sports</v>
      </c>
      <c r="T346" s="38">
        <f>VLOOKUP(D346,Products!$A$2:$F$68,4,FALSE)</f>
        <v>2827</v>
      </c>
    </row>
    <row r="347" spans="1:20" x14ac:dyDescent="0.35">
      <c r="A347" s="13" t="s">
        <v>734</v>
      </c>
      <c r="B347" s="14">
        <v>45434</v>
      </c>
      <c r="C347" s="13" t="s">
        <v>735</v>
      </c>
      <c r="D347" s="13" t="s">
        <v>259</v>
      </c>
      <c r="E347" s="13" t="s">
        <v>148</v>
      </c>
      <c r="F347" s="15">
        <v>2</v>
      </c>
      <c r="G347" s="15">
        <v>1540</v>
      </c>
      <c r="H347" s="15">
        <v>9.3000000000000007</v>
      </c>
      <c r="I347" s="15">
        <v>2793.56</v>
      </c>
      <c r="J347" s="13" t="s">
        <v>87</v>
      </c>
      <c r="K347" s="13" t="s">
        <v>88</v>
      </c>
      <c r="L347" s="34" t="str">
        <f>VLOOKUP(D347,Products!$A$2:$F$61,3,FALSE)</f>
        <v>Beauty</v>
      </c>
      <c r="M347" s="34" t="str">
        <f>VLOOKUP(C347,Customers!$A$2:$F$301,5,FALSE)</f>
        <v>Retail</v>
      </c>
      <c r="N347" s="34">
        <f>VLOOKUP(C347,Customers!$A$2:$F$301,3,FALSE)</f>
        <v>54</v>
      </c>
      <c r="O347" s="34" t="str">
        <f>VLOOKUP(E347,Sales_Reps!$A$2:$E$31,3,FALSE)</f>
        <v>North</v>
      </c>
      <c r="P347" s="13" t="s">
        <v>148</v>
      </c>
      <c r="Q347" s="34">
        <f t="shared" si="14"/>
        <v>986692.91</v>
      </c>
      <c r="R347" s="34" t="str">
        <f>VLOOKUP(E347,Sales_Reps!$A$2:$E$100,3,FALSE)</f>
        <v>North</v>
      </c>
      <c r="S347" s="34" t="str">
        <f t="shared" si="15"/>
        <v>Beauty</v>
      </c>
      <c r="T347" s="38">
        <f>VLOOKUP(D347,Products!$A$2:$F$68,4,FALSE)</f>
        <v>647</v>
      </c>
    </row>
    <row r="348" spans="1:20" x14ac:dyDescent="0.35">
      <c r="A348" s="13" t="s">
        <v>736</v>
      </c>
      <c r="B348" s="14">
        <v>45446</v>
      </c>
      <c r="C348" s="13" t="s">
        <v>197</v>
      </c>
      <c r="D348" s="13" t="s">
        <v>135</v>
      </c>
      <c r="E348" s="13" t="s">
        <v>188</v>
      </c>
      <c r="F348" s="15">
        <v>4</v>
      </c>
      <c r="G348" s="15">
        <v>2640</v>
      </c>
      <c r="H348" s="15">
        <v>23.2</v>
      </c>
      <c r="I348" s="15">
        <v>8110.08</v>
      </c>
      <c r="J348" s="13" t="s">
        <v>144</v>
      </c>
      <c r="K348" s="13" t="s">
        <v>88</v>
      </c>
      <c r="L348" s="34" t="str">
        <f>VLOOKUP(D348,Products!$A$2:$F$61,3,FALSE)</f>
        <v>Electronics</v>
      </c>
      <c r="M348" s="34" t="str">
        <f>VLOOKUP(C348,Customers!$A$2:$F$301,5,FALSE)</f>
        <v>Corporate</v>
      </c>
      <c r="N348" s="34">
        <f>VLOOKUP(C348,Customers!$A$2:$F$301,3,FALSE)</f>
        <v>47</v>
      </c>
      <c r="O348" s="34" t="str">
        <f>VLOOKUP(E348,Sales_Reps!$A$2:$E$31,3,FALSE)</f>
        <v>South</v>
      </c>
      <c r="P348" s="13" t="s">
        <v>188</v>
      </c>
      <c r="Q348" s="34">
        <f t="shared" si="14"/>
        <v>1091740.1799999997</v>
      </c>
      <c r="R348" s="34" t="str">
        <f>VLOOKUP(E348,Sales_Reps!$A$2:$E$100,3,FALSE)</f>
        <v>South</v>
      </c>
      <c r="S348" s="34" t="str">
        <f t="shared" si="15"/>
        <v>Electronics</v>
      </c>
      <c r="T348" s="38">
        <f>VLOOKUP(D348,Products!$A$2:$F$68,4,FALSE)</f>
        <v>1149</v>
      </c>
    </row>
    <row r="349" spans="1:20" x14ac:dyDescent="0.35">
      <c r="A349" s="13" t="s">
        <v>737</v>
      </c>
      <c r="B349" s="14">
        <v>45626</v>
      </c>
      <c r="C349" s="13" t="s">
        <v>738</v>
      </c>
      <c r="D349" s="13" t="s">
        <v>360</v>
      </c>
      <c r="E349" s="13" t="s">
        <v>116</v>
      </c>
      <c r="F349" s="15">
        <v>6</v>
      </c>
      <c r="G349" s="15">
        <v>5410</v>
      </c>
      <c r="H349" s="15">
        <v>29.4</v>
      </c>
      <c r="I349" s="15">
        <v>22916.76</v>
      </c>
      <c r="J349" s="13" t="s">
        <v>87</v>
      </c>
      <c r="K349" s="13" t="s">
        <v>88</v>
      </c>
      <c r="L349" s="34" t="str">
        <f>VLOOKUP(D349,Products!$A$2:$F$61,3,FALSE)</f>
        <v>Sports</v>
      </c>
      <c r="M349" s="34" t="str">
        <f>VLOOKUP(C349,Customers!$A$2:$F$301,5,FALSE)</f>
        <v>Retail</v>
      </c>
      <c r="N349" s="34">
        <f>VLOOKUP(C349,Customers!$A$2:$F$301,3,FALSE)</f>
        <v>36</v>
      </c>
      <c r="O349" s="34" t="str">
        <f>VLOOKUP(E349,Sales_Reps!$A$2:$E$31,3,FALSE)</f>
        <v>West</v>
      </c>
      <c r="P349" s="13" t="s">
        <v>116</v>
      </c>
      <c r="Q349" s="34">
        <f t="shared" si="14"/>
        <v>819558.58</v>
      </c>
      <c r="R349" s="34" t="str">
        <f>VLOOKUP(E349,Sales_Reps!$A$2:$E$100,3,FALSE)</f>
        <v>West</v>
      </c>
      <c r="S349" s="34" t="str">
        <f t="shared" si="15"/>
        <v>Sports</v>
      </c>
      <c r="T349" s="38">
        <f>VLOOKUP(D349,Products!$A$2:$F$68,4,FALSE)</f>
        <v>2265</v>
      </c>
    </row>
    <row r="350" spans="1:20" x14ac:dyDescent="0.35">
      <c r="A350" s="13" t="s">
        <v>739</v>
      </c>
      <c r="B350" s="14">
        <v>45459</v>
      </c>
      <c r="C350" s="13" t="s">
        <v>357</v>
      </c>
      <c r="D350" s="13" t="s">
        <v>187</v>
      </c>
      <c r="E350" s="13" t="s">
        <v>343</v>
      </c>
      <c r="F350" s="15">
        <v>1</v>
      </c>
      <c r="G350" s="15">
        <v>3570</v>
      </c>
      <c r="H350" s="15">
        <v>4.3</v>
      </c>
      <c r="I350" s="15">
        <v>3416.49</v>
      </c>
      <c r="J350" s="13" t="s">
        <v>87</v>
      </c>
      <c r="K350" s="13" t="s">
        <v>99</v>
      </c>
      <c r="L350" s="34" t="str">
        <f>VLOOKUP(D350,Products!$A$2:$F$61,3,FALSE)</f>
        <v>Electronics</v>
      </c>
      <c r="M350" s="34" t="str">
        <f>VLOOKUP(C350,Customers!$A$2:$F$301,5,FALSE)</f>
        <v>SMB</v>
      </c>
      <c r="N350" s="34">
        <f>VLOOKUP(C350,Customers!$A$2:$F$301,3,FALSE)</f>
        <v>38</v>
      </c>
      <c r="O350" s="34" t="str">
        <f>VLOOKUP(E350,Sales_Reps!$A$2:$E$31,3,FALSE)</f>
        <v>West</v>
      </c>
      <c r="P350" s="13" t="s">
        <v>343</v>
      </c>
      <c r="Q350" s="34">
        <f t="shared" si="14"/>
        <v>917092.61999999965</v>
      </c>
      <c r="R350" s="34" t="str">
        <f>VLOOKUP(E350,Sales_Reps!$A$2:$E$100,3,FALSE)</f>
        <v>West</v>
      </c>
      <c r="S350" s="34" t="str">
        <f t="shared" si="15"/>
        <v>Electronics</v>
      </c>
      <c r="T350" s="38">
        <f>VLOOKUP(D350,Products!$A$2:$F$68,4,FALSE)</f>
        <v>1665</v>
      </c>
    </row>
    <row r="351" spans="1:20" x14ac:dyDescent="0.35">
      <c r="A351" s="13" t="s">
        <v>740</v>
      </c>
      <c r="B351" s="14">
        <v>45520</v>
      </c>
      <c r="C351" s="13" t="s">
        <v>741</v>
      </c>
      <c r="D351" s="13" t="s">
        <v>110</v>
      </c>
      <c r="E351" s="13" t="s">
        <v>128</v>
      </c>
      <c r="F351" s="15">
        <v>2</v>
      </c>
      <c r="G351" s="15">
        <v>370</v>
      </c>
      <c r="H351" s="15">
        <v>7.2</v>
      </c>
      <c r="I351" s="15">
        <v>686.72</v>
      </c>
      <c r="J351" s="13" t="s">
        <v>87</v>
      </c>
      <c r="K351" s="13" t="s">
        <v>133</v>
      </c>
      <c r="L351" s="34" t="str">
        <f>VLOOKUP(D351,Products!$A$2:$F$61,3,FALSE)</f>
        <v>Home</v>
      </c>
      <c r="M351" s="34" t="str">
        <f>VLOOKUP(C351,Customers!$A$2:$F$301,5,FALSE)</f>
        <v>SMB</v>
      </c>
      <c r="N351" s="34">
        <f>VLOOKUP(C351,Customers!$A$2:$F$301,3,FALSE)</f>
        <v>29</v>
      </c>
      <c r="O351" s="34" t="str">
        <f>VLOOKUP(E351,Sales_Reps!$A$2:$E$31,3,FALSE)</f>
        <v>West</v>
      </c>
      <c r="P351" s="13" t="s">
        <v>128</v>
      </c>
      <c r="Q351" s="34">
        <f t="shared" si="14"/>
        <v>880468.05</v>
      </c>
      <c r="R351" s="34" t="str">
        <f>VLOOKUP(E351,Sales_Reps!$A$2:$E$100,3,FALSE)</f>
        <v>West</v>
      </c>
      <c r="S351" s="34" t="str">
        <f t="shared" si="15"/>
        <v>Home</v>
      </c>
      <c r="T351" s="38">
        <f>VLOOKUP(D351,Products!$A$2:$F$68,4,FALSE)</f>
        <v>288</v>
      </c>
    </row>
    <row r="352" spans="1:20" x14ac:dyDescent="0.35">
      <c r="A352" s="13" t="s">
        <v>742</v>
      </c>
      <c r="B352" s="14">
        <v>45314</v>
      </c>
      <c r="C352" s="13" t="s">
        <v>597</v>
      </c>
      <c r="D352" s="13" t="s">
        <v>355</v>
      </c>
      <c r="E352" s="13" t="s">
        <v>238</v>
      </c>
      <c r="F352" s="15">
        <v>1</v>
      </c>
      <c r="G352" s="15">
        <v>2510</v>
      </c>
      <c r="H352" s="15">
        <v>2.4</v>
      </c>
      <c r="I352" s="15">
        <v>2449.7600000000002</v>
      </c>
      <c r="J352" s="13" t="s">
        <v>87</v>
      </c>
      <c r="K352" s="13" t="s">
        <v>112</v>
      </c>
      <c r="L352" s="34" t="str">
        <f>VLOOKUP(D352,Products!$A$2:$F$61,3,FALSE)</f>
        <v>Apparel</v>
      </c>
      <c r="M352" s="34" t="str">
        <f>VLOOKUP(C352,Customers!$A$2:$F$301,5,FALSE)</f>
        <v>Retail</v>
      </c>
      <c r="N352" s="34">
        <f>VLOOKUP(C352,Customers!$A$2:$F$301,3,FALSE)</f>
        <v>39</v>
      </c>
      <c r="O352" s="34" t="str">
        <f>VLOOKUP(E352,Sales_Reps!$A$2:$E$31,3,FALSE)</f>
        <v>East</v>
      </c>
      <c r="P352" s="13" t="s">
        <v>238</v>
      </c>
      <c r="Q352" s="34">
        <f t="shared" si="14"/>
        <v>780384.40999999992</v>
      </c>
      <c r="R352" s="34" t="str">
        <f>VLOOKUP(E352,Sales_Reps!$A$2:$E$100,3,FALSE)</f>
        <v>East</v>
      </c>
      <c r="S352" s="34" t="str">
        <f t="shared" si="15"/>
        <v>Apparel</v>
      </c>
      <c r="T352" s="38">
        <f>VLOOKUP(D352,Products!$A$2:$F$68,4,FALSE)</f>
        <v>1075</v>
      </c>
    </row>
    <row r="353" spans="1:20" x14ac:dyDescent="0.35">
      <c r="A353" s="13" t="s">
        <v>743</v>
      </c>
      <c r="B353" s="14">
        <v>45480</v>
      </c>
      <c r="C353" s="13" t="s">
        <v>744</v>
      </c>
      <c r="D353" s="13" t="s">
        <v>237</v>
      </c>
      <c r="E353" s="13" t="s">
        <v>285</v>
      </c>
      <c r="F353" s="15">
        <v>8</v>
      </c>
      <c r="G353" s="15">
        <v>3640</v>
      </c>
      <c r="H353" s="15">
        <v>28.7</v>
      </c>
      <c r="I353" s="15">
        <v>20762.560000000001</v>
      </c>
      <c r="J353" s="13" t="s">
        <v>93</v>
      </c>
      <c r="K353" s="13" t="s">
        <v>133</v>
      </c>
      <c r="L353" s="34" t="str">
        <f>VLOOKUP(D353,Products!$A$2:$F$61,3,FALSE)</f>
        <v>Apparel</v>
      </c>
      <c r="M353" s="34" t="str">
        <f>VLOOKUP(C353,Customers!$A$2:$F$301,5,FALSE)</f>
        <v>Retail</v>
      </c>
      <c r="N353" s="34">
        <f>VLOOKUP(C353,Customers!$A$2:$F$301,3,FALSE)</f>
        <v>64</v>
      </c>
      <c r="O353" s="34" t="str">
        <f>VLOOKUP(E353,Sales_Reps!$A$2:$E$31,3,FALSE)</f>
        <v>East</v>
      </c>
      <c r="P353" s="13" t="s">
        <v>285</v>
      </c>
      <c r="Q353" s="34">
        <f t="shared" si="14"/>
        <v>1069570.5400000003</v>
      </c>
      <c r="R353" s="34" t="str">
        <f>VLOOKUP(E353,Sales_Reps!$A$2:$E$100,3,FALSE)</f>
        <v>East</v>
      </c>
      <c r="S353" s="34" t="str">
        <f t="shared" si="15"/>
        <v>Apparel</v>
      </c>
      <c r="T353" s="38">
        <f>VLOOKUP(D353,Products!$A$2:$F$68,4,FALSE)</f>
        <v>2611</v>
      </c>
    </row>
    <row r="354" spans="1:20" x14ac:dyDescent="0.35">
      <c r="A354" s="13" t="s">
        <v>745</v>
      </c>
      <c r="B354" s="14">
        <v>45520</v>
      </c>
      <c r="C354" s="13" t="s">
        <v>186</v>
      </c>
      <c r="D354" s="13" t="s">
        <v>176</v>
      </c>
      <c r="E354" s="13" t="s">
        <v>229</v>
      </c>
      <c r="F354" s="15">
        <v>5</v>
      </c>
      <c r="G354" s="15">
        <v>1650</v>
      </c>
      <c r="H354" s="15">
        <v>13.4</v>
      </c>
      <c r="I354" s="15">
        <v>7144.5</v>
      </c>
      <c r="J354" s="13" t="s">
        <v>93</v>
      </c>
      <c r="K354" s="13" t="s">
        <v>94</v>
      </c>
      <c r="L354" s="34" t="str">
        <f>VLOOKUP(D354,Products!$A$2:$F$61,3,FALSE)</f>
        <v>Beauty</v>
      </c>
      <c r="M354" s="34" t="str">
        <f>VLOOKUP(C354,Customers!$A$2:$F$301,5,FALSE)</f>
        <v>SMB</v>
      </c>
      <c r="N354" s="34">
        <f>VLOOKUP(C354,Customers!$A$2:$F$301,3,FALSE)</f>
        <v>52</v>
      </c>
      <c r="O354" s="34" t="str">
        <f>VLOOKUP(E354,Sales_Reps!$A$2:$E$31,3,FALSE)</f>
        <v>West</v>
      </c>
      <c r="P354" s="13" t="s">
        <v>229</v>
      </c>
      <c r="Q354" s="34">
        <f t="shared" si="14"/>
        <v>1016696.8000000002</v>
      </c>
      <c r="R354" s="34" t="str">
        <f>VLOOKUP(E354,Sales_Reps!$A$2:$E$100,3,FALSE)</f>
        <v>West</v>
      </c>
      <c r="S354" s="34" t="str">
        <f t="shared" si="15"/>
        <v>Beauty</v>
      </c>
      <c r="T354" s="38">
        <f>VLOOKUP(D354,Products!$A$2:$F$68,4,FALSE)</f>
        <v>1222</v>
      </c>
    </row>
    <row r="355" spans="1:20" x14ac:dyDescent="0.35">
      <c r="A355" s="13" t="s">
        <v>746</v>
      </c>
      <c r="B355" s="14">
        <v>45360</v>
      </c>
      <c r="C355" s="13" t="s">
        <v>353</v>
      </c>
      <c r="D355" s="13" t="s">
        <v>380</v>
      </c>
      <c r="E355" s="13" t="s">
        <v>116</v>
      </c>
      <c r="F355" s="15">
        <v>9</v>
      </c>
      <c r="G355" s="15">
        <v>960</v>
      </c>
      <c r="H355" s="15">
        <v>28.6</v>
      </c>
      <c r="I355" s="15">
        <v>6168.96</v>
      </c>
      <c r="J355" s="13" t="s">
        <v>93</v>
      </c>
      <c r="K355" s="13" t="s">
        <v>94</v>
      </c>
      <c r="L355" s="34" t="str">
        <f>VLOOKUP(D355,Products!$A$2:$F$61,3,FALSE)</f>
        <v>Beauty</v>
      </c>
      <c r="M355" s="34" t="str">
        <f>VLOOKUP(C355,Customers!$A$2:$F$301,5,FALSE)</f>
        <v>Retail</v>
      </c>
      <c r="N355" s="34">
        <f>VLOOKUP(C355,Customers!$A$2:$F$301,3,FALSE)</f>
        <v>60</v>
      </c>
      <c r="O355" s="34" t="str">
        <f>VLOOKUP(E355,Sales_Reps!$A$2:$E$31,3,FALSE)</f>
        <v>West</v>
      </c>
      <c r="P355" s="13" t="s">
        <v>116</v>
      </c>
      <c r="Q355" s="34">
        <f t="shared" si="14"/>
        <v>819558.58</v>
      </c>
      <c r="R355" s="34" t="str">
        <f>VLOOKUP(E355,Sales_Reps!$A$2:$E$100,3,FALSE)</f>
        <v>West</v>
      </c>
      <c r="S355" s="34" t="str">
        <f t="shared" si="15"/>
        <v>Beauty</v>
      </c>
      <c r="T355" s="38">
        <f>VLOOKUP(D355,Products!$A$2:$F$68,4,FALSE)</f>
        <v>675</v>
      </c>
    </row>
    <row r="356" spans="1:20" x14ac:dyDescent="0.35">
      <c r="A356" s="13" t="s">
        <v>747</v>
      </c>
      <c r="B356" s="14">
        <v>45486</v>
      </c>
      <c r="C356" s="13" t="s">
        <v>231</v>
      </c>
      <c r="D356" s="13" t="s">
        <v>234</v>
      </c>
      <c r="E356" s="13" t="s">
        <v>158</v>
      </c>
      <c r="F356" s="15">
        <v>4</v>
      </c>
      <c r="G356" s="15">
        <v>3780</v>
      </c>
      <c r="H356" s="15">
        <v>25.3</v>
      </c>
      <c r="I356" s="15">
        <v>11294.64</v>
      </c>
      <c r="J356" s="13" t="s">
        <v>87</v>
      </c>
      <c r="K356" s="13" t="s">
        <v>117</v>
      </c>
      <c r="L356" s="34" t="str">
        <f>VLOOKUP(D356,Products!$A$2:$F$61,3,FALSE)</f>
        <v>Grocery</v>
      </c>
      <c r="M356" s="34" t="str">
        <f>VLOOKUP(C356,Customers!$A$2:$F$301,5,FALSE)</f>
        <v>SMB</v>
      </c>
      <c r="N356" s="34">
        <f>VLOOKUP(C356,Customers!$A$2:$F$301,3,FALSE)</f>
        <v>64</v>
      </c>
      <c r="O356" s="34" t="str">
        <f>VLOOKUP(E356,Sales_Reps!$A$2:$E$31,3,FALSE)</f>
        <v>East</v>
      </c>
      <c r="P356" s="13" t="s">
        <v>158</v>
      </c>
      <c r="Q356" s="34">
        <f t="shared" si="14"/>
        <v>761507.17000000027</v>
      </c>
      <c r="R356" s="34" t="str">
        <f>VLOOKUP(E356,Sales_Reps!$A$2:$E$100,3,FALSE)</f>
        <v>East</v>
      </c>
      <c r="S356" s="34" t="str">
        <f t="shared" si="15"/>
        <v>Grocery</v>
      </c>
      <c r="T356" s="38">
        <f>VLOOKUP(D356,Products!$A$2:$F$68,4,FALSE)</f>
        <v>2436</v>
      </c>
    </row>
    <row r="357" spans="1:20" x14ac:dyDescent="0.35">
      <c r="A357" s="13" t="s">
        <v>748</v>
      </c>
      <c r="B357" s="14">
        <v>45544</v>
      </c>
      <c r="C357" s="13" t="s">
        <v>186</v>
      </c>
      <c r="D357" s="13" t="s">
        <v>176</v>
      </c>
      <c r="E357" s="13" t="s">
        <v>98</v>
      </c>
      <c r="F357" s="15">
        <v>4</v>
      </c>
      <c r="G357" s="15">
        <v>1650</v>
      </c>
      <c r="H357" s="15">
        <v>13.7</v>
      </c>
      <c r="I357" s="15">
        <v>5695.8</v>
      </c>
      <c r="J357" s="13" t="s">
        <v>140</v>
      </c>
      <c r="K357" s="13" t="s">
        <v>94</v>
      </c>
      <c r="L357" s="34" t="str">
        <f>VLOOKUP(D357,Products!$A$2:$F$61,3,FALSE)</f>
        <v>Beauty</v>
      </c>
      <c r="M357" s="34" t="str">
        <f>VLOOKUP(C357,Customers!$A$2:$F$301,5,FALSE)</f>
        <v>SMB</v>
      </c>
      <c r="N357" s="34">
        <f>VLOOKUP(C357,Customers!$A$2:$F$301,3,FALSE)</f>
        <v>52</v>
      </c>
      <c r="O357" s="34" t="str">
        <f>VLOOKUP(E357,Sales_Reps!$A$2:$E$31,3,FALSE)</f>
        <v>South</v>
      </c>
      <c r="P357" s="13" t="s">
        <v>98</v>
      </c>
      <c r="Q357" s="34">
        <f t="shared" si="14"/>
        <v>995713.54000000015</v>
      </c>
      <c r="R357" s="34" t="str">
        <f>VLOOKUP(E357,Sales_Reps!$A$2:$E$100,3,FALSE)</f>
        <v>South</v>
      </c>
      <c r="S357" s="34" t="str">
        <f t="shared" si="15"/>
        <v>Beauty</v>
      </c>
      <c r="T357" s="38">
        <f>VLOOKUP(D357,Products!$A$2:$F$68,4,FALSE)</f>
        <v>1222</v>
      </c>
    </row>
    <row r="358" spans="1:20" x14ac:dyDescent="0.35">
      <c r="A358" s="13" t="s">
        <v>749</v>
      </c>
      <c r="B358" s="14">
        <v>45580</v>
      </c>
      <c r="C358" s="13" t="s">
        <v>539</v>
      </c>
      <c r="D358" s="13" t="s">
        <v>85</v>
      </c>
      <c r="E358" s="13" t="s">
        <v>325</v>
      </c>
      <c r="F358" s="15">
        <v>6</v>
      </c>
      <c r="G358" s="15">
        <v>3620</v>
      </c>
      <c r="H358" s="15">
        <v>21.3</v>
      </c>
      <c r="I358" s="15">
        <v>17093.64</v>
      </c>
      <c r="J358" s="13" t="s">
        <v>93</v>
      </c>
      <c r="K358" s="13" t="s">
        <v>133</v>
      </c>
      <c r="L358" s="34" t="str">
        <f>VLOOKUP(D358,Products!$A$2:$F$61,3,FALSE)</f>
        <v>Apparel</v>
      </c>
      <c r="M358" s="34" t="str">
        <f>VLOOKUP(C358,Customers!$A$2:$F$301,5,FALSE)</f>
        <v>Retail</v>
      </c>
      <c r="N358" s="34">
        <f>VLOOKUP(C358,Customers!$A$2:$F$301,3,FALSE)</f>
        <v>38</v>
      </c>
      <c r="O358" s="34" t="str">
        <f>VLOOKUP(E358,Sales_Reps!$A$2:$E$31,3,FALSE)</f>
        <v>South</v>
      </c>
      <c r="P358" s="13" t="s">
        <v>325</v>
      </c>
      <c r="Q358" s="34">
        <f t="shared" si="14"/>
        <v>901394.32000000007</v>
      </c>
      <c r="R358" s="34" t="str">
        <f>VLOOKUP(E358,Sales_Reps!$A$2:$E$100,3,FALSE)</f>
        <v>South</v>
      </c>
      <c r="S358" s="34" t="str">
        <f t="shared" si="15"/>
        <v>Apparel</v>
      </c>
      <c r="T358" s="38">
        <f>VLOOKUP(D358,Products!$A$2:$F$68,4,FALSE)</f>
        <v>2509</v>
      </c>
    </row>
    <row r="359" spans="1:20" x14ac:dyDescent="0.35">
      <c r="A359" s="13" t="s">
        <v>750</v>
      </c>
      <c r="B359" s="14">
        <v>45312</v>
      </c>
      <c r="C359" s="13" t="s">
        <v>474</v>
      </c>
      <c r="D359" s="13" t="s">
        <v>245</v>
      </c>
      <c r="E359" s="13" t="s">
        <v>170</v>
      </c>
      <c r="F359" s="15">
        <v>10</v>
      </c>
      <c r="G359" s="15">
        <v>2270</v>
      </c>
      <c r="H359" s="15">
        <v>17.7</v>
      </c>
      <c r="I359" s="15">
        <v>18682.099999999999</v>
      </c>
      <c r="J359" s="13" t="s">
        <v>87</v>
      </c>
      <c r="K359" s="13" t="s">
        <v>99</v>
      </c>
      <c r="L359" s="34" t="str">
        <f>VLOOKUP(D359,Products!$A$2:$F$61,3,FALSE)</f>
        <v>Grocery</v>
      </c>
      <c r="M359" s="34" t="str">
        <f>VLOOKUP(C359,Customers!$A$2:$F$301,5,FALSE)</f>
        <v>SMB</v>
      </c>
      <c r="N359" s="34">
        <f>VLOOKUP(C359,Customers!$A$2:$F$301,3,FALSE)</f>
        <v>59</v>
      </c>
      <c r="O359" s="34" t="str">
        <f>VLOOKUP(E359,Sales_Reps!$A$2:$E$31,3,FALSE)</f>
        <v>West</v>
      </c>
      <c r="P359" s="13" t="s">
        <v>170</v>
      </c>
      <c r="Q359" s="34">
        <f t="shared" si="14"/>
        <v>747624.36999999988</v>
      </c>
      <c r="R359" s="34" t="str">
        <f>VLOOKUP(E359,Sales_Reps!$A$2:$E$100,3,FALSE)</f>
        <v>West</v>
      </c>
      <c r="S359" s="34" t="str">
        <f t="shared" si="15"/>
        <v>Grocery</v>
      </c>
      <c r="T359" s="38">
        <f>VLOOKUP(D359,Products!$A$2:$F$68,4,FALSE)</f>
        <v>1412</v>
      </c>
    </row>
    <row r="360" spans="1:20" x14ac:dyDescent="0.35">
      <c r="A360" s="13" t="s">
        <v>751</v>
      </c>
      <c r="B360" s="14">
        <v>45447</v>
      </c>
      <c r="C360" s="13" t="s">
        <v>752</v>
      </c>
      <c r="D360" s="13" t="s">
        <v>259</v>
      </c>
      <c r="E360" s="13" t="s">
        <v>252</v>
      </c>
      <c r="F360" s="15">
        <v>9</v>
      </c>
      <c r="G360" s="15">
        <v>1540</v>
      </c>
      <c r="H360" s="15">
        <v>10.7</v>
      </c>
      <c r="I360" s="15">
        <v>12376.98</v>
      </c>
      <c r="J360" s="13" t="s">
        <v>87</v>
      </c>
      <c r="K360" s="13" t="s">
        <v>117</v>
      </c>
      <c r="L360" s="34" t="str">
        <f>VLOOKUP(D360,Products!$A$2:$F$61,3,FALSE)</f>
        <v>Beauty</v>
      </c>
      <c r="M360" s="34" t="str">
        <f>VLOOKUP(C360,Customers!$A$2:$F$301,5,FALSE)</f>
        <v>Retail</v>
      </c>
      <c r="N360" s="34">
        <f>VLOOKUP(C360,Customers!$A$2:$F$301,3,FALSE)</f>
        <v>32</v>
      </c>
      <c r="O360" s="34" t="str">
        <f>VLOOKUP(E360,Sales_Reps!$A$2:$E$31,3,FALSE)</f>
        <v>South</v>
      </c>
      <c r="P360" s="13" t="s">
        <v>252</v>
      </c>
      <c r="Q360" s="34">
        <f t="shared" si="14"/>
        <v>811524.37999999989</v>
      </c>
      <c r="R360" s="34" t="str">
        <f>VLOOKUP(E360,Sales_Reps!$A$2:$E$100,3,FALSE)</f>
        <v>South</v>
      </c>
      <c r="S360" s="34" t="str">
        <f t="shared" si="15"/>
        <v>Beauty</v>
      </c>
      <c r="T360" s="38">
        <f>VLOOKUP(D360,Products!$A$2:$F$68,4,FALSE)</f>
        <v>647</v>
      </c>
    </row>
    <row r="361" spans="1:20" x14ac:dyDescent="0.35">
      <c r="A361" s="13" t="s">
        <v>753</v>
      </c>
      <c r="B361" s="14">
        <v>45607</v>
      </c>
      <c r="C361" s="13" t="s">
        <v>208</v>
      </c>
      <c r="D361" s="13" t="s">
        <v>195</v>
      </c>
      <c r="E361" s="13" t="s">
        <v>158</v>
      </c>
      <c r="F361" s="15">
        <v>9</v>
      </c>
      <c r="G361" s="15">
        <v>2860</v>
      </c>
      <c r="H361" s="15">
        <v>12.9</v>
      </c>
      <c r="I361" s="15">
        <v>22419.54</v>
      </c>
      <c r="J361" s="13" t="s">
        <v>87</v>
      </c>
      <c r="K361" s="13" t="s">
        <v>133</v>
      </c>
      <c r="L361" s="34" t="str">
        <f>VLOOKUP(D361,Products!$A$2:$F$61,3,FALSE)</f>
        <v>Sports</v>
      </c>
      <c r="M361" s="34" t="str">
        <f>VLOOKUP(C361,Customers!$A$2:$F$301,5,FALSE)</f>
        <v>Retail</v>
      </c>
      <c r="N361" s="34">
        <f>VLOOKUP(C361,Customers!$A$2:$F$301,3,FALSE)</f>
        <v>26</v>
      </c>
      <c r="O361" s="34" t="str">
        <f>VLOOKUP(E361,Sales_Reps!$A$2:$E$31,3,FALSE)</f>
        <v>East</v>
      </c>
      <c r="P361" s="13" t="s">
        <v>158</v>
      </c>
      <c r="Q361" s="34">
        <f t="shared" si="14"/>
        <v>761507.17000000027</v>
      </c>
      <c r="R361" s="34" t="str">
        <f>VLOOKUP(E361,Sales_Reps!$A$2:$E$100,3,FALSE)</f>
        <v>East</v>
      </c>
      <c r="S361" s="34" t="str">
        <f t="shared" si="15"/>
        <v>Sports</v>
      </c>
      <c r="T361" s="38">
        <f>VLOOKUP(D361,Products!$A$2:$F$68,4,FALSE)</f>
        <v>2028</v>
      </c>
    </row>
    <row r="362" spans="1:20" x14ac:dyDescent="0.35">
      <c r="A362" s="13" t="s">
        <v>754</v>
      </c>
      <c r="B362" s="14">
        <v>45379</v>
      </c>
      <c r="C362" s="13" t="s">
        <v>700</v>
      </c>
      <c r="D362" s="13" t="s">
        <v>338</v>
      </c>
      <c r="E362" s="13" t="s">
        <v>346</v>
      </c>
      <c r="F362" s="15">
        <v>5</v>
      </c>
      <c r="G362" s="15">
        <v>2210</v>
      </c>
      <c r="H362" s="15">
        <v>5.0999999999999996</v>
      </c>
      <c r="I362" s="15">
        <v>10486.45</v>
      </c>
      <c r="J362" s="13" t="s">
        <v>87</v>
      </c>
      <c r="K362" s="13" t="s">
        <v>94</v>
      </c>
      <c r="L362" s="34" t="str">
        <f>VLOOKUP(D362,Products!$A$2:$F$61,3,FALSE)</f>
        <v>Grocery</v>
      </c>
      <c r="M362" s="34" t="str">
        <f>VLOOKUP(C362,Customers!$A$2:$F$301,5,FALSE)</f>
        <v>SMB</v>
      </c>
      <c r="N362" s="34">
        <f>VLOOKUP(C362,Customers!$A$2:$F$301,3,FALSE)</f>
        <v>46</v>
      </c>
      <c r="O362" s="34" t="str">
        <f>VLOOKUP(E362,Sales_Reps!$A$2:$E$31,3,FALSE)</f>
        <v>South</v>
      </c>
      <c r="P362" s="13" t="s">
        <v>346</v>
      </c>
      <c r="Q362" s="34">
        <f t="shared" si="14"/>
        <v>814563.7100000002</v>
      </c>
      <c r="R362" s="34" t="str">
        <f>VLOOKUP(E362,Sales_Reps!$A$2:$E$100,3,FALSE)</f>
        <v>South</v>
      </c>
      <c r="S362" s="34" t="str">
        <f t="shared" si="15"/>
        <v>Grocery</v>
      </c>
      <c r="T362" s="38">
        <f>VLOOKUP(D362,Products!$A$2:$F$68,4,FALSE)</f>
        <v>1010</v>
      </c>
    </row>
    <row r="363" spans="1:20" x14ac:dyDescent="0.35">
      <c r="A363" s="13" t="s">
        <v>755</v>
      </c>
      <c r="B363" s="14">
        <v>45591</v>
      </c>
      <c r="C363" s="13" t="s">
        <v>378</v>
      </c>
      <c r="D363" s="13" t="s">
        <v>267</v>
      </c>
      <c r="E363" s="13" t="s">
        <v>229</v>
      </c>
      <c r="F363" s="15">
        <v>1</v>
      </c>
      <c r="G363" s="15">
        <v>1220</v>
      </c>
      <c r="H363" s="15">
        <v>16.100000000000001</v>
      </c>
      <c r="I363" s="15">
        <v>1023.58</v>
      </c>
      <c r="J363" s="13" t="s">
        <v>87</v>
      </c>
      <c r="K363" s="13" t="s">
        <v>94</v>
      </c>
      <c r="L363" s="34" t="str">
        <f>VLOOKUP(D363,Products!$A$2:$F$61,3,FALSE)</f>
        <v>Electronics</v>
      </c>
      <c r="M363" s="34" t="str">
        <f>VLOOKUP(C363,Customers!$A$2:$F$301,5,FALSE)</f>
        <v>SMB</v>
      </c>
      <c r="N363" s="34">
        <f>VLOOKUP(C363,Customers!$A$2:$F$301,3,FALSE)</f>
        <v>53</v>
      </c>
      <c r="O363" s="34" t="str">
        <f>VLOOKUP(E363,Sales_Reps!$A$2:$E$31,3,FALSE)</f>
        <v>West</v>
      </c>
      <c r="P363" s="13" t="s">
        <v>229</v>
      </c>
      <c r="Q363" s="34">
        <f t="shared" si="14"/>
        <v>1016696.8000000002</v>
      </c>
      <c r="R363" s="34" t="str">
        <f>VLOOKUP(E363,Sales_Reps!$A$2:$E$100,3,FALSE)</f>
        <v>West</v>
      </c>
      <c r="S363" s="34" t="str">
        <f t="shared" si="15"/>
        <v>Electronics</v>
      </c>
      <c r="T363" s="38">
        <f>VLOOKUP(D363,Products!$A$2:$F$68,4,FALSE)</f>
        <v>517</v>
      </c>
    </row>
    <row r="364" spans="1:20" x14ac:dyDescent="0.35">
      <c r="A364" s="13" t="s">
        <v>756</v>
      </c>
      <c r="B364" s="14">
        <v>45561</v>
      </c>
      <c r="C364" s="13" t="s">
        <v>757</v>
      </c>
      <c r="D364" s="13" t="s">
        <v>187</v>
      </c>
      <c r="E364" s="13" t="s">
        <v>103</v>
      </c>
      <c r="F364" s="15">
        <v>2</v>
      </c>
      <c r="G364" s="15">
        <v>3570</v>
      </c>
      <c r="H364" s="15">
        <v>1.1000000000000001</v>
      </c>
      <c r="I364" s="15">
        <v>7061.46</v>
      </c>
      <c r="J364" s="13" t="s">
        <v>87</v>
      </c>
      <c r="K364" s="13" t="s">
        <v>117</v>
      </c>
      <c r="L364" s="34" t="str">
        <f>VLOOKUP(D364,Products!$A$2:$F$61,3,FALSE)</f>
        <v>Electronics</v>
      </c>
      <c r="M364" s="34" t="str">
        <f>VLOOKUP(C364,Customers!$A$2:$F$301,5,FALSE)</f>
        <v>Corporate</v>
      </c>
      <c r="N364" s="34">
        <f>VLOOKUP(C364,Customers!$A$2:$F$301,3,FALSE)</f>
        <v>43</v>
      </c>
      <c r="O364" s="34" t="str">
        <f>VLOOKUP(E364,Sales_Reps!$A$2:$E$31,3,FALSE)</f>
        <v>North</v>
      </c>
      <c r="P364" s="13" t="s">
        <v>103</v>
      </c>
      <c r="Q364" s="34">
        <f t="shared" si="14"/>
        <v>1138648.73</v>
      </c>
      <c r="R364" s="34" t="str">
        <f>VLOOKUP(E364,Sales_Reps!$A$2:$E$100,3,FALSE)</f>
        <v>North</v>
      </c>
      <c r="S364" s="34" t="str">
        <f t="shared" si="15"/>
        <v>Electronics</v>
      </c>
      <c r="T364" s="38">
        <f>VLOOKUP(D364,Products!$A$2:$F$68,4,FALSE)</f>
        <v>1665</v>
      </c>
    </row>
    <row r="365" spans="1:20" x14ac:dyDescent="0.35">
      <c r="A365" s="13" t="s">
        <v>758</v>
      </c>
      <c r="B365" s="14">
        <v>45308</v>
      </c>
      <c r="C365" s="13" t="s">
        <v>759</v>
      </c>
      <c r="D365" s="13" t="s">
        <v>452</v>
      </c>
      <c r="E365" s="13" t="s">
        <v>346</v>
      </c>
      <c r="F365" s="15">
        <v>10</v>
      </c>
      <c r="G365" s="15">
        <v>3450</v>
      </c>
      <c r="H365" s="15">
        <v>12.6</v>
      </c>
      <c r="I365" s="15">
        <v>30153</v>
      </c>
      <c r="J365" s="13" t="s">
        <v>87</v>
      </c>
      <c r="K365" s="13" t="s">
        <v>117</v>
      </c>
      <c r="L365" s="34" t="str">
        <f>VLOOKUP(D365,Products!$A$2:$F$61,3,FALSE)</f>
        <v>Apparel</v>
      </c>
      <c r="M365" s="34" t="str">
        <f>VLOOKUP(C365,Customers!$A$2:$F$301,5,FALSE)</f>
        <v>Retail</v>
      </c>
      <c r="N365" s="34">
        <f>VLOOKUP(C365,Customers!$A$2:$F$301,3,FALSE)</f>
        <v>29</v>
      </c>
      <c r="O365" s="34" t="str">
        <f>VLOOKUP(E365,Sales_Reps!$A$2:$E$31,3,FALSE)</f>
        <v>South</v>
      </c>
      <c r="P365" s="13" t="s">
        <v>346</v>
      </c>
      <c r="Q365" s="34">
        <f t="shared" si="14"/>
        <v>814563.7100000002</v>
      </c>
      <c r="R365" s="34" t="str">
        <f>VLOOKUP(E365,Sales_Reps!$A$2:$E$100,3,FALSE)</f>
        <v>South</v>
      </c>
      <c r="S365" s="34" t="str">
        <f t="shared" si="15"/>
        <v>Apparel</v>
      </c>
      <c r="T365" s="38">
        <f>VLOOKUP(D365,Products!$A$2:$F$68,4,FALSE)</f>
        <v>1748</v>
      </c>
    </row>
    <row r="366" spans="1:20" x14ac:dyDescent="0.35">
      <c r="A366" s="13" t="s">
        <v>760</v>
      </c>
      <c r="B366" s="14">
        <v>45563</v>
      </c>
      <c r="C366" s="13" t="s">
        <v>738</v>
      </c>
      <c r="D366" s="13" t="s">
        <v>338</v>
      </c>
      <c r="E366" s="13" t="s">
        <v>158</v>
      </c>
      <c r="F366" s="15">
        <v>4</v>
      </c>
      <c r="G366" s="15">
        <v>2210</v>
      </c>
      <c r="H366" s="15">
        <v>5.4</v>
      </c>
      <c r="I366" s="15">
        <v>8362.64</v>
      </c>
      <c r="J366" s="13" t="s">
        <v>87</v>
      </c>
      <c r="K366" s="13" t="s">
        <v>88</v>
      </c>
      <c r="L366" s="34" t="str">
        <f>VLOOKUP(D366,Products!$A$2:$F$61,3,FALSE)</f>
        <v>Grocery</v>
      </c>
      <c r="M366" s="34" t="str">
        <f>VLOOKUP(C366,Customers!$A$2:$F$301,5,FALSE)</f>
        <v>Retail</v>
      </c>
      <c r="N366" s="34">
        <f>VLOOKUP(C366,Customers!$A$2:$F$301,3,FALSE)</f>
        <v>36</v>
      </c>
      <c r="O366" s="34" t="str">
        <f>VLOOKUP(E366,Sales_Reps!$A$2:$E$31,3,FALSE)</f>
        <v>East</v>
      </c>
      <c r="P366" s="13" t="s">
        <v>158</v>
      </c>
      <c r="Q366" s="34">
        <f t="shared" si="14"/>
        <v>761507.17000000027</v>
      </c>
      <c r="R366" s="34" t="str">
        <f>VLOOKUP(E366,Sales_Reps!$A$2:$E$100,3,FALSE)</f>
        <v>East</v>
      </c>
      <c r="S366" s="34" t="str">
        <f t="shared" si="15"/>
        <v>Grocery</v>
      </c>
      <c r="T366" s="38">
        <f>VLOOKUP(D366,Products!$A$2:$F$68,4,FALSE)</f>
        <v>1010</v>
      </c>
    </row>
    <row r="367" spans="1:20" x14ac:dyDescent="0.35">
      <c r="A367" s="13" t="s">
        <v>761</v>
      </c>
      <c r="B367" s="14">
        <v>45476</v>
      </c>
      <c r="C367" s="13" t="s">
        <v>762</v>
      </c>
      <c r="D367" s="13" t="s">
        <v>502</v>
      </c>
      <c r="E367" s="13" t="s">
        <v>98</v>
      </c>
      <c r="F367" s="15">
        <v>6</v>
      </c>
      <c r="G367" s="15">
        <v>1090</v>
      </c>
      <c r="H367" s="15">
        <v>2.9</v>
      </c>
      <c r="I367" s="15">
        <v>6350.34</v>
      </c>
      <c r="J367" s="13" t="s">
        <v>140</v>
      </c>
      <c r="K367" s="13" t="s">
        <v>133</v>
      </c>
      <c r="L367" s="34" t="str">
        <f>VLOOKUP(D367,Products!$A$2:$F$61,3,FALSE)</f>
        <v>Home</v>
      </c>
      <c r="M367" s="34" t="str">
        <f>VLOOKUP(C367,Customers!$A$2:$F$301,5,FALSE)</f>
        <v>Retail</v>
      </c>
      <c r="N367" s="34">
        <f>VLOOKUP(C367,Customers!$A$2:$F$301,3,FALSE)</f>
        <v>52</v>
      </c>
      <c r="O367" s="34" t="str">
        <f>VLOOKUP(E367,Sales_Reps!$A$2:$E$31,3,FALSE)</f>
        <v>South</v>
      </c>
      <c r="P367" s="13" t="s">
        <v>98</v>
      </c>
      <c r="Q367" s="34">
        <f t="shared" si="14"/>
        <v>995713.54000000015</v>
      </c>
      <c r="R367" s="34" t="str">
        <f>VLOOKUP(E367,Sales_Reps!$A$2:$E$100,3,FALSE)</f>
        <v>South</v>
      </c>
      <c r="S367" s="34" t="str">
        <f t="shared" si="15"/>
        <v>Home</v>
      </c>
      <c r="T367" s="38">
        <f>VLOOKUP(D367,Products!$A$2:$F$68,4,FALSE)</f>
        <v>464</v>
      </c>
    </row>
    <row r="368" spans="1:20" x14ac:dyDescent="0.35">
      <c r="A368" s="13" t="s">
        <v>763</v>
      </c>
      <c r="B368" s="14">
        <v>45364</v>
      </c>
      <c r="C368" s="13" t="s">
        <v>764</v>
      </c>
      <c r="D368" s="13" t="s">
        <v>259</v>
      </c>
      <c r="E368" s="13" t="s">
        <v>238</v>
      </c>
      <c r="F368" s="15">
        <v>8</v>
      </c>
      <c r="G368" s="15">
        <v>1540</v>
      </c>
      <c r="H368" s="15">
        <v>17.899999999999999</v>
      </c>
      <c r="I368" s="15">
        <v>10114.719999999999</v>
      </c>
      <c r="J368" s="13" t="s">
        <v>93</v>
      </c>
      <c r="K368" s="13" t="s">
        <v>94</v>
      </c>
      <c r="L368" s="34" t="str">
        <f>VLOOKUP(D368,Products!$A$2:$F$61,3,FALSE)</f>
        <v>Beauty</v>
      </c>
      <c r="M368" s="34" t="str">
        <f>VLOOKUP(C368,Customers!$A$2:$F$301,5,FALSE)</f>
        <v>SMB</v>
      </c>
      <c r="N368" s="34">
        <f>VLOOKUP(C368,Customers!$A$2:$F$301,3,FALSE)</f>
        <v>26</v>
      </c>
      <c r="O368" s="34" t="str">
        <f>VLOOKUP(E368,Sales_Reps!$A$2:$E$31,3,FALSE)</f>
        <v>East</v>
      </c>
      <c r="P368" s="13" t="s">
        <v>238</v>
      </c>
      <c r="Q368" s="34">
        <f t="shared" si="14"/>
        <v>780384.40999999992</v>
      </c>
      <c r="R368" s="34" t="str">
        <f>VLOOKUP(E368,Sales_Reps!$A$2:$E$100,3,FALSE)</f>
        <v>East</v>
      </c>
      <c r="S368" s="34" t="str">
        <f t="shared" si="15"/>
        <v>Beauty</v>
      </c>
      <c r="T368" s="38">
        <f>VLOOKUP(D368,Products!$A$2:$F$68,4,FALSE)</f>
        <v>647</v>
      </c>
    </row>
    <row r="369" spans="1:20" x14ac:dyDescent="0.35">
      <c r="A369" s="13" t="s">
        <v>765</v>
      </c>
      <c r="B369" s="14">
        <v>45371</v>
      </c>
      <c r="C369" s="13" t="s">
        <v>485</v>
      </c>
      <c r="D369" s="13" t="s">
        <v>138</v>
      </c>
      <c r="E369" s="13" t="s">
        <v>128</v>
      </c>
      <c r="F369" s="15">
        <v>9</v>
      </c>
      <c r="G369" s="15">
        <v>2600</v>
      </c>
      <c r="H369" s="15">
        <v>4.0999999999999996</v>
      </c>
      <c r="I369" s="15">
        <v>22440.6</v>
      </c>
      <c r="J369" s="13" t="s">
        <v>87</v>
      </c>
      <c r="K369" s="13" t="s">
        <v>88</v>
      </c>
      <c r="L369" s="34" t="str">
        <f>VLOOKUP(D369,Products!$A$2:$F$61,3,FALSE)</f>
        <v>Electronics</v>
      </c>
      <c r="M369" s="34" t="str">
        <f>VLOOKUP(C369,Customers!$A$2:$F$301,5,FALSE)</f>
        <v>Retail</v>
      </c>
      <c r="N369" s="34">
        <f>VLOOKUP(C369,Customers!$A$2:$F$301,3,FALSE)</f>
        <v>49</v>
      </c>
      <c r="O369" s="34" t="str">
        <f>VLOOKUP(E369,Sales_Reps!$A$2:$E$31,3,FALSE)</f>
        <v>West</v>
      </c>
      <c r="P369" s="13" t="s">
        <v>128</v>
      </c>
      <c r="Q369" s="34">
        <f t="shared" si="14"/>
        <v>880468.05</v>
      </c>
      <c r="R369" s="34" t="str">
        <f>VLOOKUP(E369,Sales_Reps!$A$2:$E$100,3,FALSE)</f>
        <v>West</v>
      </c>
      <c r="S369" s="34" t="str">
        <f t="shared" si="15"/>
        <v>Electronics</v>
      </c>
      <c r="T369" s="38">
        <f>VLOOKUP(D369,Products!$A$2:$F$68,4,FALSE)</f>
        <v>1052</v>
      </c>
    </row>
    <row r="370" spans="1:20" x14ac:dyDescent="0.35">
      <c r="A370" s="13" t="s">
        <v>766</v>
      </c>
      <c r="B370" s="14">
        <v>45623</v>
      </c>
      <c r="C370" s="13" t="s">
        <v>680</v>
      </c>
      <c r="D370" s="13" t="s">
        <v>147</v>
      </c>
      <c r="E370" s="13" t="s">
        <v>86</v>
      </c>
      <c r="F370" s="15">
        <v>2</v>
      </c>
      <c r="G370" s="15">
        <v>190</v>
      </c>
      <c r="H370" s="15">
        <v>4.8</v>
      </c>
      <c r="I370" s="15">
        <v>361.76</v>
      </c>
      <c r="J370" s="13" t="s">
        <v>87</v>
      </c>
      <c r="K370" s="13" t="s">
        <v>94</v>
      </c>
      <c r="L370" s="34" t="str">
        <f>VLOOKUP(D370,Products!$A$2:$F$61,3,FALSE)</f>
        <v>Sports</v>
      </c>
      <c r="M370" s="34" t="str">
        <f>VLOOKUP(C370,Customers!$A$2:$F$301,5,FALSE)</f>
        <v>Retail</v>
      </c>
      <c r="N370" s="34">
        <f>VLOOKUP(C370,Customers!$A$2:$F$301,3,FALSE)</f>
        <v>26</v>
      </c>
      <c r="O370" s="34" t="str">
        <f>VLOOKUP(E370,Sales_Reps!$A$2:$E$31,3,FALSE)</f>
        <v>North</v>
      </c>
      <c r="P370" s="13" t="s">
        <v>86</v>
      </c>
      <c r="Q370" s="34">
        <f t="shared" si="14"/>
        <v>855749.67999999982</v>
      </c>
      <c r="R370" s="34" t="str">
        <f>VLOOKUP(E370,Sales_Reps!$A$2:$E$100,3,FALSE)</f>
        <v>North</v>
      </c>
      <c r="S370" s="34" t="str">
        <f t="shared" si="15"/>
        <v>Sports</v>
      </c>
      <c r="T370" s="38">
        <f>VLOOKUP(D370,Products!$A$2:$F$68,4,FALSE)</f>
        <v>147</v>
      </c>
    </row>
    <row r="371" spans="1:20" x14ac:dyDescent="0.35">
      <c r="A371" s="13" t="s">
        <v>767</v>
      </c>
      <c r="B371" s="14">
        <v>45441</v>
      </c>
      <c r="C371" s="13" t="s">
        <v>768</v>
      </c>
      <c r="D371" s="13" t="s">
        <v>167</v>
      </c>
      <c r="E371" s="13" t="s">
        <v>98</v>
      </c>
      <c r="F371" s="15">
        <v>9</v>
      </c>
      <c r="G371" s="15">
        <v>2480</v>
      </c>
      <c r="H371" s="15">
        <v>28.3</v>
      </c>
      <c r="I371" s="15">
        <v>16003.44</v>
      </c>
      <c r="J371" s="13" t="s">
        <v>87</v>
      </c>
      <c r="K371" s="13" t="s">
        <v>88</v>
      </c>
      <c r="L371" s="34" t="str">
        <f>VLOOKUP(D371,Products!$A$2:$F$61,3,FALSE)</f>
        <v>Apparel</v>
      </c>
      <c r="M371" s="34" t="str">
        <f>VLOOKUP(C371,Customers!$A$2:$F$301,5,FALSE)</f>
        <v>Corporate</v>
      </c>
      <c r="N371" s="34">
        <f>VLOOKUP(C371,Customers!$A$2:$F$301,3,FALSE)</f>
        <v>42</v>
      </c>
      <c r="O371" s="34" t="str">
        <f>VLOOKUP(E371,Sales_Reps!$A$2:$E$31,3,FALSE)</f>
        <v>South</v>
      </c>
      <c r="P371" s="13" t="s">
        <v>98</v>
      </c>
      <c r="Q371" s="34">
        <f t="shared" si="14"/>
        <v>995713.54000000015</v>
      </c>
      <c r="R371" s="34" t="str">
        <f>VLOOKUP(E371,Sales_Reps!$A$2:$E$100,3,FALSE)</f>
        <v>South</v>
      </c>
      <c r="S371" s="34" t="str">
        <f t="shared" si="15"/>
        <v>Apparel</v>
      </c>
      <c r="T371" s="38">
        <f>VLOOKUP(D371,Products!$A$2:$F$68,4,FALSE)</f>
        <v>1173</v>
      </c>
    </row>
    <row r="372" spans="1:20" x14ac:dyDescent="0.35">
      <c r="A372" s="13" t="s">
        <v>769</v>
      </c>
      <c r="B372" s="14">
        <v>45442</v>
      </c>
      <c r="C372" s="13" t="s">
        <v>770</v>
      </c>
      <c r="D372" s="13" t="s">
        <v>386</v>
      </c>
      <c r="E372" s="13" t="s">
        <v>103</v>
      </c>
      <c r="F372" s="15">
        <v>7</v>
      </c>
      <c r="G372" s="15">
        <v>2290</v>
      </c>
      <c r="H372" s="15">
        <v>25</v>
      </c>
      <c r="I372" s="15">
        <v>12022.5</v>
      </c>
      <c r="J372" s="13" t="s">
        <v>140</v>
      </c>
      <c r="K372" s="13" t="s">
        <v>88</v>
      </c>
      <c r="L372" s="34" t="str">
        <f>VLOOKUP(D372,Products!$A$2:$F$61,3,FALSE)</f>
        <v>Beauty</v>
      </c>
      <c r="M372" s="34" t="str">
        <f>VLOOKUP(C372,Customers!$A$2:$F$301,5,FALSE)</f>
        <v>Retail</v>
      </c>
      <c r="N372" s="34">
        <f>VLOOKUP(C372,Customers!$A$2:$F$301,3,FALSE)</f>
        <v>35</v>
      </c>
      <c r="O372" s="34" t="str">
        <f>VLOOKUP(E372,Sales_Reps!$A$2:$E$31,3,FALSE)</f>
        <v>North</v>
      </c>
      <c r="P372" s="13" t="s">
        <v>103</v>
      </c>
      <c r="Q372" s="34">
        <f t="shared" si="14"/>
        <v>1138648.73</v>
      </c>
      <c r="R372" s="34" t="str">
        <f>VLOOKUP(E372,Sales_Reps!$A$2:$E$100,3,FALSE)</f>
        <v>North</v>
      </c>
      <c r="S372" s="34" t="str">
        <f t="shared" si="15"/>
        <v>Beauty</v>
      </c>
      <c r="T372" s="38">
        <f>VLOOKUP(D372,Products!$A$2:$F$68,4,FALSE)</f>
        <v>1219</v>
      </c>
    </row>
    <row r="373" spans="1:20" x14ac:dyDescent="0.35">
      <c r="A373" s="13" t="s">
        <v>771</v>
      </c>
      <c r="B373" s="14">
        <v>45567</v>
      </c>
      <c r="C373" s="13" t="s">
        <v>236</v>
      </c>
      <c r="D373" s="13" t="s">
        <v>259</v>
      </c>
      <c r="E373" s="13" t="s">
        <v>188</v>
      </c>
      <c r="F373" s="15">
        <v>9</v>
      </c>
      <c r="G373" s="15">
        <v>1540</v>
      </c>
      <c r="H373" s="15">
        <v>23.3</v>
      </c>
      <c r="I373" s="15">
        <v>10630.62</v>
      </c>
      <c r="J373" s="13" t="s">
        <v>87</v>
      </c>
      <c r="K373" s="13" t="s">
        <v>133</v>
      </c>
      <c r="L373" s="34" t="str">
        <f>VLOOKUP(D373,Products!$A$2:$F$61,3,FALSE)</f>
        <v>Beauty</v>
      </c>
      <c r="M373" s="34" t="str">
        <f>VLOOKUP(C373,Customers!$A$2:$F$301,5,FALSE)</f>
        <v>Retail</v>
      </c>
      <c r="N373" s="34">
        <f>VLOOKUP(C373,Customers!$A$2:$F$301,3,FALSE)</f>
        <v>64</v>
      </c>
      <c r="O373" s="34" t="str">
        <f>VLOOKUP(E373,Sales_Reps!$A$2:$E$31,3,FALSE)</f>
        <v>South</v>
      </c>
      <c r="P373" s="13" t="s">
        <v>188</v>
      </c>
      <c r="Q373" s="34">
        <f t="shared" si="14"/>
        <v>1091740.1799999997</v>
      </c>
      <c r="R373" s="34" t="str">
        <f>VLOOKUP(E373,Sales_Reps!$A$2:$E$100,3,FALSE)</f>
        <v>South</v>
      </c>
      <c r="S373" s="34" t="str">
        <f t="shared" si="15"/>
        <v>Beauty</v>
      </c>
      <c r="T373" s="38">
        <f>VLOOKUP(D373,Products!$A$2:$F$68,4,FALSE)</f>
        <v>647</v>
      </c>
    </row>
    <row r="374" spans="1:20" x14ac:dyDescent="0.35">
      <c r="A374" s="13" t="s">
        <v>772</v>
      </c>
      <c r="B374" s="14">
        <v>45653</v>
      </c>
      <c r="C374" s="13" t="s">
        <v>359</v>
      </c>
      <c r="D374" s="13" t="s">
        <v>443</v>
      </c>
      <c r="E374" s="13" t="s">
        <v>111</v>
      </c>
      <c r="F374" s="15">
        <v>2</v>
      </c>
      <c r="G374" s="15">
        <v>5080</v>
      </c>
      <c r="H374" s="15">
        <v>2.5</v>
      </c>
      <c r="I374" s="15">
        <v>9906</v>
      </c>
      <c r="J374" s="13" t="s">
        <v>140</v>
      </c>
      <c r="K374" s="13" t="s">
        <v>99</v>
      </c>
      <c r="L374" s="34" t="str">
        <f>VLOOKUP(D374,Products!$A$2:$F$61,3,FALSE)</f>
        <v>Home</v>
      </c>
      <c r="M374" s="34" t="str">
        <f>VLOOKUP(C374,Customers!$A$2:$F$301,5,FALSE)</f>
        <v>SMB</v>
      </c>
      <c r="N374" s="34">
        <f>VLOOKUP(C374,Customers!$A$2:$F$301,3,FALSE)</f>
        <v>28</v>
      </c>
      <c r="O374" s="34" t="str">
        <f>VLOOKUP(E374,Sales_Reps!$A$2:$E$31,3,FALSE)</f>
        <v>West</v>
      </c>
      <c r="P374" s="13" t="s">
        <v>111</v>
      </c>
      <c r="Q374" s="34">
        <f t="shared" si="14"/>
        <v>901298.89</v>
      </c>
      <c r="R374" s="34" t="str">
        <f>VLOOKUP(E374,Sales_Reps!$A$2:$E$100,3,FALSE)</f>
        <v>West</v>
      </c>
      <c r="S374" s="34" t="str">
        <f t="shared" si="15"/>
        <v>Home</v>
      </c>
      <c r="T374" s="38">
        <f>VLOOKUP(D374,Products!$A$2:$F$68,4,FALSE)</f>
        <v>2459</v>
      </c>
    </row>
    <row r="375" spans="1:20" x14ac:dyDescent="0.35">
      <c r="A375" s="13" t="s">
        <v>773</v>
      </c>
      <c r="B375" s="14">
        <v>45331</v>
      </c>
      <c r="C375" s="13" t="s">
        <v>493</v>
      </c>
      <c r="D375" s="13" t="s">
        <v>355</v>
      </c>
      <c r="E375" s="13" t="s">
        <v>346</v>
      </c>
      <c r="F375" s="15">
        <v>4</v>
      </c>
      <c r="G375" s="15">
        <v>2510</v>
      </c>
      <c r="H375" s="15">
        <v>23.6</v>
      </c>
      <c r="I375" s="15">
        <v>7670.56</v>
      </c>
      <c r="J375" s="13" t="s">
        <v>87</v>
      </c>
      <c r="K375" s="13" t="s">
        <v>88</v>
      </c>
      <c r="L375" s="34" t="str">
        <f>VLOOKUP(D375,Products!$A$2:$F$61,3,FALSE)</f>
        <v>Apparel</v>
      </c>
      <c r="M375" s="34" t="str">
        <f>VLOOKUP(C375,Customers!$A$2:$F$301,5,FALSE)</f>
        <v>Retail</v>
      </c>
      <c r="N375" s="34">
        <f>VLOOKUP(C375,Customers!$A$2:$F$301,3,FALSE)</f>
        <v>57</v>
      </c>
      <c r="O375" s="34" t="str">
        <f>VLOOKUP(E375,Sales_Reps!$A$2:$E$31,3,FALSE)</f>
        <v>South</v>
      </c>
      <c r="P375" s="13" t="s">
        <v>346</v>
      </c>
      <c r="Q375" s="34">
        <f t="shared" si="14"/>
        <v>814563.7100000002</v>
      </c>
      <c r="R375" s="34" t="str">
        <f>VLOOKUP(E375,Sales_Reps!$A$2:$E$100,3,FALSE)</f>
        <v>South</v>
      </c>
      <c r="S375" s="34" t="str">
        <f t="shared" si="15"/>
        <v>Apparel</v>
      </c>
      <c r="T375" s="38">
        <f>VLOOKUP(D375,Products!$A$2:$F$68,4,FALSE)</f>
        <v>1075</v>
      </c>
    </row>
    <row r="376" spans="1:20" x14ac:dyDescent="0.35">
      <c r="A376" s="13" t="s">
        <v>774</v>
      </c>
      <c r="B376" s="14">
        <v>45332</v>
      </c>
      <c r="C376" s="13" t="s">
        <v>359</v>
      </c>
      <c r="D376" s="13" t="s">
        <v>386</v>
      </c>
      <c r="E376" s="13" t="s">
        <v>273</v>
      </c>
      <c r="F376" s="15">
        <v>5</v>
      </c>
      <c r="G376" s="15">
        <v>2290</v>
      </c>
      <c r="H376" s="15">
        <v>17</v>
      </c>
      <c r="I376" s="15">
        <v>9503.5</v>
      </c>
      <c r="J376" s="13" t="s">
        <v>87</v>
      </c>
      <c r="K376" s="13" t="s">
        <v>99</v>
      </c>
      <c r="L376" s="34" t="str">
        <f>VLOOKUP(D376,Products!$A$2:$F$61,3,FALSE)</f>
        <v>Beauty</v>
      </c>
      <c r="M376" s="34" t="str">
        <f>VLOOKUP(C376,Customers!$A$2:$F$301,5,FALSE)</f>
        <v>SMB</v>
      </c>
      <c r="N376" s="34">
        <f>VLOOKUP(C376,Customers!$A$2:$F$301,3,FALSE)</f>
        <v>28</v>
      </c>
      <c r="O376" s="34" t="str">
        <f>VLOOKUP(E376,Sales_Reps!$A$2:$E$31,3,FALSE)</f>
        <v>South</v>
      </c>
      <c r="P376" s="13" t="s">
        <v>273</v>
      </c>
      <c r="Q376" s="34">
        <f t="shared" si="14"/>
        <v>735207.75999999989</v>
      </c>
      <c r="R376" s="34" t="str">
        <f>VLOOKUP(E376,Sales_Reps!$A$2:$E$100,3,FALSE)</f>
        <v>South</v>
      </c>
      <c r="S376" s="34" t="str">
        <f t="shared" si="15"/>
        <v>Beauty</v>
      </c>
      <c r="T376" s="38">
        <f>VLOOKUP(D376,Products!$A$2:$F$68,4,FALSE)</f>
        <v>1219</v>
      </c>
    </row>
    <row r="377" spans="1:20" x14ac:dyDescent="0.35">
      <c r="A377" s="13" t="s">
        <v>775</v>
      </c>
      <c r="B377" s="14">
        <v>45340</v>
      </c>
      <c r="C377" s="13" t="s">
        <v>328</v>
      </c>
      <c r="D377" s="13" t="s">
        <v>97</v>
      </c>
      <c r="E377" s="13" t="s">
        <v>103</v>
      </c>
      <c r="F377" s="15">
        <v>8</v>
      </c>
      <c r="G377" s="15">
        <v>470</v>
      </c>
      <c r="H377" s="15">
        <v>9.3000000000000007</v>
      </c>
      <c r="I377" s="15">
        <v>3410.32</v>
      </c>
      <c r="J377" s="13" t="s">
        <v>87</v>
      </c>
      <c r="K377" s="13" t="s">
        <v>94</v>
      </c>
      <c r="L377" s="34" t="str">
        <f>VLOOKUP(D377,Products!$A$2:$F$61,3,FALSE)</f>
        <v>Sports</v>
      </c>
      <c r="M377" s="34" t="str">
        <f>VLOOKUP(C377,Customers!$A$2:$F$301,5,FALSE)</f>
        <v>Retail</v>
      </c>
      <c r="N377" s="34">
        <f>VLOOKUP(C377,Customers!$A$2:$F$301,3,FALSE)</f>
        <v>28</v>
      </c>
      <c r="O377" s="34" t="str">
        <f>VLOOKUP(E377,Sales_Reps!$A$2:$E$31,3,FALSE)</f>
        <v>North</v>
      </c>
      <c r="P377" s="13" t="s">
        <v>103</v>
      </c>
      <c r="Q377" s="34">
        <f t="shared" si="14"/>
        <v>1138648.73</v>
      </c>
      <c r="R377" s="34" t="str">
        <f>VLOOKUP(E377,Sales_Reps!$A$2:$E$100,3,FALSE)</f>
        <v>North</v>
      </c>
      <c r="S377" s="34" t="str">
        <f t="shared" si="15"/>
        <v>Sports</v>
      </c>
      <c r="T377" s="38">
        <f>VLOOKUP(D377,Products!$A$2:$F$68,4,FALSE)</f>
        <v>302</v>
      </c>
    </row>
    <row r="378" spans="1:20" x14ac:dyDescent="0.35">
      <c r="A378" s="13" t="s">
        <v>776</v>
      </c>
      <c r="B378" s="14">
        <v>45564</v>
      </c>
      <c r="C378" s="13" t="s">
        <v>320</v>
      </c>
      <c r="D378" s="13" t="s">
        <v>191</v>
      </c>
      <c r="E378" s="13" t="s">
        <v>204</v>
      </c>
      <c r="F378" s="15">
        <v>8</v>
      </c>
      <c r="G378" s="15">
        <v>5100</v>
      </c>
      <c r="H378" s="15">
        <v>4.5999999999999996</v>
      </c>
      <c r="I378" s="15">
        <v>38923.199999999997</v>
      </c>
      <c r="J378" s="13" t="s">
        <v>87</v>
      </c>
      <c r="K378" s="13" t="s">
        <v>133</v>
      </c>
      <c r="L378" s="34" t="str">
        <f>VLOOKUP(D378,Products!$A$2:$F$61,3,FALSE)</f>
        <v>Beauty</v>
      </c>
      <c r="M378" s="34" t="str">
        <f>VLOOKUP(C378,Customers!$A$2:$F$301,5,FALSE)</f>
        <v>SMB</v>
      </c>
      <c r="N378" s="34">
        <f>VLOOKUP(C378,Customers!$A$2:$F$301,3,FALSE)</f>
        <v>36</v>
      </c>
      <c r="O378" s="34" t="str">
        <f>VLOOKUP(E378,Sales_Reps!$A$2:$E$31,3,FALSE)</f>
        <v>South</v>
      </c>
      <c r="P378" s="13" t="s">
        <v>204</v>
      </c>
      <c r="Q378" s="34">
        <f t="shared" si="14"/>
        <v>914554.71999999986</v>
      </c>
      <c r="R378" s="34" t="str">
        <f>VLOOKUP(E378,Sales_Reps!$A$2:$E$100,3,FALSE)</f>
        <v>South</v>
      </c>
      <c r="S378" s="34" t="str">
        <f t="shared" si="15"/>
        <v>Beauty</v>
      </c>
      <c r="T378" s="38">
        <f>VLOOKUP(D378,Products!$A$2:$F$68,4,FALSE)</f>
        <v>2237</v>
      </c>
    </row>
    <row r="379" spans="1:20" x14ac:dyDescent="0.35">
      <c r="A379" s="13" t="s">
        <v>777</v>
      </c>
      <c r="B379" s="14">
        <v>45296</v>
      </c>
      <c r="C379" s="13" t="s">
        <v>582</v>
      </c>
      <c r="D379" s="13" t="s">
        <v>364</v>
      </c>
      <c r="E379" s="13" t="s">
        <v>132</v>
      </c>
      <c r="F379" s="15">
        <v>7</v>
      </c>
      <c r="G379" s="15">
        <v>5330</v>
      </c>
      <c r="H379" s="15">
        <v>2.5</v>
      </c>
      <c r="I379" s="15">
        <v>36377.25</v>
      </c>
      <c r="J379" s="13" t="s">
        <v>87</v>
      </c>
      <c r="K379" s="13" t="s">
        <v>94</v>
      </c>
      <c r="L379" s="34" t="str">
        <f>VLOOKUP(D379,Products!$A$2:$F$61,3,FALSE)</f>
        <v>Electronics</v>
      </c>
      <c r="M379" s="34" t="str">
        <f>VLOOKUP(C379,Customers!$A$2:$F$301,5,FALSE)</f>
        <v>SMB</v>
      </c>
      <c r="N379" s="34">
        <f>VLOOKUP(C379,Customers!$A$2:$F$301,3,FALSE)</f>
        <v>59</v>
      </c>
      <c r="O379" s="34" t="str">
        <f>VLOOKUP(E379,Sales_Reps!$A$2:$E$31,3,FALSE)</f>
        <v>South</v>
      </c>
      <c r="P379" s="13" t="s">
        <v>132</v>
      </c>
      <c r="Q379" s="34">
        <f t="shared" si="14"/>
        <v>880345.20000000007</v>
      </c>
      <c r="R379" s="34" t="str">
        <f>VLOOKUP(E379,Sales_Reps!$A$2:$E$100,3,FALSE)</f>
        <v>South</v>
      </c>
      <c r="S379" s="34" t="str">
        <f t="shared" si="15"/>
        <v>Electronics</v>
      </c>
      <c r="T379" s="38">
        <f>VLOOKUP(D379,Products!$A$2:$F$68,4,FALSE)</f>
        <v>2405</v>
      </c>
    </row>
    <row r="380" spans="1:20" x14ac:dyDescent="0.35">
      <c r="A380" s="13" t="s">
        <v>778</v>
      </c>
      <c r="B380" s="14">
        <v>45364</v>
      </c>
      <c r="C380" s="13" t="s">
        <v>779</v>
      </c>
      <c r="D380" s="13" t="s">
        <v>295</v>
      </c>
      <c r="E380" s="13" t="s">
        <v>128</v>
      </c>
      <c r="F380" s="15">
        <v>10</v>
      </c>
      <c r="G380" s="15">
        <v>2030</v>
      </c>
      <c r="H380" s="15">
        <v>8.5</v>
      </c>
      <c r="I380" s="15">
        <v>18574.5</v>
      </c>
      <c r="J380" s="13" t="s">
        <v>87</v>
      </c>
      <c r="K380" s="13" t="s">
        <v>117</v>
      </c>
      <c r="L380" s="34" t="str">
        <f>VLOOKUP(D380,Products!$A$2:$F$61,3,FALSE)</f>
        <v>Home</v>
      </c>
      <c r="M380" s="34" t="str">
        <f>VLOOKUP(C380,Customers!$A$2:$F$301,5,FALSE)</f>
        <v>Retail</v>
      </c>
      <c r="N380" s="34">
        <f>VLOOKUP(C380,Customers!$A$2:$F$301,3,FALSE)</f>
        <v>27</v>
      </c>
      <c r="O380" s="34" t="str">
        <f>VLOOKUP(E380,Sales_Reps!$A$2:$E$31,3,FALSE)</f>
        <v>West</v>
      </c>
      <c r="P380" s="13" t="s">
        <v>128</v>
      </c>
      <c r="Q380" s="34">
        <f t="shared" si="14"/>
        <v>880468.05</v>
      </c>
      <c r="R380" s="34" t="str">
        <f>VLOOKUP(E380,Sales_Reps!$A$2:$E$100,3,FALSE)</f>
        <v>West</v>
      </c>
      <c r="S380" s="34" t="str">
        <f t="shared" si="15"/>
        <v>Home</v>
      </c>
      <c r="T380" s="38">
        <f>VLOOKUP(D380,Products!$A$2:$F$68,4,FALSE)</f>
        <v>1143</v>
      </c>
    </row>
    <row r="381" spans="1:20" x14ac:dyDescent="0.35">
      <c r="A381" s="13" t="s">
        <v>780</v>
      </c>
      <c r="B381" s="14">
        <v>45560</v>
      </c>
      <c r="C381" s="13" t="s">
        <v>781</v>
      </c>
      <c r="D381" s="13" t="s">
        <v>443</v>
      </c>
      <c r="E381" s="13" t="s">
        <v>148</v>
      </c>
      <c r="F381" s="15">
        <v>8</v>
      </c>
      <c r="G381" s="15">
        <v>5080</v>
      </c>
      <c r="H381" s="15">
        <v>9.6</v>
      </c>
      <c r="I381" s="15">
        <v>36738.559999999998</v>
      </c>
      <c r="J381" s="13" t="s">
        <v>140</v>
      </c>
      <c r="K381" s="13" t="s">
        <v>99</v>
      </c>
      <c r="L381" s="34" t="str">
        <f>VLOOKUP(D381,Products!$A$2:$F$61,3,FALSE)</f>
        <v>Home</v>
      </c>
      <c r="M381" s="34" t="str">
        <f>VLOOKUP(C381,Customers!$A$2:$F$301,5,FALSE)</f>
        <v>SMB</v>
      </c>
      <c r="N381" s="34">
        <f>VLOOKUP(C381,Customers!$A$2:$F$301,3,FALSE)</f>
        <v>29</v>
      </c>
      <c r="O381" s="34" t="str">
        <f>VLOOKUP(E381,Sales_Reps!$A$2:$E$31,3,FALSE)</f>
        <v>North</v>
      </c>
      <c r="P381" s="13" t="s">
        <v>148</v>
      </c>
      <c r="Q381" s="34">
        <f t="shared" si="14"/>
        <v>986692.91</v>
      </c>
      <c r="R381" s="34" t="str">
        <f>VLOOKUP(E381,Sales_Reps!$A$2:$E$100,3,FALSE)</f>
        <v>North</v>
      </c>
      <c r="S381" s="34" t="str">
        <f t="shared" si="15"/>
        <v>Home</v>
      </c>
      <c r="T381" s="38">
        <f>VLOOKUP(D381,Products!$A$2:$F$68,4,FALSE)</f>
        <v>2459</v>
      </c>
    </row>
    <row r="382" spans="1:20" x14ac:dyDescent="0.35">
      <c r="A382" s="13" t="s">
        <v>782</v>
      </c>
      <c r="B382" s="14">
        <v>45378</v>
      </c>
      <c r="C382" s="13" t="s">
        <v>175</v>
      </c>
      <c r="D382" s="13" t="s">
        <v>367</v>
      </c>
      <c r="E382" s="13" t="s">
        <v>98</v>
      </c>
      <c r="F382" s="15">
        <v>1</v>
      </c>
      <c r="G382" s="15">
        <v>2380</v>
      </c>
      <c r="H382" s="15">
        <v>11.6</v>
      </c>
      <c r="I382" s="15">
        <v>2103.92</v>
      </c>
      <c r="J382" s="13" t="s">
        <v>93</v>
      </c>
      <c r="K382" s="13" t="s">
        <v>133</v>
      </c>
      <c r="L382" s="34" t="str">
        <f>VLOOKUP(D382,Products!$A$2:$F$61,3,FALSE)</f>
        <v>Grocery</v>
      </c>
      <c r="M382" s="34" t="str">
        <f>VLOOKUP(C382,Customers!$A$2:$F$301,5,FALSE)</f>
        <v>SMB</v>
      </c>
      <c r="N382" s="34">
        <f>VLOOKUP(C382,Customers!$A$2:$F$301,3,FALSE)</f>
        <v>40</v>
      </c>
      <c r="O382" s="34" t="str">
        <f>VLOOKUP(E382,Sales_Reps!$A$2:$E$31,3,FALSE)</f>
        <v>South</v>
      </c>
      <c r="P382" s="13" t="s">
        <v>98</v>
      </c>
      <c r="Q382" s="34">
        <f t="shared" si="14"/>
        <v>995713.54000000015</v>
      </c>
      <c r="R382" s="34" t="str">
        <f>VLOOKUP(E382,Sales_Reps!$A$2:$E$100,3,FALSE)</f>
        <v>South</v>
      </c>
      <c r="S382" s="34" t="str">
        <f t="shared" si="15"/>
        <v>Grocery</v>
      </c>
      <c r="T382" s="38">
        <f>VLOOKUP(D382,Products!$A$2:$F$68,4,FALSE)</f>
        <v>1182</v>
      </c>
    </row>
    <row r="383" spans="1:20" x14ac:dyDescent="0.35">
      <c r="A383" s="13" t="s">
        <v>783</v>
      </c>
      <c r="B383" s="14">
        <v>45590</v>
      </c>
      <c r="C383" s="13" t="s">
        <v>272</v>
      </c>
      <c r="D383" s="13" t="s">
        <v>259</v>
      </c>
      <c r="E383" s="13" t="s">
        <v>343</v>
      </c>
      <c r="F383" s="15">
        <v>8</v>
      </c>
      <c r="G383" s="15">
        <v>1540</v>
      </c>
      <c r="H383" s="15">
        <v>27.8</v>
      </c>
      <c r="I383" s="15">
        <v>8895.0400000000009</v>
      </c>
      <c r="J383" s="13" t="s">
        <v>87</v>
      </c>
      <c r="K383" s="13" t="s">
        <v>94</v>
      </c>
      <c r="L383" s="34" t="str">
        <f>VLOOKUP(D383,Products!$A$2:$F$61,3,FALSE)</f>
        <v>Beauty</v>
      </c>
      <c r="M383" s="34" t="str">
        <f>VLOOKUP(C383,Customers!$A$2:$F$301,5,FALSE)</f>
        <v>SMB</v>
      </c>
      <c r="N383" s="34">
        <f>VLOOKUP(C383,Customers!$A$2:$F$301,3,FALSE)</f>
        <v>55</v>
      </c>
      <c r="O383" s="34" t="str">
        <f>VLOOKUP(E383,Sales_Reps!$A$2:$E$31,3,FALSE)</f>
        <v>West</v>
      </c>
      <c r="P383" s="13" t="s">
        <v>343</v>
      </c>
      <c r="Q383" s="34">
        <f t="shared" si="14"/>
        <v>917092.61999999965</v>
      </c>
      <c r="R383" s="34" t="str">
        <f>VLOOKUP(E383,Sales_Reps!$A$2:$E$100,3,FALSE)</f>
        <v>West</v>
      </c>
      <c r="S383" s="34" t="str">
        <f t="shared" si="15"/>
        <v>Beauty</v>
      </c>
      <c r="T383" s="38">
        <f>VLOOKUP(D383,Products!$A$2:$F$68,4,FALSE)</f>
        <v>647</v>
      </c>
    </row>
    <row r="384" spans="1:20" x14ac:dyDescent="0.35">
      <c r="A384" s="13" t="s">
        <v>784</v>
      </c>
      <c r="B384" s="14">
        <v>45591</v>
      </c>
      <c r="C384" s="13" t="s">
        <v>785</v>
      </c>
      <c r="D384" s="13" t="s">
        <v>131</v>
      </c>
      <c r="E384" s="13" t="s">
        <v>116</v>
      </c>
      <c r="F384" s="15">
        <v>1</v>
      </c>
      <c r="G384" s="15">
        <v>2270</v>
      </c>
      <c r="H384" s="15">
        <v>6.5</v>
      </c>
      <c r="I384" s="15">
        <v>2122.4499999999998</v>
      </c>
      <c r="J384" s="13" t="s">
        <v>93</v>
      </c>
      <c r="K384" s="13" t="s">
        <v>786</v>
      </c>
      <c r="L384" s="34" t="str">
        <f>VLOOKUP(D384,Products!$A$2:$F$61,3,FALSE)</f>
        <v>Grocery</v>
      </c>
      <c r="M384" s="34" t="str">
        <f>VLOOKUP(C384,Customers!$A$2:$F$301,5,FALSE)</f>
        <v>Retail</v>
      </c>
      <c r="N384" s="34">
        <f>VLOOKUP(C384,Customers!$A$2:$F$301,3,FALSE)</f>
        <v>31</v>
      </c>
      <c r="O384" s="34" t="str">
        <f>VLOOKUP(E384,Sales_Reps!$A$2:$E$31,3,FALSE)</f>
        <v>West</v>
      </c>
      <c r="P384" s="13" t="s">
        <v>116</v>
      </c>
      <c r="Q384" s="34">
        <f t="shared" si="14"/>
        <v>819558.58</v>
      </c>
      <c r="R384" s="34" t="str">
        <f>VLOOKUP(E384,Sales_Reps!$A$2:$E$100,3,FALSE)</f>
        <v>West</v>
      </c>
      <c r="S384" s="34" t="str">
        <f t="shared" si="15"/>
        <v>Grocery</v>
      </c>
      <c r="T384" s="38">
        <f>VLOOKUP(D384,Products!$A$2:$F$68,4,FALSE)</f>
        <v>1203</v>
      </c>
    </row>
    <row r="385" spans="1:20" x14ac:dyDescent="0.35">
      <c r="A385" s="13" t="s">
        <v>787</v>
      </c>
      <c r="B385" s="14">
        <v>45503</v>
      </c>
      <c r="C385" s="13" t="s">
        <v>316</v>
      </c>
      <c r="D385" s="13" t="s">
        <v>167</v>
      </c>
      <c r="E385" s="13" t="s">
        <v>128</v>
      </c>
      <c r="F385" s="15">
        <v>6</v>
      </c>
      <c r="G385" s="15">
        <v>2480</v>
      </c>
      <c r="H385" s="15">
        <v>25.9</v>
      </c>
      <c r="I385" s="15">
        <v>11026.08</v>
      </c>
      <c r="J385" s="13" t="s">
        <v>87</v>
      </c>
      <c r="K385" s="13" t="s">
        <v>88</v>
      </c>
      <c r="L385" s="34" t="str">
        <f>VLOOKUP(D385,Products!$A$2:$F$61,3,FALSE)</f>
        <v>Apparel</v>
      </c>
      <c r="M385" s="34" t="str">
        <f>VLOOKUP(C385,Customers!$A$2:$F$301,5,FALSE)</f>
        <v>SMB</v>
      </c>
      <c r="N385" s="34">
        <f>VLOOKUP(C385,Customers!$A$2:$F$301,3,FALSE)</f>
        <v>60</v>
      </c>
      <c r="O385" s="34" t="str">
        <f>VLOOKUP(E385,Sales_Reps!$A$2:$E$31,3,FALSE)</f>
        <v>West</v>
      </c>
      <c r="P385" s="13" t="s">
        <v>128</v>
      </c>
      <c r="Q385" s="34">
        <f t="shared" si="14"/>
        <v>880468.05</v>
      </c>
      <c r="R385" s="34" t="str">
        <f>VLOOKUP(E385,Sales_Reps!$A$2:$E$100,3,FALSE)</f>
        <v>West</v>
      </c>
      <c r="S385" s="34" t="str">
        <f t="shared" si="15"/>
        <v>Apparel</v>
      </c>
      <c r="T385" s="38">
        <f>VLOOKUP(D385,Products!$A$2:$F$68,4,FALSE)</f>
        <v>1173</v>
      </c>
    </row>
    <row r="386" spans="1:20" x14ac:dyDescent="0.35">
      <c r="A386" s="13" t="s">
        <v>788</v>
      </c>
      <c r="B386" s="14">
        <v>45608</v>
      </c>
      <c r="C386" s="13" t="s">
        <v>318</v>
      </c>
      <c r="D386" s="13" t="s">
        <v>659</v>
      </c>
      <c r="E386" s="13" t="s">
        <v>121</v>
      </c>
      <c r="F386" s="15">
        <v>3</v>
      </c>
      <c r="G386" s="15">
        <v>3560</v>
      </c>
      <c r="H386" s="15">
        <v>0.4</v>
      </c>
      <c r="I386" s="15">
        <v>10637.28</v>
      </c>
      <c r="J386" s="13" t="s">
        <v>144</v>
      </c>
      <c r="K386" s="13" t="s">
        <v>94</v>
      </c>
      <c r="L386" s="34" t="str">
        <f>VLOOKUP(D386,Products!$A$2:$F$61,3,FALSE)</f>
        <v>Apparel</v>
      </c>
      <c r="M386" s="34" t="str">
        <f>VLOOKUP(C386,Customers!$A$2:$F$301,5,FALSE)</f>
        <v>SMB</v>
      </c>
      <c r="N386" s="34">
        <f>VLOOKUP(C386,Customers!$A$2:$F$301,3,FALSE)</f>
        <v>57</v>
      </c>
      <c r="O386" s="34" t="str">
        <f>VLOOKUP(E386,Sales_Reps!$A$2:$E$31,3,FALSE)</f>
        <v>East</v>
      </c>
      <c r="P386" s="13" t="s">
        <v>121</v>
      </c>
      <c r="Q386" s="34">
        <f t="shared" si="14"/>
        <v>971183.52000000014</v>
      </c>
      <c r="R386" s="34" t="str">
        <f>VLOOKUP(E386,Sales_Reps!$A$2:$E$100,3,FALSE)</f>
        <v>East</v>
      </c>
      <c r="S386" s="34" t="str">
        <f t="shared" si="15"/>
        <v>Apparel</v>
      </c>
      <c r="T386" s="38">
        <f>VLOOKUP(D386,Products!$A$2:$F$68,4,FALSE)</f>
        <v>2629</v>
      </c>
    </row>
    <row r="387" spans="1:20" x14ac:dyDescent="0.35">
      <c r="A387" s="13" t="s">
        <v>789</v>
      </c>
      <c r="B387" s="14">
        <v>45422</v>
      </c>
      <c r="C387" s="13" t="s">
        <v>651</v>
      </c>
      <c r="D387" s="13" t="s">
        <v>279</v>
      </c>
      <c r="E387" s="13" t="s">
        <v>103</v>
      </c>
      <c r="F387" s="15">
        <v>4</v>
      </c>
      <c r="G387" s="15">
        <v>2660</v>
      </c>
      <c r="H387" s="15">
        <v>19.7</v>
      </c>
      <c r="I387" s="15">
        <v>8543.92</v>
      </c>
      <c r="J387" s="13" t="s">
        <v>140</v>
      </c>
      <c r="K387" s="13" t="s">
        <v>133</v>
      </c>
      <c r="L387" s="34" t="str">
        <f>VLOOKUP(D387,Products!$A$2:$F$61,3,FALSE)</f>
        <v>Electronics</v>
      </c>
      <c r="M387" s="34" t="str">
        <f>VLOOKUP(C387,Customers!$A$2:$F$301,5,FALSE)</f>
        <v>Retail</v>
      </c>
      <c r="N387" s="34">
        <f>VLOOKUP(C387,Customers!$A$2:$F$301,3,FALSE)</f>
        <v>50</v>
      </c>
      <c r="O387" s="34" t="str">
        <f>VLOOKUP(E387,Sales_Reps!$A$2:$E$31,3,FALSE)</f>
        <v>North</v>
      </c>
      <c r="P387" s="13" t="s">
        <v>103</v>
      </c>
      <c r="Q387" s="34">
        <f t="shared" ref="Q387:Q450" si="16">SUMIFS($I:$I,$E:$E,P387)</f>
        <v>1138648.73</v>
      </c>
      <c r="R387" s="34" t="str">
        <f>VLOOKUP(E387,Sales_Reps!$A$2:$E$100,3,FALSE)</f>
        <v>North</v>
      </c>
      <c r="S387" s="34" t="str">
        <f t="shared" ref="S387:S450" si="17">L387</f>
        <v>Electronics</v>
      </c>
      <c r="T387" s="38">
        <f>VLOOKUP(D387,Products!$A$2:$F$68,4,FALSE)</f>
        <v>1259</v>
      </c>
    </row>
    <row r="388" spans="1:20" x14ac:dyDescent="0.35">
      <c r="A388" s="13" t="s">
        <v>790</v>
      </c>
      <c r="B388" s="14">
        <v>45386</v>
      </c>
      <c r="C388" s="13" t="s">
        <v>172</v>
      </c>
      <c r="D388" s="13" t="s">
        <v>267</v>
      </c>
      <c r="E388" s="13" t="s">
        <v>252</v>
      </c>
      <c r="F388" s="15">
        <v>10</v>
      </c>
      <c r="G388" s="15">
        <v>1220</v>
      </c>
      <c r="H388" s="15">
        <v>10.1</v>
      </c>
      <c r="I388" s="15">
        <v>10967.8</v>
      </c>
      <c r="J388" s="13" t="s">
        <v>140</v>
      </c>
      <c r="K388" s="13" t="s">
        <v>88</v>
      </c>
      <c r="L388" s="34" t="str">
        <f>VLOOKUP(D388,Products!$A$2:$F$61,3,FALSE)</f>
        <v>Electronics</v>
      </c>
      <c r="M388" s="34" t="str">
        <f>VLOOKUP(C388,Customers!$A$2:$F$301,5,FALSE)</f>
        <v>Retail</v>
      </c>
      <c r="N388" s="34">
        <f>VLOOKUP(C388,Customers!$A$2:$F$301,3,FALSE)</f>
        <v>50</v>
      </c>
      <c r="O388" s="34" t="str">
        <f>VLOOKUP(E388,Sales_Reps!$A$2:$E$31,3,FALSE)</f>
        <v>South</v>
      </c>
      <c r="P388" s="13" t="s">
        <v>252</v>
      </c>
      <c r="Q388" s="34">
        <f t="shared" si="16"/>
        <v>811524.37999999989</v>
      </c>
      <c r="R388" s="34" t="str">
        <f>VLOOKUP(E388,Sales_Reps!$A$2:$E$100,3,FALSE)</f>
        <v>South</v>
      </c>
      <c r="S388" s="34" t="str">
        <f t="shared" si="17"/>
        <v>Electronics</v>
      </c>
      <c r="T388" s="38">
        <f>VLOOKUP(D388,Products!$A$2:$F$68,4,FALSE)</f>
        <v>517</v>
      </c>
    </row>
    <row r="389" spans="1:20" x14ac:dyDescent="0.35">
      <c r="A389" s="13" t="s">
        <v>791</v>
      </c>
      <c r="B389" s="14">
        <v>45584</v>
      </c>
      <c r="C389" s="13" t="s">
        <v>676</v>
      </c>
      <c r="D389" s="13" t="s">
        <v>138</v>
      </c>
      <c r="E389" s="13" t="s">
        <v>98</v>
      </c>
      <c r="F389" s="15">
        <v>8</v>
      </c>
      <c r="G389" s="15">
        <v>2600</v>
      </c>
      <c r="H389" s="15">
        <v>26.7</v>
      </c>
      <c r="I389" s="15">
        <v>15246.4</v>
      </c>
      <c r="J389" s="13" t="s">
        <v>87</v>
      </c>
      <c r="K389" s="13" t="s">
        <v>88</v>
      </c>
      <c r="L389" s="34" t="str">
        <f>VLOOKUP(D389,Products!$A$2:$F$61,3,FALSE)</f>
        <v>Electronics</v>
      </c>
      <c r="M389" s="34" t="str">
        <f>VLOOKUP(C389,Customers!$A$2:$F$301,5,FALSE)</f>
        <v>SMB</v>
      </c>
      <c r="N389" s="34">
        <f>VLOOKUP(C389,Customers!$A$2:$F$301,3,FALSE)</f>
        <v>35</v>
      </c>
      <c r="O389" s="34" t="str">
        <f>VLOOKUP(E389,Sales_Reps!$A$2:$E$31,3,FALSE)</f>
        <v>South</v>
      </c>
      <c r="P389" s="13" t="s">
        <v>98</v>
      </c>
      <c r="Q389" s="34">
        <f t="shared" si="16"/>
        <v>995713.54000000015</v>
      </c>
      <c r="R389" s="34" t="str">
        <f>VLOOKUP(E389,Sales_Reps!$A$2:$E$100,3,FALSE)</f>
        <v>South</v>
      </c>
      <c r="S389" s="34" t="str">
        <f t="shared" si="17"/>
        <v>Electronics</v>
      </c>
      <c r="T389" s="38">
        <f>VLOOKUP(D389,Products!$A$2:$F$68,4,FALSE)</f>
        <v>1052</v>
      </c>
    </row>
    <row r="390" spans="1:20" x14ac:dyDescent="0.35">
      <c r="A390" s="13" t="s">
        <v>792</v>
      </c>
      <c r="B390" s="14">
        <v>45440</v>
      </c>
      <c r="C390" s="13" t="s">
        <v>518</v>
      </c>
      <c r="D390" s="13" t="s">
        <v>452</v>
      </c>
      <c r="E390" s="13" t="s">
        <v>192</v>
      </c>
      <c r="F390" s="15">
        <v>10</v>
      </c>
      <c r="G390" s="15">
        <v>3450</v>
      </c>
      <c r="H390" s="15">
        <v>20.399999999999999</v>
      </c>
      <c r="I390" s="15">
        <v>27462</v>
      </c>
      <c r="J390" s="13" t="s">
        <v>87</v>
      </c>
      <c r="K390" s="13" t="s">
        <v>88</v>
      </c>
      <c r="L390" s="34" t="str">
        <f>VLOOKUP(D390,Products!$A$2:$F$61,3,FALSE)</f>
        <v>Apparel</v>
      </c>
      <c r="M390" s="34" t="str">
        <f>VLOOKUP(C390,Customers!$A$2:$F$301,5,FALSE)</f>
        <v>Retail</v>
      </c>
      <c r="N390" s="34">
        <f>VLOOKUP(C390,Customers!$A$2:$F$301,3,FALSE)</f>
        <v>49</v>
      </c>
      <c r="O390" s="34" t="str">
        <f>VLOOKUP(E390,Sales_Reps!$A$2:$E$31,3,FALSE)</f>
        <v>East</v>
      </c>
      <c r="P390" s="13" t="s">
        <v>192</v>
      </c>
      <c r="Q390" s="34">
        <f t="shared" si="16"/>
        <v>906107.71000000008</v>
      </c>
      <c r="R390" s="34" t="str">
        <f>VLOOKUP(E390,Sales_Reps!$A$2:$E$100,3,FALSE)</f>
        <v>East</v>
      </c>
      <c r="S390" s="34" t="str">
        <f t="shared" si="17"/>
        <v>Apparel</v>
      </c>
      <c r="T390" s="38">
        <f>VLOOKUP(D390,Products!$A$2:$F$68,4,FALSE)</f>
        <v>1748</v>
      </c>
    </row>
    <row r="391" spans="1:20" x14ac:dyDescent="0.35">
      <c r="A391" s="13" t="s">
        <v>793</v>
      </c>
      <c r="B391" s="14">
        <v>45440</v>
      </c>
      <c r="C391" s="13" t="s">
        <v>208</v>
      </c>
      <c r="D391" s="13" t="s">
        <v>515</v>
      </c>
      <c r="E391" s="13" t="s">
        <v>121</v>
      </c>
      <c r="F391" s="15">
        <v>1</v>
      </c>
      <c r="G391" s="15">
        <v>6940</v>
      </c>
      <c r="H391" s="15">
        <v>9.6999999999999993</v>
      </c>
      <c r="I391" s="15">
        <v>6266.82</v>
      </c>
      <c r="J391" s="13" t="s">
        <v>87</v>
      </c>
      <c r="K391" s="13" t="s">
        <v>133</v>
      </c>
      <c r="L391" s="34" t="str">
        <f>VLOOKUP(D391,Products!$A$2:$F$61,3,FALSE)</f>
        <v>Sports</v>
      </c>
      <c r="M391" s="34" t="str">
        <f>VLOOKUP(C391,Customers!$A$2:$F$301,5,FALSE)</f>
        <v>Retail</v>
      </c>
      <c r="N391" s="34">
        <f>VLOOKUP(C391,Customers!$A$2:$F$301,3,FALSE)</f>
        <v>26</v>
      </c>
      <c r="O391" s="34" t="str">
        <f>VLOOKUP(E391,Sales_Reps!$A$2:$E$31,3,FALSE)</f>
        <v>East</v>
      </c>
      <c r="P391" s="13" t="s">
        <v>121</v>
      </c>
      <c r="Q391" s="34">
        <f t="shared" si="16"/>
        <v>971183.52000000014</v>
      </c>
      <c r="R391" s="34" t="str">
        <f>VLOOKUP(E391,Sales_Reps!$A$2:$E$100,3,FALSE)</f>
        <v>East</v>
      </c>
      <c r="S391" s="34" t="str">
        <f t="shared" si="17"/>
        <v>Sports</v>
      </c>
      <c r="T391" s="38">
        <f>VLOOKUP(D391,Products!$A$2:$F$68,4,FALSE)</f>
        <v>2827</v>
      </c>
    </row>
    <row r="392" spans="1:20" x14ac:dyDescent="0.35">
      <c r="A392" s="13" t="s">
        <v>794</v>
      </c>
      <c r="B392" s="14">
        <v>45358</v>
      </c>
      <c r="C392" s="13" t="s">
        <v>795</v>
      </c>
      <c r="D392" s="13" t="s">
        <v>179</v>
      </c>
      <c r="E392" s="13" t="s">
        <v>103</v>
      </c>
      <c r="F392" s="15">
        <v>10</v>
      </c>
      <c r="G392" s="15">
        <v>3350</v>
      </c>
      <c r="H392" s="15">
        <v>3.2</v>
      </c>
      <c r="I392" s="15">
        <v>32428</v>
      </c>
      <c r="J392" s="13" t="s">
        <v>87</v>
      </c>
      <c r="K392" s="13" t="s">
        <v>94</v>
      </c>
      <c r="L392" s="34" t="str">
        <f>VLOOKUP(D392,Products!$A$2:$F$61,3,FALSE)</f>
        <v>Beauty</v>
      </c>
      <c r="M392" s="34" t="str">
        <f>VLOOKUP(C392,Customers!$A$2:$F$301,5,FALSE)</f>
        <v>Retail</v>
      </c>
      <c r="N392" s="34">
        <f>VLOOKUP(C392,Customers!$A$2:$F$301,3,FALSE)</f>
        <v>22</v>
      </c>
      <c r="O392" s="34" t="str">
        <f>VLOOKUP(E392,Sales_Reps!$A$2:$E$31,3,FALSE)</f>
        <v>North</v>
      </c>
      <c r="P392" s="13" t="s">
        <v>103</v>
      </c>
      <c r="Q392" s="34">
        <f t="shared" si="16"/>
        <v>1138648.73</v>
      </c>
      <c r="R392" s="34" t="str">
        <f>VLOOKUP(E392,Sales_Reps!$A$2:$E$100,3,FALSE)</f>
        <v>North</v>
      </c>
      <c r="S392" s="34" t="str">
        <f t="shared" si="17"/>
        <v>Beauty</v>
      </c>
      <c r="T392" s="38">
        <f>VLOOKUP(D392,Products!$A$2:$F$68,4,FALSE)</f>
        <v>1728</v>
      </c>
    </row>
    <row r="393" spans="1:20" x14ac:dyDescent="0.35">
      <c r="A393" s="13" t="s">
        <v>796</v>
      </c>
      <c r="B393" s="14">
        <v>45387</v>
      </c>
      <c r="C393" s="13" t="s">
        <v>797</v>
      </c>
      <c r="D393" s="13" t="s">
        <v>259</v>
      </c>
      <c r="E393" s="13" t="s">
        <v>201</v>
      </c>
      <c r="F393" s="15">
        <v>7</v>
      </c>
      <c r="G393" s="15">
        <v>1540</v>
      </c>
      <c r="H393" s="15">
        <v>0.5</v>
      </c>
      <c r="I393" s="15">
        <v>10726.1</v>
      </c>
      <c r="J393" s="13" t="s">
        <v>87</v>
      </c>
      <c r="K393" s="13" t="s">
        <v>99</v>
      </c>
      <c r="L393" s="34" t="str">
        <f>VLOOKUP(D393,Products!$A$2:$F$61,3,FALSE)</f>
        <v>Beauty</v>
      </c>
      <c r="M393" s="34" t="str">
        <f>VLOOKUP(C393,Customers!$A$2:$F$301,5,FALSE)</f>
        <v>Retail</v>
      </c>
      <c r="N393" s="34">
        <f>VLOOKUP(C393,Customers!$A$2:$F$301,3,FALSE)</f>
        <v>63</v>
      </c>
      <c r="O393" s="34" t="str">
        <f>VLOOKUP(E393,Sales_Reps!$A$2:$E$31,3,FALSE)</f>
        <v>West</v>
      </c>
      <c r="P393" s="13" t="s">
        <v>201</v>
      </c>
      <c r="Q393" s="34">
        <f t="shared" si="16"/>
        <v>576305.08000000019</v>
      </c>
      <c r="R393" s="34" t="str">
        <f>VLOOKUP(E393,Sales_Reps!$A$2:$E$100,3,FALSE)</f>
        <v>West</v>
      </c>
      <c r="S393" s="34" t="str">
        <f t="shared" si="17"/>
        <v>Beauty</v>
      </c>
      <c r="T393" s="38">
        <f>VLOOKUP(D393,Products!$A$2:$F$68,4,FALSE)</f>
        <v>647</v>
      </c>
    </row>
    <row r="394" spans="1:20" x14ac:dyDescent="0.35">
      <c r="A394" s="13" t="s">
        <v>798</v>
      </c>
      <c r="B394" s="14">
        <v>45655</v>
      </c>
      <c r="C394" s="13" t="s">
        <v>799</v>
      </c>
      <c r="D394" s="13" t="s">
        <v>85</v>
      </c>
      <c r="E394" s="13" t="s">
        <v>201</v>
      </c>
      <c r="F394" s="15">
        <v>10</v>
      </c>
      <c r="G394" s="15">
        <v>3620</v>
      </c>
      <c r="H394" s="15">
        <v>22</v>
      </c>
      <c r="I394" s="15">
        <v>28236</v>
      </c>
      <c r="J394" s="13" t="s">
        <v>87</v>
      </c>
      <c r="K394" s="13" t="s">
        <v>88</v>
      </c>
      <c r="L394" s="34" t="str">
        <f>VLOOKUP(D394,Products!$A$2:$F$61,3,FALSE)</f>
        <v>Apparel</v>
      </c>
      <c r="M394" s="34" t="e">
        <f>VLOOKUP(C394,Customers!$A$2:$F$301,5,FALSE)</f>
        <v>#N/A</v>
      </c>
      <c r="N394" s="34" t="e">
        <f>VLOOKUP(C394,Customers!$A$2:$F$301,3,FALSE)</f>
        <v>#N/A</v>
      </c>
      <c r="O394" s="34" t="str">
        <f>VLOOKUP(E394,Sales_Reps!$A$2:$E$31,3,FALSE)</f>
        <v>West</v>
      </c>
      <c r="P394" s="13" t="s">
        <v>201</v>
      </c>
      <c r="Q394" s="34">
        <f t="shared" si="16"/>
        <v>576305.08000000019</v>
      </c>
      <c r="R394" s="34" t="str">
        <f>VLOOKUP(E394,Sales_Reps!$A$2:$E$100,3,FALSE)</f>
        <v>West</v>
      </c>
      <c r="S394" s="34" t="str">
        <f t="shared" si="17"/>
        <v>Apparel</v>
      </c>
      <c r="T394" s="38">
        <f>VLOOKUP(D394,Products!$A$2:$F$68,4,FALSE)</f>
        <v>2509</v>
      </c>
    </row>
    <row r="395" spans="1:20" x14ac:dyDescent="0.35">
      <c r="A395" s="13" t="s">
        <v>800</v>
      </c>
      <c r="B395" s="14">
        <v>45629</v>
      </c>
      <c r="C395" s="13" t="s">
        <v>233</v>
      </c>
      <c r="D395" s="13" t="s">
        <v>97</v>
      </c>
      <c r="E395" s="13" t="s">
        <v>201</v>
      </c>
      <c r="F395" s="15">
        <v>2</v>
      </c>
      <c r="G395" s="15">
        <v>470</v>
      </c>
      <c r="H395" s="15">
        <v>26.5</v>
      </c>
      <c r="I395" s="15">
        <v>690.9</v>
      </c>
      <c r="J395" s="13" t="s">
        <v>93</v>
      </c>
      <c r="K395" s="13" t="s">
        <v>88</v>
      </c>
      <c r="L395" s="34" t="str">
        <f>VLOOKUP(D395,Products!$A$2:$F$61,3,FALSE)</f>
        <v>Sports</v>
      </c>
      <c r="M395" s="34" t="str">
        <f>VLOOKUP(C395,Customers!$A$2:$F$301,5,FALSE)</f>
        <v>SMB</v>
      </c>
      <c r="N395" s="34">
        <f>VLOOKUP(C395,Customers!$A$2:$F$301,3,FALSE)</f>
        <v>29</v>
      </c>
      <c r="O395" s="34" t="str">
        <f>VLOOKUP(E395,Sales_Reps!$A$2:$E$31,3,FALSE)</f>
        <v>West</v>
      </c>
      <c r="P395" s="13" t="s">
        <v>201</v>
      </c>
      <c r="Q395" s="34">
        <f t="shared" si="16"/>
        <v>576305.08000000019</v>
      </c>
      <c r="R395" s="34" t="str">
        <f>VLOOKUP(E395,Sales_Reps!$A$2:$E$100,3,FALSE)</f>
        <v>West</v>
      </c>
      <c r="S395" s="34" t="str">
        <f t="shared" si="17"/>
        <v>Sports</v>
      </c>
      <c r="T395" s="38">
        <f>VLOOKUP(D395,Products!$A$2:$F$68,4,FALSE)</f>
        <v>302</v>
      </c>
    </row>
    <row r="396" spans="1:20" x14ac:dyDescent="0.35">
      <c r="A396" s="13" t="s">
        <v>801</v>
      </c>
      <c r="B396" s="14">
        <v>45323</v>
      </c>
      <c r="C396" s="13" t="s">
        <v>802</v>
      </c>
      <c r="D396" s="13" t="s">
        <v>102</v>
      </c>
      <c r="E396" s="13" t="s">
        <v>132</v>
      </c>
      <c r="F396" s="15">
        <v>6</v>
      </c>
      <c r="G396" s="15">
        <v>3660</v>
      </c>
      <c r="H396" s="15">
        <v>1.5</v>
      </c>
      <c r="I396" s="15">
        <v>21630.6</v>
      </c>
      <c r="J396" s="13" t="s">
        <v>87</v>
      </c>
      <c r="K396" s="13" t="s">
        <v>94</v>
      </c>
      <c r="L396" s="34" t="str">
        <f>VLOOKUP(D396,Products!$A$2:$F$61,3,FALSE)</f>
        <v>Grocery</v>
      </c>
      <c r="M396" s="34" t="str">
        <f>VLOOKUP(C396,Customers!$A$2:$F$301,5,FALSE)</f>
        <v>SMB</v>
      </c>
      <c r="N396" s="34">
        <f>VLOOKUP(C396,Customers!$A$2:$F$301,3,FALSE)</f>
        <v>39</v>
      </c>
      <c r="O396" s="34" t="str">
        <f>VLOOKUP(E396,Sales_Reps!$A$2:$E$31,3,FALSE)</f>
        <v>South</v>
      </c>
      <c r="P396" s="13" t="s">
        <v>132</v>
      </c>
      <c r="Q396" s="34">
        <f t="shared" si="16"/>
        <v>880345.20000000007</v>
      </c>
      <c r="R396" s="34" t="str">
        <f>VLOOKUP(E396,Sales_Reps!$A$2:$E$100,3,FALSE)</f>
        <v>South</v>
      </c>
      <c r="S396" s="34" t="str">
        <f t="shared" si="17"/>
        <v>Grocery</v>
      </c>
      <c r="T396" s="38">
        <f>VLOOKUP(D396,Products!$A$2:$F$68,4,FALSE)</f>
        <v>2214</v>
      </c>
    </row>
    <row r="397" spans="1:20" x14ac:dyDescent="0.35">
      <c r="A397" s="13" t="s">
        <v>803</v>
      </c>
      <c r="B397" s="14">
        <v>45432</v>
      </c>
      <c r="C397" s="13" t="s">
        <v>119</v>
      </c>
      <c r="D397" s="13" t="s">
        <v>515</v>
      </c>
      <c r="E397" s="13" t="s">
        <v>238</v>
      </c>
      <c r="F397" s="15">
        <v>10</v>
      </c>
      <c r="G397" s="15">
        <v>6940</v>
      </c>
      <c r="H397" s="15">
        <v>1.9</v>
      </c>
      <c r="I397" s="15">
        <v>68081.399999999994</v>
      </c>
      <c r="J397" s="13" t="s">
        <v>87</v>
      </c>
      <c r="K397" s="13" t="s">
        <v>117</v>
      </c>
      <c r="L397" s="34" t="str">
        <f>VLOOKUP(D397,Products!$A$2:$F$61,3,FALSE)</f>
        <v>Sports</v>
      </c>
      <c r="M397" s="34" t="str">
        <f>VLOOKUP(C397,Customers!$A$2:$F$301,5,FALSE)</f>
        <v>Corporate</v>
      </c>
      <c r="N397" s="34">
        <f>VLOOKUP(C397,Customers!$A$2:$F$301,3,FALSE)</f>
        <v>57</v>
      </c>
      <c r="O397" s="34" t="str">
        <f>VLOOKUP(E397,Sales_Reps!$A$2:$E$31,3,FALSE)</f>
        <v>East</v>
      </c>
      <c r="P397" s="13" t="s">
        <v>238</v>
      </c>
      <c r="Q397" s="34">
        <f t="shared" si="16"/>
        <v>780384.40999999992</v>
      </c>
      <c r="R397" s="34" t="str">
        <f>VLOOKUP(E397,Sales_Reps!$A$2:$E$100,3,FALSE)</f>
        <v>East</v>
      </c>
      <c r="S397" s="34" t="str">
        <f t="shared" si="17"/>
        <v>Sports</v>
      </c>
      <c r="T397" s="38">
        <f>VLOOKUP(D397,Products!$A$2:$F$68,4,FALSE)</f>
        <v>2827</v>
      </c>
    </row>
    <row r="398" spans="1:20" x14ac:dyDescent="0.35">
      <c r="A398" s="13" t="s">
        <v>804</v>
      </c>
      <c r="B398" s="14">
        <v>45397</v>
      </c>
      <c r="C398" s="13" t="s">
        <v>580</v>
      </c>
      <c r="D398" s="13" t="s">
        <v>386</v>
      </c>
      <c r="E398" s="13" t="s">
        <v>92</v>
      </c>
      <c r="F398" s="15">
        <v>8</v>
      </c>
      <c r="G398" s="15">
        <v>2290</v>
      </c>
      <c r="H398" s="15">
        <v>27.9</v>
      </c>
      <c r="I398" s="15">
        <v>13208.72</v>
      </c>
      <c r="J398" s="13" t="s">
        <v>87</v>
      </c>
      <c r="K398" s="13" t="s">
        <v>88</v>
      </c>
      <c r="L398" s="34" t="str">
        <f>VLOOKUP(D398,Products!$A$2:$F$61,3,FALSE)</f>
        <v>Beauty</v>
      </c>
      <c r="M398" s="34" t="str">
        <f>VLOOKUP(C398,Customers!$A$2:$F$301,5,FALSE)</f>
        <v>Corporate</v>
      </c>
      <c r="N398" s="34">
        <f>VLOOKUP(C398,Customers!$A$2:$F$301,3,FALSE)</f>
        <v>40</v>
      </c>
      <c r="O398" s="34" t="str">
        <f>VLOOKUP(E398,Sales_Reps!$A$2:$E$31,3,FALSE)</f>
        <v>North</v>
      </c>
      <c r="P398" s="13" t="s">
        <v>92</v>
      </c>
      <c r="Q398" s="34">
        <f t="shared" si="16"/>
        <v>782445.33</v>
      </c>
      <c r="R398" s="34" t="str">
        <f>VLOOKUP(E398,Sales_Reps!$A$2:$E$100,3,FALSE)</f>
        <v>North</v>
      </c>
      <c r="S398" s="34" t="str">
        <f t="shared" si="17"/>
        <v>Beauty</v>
      </c>
      <c r="T398" s="38">
        <f>VLOOKUP(D398,Products!$A$2:$F$68,4,FALSE)</f>
        <v>1219</v>
      </c>
    </row>
    <row r="399" spans="1:20" x14ac:dyDescent="0.35">
      <c r="A399" s="13" t="s">
        <v>805</v>
      </c>
      <c r="B399" s="14">
        <v>45573</v>
      </c>
      <c r="C399" s="13" t="s">
        <v>512</v>
      </c>
      <c r="D399" s="13" t="s">
        <v>106</v>
      </c>
      <c r="E399" s="13" t="s">
        <v>116</v>
      </c>
      <c r="F399" s="15">
        <v>9</v>
      </c>
      <c r="G399" s="15">
        <v>3160</v>
      </c>
      <c r="H399" s="15">
        <v>10.199999999999999</v>
      </c>
      <c r="I399" s="15">
        <v>25539.119999999999</v>
      </c>
      <c r="J399" s="13" t="s">
        <v>87</v>
      </c>
      <c r="K399" s="13" t="s">
        <v>133</v>
      </c>
      <c r="L399" s="34" t="str">
        <f>VLOOKUP(D399,Products!$A$2:$F$61,3,FALSE)</f>
        <v>Apparel</v>
      </c>
      <c r="M399" s="34" t="str">
        <f>VLOOKUP(C399,Customers!$A$2:$F$301,5,FALSE)</f>
        <v>Retail</v>
      </c>
      <c r="N399" s="34">
        <f>VLOOKUP(C399,Customers!$A$2:$F$301,3,FALSE)</f>
        <v>61</v>
      </c>
      <c r="O399" s="34" t="str">
        <f>VLOOKUP(E399,Sales_Reps!$A$2:$E$31,3,FALSE)</f>
        <v>West</v>
      </c>
      <c r="P399" s="13" t="s">
        <v>116</v>
      </c>
      <c r="Q399" s="34">
        <f t="shared" si="16"/>
        <v>819558.58</v>
      </c>
      <c r="R399" s="34" t="str">
        <f>VLOOKUP(E399,Sales_Reps!$A$2:$E$100,3,FALSE)</f>
        <v>West</v>
      </c>
      <c r="S399" s="34" t="str">
        <f t="shared" si="17"/>
        <v>Apparel</v>
      </c>
      <c r="T399" s="38">
        <f>VLOOKUP(D399,Products!$A$2:$F$68,4,FALSE)</f>
        <v>1886</v>
      </c>
    </row>
    <row r="400" spans="1:20" x14ac:dyDescent="0.35">
      <c r="A400" s="13" t="s">
        <v>806</v>
      </c>
      <c r="B400" s="14">
        <v>45307</v>
      </c>
      <c r="C400" s="13" t="s">
        <v>807</v>
      </c>
      <c r="D400" s="13" t="s">
        <v>443</v>
      </c>
      <c r="E400" s="13" t="s">
        <v>128</v>
      </c>
      <c r="F400" s="15">
        <v>6</v>
      </c>
      <c r="G400" s="15">
        <v>5080</v>
      </c>
      <c r="H400" s="15">
        <v>25.4</v>
      </c>
      <c r="I400" s="15">
        <v>22738.080000000002</v>
      </c>
      <c r="J400" s="13" t="s">
        <v>87</v>
      </c>
      <c r="K400" s="13" t="s">
        <v>88</v>
      </c>
      <c r="L400" s="34" t="str">
        <f>VLOOKUP(D400,Products!$A$2:$F$61,3,FALSE)</f>
        <v>Home</v>
      </c>
      <c r="M400" s="34" t="str">
        <f>VLOOKUP(C400,Customers!$A$2:$F$301,5,FALSE)</f>
        <v>Retail</v>
      </c>
      <c r="N400" s="34">
        <f>VLOOKUP(C400,Customers!$A$2:$F$301,3,FALSE)</f>
        <v>36</v>
      </c>
      <c r="O400" s="34" t="str">
        <f>VLOOKUP(E400,Sales_Reps!$A$2:$E$31,3,FALSE)</f>
        <v>West</v>
      </c>
      <c r="P400" s="13" t="s">
        <v>128</v>
      </c>
      <c r="Q400" s="34">
        <f t="shared" si="16"/>
        <v>880468.05</v>
      </c>
      <c r="R400" s="34" t="str">
        <f>VLOOKUP(E400,Sales_Reps!$A$2:$E$100,3,FALSE)</f>
        <v>West</v>
      </c>
      <c r="S400" s="34" t="str">
        <f t="shared" si="17"/>
        <v>Home</v>
      </c>
      <c r="T400" s="38">
        <f>VLOOKUP(D400,Products!$A$2:$F$68,4,FALSE)</f>
        <v>2459</v>
      </c>
    </row>
    <row r="401" spans="1:20" x14ac:dyDescent="0.35">
      <c r="A401" s="13" t="s">
        <v>808</v>
      </c>
      <c r="B401" s="14">
        <v>45620</v>
      </c>
      <c r="C401" s="13" t="s">
        <v>744</v>
      </c>
      <c r="D401" s="13" t="s">
        <v>200</v>
      </c>
      <c r="E401" s="13" t="s">
        <v>325</v>
      </c>
      <c r="F401" s="15">
        <v>6</v>
      </c>
      <c r="G401" s="15">
        <v>2760</v>
      </c>
      <c r="H401" s="15">
        <v>21.3</v>
      </c>
      <c r="I401" s="15">
        <v>13032.72</v>
      </c>
      <c r="J401" s="13" t="s">
        <v>87</v>
      </c>
      <c r="K401" s="13" t="s">
        <v>133</v>
      </c>
      <c r="L401" s="34" t="str">
        <f>VLOOKUP(D401,Products!$A$2:$F$61,3,FALSE)</f>
        <v>Grocery</v>
      </c>
      <c r="M401" s="34" t="str">
        <f>VLOOKUP(C401,Customers!$A$2:$F$301,5,FALSE)</f>
        <v>Retail</v>
      </c>
      <c r="N401" s="34">
        <f>VLOOKUP(C401,Customers!$A$2:$F$301,3,FALSE)</f>
        <v>64</v>
      </c>
      <c r="O401" s="34" t="str">
        <f>VLOOKUP(E401,Sales_Reps!$A$2:$E$31,3,FALSE)</f>
        <v>South</v>
      </c>
      <c r="P401" s="13" t="s">
        <v>325</v>
      </c>
      <c r="Q401" s="34">
        <f t="shared" si="16"/>
        <v>901394.32000000007</v>
      </c>
      <c r="R401" s="34" t="str">
        <f>VLOOKUP(E401,Sales_Reps!$A$2:$E$100,3,FALSE)</f>
        <v>South</v>
      </c>
      <c r="S401" s="34" t="str">
        <f t="shared" si="17"/>
        <v>Grocery</v>
      </c>
      <c r="T401" s="38">
        <f>VLOOKUP(D401,Products!$A$2:$F$68,4,FALSE)</f>
        <v>1435</v>
      </c>
    </row>
    <row r="402" spans="1:20" x14ac:dyDescent="0.35">
      <c r="A402" s="13" t="s">
        <v>809</v>
      </c>
      <c r="B402" s="14">
        <v>45462</v>
      </c>
      <c r="C402" s="13" t="s">
        <v>810</v>
      </c>
      <c r="D402" s="13" t="s">
        <v>267</v>
      </c>
      <c r="E402" s="13" t="s">
        <v>325</v>
      </c>
      <c r="F402" s="15">
        <v>5</v>
      </c>
      <c r="G402" s="15">
        <v>1220</v>
      </c>
      <c r="H402" s="15">
        <v>7.6</v>
      </c>
      <c r="I402" s="15">
        <v>5636.4</v>
      </c>
      <c r="J402" s="13" t="s">
        <v>87</v>
      </c>
      <c r="K402" s="13" t="s">
        <v>112</v>
      </c>
      <c r="L402" s="34" t="str">
        <f>VLOOKUP(D402,Products!$A$2:$F$61,3,FALSE)</f>
        <v>Electronics</v>
      </c>
      <c r="M402" s="34" t="e">
        <f>VLOOKUP(C402,Customers!$A$2:$F$301,5,FALSE)</f>
        <v>#N/A</v>
      </c>
      <c r="N402" s="34" t="e">
        <f>VLOOKUP(C402,Customers!$A$2:$F$301,3,FALSE)</f>
        <v>#N/A</v>
      </c>
      <c r="O402" s="34" t="str">
        <f>VLOOKUP(E402,Sales_Reps!$A$2:$E$31,3,FALSE)</f>
        <v>South</v>
      </c>
      <c r="P402" s="13" t="s">
        <v>325</v>
      </c>
      <c r="Q402" s="34">
        <f t="shared" si="16"/>
        <v>901394.32000000007</v>
      </c>
      <c r="R402" s="34" t="str">
        <f>VLOOKUP(E402,Sales_Reps!$A$2:$E$100,3,FALSE)</f>
        <v>South</v>
      </c>
      <c r="S402" s="34" t="str">
        <f t="shared" si="17"/>
        <v>Electronics</v>
      </c>
      <c r="T402" s="38">
        <f>VLOOKUP(D402,Products!$A$2:$F$68,4,FALSE)</f>
        <v>517</v>
      </c>
    </row>
    <row r="403" spans="1:20" x14ac:dyDescent="0.35">
      <c r="A403" s="13" t="s">
        <v>811</v>
      </c>
      <c r="B403" s="14">
        <v>45622</v>
      </c>
      <c r="C403" s="13" t="s">
        <v>301</v>
      </c>
      <c r="D403" s="13" t="s">
        <v>184</v>
      </c>
      <c r="E403" s="13" t="s">
        <v>128</v>
      </c>
      <c r="F403" s="15">
        <v>5</v>
      </c>
      <c r="G403" s="15">
        <v>4880</v>
      </c>
      <c r="H403" s="15">
        <v>8.5</v>
      </c>
      <c r="I403" s="15">
        <v>22326</v>
      </c>
      <c r="J403" s="13" t="s">
        <v>87</v>
      </c>
      <c r="K403" s="13" t="s">
        <v>94</v>
      </c>
      <c r="L403" s="34" t="str">
        <f>VLOOKUP(D403,Products!$A$2:$F$61,3,FALSE)</f>
        <v>Beauty</v>
      </c>
      <c r="M403" s="34" t="str">
        <f>VLOOKUP(C403,Customers!$A$2:$F$301,5,FALSE)</f>
        <v>Retail</v>
      </c>
      <c r="N403" s="34">
        <f>VLOOKUP(C403,Customers!$A$2:$F$301,3,FALSE)</f>
        <v>41</v>
      </c>
      <c r="O403" s="34" t="str">
        <f>VLOOKUP(E403,Sales_Reps!$A$2:$E$31,3,FALSE)</f>
        <v>West</v>
      </c>
      <c r="P403" s="13" t="s">
        <v>128</v>
      </c>
      <c r="Q403" s="34">
        <f t="shared" si="16"/>
        <v>880468.05</v>
      </c>
      <c r="R403" s="34" t="str">
        <f>VLOOKUP(E403,Sales_Reps!$A$2:$E$100,3,FALSE)</f>
        <v>West</v>
      </c>
      <c r="S403" s="34" t="str">
        <f t="shared" si="17"/>
        <v>Beauty</v>
      </c>
      <c r="T403" s="38">
        <f>VLOOKUP(D403,Products!$A$2:$F$68,4,FALSE)</f>
        <v>2768</v>
      </c>
    </row>
    <row r="404" spans="1:20" x14ac:dyDescent="0.35">
      <c r="A404" s="13" t="s">
        <v>812</v>
      </c>
      <c r="B404" s="14">
        <v>45596</v>
      </c>
      <c r="C404" s="13" t="s">
        <v>231</v>
      </c>
      <c r="D404" s="13" t="s">
        <v>264</v>
      </c>
      <c r="E404" s="13" t="s">
        <v>285</v>
      </c>
      <c r="F404" s="15">
        <v>7</v>
      </c>
      <c r="G404" s="15">
        <v>4070</v>
      </c>
      <c r="H404" s="15">
        <v>28</v>
      </c>
      <c r="I404" s="15">
        <v>20512.8</v>
      </c>
      <c r="J404" s="13" t="s">
        <v>87</v>
      </c>
      <c r="K404" s="13" t="s">
        <v>117</v>
      </c>
      <c r="L404" s="34" t="str">
        <f>VLOOKUP(D404,Products!$A$2:$F$61,3,FALSE)</f>
        <v>Grocery</v>
      </c>
      <c r="M404" s="34" t="str">
        <f>VLOOKUP(C404,Customers!$A$2:$F$301,5,FALSE)</f>
        <v>SMB</v>
      </c>
      <c r="N404" s="34">
        <f>VLOOKUP(C404,Customers!$A$2:$F$301,3,FALSE)</f>
        <v>64</v>
      </c>
      <c r="O404" s="34" t="str">
        <f>VLOOKUP(E404,Sales_Reps!$A$2:$E$31,3,FALSE)</f>
        <v>East</v>
      </c>
      <c r="P404" s="13" t="s">
        <v>285</v>
      </c>
      <c r="Q404" s="34">
        <f t="shared" si="16"/>
        <v>1069570.5400000003</v>
      </c>
      <c r="R404" s="34" t="str">
        <f>VLOOKUP(E404,Sales_Reps!$A$2:$E$100,3,FALSE)</f>
        <v>East</v>
      </c>
      <c r="S404" s="34" t="str">
        <f t="shared" si="17"/>
        <v>Grocery</v>
      </c>
      <c r="T404" s="38">
        <f>VLOOKUP(D404,Products!$A$2:$F$68,4,FALSE)</f>
        <v>2027</v>
      </c>
    </row>
    <row r="405" spans="1:20" x14ac:dyDescent="0.35">
      <c r="A405" s="13" t="s">
        <v>813</v>
      </c>
      <c r="B405" s="14">
        <v>45506</v>
      </c>
      <c r="C405" s="13" t="s">
        <v>501</v>
      </c>
      <c r="D405" s="13" t="s">
        <v>408</v>
      </c>
      <c r="E405" s="13" t="s">
        <v>128</v>
      </c>
      <c r="F405" s="15">
        <v>2</v>
      </c>
      <c r="G405" s="15">
        <v>3970</v>
      </c>
      <c r="H405" s="15">
        <v>14</v>
      </c>
      <c r="I405" s="15">
        <v>6828.4</v>
      </c>
      <c r="J405" s="13" t="s">
        <v>87</v>
      </c>
      <c r="K405" s="13" t="s">
        <v>133</v>
      </c>
      <c r="L405" s="34" t="str">
        <f>VLOOKUP(D405,Products!$A$2:$F$61,3,FALSE)</f>
        <v>Electronics</v>
      </c>
      <c r="M405" s="34" t="str">
        <f>VLOOKUP(C405,Customers!$A$2:$F$301,5,FALSE)</f>
        <v>SMB</v>
      </c>
      <c r="N405" s="34">
        <f>VLOOKUP(C405,Customers!$A$2:$F$301,3,FALSE)</f>
        <v>65</v>
      </c>
      <c r="O405" s="34" t="str">
        <f>VLOOKUP(E405,Sales_Reps!$A$2:$E$31,3,FALSE)</f>
        <v>West</v>
      </c>
      <c r="P405" s="13" t="s">
        <v>128</v>
      </c>
      <c r="Q405" s="34">
        <f t="shared" si="16"/>
        <v>880468.05</v>
      </c>
      <c r="R405" s="34" t="str">
        <f>VLOOKUP(E405,Sales_Reps!$A$2:$E$100,3,FALSE)</f>
        <v>West</v>
      </c>
      <c r="S405" s="34" t="str">
        <f t="shared" si="17"/>
        <v>Electronics</v>
      </c>
      <c r="T405" s="38">
        <f>VLOOKUP(D405,Products!$A$2:$F$68,4,FALSE)</f>
        <v>2865</v>
      </c>
    </row>
    <row r="406" spans="1:20" x14ac:dyDescent="0.35">
      <c r="A406" s="13" t="s">
        <v>814</v>
      </c>
      <c r="B406" s="14">
        <v>45349</v>
      </c>
      <c r="C406" s="13" t="s">
        <v>266</v>
      </c>
      <c r="D406" s="13" t="s">
        <v>279</v>
      </c>
      <c r="E406" s="13" t="s">
        <v>303</v>
      </c>
      <c r="F406" s="15">
        <v>9</v>
      </c>
      <c r="G406" s="15">
        <v>2660</v>
      </c>
      <c r="H406" s="15">
        <v>10.1</v>
      </c>
      <c r="I406" s="15">
        <v>21522.06</v>
      </c>
      <c r="J406" s="13" t="s">
        <v>87</v>
      </c>
      <c r="K406" s="13" t="s">
        <v>99</v>
      </c>
      <c r="L406" s="34" t="str">
        <f>VLOOKUP(D406,Products!$A$2:$F$61,3,FALSE)</f>
        <v>Electronics</v>
      </c>
      <c r="M406" s="34" t="str">
        <f>VLOOKUP(C406,Customers!$A$2:$F$301,5,FALSE)</f>
        <v>Corporate</v>
      </c>
      <c r="N406" s="34">
        <f>VLOOKUP(C406,Customers!$A$2:$F$301,3,FALSE)</f>
        <v>55</v>
      </c>
      <c r="O406" s="34" t="str">
        <f>VLOOKUP(E406,Sales_Reps!$A$2:$E$31,3,FALSE)</f>
        <v>East</v>
      </c>
      <c r="P406" s="13" t="s">
        <v>303</v>
      </c>
      <c r="Q406" s="34">
        <f t="shared" si="16"/>
        <v>1112289.6400000001</v>
      </c>
      <c r="R406" s="34" t="str">
        <f>VLOOKUP(E406,Sales_Reps!$A$2:$E$100,3,FALSE)</f>
        <v>East</v>
      </c>
      <c r="S406" s="34" t="str">
        <f t="shared" si="17"/>
        <v>Electronics</v>
      </c>
      <c r="T406" s="38">
        <f>VLOOKUP(D406,Products!$A$2:$F$68,4,FALSE)</f>
        <v>1259</v>
      </c>
    </row>
    <row r="407" spans="1:20" x14ac:dyDescent="0.35">
      <c r="A407" s="13" t="s">
        <v>815</v>
      </c>
      <c r="B407" s="14">
        <v>45407</v>
      </c>
      <c r="C407" s="13" t="s">
        <v>816</v>
      </c>
      <c r="D407" s="13" t="s">
        <v>195</v>
      </c>
      <c r="E407" s="13" t="s">
        <v>285</v>
      </c>
      <c r="F407" s="15">
        <v>9</v>
      </c>
      <c r="G407" s="15">
        <v>2860</v>
      </c>
      <c r="H407" s="15">
        <v>10.1</v>
      </c>
      <c r="I407" s="15">
        <v>23140.26</v>
      </c>
      <c r="J407" s="13" t="s">
        <v>144</v>
      </c>
      <c r="K407" s="13" t="s">
        <v>88</v>
      </c>
      <c r="L407" s="34" t="str">
        <f>VLOOKUP(D407,Products!$A$2:$F$61,3,FALSE)</f>
        <v>Sports</v>
      </c>
      <c r="M407" s="34" t="str">
        <f>VLOOKUP(C407,Customers!$A$2:$F$301,5,FALSE)</f>
        <v>Retail</v>
      </c>
      <c r="N407" s="34">
        <f>VLOOKUP(C407,Customers!$A$2:$F$301,3,FALSE)</f>
        <v>36</v>
      </c>
      <c r="O407" s="34" t="str">
        <f>VLOOKUP(E407,Sales_Reps!$A$2:$E$31,3,FALSE)</f>
        <v>East</v>
      </c>
      <c r="P407" s="13" t="s">
        <v>285</v>
      </c>
      <c r="Q407" s="34">
        <f t="shared" si="16"/>
        <v>1069570.5400000003</v>
      </c>
      <c r="R407" s="34" t="str">
        <f>VLOOKUP(E407,Sales_Reps!$A$2:$E$100,3,FALSE)</f>
        <v>East</v>
      </c>
      <c r="S407" s="34" t="str">
        <f t="shared" si="17"/>
        <v>Sports</v>
      </c>
      <c r="T407" s="38">
        <f>VLOOKUP(D407,Products!$A$2:$F$68,4,FALSE)</f>
        <v>2028</v>
      </c>
    </row>
    <row r="408" spans="1:20" x14ac:dyDescent="0.35">
      <c r="A408" s="13" t="s">
        <v>817</v>
      </c>
      <c r="B408" s="14">
        <v>45591</v>
      </c>
      <c r="C408" s="13" t="s">
        <v>291</v>
      </c>
      <c r="D408" s="13" t="s">
        <v>267</v>
      </c>
      <c r="E408" s="13" t="s">
        <v>86</v>
      </c>
      <c r="F408" s="15">
        <v>7</v>
      </c>
      <c r="G408" s="15">
        <v>1220</v>
      </c>
      <c r="H408" s="15">
        <v>23.5</v>
      </c>
      <c r="I408" s="15">
        <v>6533.1</v>
      </c>
      <c r="J408" s="13" t="s">
        <v>144</v>
      </c>
      <c r="K408" s="13" t="s">
        <v>99</v>
      </c>
      <c r="L408" s="34" t="str">
        <f>VLOOKUP(D408,Products!$A$2:$F$61,3,FALSE)</f>
        <v>Electronics</v>
      </c>
      <c r="M408" s="34" t="str">
        <f>VLOOKUP(C408,Customers!$A$2:$F$301,5,FALSE)</f>
        <v>Retail</v>
      </c>
      <c r="N408" s="34">
        <f>VLOOKUP(C408,Customers!$A$2:$F$301,3,FALSE)</f>
        <v>35</v>
      </c>
      <c r="O408" s="34" t="str">
        <f>VLOOKUP(E408,Sales_Reps!$A$2:$E$31,3,FALSE)</f>
        <v>North</v>
      </c>
      <c r="P408" s="13" t="s">
        <v>86</v>
      </c>
      <c r="Q408" s="34">
        <f t="shared" si="16"/>
        <v>855749.67999999982</v>
      </c>
      <c r="R408" s="34" t="str">
        <f>VLOOKUP(E408,Sales_Reps!$A$2:$E$100,3,FALSE)</f>
        <v>North</v>
      </c>
      <c r="S408" s="34" t="str">
        <f t="shared" si="17"/>
        <v>Electronics</v>
      </c>
      <c r="T408" s="38">
        <f>VLOOKUP(D408,Products!$A$2:$F$68,4,FALSE)</f>
        <v>517</v>
      </c>
    </row>
    <row r="409" spans="1:20" x14ac:dyDescent="0.35">
      <c r="A409" s="13" t="s">
        <v>818</v>
      </c>
      <c r="B409" s="14">
        <v>45584</v>
      </c>
      <c r="C409" s="13" t="s">
        <v>434</v>
      </c>
      <c r="D409" s="13" t="s">
        <v>245</v>
      </c>
      <c r="E409" s="13" t="s">
        <v>201</v>
      </c>
      <c r="F409" s="15">
        <v>1</v>
      </c>
      <c r="G409" s="15">
        <v>2270</v>
      </c>
      <c r="H409" s="15">
        <v>5.8</v>
      </c>
      <c r="I409" s="15">
        <v>2138.34</v>
      </c>
      <c r="J409" s="13" t="s">
        <v>140</v>
      </c>
      <c r="K409" s="13" t="s">
        <v>99</v>
      </c>
      <c r="L409" s="34" t="str">
        <f>VLOOKUP(D409,Products!$A$2:$F$61,3,FALSE)</f>
        <v>Grocery</v>
      </c>
      <c r="M409" s="34" t="str">
        <f>VLOOKUP(C409,Customers!$A$2:$F$301,5,FALSE)</f>
        <v>Corporate</v>
      </c>
      <c r="N409" s="34">
        <f>VLOOKUP(C409,Customers!$A$2:$F$301,3,FALSE)</f>
        <v>31</v>
      </c>
      <c r="O409" s="34" t="str">
        <f>VLOOKUP(E409,Sales_Reps!$A$2:$E$31,3,FALSE)</f>
        <v>West</v>
      </c>
      <c r="P409" s="13" t="s">
        <v>201</v>
      </c>
      <c r="Q409" s="34">
        <f t="shared" si="16"/>
        <v>576305.08000000019</v>
      </c>
      <c r="R409" s="34" t="str">
        <f>VLOOKUP(E409,Sales_Reps!$A$2:$E$100,3,FALSE)</f>
        <v>West</v>
      </c>
      <c r="S409" s="34" t="str">
        <f t="shared" si="17"/>
        <v>Grocery</v>
      </c>
      <c r="T409" s="38">
        <f>VLOOKUP(D409,Products!$A$2:$F$68,4,FALSE)</f>
        <v>1412</v>
      </c>
    </row>
    <row r="410" spans="1:20" x14ac:dyDescent="0.35">
      <c r="A410" s="13" t="s">
        <v>819</v>
      </c>
      <c r="B410" s="14">
        <v>45581</v>
      </c>
      <c r="C410" s="13" t="s">
        <v>617</v>
      </c>
      <c r="D410" s="13" t="s">
        <v>203</v>
      </c>
      <c r="E410" s="13" t="s">
        <v>297</v>
      </c>
      <c r="F410" s="15">
        <v>2</v>
      </c>
      <c r="G410" s="15">
        <v>660</v>
      </c>
      <c r="H410" s="15">
        <v>2.2999999999999998</v>
      </c>
      <c r="I410" s="15">
        <v>1289.6400000000001</v>
      </c>
      <c r="J410" s="13" t="s">
        <v>87</v>
      </c>
      <c r="K410" s="13" t="s">
        <v>112</v>
      </c>
      <c r="L410" s="34" t="str">
        <f>VLOOKUP(D410,Products!$A$2:$F$61,3,FALSE)</f>
        <v>Home</v>
      </c>
      <c r="M410" s="34" t="str">
        <f>VLOOKUP(C410,Customers!$A$2:$F$301,5,FALSE)</f>
        <v>SMB</v>
      </c>
      <c r="N410" s="34">
        <f>VLOOKUP(C410,Customers!$A$2:$F$301,3,FALSE)</f>
        <v>65</v>
      </c>
      <c r="O410" s="34" t="str">
        <f>VLOOKUP(E410,Sales_Reps!$A$2:$E$31,3,FALSE)</f>
        <v>North</v>
      </c>
      <c r="P410" s="13" t="s">
        <v>297</v>
      </c>
      <c r="Q410" s="34">
        <f t="shared" si="16"/>
        <v>980063.65999999968</v>
      </c>
      <c r="R410" s="34" t="str">
        <f>VLOOKUP(E410,Sales_Reps!$A$2:$E$100,3,FALSE)</f>
        <v>North</v>
      </c>
      <c r="S410" s="34" t="str">
        <f t="shared" si="17"/>
        <v>Home</v>
      </c>
      <c r="T410" s="38">
        <f>VLOOKUP(D410,Products!$A$2:$F$68,4,FALSE)</f>
        <v>329</v>
      </c>
    </row>
    <row r="411" spans="1:20" x14ac:dyDescent="0.35">
      <c r="A411" s="13" t="s">
        <v>820</v>
      </c>
      <c r="B411" s="14">
        <v>45441</v>
      </c>
      <c r="C411" s="13" t="s">
        <v>345</v>
      </c>
      <c r="D411" s="13" t="s">
        <v>106</v>
      </c>
      <c r="E411" s="13" t="s">
        <v>98</v>
      </c>
      <c r="F411" s="15">
        <v>1</v>
      </c>
      <c r="G411" s="15">
        <v>3160</v>
      </c>
      <c r="H411" s="15">
        <v>5.6</v>
      </c>
      <c r="I411" s="15">
        <v>2983.04</v>
      </c>
      <c r="J411" s="13" t="s">
        <v>87</v>
      </c>
      <c r="K411" s="13" t="s">
        <v>94</v>
      </c>
      <c r="L411" s="34" t="str">
        <f>VLOOKUP(D411,Products!$A$2:$F$61,3,FALSE)</f>
        <v>Apparel</v>
      </c>
      <c r="M411" s="34" t="str">
        <f>VLOOKUP(C411,Customers!$A$2:$F$301,5,FALSE)</f>
        <v>Corporate</v>
      </c>
      <c r="N411" s="34">
        <f>VLOOKUP(C411,Customers!$A$2:$F$301,3,FALSE)</f>
        <v>38</v>
      </c>
      <c r="O411" s="34" t="str">
        <f>VLOOKUP(E411,Sales_Reps!$A$2:$E$31,3,FALSE)</f>
        <v>South</v>
      </c>
      <c r="P411" s="13" t="s">
        <v>98</v>
      </c>
      <c r="Q411" s="34">
        <f t="shared" si="16"/>
        <v>995713.54000000015</v>
      </c>
      <c r="R411" s="34" t="str">
        <f>VLOOKUP(E411,Sales_Reps!$A$2:$E$100,3,FALSE)</f>
        <v>South</v>
      </c>
      <c r="S411" s="34" t="str">
        <f t="shared" si="17"/>
        <v>Apparel</v>
      </c>
      <c r="T411" s="38">
        <f>VLOOKUP(D411,Products!$A$2:$F$68,4,FALSE)</f>
        <v>1886</v>
      </c>
    </row>
    <row r="412" spans="1:20" x14ac:dyDescent="0.35">
      <c r="A412" s="13" t="s">
        <v>821</v>
      </c>
      <c r="B412" s="14">
        <v>45408</v>
      </c>
      <c r="C412" s="13" t="s">
        <v>105</v>
      </c>
      <c r="D412" s="13" t="s">
        <v>138</v>
      </c>
      <c r="E412" s="13" t="s">
        <v>252</v>
      </c>
      <c r="F412" s="15">
        <v>1</v>
      </c>
      <c r="G412" s="15">
        <v>2600</v>
      </c>
      <c r="H412" s="15">
        <v>1</v>
      </c>
      <c r="I412" s="15">
        <v>2574</v>
      </c>
      <c r="J412" s="13" t="s">
        <v>87</v>
      </c>
      <c r="K412" s="13" t="s">
        <v>94</v>
      </c>
      <c r="L412" s="34" t="str">
        <f>VLOOKUP(D412,Products!$A$2:$F$61,3,FALSE)</f>
        <v>Electronics</v>
      </c>
      <c r="M412" s="34" t="str">
        <f>VLOOKUP(C412,Customers!$A$2:$F$301,5,FALSE)</f>
        <v>Retail</v>
      </c>
      <c r="N412" s="34">
        <f>VLOOKUP(C412,Customers!$A$2:$F$301,3,FALSE)</f>
        <v>36</v>
      </c>
      <c r="O412" s="34" t="str">
        <f>VLOOKUP(E412,Sales_Reps!$A$2:$E$31,3,FALSE)</f>
        <v>South</v>
      </c>
      <c r="P412" s="13" t="s">
        <v>252</v>
      </c>
      <c r="Q412" s="34">
        <f t="shared" si="16"/>
        <v>811524.37999999989</v>
      </c>
      <c r="R412" s="34" t="str">
        <f>VLOOKUP(E412,Sales_Reps!$A$2:$E$100,3,FALSE)</f>
        <v>South</v>
      </c>
      <c r="S412" s="34" t="str">
        <f t="shared" si="17"/>
        <v>Electronics</v>
      </c>
      <c r="T412" s="38">
        <f>VLOOKUP(D412,Products!$A$2:$F$68,4,FALSE)</f>
        <v>1052</v>
      </c>
    </row>
    <row r="413" spans="1:20" x14ac:dyDescent="0.35">
      <c r="A413" s="13" t="s">
        <v>822</v>
      </c>
      <c r="B413" s="14">
        <v>45515</v>
      </c>
      <c r="C413" s="13" t="s">
        <v>823</v>
      </c>
      <c r="D413" s="13" t="s">
        <v>270</v>
      </c>
      <c r="E413" s="13" t="s">
        <v>98</v>
      </c>
      <c r="F413" s="15">
        <v>4</v>
      </c>
      <c r="G413" s="15">
        <v>4610</v>
      </c>
      <c r="H413" s="15">
        <v>18.7</v>
      </c>
      <c r="I413" s="15">
        <v>14991.72</v>
      </c>
      <c r="J413" s="13" t="s">
        <v>87</v>
      </c>
      <c r="K413" s="13" t="s">
        <v>94</v>
      </c>
      <c r="L413" s="34" t="str">
        <f>VLOOKUP(D413,Products!$A$2:$F$61,3,FALSE)</f>
        <v>Home</v>
      </c>
      <c r="M413" s="34" t="str">
        <f>VLOOKUP(C413,Customers!$A$2:$F$301,5,FALSE)</f>
        <v>Retail</v>
      </c>
      <c r="N413" s="34">
        <f>VLOOKUP(C413,Customers!$A$2:$F$301,3,FALSE)</f>
        <v>32</v>
      </c>
      <c r="O413" s="34" t="str">
        <f>VLOOKUP(E413,Sales_Reps!$A$2:$E$31,3,FALSE)</f>
        <v>South</v>
      </c>
      <c r="P413" s="13" t="s">
        <v>98</v>
      </c>
      <c r="Q413" s="34">
        <f t="shared" si="16"/>
        <v>995713.54000000015</v>
      </c>
      <c r="R413" s="34" t="str">
        <f>VLOOKUP(E413,Sales_Reps!$A$2:$E$100,3,FALSE)</f>
        <v>South</v>
      </c>
      <c r="S413" s="34" t="str">
        <f t="shared" si="17"/>
        <v>Home</v>
      </c>
      <c r="T413" s="38">
        <f>VLOOKUP(D413,Products!$A$2:$F$68,4,FALSE)</f>
        <v>1850</v>
      </c>
    </row>
    <row r="414" spans="1:20" x14ac:dyDescent="0.35">
      <c r="A414" s="13" t="s">
        <v>824</v>
      </c>
      <c r="B414" s="14">
        <v>45412</v>
      </c>
      <c r="C414" s="13" t="s">
        <v>559</v>
      </c>
      <c r="D414" s="13" t="s">
        <v>237</v>
      </c>
      <c r="E414" s="13" t="s">
        <v>303</v>
      </c>
      <c r="F414" s="15">
        <v>3</v>
      </c>
      <c r="G414" s="15">
        <v>3640</v>
      </c>
      <c r="H414" s="15">
        <v>9.6999999999999993</v>
      </c>
      <c r="I414" s="15">
        <v>9860.76</v>
      </c>
      <c r="J414" s="13" t="s">
        <v>140</v>
      </c>
      <c r="K414" s="13" t="s">
        <v>88</v>
      </c>
      <c r="L414" s="34" t="str">
        <f>VLOOKUP(D414,Products!$A$2:$F$61,3,FALSE)</f>
        <v>Apparel</v>
      </c>
      <c r="M414" s="34" t="str">
        <f>VLOOKUP(C414,Customers!$A$2:$F$301,5,FALSE)</f>
        <v>Retail</v>
      </c>
      <c r="N414" s="34">
        <f>VLOOKUP(C414,Customers!$A$2:$F$301,3,FALSE)</f>
        <v>62</v>
      </c>
      <c r="O414" s="34" t="str">
        <f>VLOOKUP(E414,Sales_Reps!$A$2:$E$31,3,FALSE)</f>
        <v>East</v>
      </c>
      <c r="P414" s="13" t="s">
        <v>303</v>
      </c>
      <c r="Q414" s="34">
        <f t="shared" si="16"/>
        <v>1112289.6400000001</v>
      </c>
      <c r="R414" s="34" t="str">
        <f>VLOOKUP(E414,Sales_Reps!$A$2:$E$100,3,FALSE)</f>
        <v>East</v>
      </c>
      <c r="S414" s="34" t="str">
        <f t="shared" si="17"/>
        <v>Apparel</v>
      </c>
      <c r="T414" s="38">
        <f>VLOOKUP(D414,Products!$A$2:$F$68,4,FALSE)</f>
        <v>2611</v>
      </c>
    </row>
    <row r="415" spans="1:20" x14ac:dyDescent="0.35">
      <c r="A415" s="13" t="s">
        <v>825</v>
      </c>
      <c r="B415" s="14">
        <v>45448</v>
      </c>
      <c r="C415" s="13" t="s">
        <v>546</v>
      </c>
      <c r="D415" s="13" t="s">
        <v>173</v>
      </c>
      <c r="E415" s="13" t="s">
        <v>139</v>
      </c>
      <c r="F415" s="15">
        <v>6</v>
      </c>
      <c r="G415" s="15">
        <v>2720</v>
      </c>
      <c r="H415" s="15">
        <v>13</v>
      </c>
      <c r="I415" s="15">
        <v>14198.4</v>
      </c>
      <c r="J415" s="13" t="s">
        <v>93</v>
      </c>
      <c r="K415" s="13" t="s">
        <v>99</v>
      </c>
      <c r="L415" s="34" t="str">
        <f>VLOOKUP(D415,Products!$A$2:$F$61,3,FALSE)</f>
        <v>Apparel</v>
      </c>
      <c r="M415" s="34" t="str">
        <f>VLOOKUP(C415,Customers!$A$2:$F$301,5,FALSE)</f>
        <v>SMB</v>
      </c>
      <c r="N415" s="34">
        <f>VLOOKUP(C415,Customers!$A$2:$F$301,3,FALSE)</f>
        <v>29</v>
      </c>
      <c r="O415" s="34" t="str">
        <f>VLOOKUP(E415,Sales_Reps!$A$2:$E$31,3,FALSE)</f>
        <v>North</v>
      </c>
      <c r="P415" s="13" t="s">
        <v>139</v>
      </c>
      <c r="Q415" s="34">
        <f t="shared" si="16"/>
        <v>589026.2899999998</v>
      </c>
      <c r="R415" s="34" t="str">
        <f>VLOOKUP(E415,Sales_Reps!$A$2:$E$100,3,FALSE)</f>
        <v>North</v>
      </c>
      <c r="S415" s="34" t="str">
        <f t="shared" si="17"/>
        <v>Apparel</v>
      </c>
      <c r="T415" s="38">
        <f>VLOOKUP(D415,Products!$A$2:$F$68,4,FALSE)</f>
        <v>1962</v>
      </c>
    </row>
    <row r="416" spans="1:20" x14ac:dyDescent="0.35">
      <c r="A416" s="13" t="s">
        <v>826</v>
      </c>
      <c r="B416" s="14">
        <v>45644</v>
      </c>
      <c r="C416" s="13" t="s">
        <v>530</v>
      </c>
      <c r="D416" s="13" t="s">
        <v>461</v>
      </c>
      <c r="E416" s="13" t="s">
        <v>107</v>
      </c>
      <c r="F416" s="15">
        <v>5</v>
      </c>
      <c r="G416" s="15">
        <v>3780</v>
      </c>
      <c r="H416" s="15">
        <v>15.2</v>
      </c>
      <c r="I416" s="15">
        <v>16027.2</v>
      </c>
      <c r="J416" s="13" t="s">
        <v>87</v>
      </c>
      <c r="K416" s="13" t="s">
        <v>99</v>
      </c>
      <c r="L416" s="34" t="str">
        <f>VLOOKUP(D416,Products!$A$2:$F$61,3,FALSE)</f>
        <v>Sports</v>
      </c>
      <c r="M416" s="34" t="str">
        <f>VLOOKUP(C416,Customers!$A$2:$F$301,5,FALSE)</f>
        <v>Retail</v>
      </c>
      <c r="N416" s="34">
        <f>VLOOKUP(C416,Customers!$A$2:$F$301,3,FALSE)</f>
        <v>45</v>
      </c>
      <c r="O416" s="34" t="str">
        <f>VLOOKUP(E416,Sales_Reps!$A$2:$E$31,3,FALSE)</f>
        <v>North</v>
      </c>
      <c r="P416" s="13" t="s">
        <v>107</v>
      </c>
      <c r="Q416" s="34">
        <f t="shared" si="16"/>
        <v>861553.33</v>
      </c>
      <c r="R416" s="34" t="str">
        <f>VLOOKUP(E416,Sales_Reps!$A$2:$E$100,3,FALSE)</f>
        <v>North</v>
      </c>
      <c r="S416" s="34" t="str">
        <f t="shared" si="17"/>
        <v>Sports</v>
      </c>
      <c r="T416" s="38">
        <f>VLOOKUP(D416,Products!$A$2:$F$68,4,FALSE)</f>
        <v>1860</v>
      </c>
    </row>
    <row r="417" spans="1:20" x14ac:dyDescent="0.35">
      <c r="A417" s="13" t="s">
        <v>827</v>
      </c>
      <c r="B417" s="14">
        <v>45407</v>
      </c>
      <c r="C417" s="13" t="s">
        <v>828</v>
      </c>
      <c r="D417" s="13" t="s">
        <v>502</v>
      </c>
      <c r="E417" s="13" t="s">
        <v>170</v>
      </c>
      <c r="F417" s="15">
        <v>9</v>
      </c>
      <c r="G417" s="15">
        <v>1090</v>
      </c>
      <c r="H417" s="15">
        <v>28.5</v>
      </c>
      <c r="I417" s="15">
        <v>7014.15</v>
      </c>
      <c r="J417" s="13" t="s">
        <v>87</v>
      </c>
      <c r="K417" s="13" t="s">
        <v>133</v>
      </c>
      <c r="L417" s="34" t="str">
        <f>VLOOKUP(D417,Products!$A$2:$F$61,3,FALSE)</f>
        <v>Home</v>
      </c>
      <c r="M417" s="34" t="str">
        <f>VLOOKUP(C417,Customers!$A$2:$F$301,5,FALSE)</f>
        <v>Retail</v>
      </c>
      <c r="N417" s="34">
        <f>VLOOKUP(C417,Customers!$A$2:$F$301,3,FALSE)</f>
        <v>52</v>
      </c>
      <c r="O417" s="34" t="str">
        <f>VLOOKUP(E417,Sales_Reps!$A$2:$E$31,3,FALSE)</f>
        <v>West</v>
      </c>
      <c r="P417" s="13" t="s">
        <v>170</v>
      </c>
      <c r="Q417" s="34">
        <f t="shared" si="16"/>
        <v>747624.36999999988</v>
      </c>
      <c r="R417" s="34" t="str">
        <f>VLOOKUP(E417,Sales_Reps!$A$2:$E$100,3,FALSE)</f>
        <v>West</v>
      </c>
      <c r="S417" s="34" t="str">
        <f t="shared" si="17"/>
        <v>Home</v>
      </c>
      <c r="T417" s="38">
        <f>VLOOKUP(D417,Products!$A$2:$F$68,4,FALSE)</f>
        <v>464</v>
      </c>
    </row>
    <row r="418" spans="1:20" x14ac:dyDescent="0.35">
      <c r="A418" s="13" t="s">
        <v>829</v>
      </c>
      <c r="B418" s="14">
        <v>45581</v>
      </c>
      <c r="C418" s="13" t="s">
        <v>585</v>
      </c>
      <c r="D418" s="13" t="s">
        <v>502</v>
      </c>
      <c r="E418" s="13" t="s">
        <v>128</v>
      </c>
      <c r="F418" s="15">
        <v>6</v>
      </c>
      <c r="G418" s="15">
        <v>1090</v>
      </c>
      <c r="H418" s="15">
        <v>28.7</v>
      </c>
      <c r="I418" s="15">
        <v>4663.0200000000004</v>
      </c>
      <c r="J418" s="13" t="s">
        <v>87</v>
      </c>
      <c r="K418" s="13" t="s">
        <v>94</v>
      </c>
      <c r="L418" s="34" t="str">
        <f>VLOOKUP(D418,Products!$A$2:$F$61,3,FALSE)</f>
        <v>Home</v>
      </c>
      <c r="M418" s="34" t="str">
        <f>VLOOKUP(C418,Customers!$A$2:$F$301,5,FALSE)</f>
        <v>Retail</v>
      </c>
      <c r="N418" s="34">
        <f>VLOOKUP(C418,Customers!$A$2:$F$301,3,FALSE)</f>
        <v>26</v>
      </c>
      <c r="O418" s="34" t="str">
        <f>VLOOKUP(E418,Sales_Reps!$A$2:$E$31,3,FALSE)</f>
        <v>West</v>
      </c>
      <c r="P418" s="13" t="s">
        <v>128</v>
      </c>
      <c r="Q418" s="34">
        <f t="shared" si="16"/>
        <v>880468.05</v>
      </c>
      <c r="R418" s="34" t="str">
        <f>VLOOKUP(E418,Sales_Reps!$A$2:$E$100,3,FALSE)</f>
        <v>West</v>
      </c>
      <c r="S418" s="34" t="str">
        <f t="shared" si="17"/>
        <v>Home</v>
      </c>
      <c r="T418" s="38">
        <f>VLOOKUP(D418,Products!$A$2:$F$68,4,FALSE)</f>
        <v>464</v>
      </c>
    </row>
    <row r="419" spans="1:20" x14ac:dyDescent="0.35">
      <c r="A419" s="13" t="s">
        <v>830</v>
      </c>
      <c r="B419" s="14">
        <v>45366</v>
      </c>
      <c r="C419" s="13" t="s">
        <v>613</v>
      </c>
      <c r="D419" s="13" t="s">
        <v>355</v>
      </c>
      <c r="E419" s="13" t="s">
        <v>170</v>
      </c>
      <c r="F419" s="15">
        <v>5</v>
      </c>
      <c r="G419" s="15">
        <v>2510</v>
      </c>
      <c r="H419" s="15">
        <v>25</v>
      </c>
      <c r="I419" s="15">
        <v>9412.5</v>
      </c>
      <c r="J419" s="13" t="s">
        <v>87</v>
      </c>
      <c r="K419" s="13" t="s">
        <v>112</v>
      </c>
      <c r="L419" s="34" t="str">
        <f>VLOOKUP(D419,Products!$A$2:$F$61,3,FALSE)</f>
        <v>Apparel</v>
      </c>
      <c r="M419" s="34" t="str">
        <f>VLOOKUP(C419,Customers!$A$2:$F$301,5,FALSE)</f>
        <v>Retail</v>
      </c>
      <c r="N419" s="34">
        <f>VLOOKUP(C419,Customers!$A$2:$F$301,3,FALSE)</f>
        <v>44</v>
      </c>
      <c r="O419" s="34" t="str">
        <f>VLOOKUP(E419,Sales_Reps!$A$2:$E$31,3,FALSE)</f>
        <v>West</v>
      </c>
      <c r="P419" s="13" t="s">
        <v>170</v>
      </c>
      <c r="Q419" s="34">
        <f t="shared" si="16"/>
        <v>747624.36999999988</v>
      </c>
      <c r="R419" s="34" t="str">
        <f>VLOOKUP(E419,Sales_Reps!$A$2:$E$100,3,FALSE)</f>
        <v>West</v>
      </c>
      <c r="S419" s="34" t="str">
        <f t="shared" si="17"/>
        <v>Apparel</v>
      </c>
      <c r="T419" s="38">
        <f>VLOOKUP(D419,Products!$A$2:$F$68,4,FALSE)</f>
        <v>1075</v>
      </c>
    </row>
    <row r="420" spans="1:20" x14ac:dyDescent="0.35">
      <c r="A420" s="13" t="s">
        <v>831</v>
      </c>
      <c r="B420" s="14">
        <v>45577</v>
      </c>
      <c r="C420" s="13" t="s">
        <v>373</v>
      </c>
      <c r="D420" s="13" t="s">
        <v>408</v>
      </c>
      <c r="E420" s="13" t="s">
        <v>132</v>
      </c>
      <c r="F420" s="15">
        <v>5</v>
      </c>
      <c r="G420" s="15">
        <v>3970</v>
      </c>
      <c r="H420" s="15">
        <v>26</v>
      </c>
      <c r="I420" s="15">
        <v>14689</v>
      </c>
      <c r="J420" s="13" t="s">
        <v>87</v>
      </c>
      <c r="K420" s="13" t="s">
        <v>88</v>
      </c>
      <c r="L420" s="34" t="str">
        <f>VLOOKUP(D420,Products!$A$2:$F$61,3,FALSE)</f>
        <v>Electronics</v>
      </c>
      <c r="M420" s="34" t="str">
        <f>VLOOKUP(C420,Customers!$A$2:$F$301,5,FALSE)</f>
        <v>Retail</v>
      </c>
      <c r="N420" s="34">
        <f>VLOOKUP(C420,Customers!$A$2:$F$301,3,FALSE)</f>
        <v>43</v>
      </c>
      <c r="O420" s="34" t="str">
        <f>VLOOKUP(E420,Sales_Reps!$A$2:$E$31,3,FALSE)</f>
        <v>South</v>
      </c>
      <c r="P420" s="13" t="s">
        <v>132</v>
      </c>
      <c r="Q420" s="34">
        <f t="shared" si="16"/>
        <v>880345.20000000007</v>
      </c>
      <c r="R420" s="34" t="str">
        <f>VLOOKUP(E420,Sales_Reps!$A$2:$E$100,3,FALSE)</f>
        <v>South</v>
      </c>
      <c r="S420" s="34" t="str">
        <f t="shared" si="17"/>
        <v>Electronics</v>
      </c>
      <c r="T420" s="38">
        <f>VLOOKUP(D420,Products!$A$2:$F$68,4,FALSE)</f>
        <v>2865</v>
      </c>
    </row>
    <row r="421" spans="1:20" x14ac:dyDescent="0.35">
      <c r="A421" s="13" t="s">
        <v>832</v>
      </c>
      <c r="B421" s="14">
        <v>45333</v>
      </c>
      <c r="C421" s="13" t="s">
        <v>528</v>
      </c>
      <c r="D421" s="13" t="s">
        <v>264</v>
      </c>
      <c r="E421" s="13" t="s">
        <v>215</v>
      </c>
      <c r="F421" s="15">
        <v>9</v>
      </c>
      <c r="G421" s="15">
        <v>4070</v>
      </c>
      <c r="H421" s="15">
        <v>15.7</v>
      </c>
      <c r="I421" s="15">
        <v>30879.09</v>
      </c>
      <c r="J421" s="13" t="s">
        <v>87</v>
      </c>
      <c r="K421" s="13" t="s">
        <v>112</v>
      </c>
      <c r="L421" s="34" t="str">
        <f>VLOOKUP(D421,Products!$A$2:$F$61,3,FALSE)</f>
        <v>Grocery</v>
      </c>
      <c r="M421" s="34" t="str">
        <f>VLOOKUP(C421,Customers!$A$2:$F$301,5,FALSE)</f>
        <v>Retail</v>
      </c>
      <c r="N421" s="34">
        <f>VLOOKUP(C421,Customers!$A$2:$F$301,3,FALSE)</f>
        <v>44</v>
      </c>
      <c r="O421" s="34" t="str">
        <f>VLOOKUP(E421,Sales_Reps!$A$2:$E$31,3,FALSE)</f>
        <v>North</v>
      </c>
      <c r="P421" s="13" t="s">
        <v>215</v>
      </c>
      <c r="Q421" s="34">
        <f t="shared" si="16"/>
        <v>789849.60000000009</v>
      </c>
      <c r="R421" s="34" t="str">
        <f>VLOOKUP(E421,Sales_Reps!$A$2:$E$100,3,FALSE)</f>
        <v>North</v>
      </c>
      <c r="S421" s="34" t="str">
        <f t="shared" si="17"/>
        <v>Grocery</v>
      </c>
      <c r="T421" s="38">
        <f>VLOOKUP(D421,Products!$A$2:$F$68,4,FALSE)</f>
        <v>2027</v>
      </c>
    </row>
    <row r="422" spans="1:20" x14ac:dyDescent="0.35">
      <c r="A422" s="13" t="s">
        <v>833</v>
      </c>
      <c r="B422" s="14">
        <v>45418</v>
      </c>
      <c r="C422" s="13" t="s">
        <v>254</v>
      </c>
      <c r="D422" s="13" t="s">
        <v>124</v>
      </c>
      <c r="E422" s="13" t="s">
        <v>139</v>
      </c>
      <c r="F422" s="15">
        <v>6</v>
      </c>
      <c r="G422" s="15">
        <v>5490</v>
      </c>
      <c r="H422" s="15">
        <v>8.5</v>
      </c>
      <c r="I422" s="15">
        <v>30140.1</v>
      </c>
      <c r="J422" s="13" t="s">
        <v>144</v>
      </c>
      <c r="K422" s="13" t="s">
        <v>94</v>
      </c>
      <c r="L422" s="34" t="str">
        <f>VLOOKUP(D422,Products!$A$2:$F$61,3,FALSE)</f>
        <v>Home</v>
      </c>
      <c r="M422" s="34" t="str">
        <f>VLOOKUP(C422,Customers!$A$2:$F$301,5,FALSE)</f>
        <v>Retail</v>
      </c>
      <c r="N422" s="34">
        <f>VLOOKUP(C422,Customers!$A$2:$F$301,3,FALSE)</f>
        <v>24</v>
      </c>
      <c r="O422" s="34" t="str">
        <f>VLOOKUP(E422,Sales_Reps!$A$2:$E$31,3,FALSE)</f>
        <v>North</v>
      </c>
      <c r="P422" s="13" t="s">
        <v>139</v>
      </c>
      <c r="Q422" s="34">
        <f t="shared" si="16"/>
        <v>589026.2899999998</v>
      </c>
      <c r="R422" s="34" t="str">
        <f>VLOOKUP(E422,Sales_Reps!$A$2:$E$100,3,FALSE)</f>
        <v>North</v>
      </c>
      <c r="S422" s="34" t="str">
        <f t="shared" si="17"/>
        <v>Home</v>
      </c>
      <c r="T422" s="38">
        <f>VLOOKUP(D422,Products!$A$2:$F$68,4,FALSE)</f>
        <v>2549</v>
      </c>
    </row>
    <row r="423" spans="1:20" x14ac:dyDescent="0.35">
      <c r="A423" s="13" t="s">
        <v>834</v>
      </c>
      <c r="B423" s="14">
        <v>45615</v>
      </c>
      <c r="C423" s="13" t="s">
        <v>835</v>
      </c>
      <c r="D423" s="13" t="s">
        <v>182</v>
      </c>
      <c r="E423" s="13" t="s">
        <v>285</v>
      </c>
      <c r="F423" s="15">
        <v>9</v>
      </c>
      <c r="G423" s="15">
        <v>1010</v>
      </c>
      <c r="H423" s="15">
        <v>3.6</v>
      </c>
      <c r="I423" s="15">
        <v>8762.76</v>
      </c>
      <c r="J423" s="13" t="s">
        <v>87</v>
      </c>
      <c r="K423" s="13" t="s">
        <v>117</v>
      </c>
      <c r="L423" s="34" t="str">
        <f>VLOOKUP(D423,Products!$A$2:$F$61,3,FALSE)</f>
        <v>Sports</v>
      </c>
      <c r="M423" s="34" t="str">
        <f>VLOOKUP(C423,Customers!$A$2:$F$301,5,FALSE)</f>
        <v>Retail</v>
      </c>
      <c r="N423" s="34">
        <f>VLOOKUP(C423,Customers!$A$2:$F$301,3,FALSE)</f>
        <v>52</v>
      </c>
      <c r="O423" s="34" t="str">
        <f>VLOOKUP(E423,Sales_Reps!$A$2:$E$31,3,FALSE)</f>
        <v>East</v>
      </c>
      <c r="P423" s="13" t="s">
        <v>285</v>
      </c>
      <c r="Q423" s="34">
        <f t="shared" si="16"/>
        <v>1069570.5400000003</v>
      </c>
      <c r="R423" s="34" t="str">
        <f>VLOOKUP(E423,Sales_Reps!$A$2:$E$100,3,FALSE)</f>
        <v>East</v>
      </c>
      <c r="S423" s="34" t="str">
        <f t="shared" si="17"/>
        <v>Sports</v>
      </c>
      <c r="T423" s="38">
        <f>VLOOKUP(D423,Products!$A$2:$F$68,4,FALSE)</f>
        <v>516</v>
      </c>
    </row>
    <row r="424" spans="1:20" x14ac:dyDescent="0.35">
      <c r="A424" s="13" t="s">
        <v>836</v>
      </c>
      <c r="B424" s="14">
        <v>45631</v>
      </c>
      <c r="C424" s="13" t="s">
        <v>837</v>
      </c>
      <c r="D424" s="13" t="s">
        <v>102</v>
      </c>
      <c r="E424" s="13" t="s">
        <v>107</v>
      </c>
      <c r="F424" s="15">
        <v>6</v>
      </c>
      <c r="G424" s="15">
        <v>3660</v>
      </c>
      <c r="H424" s="15">
        <v>10.8</v>
      </c>
      <c r="I424" s="15">
        <v>19588.32</v>
      </c>
      <c r="J424" s="13" t="s">
        <v>87</v>
      </c>
      <c r="K424" s="13" t="s">
        <v>117</v>
      </c>
      <c r="L424" s="34" t="str">
        <f>VLOOKUP(D424,Products!$A$2:$F$61,3,FALSE)</f>
        <v>Grocery</v>
      </c>
      <c r="M424" s="34" t="str">
        <f>VLOOKUP(C424,Customers!$A$2:$F$301,5,FALSE)</f>
        <v>Retail</v>
      </c>
      <c r="N424" s="34">
        <f>VLOOKUP(C424,Customers!$A$2:$F$301,3,FALSE)</f>
        <v>37</v>
      </c>
      <c r="O424" s="34" t="str">
        <f>VLOOKUP(E424,Sales_Reps!$A$2:$E$31,3,FALSE)</f>
        <v>North</v>
      </c>
      <c r="P424" s="13" t="s">
        <v>107</v>
      </c>
      <c r="Q424" s="34">
        <f t="shared" si="16"/>
        <v>861553.33</v>
      </c>
      <c r="R424" s="34" t="str">
        <f>VLOOKUP(E424,Sales_Reps!$A$2:$E$100,3,FALSE)</f>
        <v>North</v>
      </c>
      <c r="S424" s="34" t="str">
        <f t="shared" si="17"/>
        <v>Grocery</v>
      </c>
      <c r="T424" s="38">
        <f>VLOOKUP(D424,Products!$A$2:$F$68,4,FALSE)</f>
        <v>2214</v>
      </c>
    </row>
    <row r="425" spans="1:20" x14ac:dyDescent="0.35">
      <c r="A425" s="13" t="s">
        <v>838</v>
      </c>
      <c r="B425" s="14">
        <v>45524</v>
      </c>
      <c r="C425" s="13" t="s">
        <v>413</v>
      </c>
      <c r="D425" s="13" t="s">
        <v>157</v>
      </c>
      <c r="E425" s="13" t="s">
        <v>346</v>
      </c>
      <c r="F425" s="15">
        <v>6</v>
      </c>
      <c r="G425" s="15">
        <v>3450</v>
      </c>
      <c r="H425" s="15">
        <v>10.7</v>
      </c>
      <c r="I425" s="15">
        <v>18485.099999999999</v>
      </c>
      <c r="J425" s="13" t="s">
        <v>87</v>
      </c>
      <c r="K425" s="13" t="s">
        <v>88</v>
      </c>
      <c r="L425" s="34" t="str">
        <f>VLOOKUP(D425,Products!$A$2:$F$61,3,FALSE)</f>
        <v>Beauty</v>
      </c>
      <c r="M425" s="34" t="str">
        <f>VLOOKUP(C425,Customers!$A$2:$F$301,5,FALSE)</f>
        <v>Retail</v>
      </c>
      <c r="N425" s="34">
        <f>VLOOKUP(C425,Customers!$A$2:$F$301,3,FALSE)</f>
        <v>22</v>
      </c>
      <c r="O425" s="34" t="str">
        <f>VLOOKUP(E425,Sales_Reps!$A$2:$E$31,3,FALSE)</f>
        <v>South</v>
      </c>
      <c r="P425" s="13" t="s">
        <v>346</v>
      </c>
      <c r="Q425" s="34">
        <f t="shared" si="16"/>
        <v>814563.7100000002</v>
      </c>
      <c r="R425" s="34" t="str">
        <f>VLOOKUP(E425,Sales_Reps!$A$2:$E$100,3,FALSE)</f>
        <v>South</v>
      </c>
      <c r="S425" s="34" t="str">
        <f t="shared" si="17"/>
        <v>Beauty</v>
      </c>
      <c r="T425" s="38">
        <f>VLOOKUP(D425,Products!$A$2:$F$68,4,FALSE)</f>
        <v>2420</v>
      </c>
    </row>
    <row r="426" spans="1:20" x14ac:dyDescent="0.35">
      <c r="A426" s="13" t="s">
        <v>839</v>
      </c>
      <c r="B426" s="14">
        <v>45379</v>
      </c>
      <c r="C426" s="13" t="s">
        <v>225</v>
      </c>
      <c r="D426" s="13" t="s">
        <v>264</v>
      </c>
      <c r="E426" s="13" t="s">
        <v>273</v>
      </c>
      <c r="F426" s="15">
        <v>10</v>
      </c>
      <c r="G426" s="15">
        <v>4070</v>
      </c>
      <c r="H426" s="15">
        <v>23.4</v>
      </c>
      <c r="I426" s="15">
        <v>31176.2</v>
      </c>
      <c r="J426" s="13" t="s">
        <v>144</v>
      </c>
      <c r="K426" s="13" t="s">
        <v>94</v>
      </c>
      <c r="L426" s="34" t="str">
        <f>VLOOKUP(D426,Products!$A$2:$F$61,3,FALSE)</f>
        <v>Grocery</v>
      </c>
      <c r="M426" s="34" t="str">
        <f>VLOOKUP(C426,Customers!$A$2:$F$301,5,FALSE)</f>
        <v>Retail</v>
      </c>
      <c r="N426" s="34">
        <f>VLOOKUP(C426,Customers!$A$2:$F$301,3,FALSE)</f>
        <v>37</v>
      </c>
      <c r="O426" s="34" t="str">
        <f>VLOOKUP(E426,Sales_Reps!$A$2:$E$31,3,FALSE)</f>
        <v>South</v>
      </c>
      <c r="P426" s="13" t="s">
        <v>273</v>
      </c>
      <c r="Q426" s="34">
        <f t="shared" si="16"/>
        <v>735207.75999999989</v>
      </c>
      <c r="R426" s="34" t="str">
        <f>VLOOKUP(E426,Sales_Reps!$A$2:$E$100,3,FALSE)</f>
        <v>South</v>
      </c>
      <c r="S426" s="34" t="str">
        <f t="shared" si="17"/>
        <v>Grocery</v>
      </c>
      <c r="T426" s="38">
        <f>VLOOKUP(D426,Products!$A$2:$F$68,4,FALSE)</f>
        <v>2027</v>
      </c>
    </row>
    <row r="427" spans="1:20" x14ac:dyDescent="0.35">
      <c r="A427" s="13" t="s">
        <v>840</v>
      </c>
      <c r="B427" s="14">
        <v>45454</v>
      </c>
      <c r="C427" s="13" t="s">
        <v>841</v>
      </c>
      <c r="D427" s="13" t="s">
        <v>187</v>
      </c>
      <c r="E427" s="13" t="s">
        <v>111</v>
      </c>
      <c r="F427" s="15">
        <v>9</v>
      </c>
      <c r="G427" s="15">
        <v>3570</v>
      </c>
      <c r="H427" s="15">
        <v>15.2</v>
      </c>
      <c r="I427" s="15">
        <v>27246.240000000002</v>
      </c>
      <c r="J427" s="13" t="s">
        <v>87</v>
      </c>
      <c r="K427" s="13" t="s">
        <v>117</v>
      </c>
      <c r="L427" s="34" t="str">
        <f>VLOOKUP(D427,Products!$A$2:$F$61,3,FALSE)</f>
        <v>Electronics</v>
      </c>
      <c r="M427" s="34" t="str">
        <f>VLOOKUP(C427,Customers!$A$2:$F$301,5,FALSE)</f>
        <v>Corporate</v>
      </c>
      <c r="N427" s="34">
        <f>VLOOKUP(C427,Customers!$A$2:$F$301,3,FALSE)</f>
        <v>41</v>
      </c>
      <c r="O427" s="34" t="str">
        <f>VLOOKUP(E427,Sales_Reps!$A$2:$E$31,3,FALSE)</f>
        <v>West</v>
      </c>
      <c r="P427" s="13" t="s">
        <v>111</v>
      </c>
      <c r="Q427" s="34">
        <f t="shared" si="16"/>
        <v>901298.89</v>
      </c>
      <c r="R427" s="34" t="str">
        <f>VLOOKUP(E427,Sales_Reps!$A$2:$E$100,3,FALSE)</f>
        <v>West</v>
      </c>
      <c r="S427" s="34" t="str">
        <f t="shared" si="17"/>
        <v>Electronics</v>
      </c>
      <c r="T427" s="38">
        <f>VLOOKUP(D427,Products!$A$2:$F$68,4,FALSE)</f>
        <v>1665</v>
      </c>
    </row>
    <row r="428" spans="1:20" x14ac:dyDescent="0.35">
      <c r="A428" s="13" t="s">
        <v>842</v>
      </c>
      <c r="B428" s="14">
        <v>45562</v>
      </c>
      <c r="C428" s="13" t="s">
        <v>119</v>
      </c>
      <c r="D428" s="13" t="s">
        <v>515</v>
      </c>
      <c r="E428" s="13" t="s">
        <v>92</v>
      </c>
      <c r="F428" s="15">
        <v>10</v>
      </c>
      <c r="G428" s="15">
        <v>6940</v>
      </c>
      <c r="H428" s="15">
        <v>21.8</v>
      </c>
      <c r="I428" s="15">
        <v>54270.8</v>
      </c>
      <c r="J428" s="13" t="s">
        <v>93</v>
      </c>
      <c r="K428" s="13" t="s">
        <v>117</v>
      </c>
      <c r="L428" s="34" t="str">
        <f>VLOOKUP(D428,Products!$A$2:$F$61,3,FALSE)</f>
        <v>Sports</v>
      </c>
      <c r="M428" s="34" t="str">
        <f>VLOOKUP(C428,Customers!$A$2:$F$301,5,FALSE)</f>
        <v>Corporate</v>
      </c>
      <c r="N428" s="34">
        <f>VLOOKUP(C428,Customers!$A$2:$F$301,3,FALSE)</f>
        <v>57</v>
      </c>
      <c r="O428" s="34" t="str">
        <f>VLOOKUP(E428,Sales_Reps!$A$2:$E$31,3,FALSE)</f>
        <v>North</v>
      </c>
      <c r="P428" s="13" t="s">
        <v>92</v>
      </c>
      <c r="Q428" s="34">
        <f t="shared" si="16"/>
        <v>782445.33</v>
      </c>
      <c r="R428" s="34" t="str">
        <f>VLOOKUP(E428,Sales_Reps!$A$2:$E$100,3,FALSE)</f>
        <v>North</v>
      </c>
      <c r="S428" s="34" t="str">
        <f t="shared" si="17"/>
        <v>Sports</v>
      </c>
      <c r="T428" s="38">
        <f>VLOOKUP(D428,Products!$A$2:$F$68,4,FALSE)</f>
        <v>2827</v>
      </c>
    </row>
    <row r="429" spans="1:20" x14ac:dyDescent="0.35">
      <c r="A429" s="13" t="s">
        <v>843</v>
      </c>
      <c r="B429" s="14">
        <v>45489</v>
      </c>
      <c r="C429" s="13" t="s">
        <v>316</v>
      </c>
      <c r="D429" s="13" t="s">
        <v>176</v>
      </c>
      <c r="E429" s="13" t="s">
        <v>98</v>
      </c>
      <c r="F429" s="15">
        <v>9</v>
      </c>
      <c r="G429" s="15">
        <v>1650</v>
      </c>
      <c r="H429" s="15">
        <v>24.3</v>
      </c>
      <c r="I429" s="15">
        <v>11241.45</v>
      </c>
      <c r="J429" s="13" t="s">
        <v>87</v>
      </c>
      <c r="K429" s="13" t="s">
        <v>88</v>
      </c>
      <c r="L429" s="34" t="str">
        <f>VLOOKUP(D429,Products!$A$2:$F$61,3,FALSE)</f>
        <v>Beauty</v>
      </c>
      <c r="M429" s="34" t="str">
        <f>VLOOKUP(C429,Customers!$A$2:$F$301,5,FALSE)</f>
        <v>SMB</v>
      </c>
      <c r="N429" s="34">
        <f>VLOOKUP(C429,Customers!$A$2:$F$301,3,FALSE)</f>
        <v>60</v>
      </c>
      <c r="O429" s="34" t="str">
        <f>VLOOKUP(E429,Sales_Reps!$A$2:$E$31,3,FALSE)</f>
        <v>South</v>
      </c>
      <c r="P429" s="13" t="s">
        <v>98</v>
      </c>
      <c r="Q429" s="34">
        <f t="shared" si="16"/>
        <v>995713.54000000015</v>
      </c>
      <c r="R429" s="34" t="str">
        <f>VLOOKUP(E429,Sales_Reps!$A$2:$E$100,3,FALSE)</f>
        <v>South</v>
      </c>
      <c r="S429" s="34" t="str">
        <f t="shared" si="17"/>
        <v>Beauty</v>
      </c>
      <c r="T429" s="38">
        <f>VLOOKUP(D429,Products!$A$2:$F$68,4,FALSE)</f>
        <v>1222</v>
      </c>
    </row>
    <row r="430" spans="1:20" x14ac:dyDescent="0.35">
      <c r="A430" s="13" t="s">
        <v>844</v>
      </c>
      <c r="B430" s="14">
        <v>45624</v>
      </c>
      <c r="C430" s="13" t="s">
        <v>567</v>
      </c>
      <c r="D430" s="13" t="s">
        <v>120</v>
      </c>
      <c r="E430" s="13" t="s">
        <v>98</v>
      </c>
      <c r="F430" s="15">
        <v>10</v>
      </c>
      <c r="G430" s="15">
        <v>1430</v>
      </c>
      <c r="H430" s="15">
        <v>25.2</v>
      </c>
      <c r="I430" s="15">
        <v>10696.4</v>
      </c>
      <c r="J430" s="13" t="s">
        <v>87</v>
      </c>
      <c r="K430" s="13" t="s">
        <v>117</v>
      </c>
      <c r="L430" s="34" t="str">
        <f>VLOOKUP(D430,Products!$A$2:$F$61,3,FALSE)</f>
        <v>Electronics</v>
      </c>
      <c r="M430" s="34" t="str">
        <f>VLOOKUP(C430,Customers!$A$2:$F$301,5,FALSE)</f>
        <v>Corporate</v>
      </c>
      <c r="N430" s="34">
        <f>VLOOKUP(C430,Customers!$A$2:$F$301,3,FALSE)</f>
        <v>41</v>
      </c>
      <c r="O430" s="34" t="str">
        <f>VLOOKUP(E430,Sales_Reps!$A$2:$E$31,3,FALSE)</f>
        <v>South</v>
      </c>
      <c r="P430" s="13" t="s">
        <v>98</v>
      </c>
      <c r="Q430" s="34">
        <f t="shared" si="16"/>
        <v>995713.54000000015</v>
      </c>
      <c r="R430" s="34" t="str">
        <f>VLOOKUP(E430,Sales_Reps!$A$2:$E$100,3,FALSE)</f>
        <v>South</v>
      </c>
      <c r="S430" s="34" t="str">
        <f t="shared" si="17"/>
        <v>Electronics</v>
      </c>
      <c r="T430" s="38">
        <f>VLOOKUP(D430,Products!$A$2:$F$68,4,FALSE)</f>
        <v>861</v>
      </c>
    </row>
    <row r="431" spans="1:20" x14ac:dyDescent="0.35">
      <c r="A431" s="13" t="s">
        <v>845</v>
      </c>
      <c r="B431" s="14">
        <v>45480</v>
      </c>
      <c r="C431" s="13" t="s">
        <v>624</v>
      </c>
      <c r="D431" s="13" t="s">
        <v>351</v>
      </c>
      <c r="E431" s="13" t="s">
        <v>132</v>
      </c>
      <c r="F431" s="15">
        <v>4</v>
      </c>
      <c r="G431" s="15">
        <v>4060</v>
      </c>
      <c r="H431" s="15">
        <v>1.6</v>
      </c>
      <c r="I431" s="15">
        <v>15980.16</v>
      </c>
      <c r="J431" s="13" t="s">
        <v>87</v>
      </c>
      <c r="K431" s="13" t="s">
        <v>88</v>
      </c>
      <c r="L431" s="34" t="str">
        <f>VLOOKUP(D431,Products!$A$2:$F$61,3,FALSE)</f>
        <v>Grocery</v>
      </c>
      <c r="M431" s="34" t="str">
        <f>VLOOKUP(C431,Customers!$A$2:$F$301,5,FALSE)</f>
        <v>Corporate</v>
      </c>
      <c r="N431" s="34">
        <f>VLOOKUP(C431,Customers!$A$2:$F$301,3,FALSE)</f>
        <v>31</v>
      </c>
      <c r="O431" s="34" t="str">
        <f>VLOOKUP(E431,Sales_Reps!$A$2:$E$31,3,FALSE)</f>
        <v>South</v>
      </c>
      <c r="P431" s="13" t="s">
        <v>132</v>
      </c>
      <c r="Q431" s="34">
        <f t="shared" si="16"/>
        <v>880345.20000000007</v>
      </c>
      <c r="R431" s="34" t="str">
        <f>VLOOKUP(E431,Sales_Reps!$A$2:$E$100,3,FALSE)</f>
        <v>South</v>
      </c>
      <c r="S431" s="34" t="str">
        <f t="shared" si="17"/>
        <v>Grocery</v>
      </c>
      <c r="T431" s="38">
        <f>VLOOKUP(D431,Products!$A$2:$F$68,4,FALSE)</f>
        <v>2911</v>
      </c>
    </row>
    <row r="432" spans="1:20" x14ac:dyDescent="0.35">
      <c r="A432" s="13" t="s">
        <v>846</v>
      </c>
      <c r="B432" s="14">
        <v>45420</v>
      </c>
      <c r="C432" s="13" t="s">
        <v>606</v>
      </c>
      <c r="D432" s="13" t="s">
        <v>110</v>
      </c>
      <c r="E432" s="13" t="s">
        <v>92</v>
      </c>
      <c r="F432" s="15">
        <v>9</v>
      </c>
      <c r="G432" s="15">
        <v>370</v>
      </c>
      <c r="H432" s="15">
        <v>17</v>
      </c>
      <c r="I432" s="15">
        <v>2763.9</v>
      </c>
      <c r="J432" s="13" t="s">
        <v>87</v>
      </c>
      <c r="K432" s="13" t="s">
        <v>112</v>
      </c>
      <c r="L432" s="34" t="str">
        <f>VLOOKUP(D432,Products!$A$2:$F$61,3,FALSE)</f>
        <v>Home</v>
      </c>
      <c r="M432" s="34" t="str">
        <f>VLOOKUP(C432,Customers!$A$2:$F$301,5,FALSE)</f>
        <v>Retail</v>
      </c>
      <c r="N432" s="34">
        <f>VLOOKUP(C432,Customers!$A$2:$F$301,3,FALSE)</f>
        <v>52</v>
      </c>
      <c r="O432" s="34" t="str">
        <f>VLOOKUP(E432,Sales_Reps!$A$2:$E$31,3,FALSE)</f>
        <v>North</v>
      </c>
      <c r="P432" s="13" t="s">
        <v>92</v>
      </c>
      <c r="Q432" s="34">
        <f t="shared" si="16"/>
        <v>782445.33</v>
      </c>
      <c r="R432" s="34" t="str">
        <f>VLOOKUP(E432,Sales_Reps!$A$2:$E$100,3,FALSE)</f>
        <v>North</v>
      </c>
      <c r="S432" s="34" t="str">
        <f t="shared" si="17"/>
        <v>Home</v>
      </c>
      <c r="T432" s="38">
        <f>VLOOKUP(D432,Products!$A$2:$F$68,4,FALSE)</f>
        <v>288</v>
      </c>
    </row>
    <row r="433" spans="1:20" x14ac:dyDescent="0.35">
      <c r="A433" s="13" t="s">
        <v>847</v>
      </c>
      <c r="B433" s="14">
        <v>45322</v>
      </c>
      <c r="C433" s="13" t="s">
        <v>703</v>
      </c>
      <c r="D433" s="13" t="s">
        <v>259</v>
      </c>
      <c r="E433" s="13" t="s">
        <v>132</v>
      </c>
      <c r="F433" s="15">
        <v>1</v>
      </c>
      <c r="G433" s="15">
        <v>1540</v>
      </c>
      <c r="H433" s="15">
        <v>24</v>
      </c>
      <c r="I433" s="15">
        <v>1170.4000000000001</v>
      </c>
      <c r="J433" s="13" t="s">
        <v>140</v>
      </c>
      <c r="K433" s="13" t="s">
        <v>88</v>
      </c>
      <c r="L433" s="34" t="str">
        <f>VLOOKUP(D433,Products!$A$2:$F$61,3,FALSE)</f>
        <v>Beauty</v>
      </c>
      <c r="M433" s="34" t="str">
        <f>VLOOKUP(C433,Customers!$A$2:$F$301,5,FALSE)</f>
        <v>Corporate</v>
      </c>
      <c r="N433" s="34">
        <f>VLOOKUP(C433,Customers!$A$2:$F$301,3,FALSE)</f>
        <v>52</v>
      </c>
      <c r="O433" s="34" t="str">
        <f>VLOOKUP(E433,Sales_Reps!$A$2:$E$31,3,FALSE)</f>
        <v>South</v>
      </c>
      <c r="P433" s="13" t="s">
        <v>132</v>
      </c>
      <c r="Q433" s="34">
        <f t="shared" si="16"/>
        <v>880345.20000000007</v>
      </c>
      <c r="R433" s="34" t="str">
        <f>VLOOKUP(E433,Sales_Reps!$A$2:$E$100,3,FALSE)</f>
        <v>South</v>
      </c>
      <c r="S433" s="34" t="str">
        <f t="shared" si="17"/>
        <v>Beauty</v>
      </c>
      <c r="T433" s="38">
        <f>VLOOKUP(D433,Products!$A$2:$F$68,4,FALSE)</f>
        <v>647</v>
      </c>
    </row>
    <row r="434" spans="1:20" x14ac:dyDescent="0.35">
      <c r="A434" s="13" t="s">
        <v>848</v>
      </c>
      <c r="B434" s="14">
        <v>45382</v>
      </c>
      <c r="C434" s="13" t="s">
        <v>563</v>
      </c>
      <c r="D434" s="13" t="s">
        <v>138</v>
      </c>
      <c r="E434" s="13" t="s">
        <v>111</v>
      </c>
      <c r="F434" s="15">
        <v>9</v>
      </c>
      <c r="G434" s="15">
        <v>2600</v>
      </c>
      <c r="H434" s="15">
        <v>7.7</v>
      </c>
      <c r="I434" s="15">
        <v>21598.2</v>
      </c>
      <c r="J434" s="13" t="s">
        <v>87</v>
      </c>
      <c r="K434" s="13" t="s">
        <v>88</v>
      </c>
      <c r="L434" s="34" t="str">
        <f>VLOOKUP(D434,Products!$A$2:$F$61,3,FALSE)</f>
        <v>Electronics</v>
      </c>
      <c r="M434" s="34" t="str">
        <f>VLOOKUP(C434,Customers!$A$2:$F$301,5,FALSE)</f>
        <v>SMB</v>
      </c>
      <c r="N434" s="34">
        <f>VLOOKUP(C434,Customers!$A$2:$F$301,3,FALSE)</f>
        <v>24</v>
      </c>
      <c r="O434" s="34" t="str">
        <f>VLOOKUP(E434,Sales_Reps!$A$2:$E$31,3,FALSE)</f>
        <v>West</v>
      </c>
      <c r="P434" s="13" t="s">
        <v>111</v>
      </c>
      <c r="Q434" s="34">
        <f t="shared" si="16"/>
        <v>901298.89</v>
      </c>
      <c r="R434" s="34" t="str">
        <f>VLOOKUP(E434,Sales_Reps!$A$2:$E$100,3,FALSE)</f>
        <v>West</v>
      </c>
      <c r="S434" s="34" t="str">
        <f t="shared" si="17"/>
        <v>Electronics</v>
      </c>
      <c r="T434" s="38">
        <f>VLOOKUP(D434,Products!$A$2:$F$68,4,FALSE)</f>
        <v>1052</v>
      </c>
    </row>
    <row r="435" spans="1:20" x14ac:dyDescent="0.35">
      <c r="A435" s="13" t="s">
        <v>849</v>
      </c>
      <c r="B435" s="14">
        <v>45497</v>
      </c>
      <c r="C435" s="13" t="s">
        <v>850</v>
      </c>
      <c r="D435" s="13" t="s">
        <v>355</v>
      </c>
      <c r="E435" s="13" t="s">
        <v>188</v>
      </c>
      <c r="F435" s="15">
        <v>8</v>
      </c>
      <c r="G435" s="15">
        <v>2510</v>
      </c>
      <c r="H435" s="15">
        <v>3.7</v>
      </c>
      <c r="I435" s="15">
        <v>19337.04</v>
      </c>
      <c r="J435" s="13" t="s">
        <v>87</v>
      </c>
      <c r="K435" s="13" t="s">
        <v>94</v>
      </c>
      <c r="L435" s="34" t="str">
        <f>VLOOKUP(D435,Products!$A$2:$F$61,3,FALSE)</f>
        <v>Apparel</v>
      </c>
      <c r="M435" s="34" t="str">
        <f>VLOOKUP(C435,Customers!$A$2:$F$301,5,FALSE)</f>
        <v>SMB</v>
      </c>
      <c r="N435" s="34">
        <f>VLOOKUP(C435,Customers!$A$2:$F$301,3,FALSE)</f>
        <v>26</v>
      </c>
      <c r="O435" s="34" t="str">
        <f>VLOOKUP(E435,Sales_Reps!$A$2:$E$31,3,FALSE)</f>
        <v>South</v>
      </c>
      <c r="P435" s="13" t="s">
        <v>188</v>
      </c>
      <c r="Q435" s="34">
        <f t="shared" si="16"/>
        <v>1091740.1799999997</v>
      </c>
      <c r="R435" s="34" t="str">
        <f>VLOOKUP(E435,Sales_Reps!$A$2:$E$100,3,FALSE)</f>
        <v>South</v>
      </c>
      <c r="S435" s="34" t="str">
        <f t="shared" si="17"/>
        <v>Apparel</v>
      </c>
      <c r="T435" s="38">
        <f>VLOOKUP(D435,Products!$A$2:$F$68,4,FALSE)</f>
        <v>1075</v>
      </c>
    </row>
    <row r="436" spans="1:20" x14ac:dyDescent="0.35">
      <c r="A436" s="13" t="s">
        <v>851</v>
      </c>
      <c r="B436" s="14">
        <v>45510</v>
      </c>
      <c r="C436" s="13" t="s">
        <v>624</v>
      </c>
      <c r="D436" s="13" t="s">
        <v>364</v>
      </c>
      <c r="E436" s="13" t="s">
        <v>148</v>
      </c>
      <c r="F436" s="15">
        <v>6</v>
      </c>
      <c r="G436" s="15">
        <v>5330</v>
      </c>
      <c r="H436" s="15">
        <v>8.4</v>
      </c>
      <c r="I436" s="15">
        <v>29293.68</v>
      </c>
      <c r="J436" s="13" t="s">
        <v>87</v>
      </c>
      <c r="K436" s="13" t="s">
        <v>88</v>
      </c>
      <c r="L436" s="34" t="str">
        <f>VLOOKUP(D436,Products!$A$2:$F$61,3,FALSE)</f>
        <v>Electronics</v>
      </c>
      <c r="M436" s="34" t="str">
        <f>VLOOKUP(C436,Customers!$A$2:$F$301,5,FALSE)</f>
        <v>Corporate</v>
      </c>
      <c r="N436" s="34">
        <f>VLOOKUP(C436,Customers!$A$2:$F$301,3,FALSE)</f>
        <v>31</v>
      </c>
      <c r="O436" s="34" t="str">
        <f>VLOOKUP(E436,Sales_Reps!$A$2:$E$31,3,FALSE)</f>
        <v>North</v>
      </c>
      <c r="P436" s="13" t="s">
        <v>148</v>
      </c>
      <c r="Q436" s="34">
        <f t="shared" si="16"/>
        <v>986692.91</v>
      </c>
      <c r="R436" s="34" t="str">
        <f>VLOOKUP(E436,Sales_Reps!$A$2:$E$100,3,FALSE)</f>
        <v>North</v>
      </c>
      <c r="S436" s="34" t="str">
        <f t="shared" si="17"/>
        <v>Electronics</v>
      </c>
      <c r="T436" s="38">
        <f>VLOOKUP(D436,Products!$A$2:$F$68,4,FALSE)</f>
        <v>2405</v>
      </c>
    </row>
    <row r="437" spans="1:20" x14ac:dyDescent="0.35">
      <c r="A437" s="13" t="s">
        <v>852</v>
      </c>
      <c r="B437" s="14">
        <v>45522</v>
      </c>
      <c r="C437" s="13" t="s">
        <v>429</v>
      </c>
      <c r="D437" s="13" t="s">
        <v>443</v>
      </c>
      <c r="E437" s="13" t="s">
        <v>98</v>
      </c>
      <c r="F437" s="15">
        <v>5</v>
      </c>
      <c r="G437" s="15">
        <v>5080</v>
      </c>
      <c r="H437" s="15">
        <v>10.3</v>
      </c>
      <c r="I437" s="15">
        <v>22783.8</v>
      </c>
      <c r="J437" s="13" t="s">
        <v>87</v>
      </c>
      <c r="K437" s="13" t="s">
        <v>117</v>
      </c>
      <c r="L437" s="34" t="str">
        <f>VLOOKUP(D437,Products!$A$2:$F$61,3,FALSE)</f>
        <v>Home</v>
      </c>
      <c r="M437" s="34" t="str">
        <f>VLOOKUP(C437,Customers!$A$2:$F$301,5,FALSE)</f>
        <v>Retail</v>
      </c>
      <c r="N437" s="34">
        <f>VLOOKUP(C437,Customers!$A$2:$F$301,3,FALSE)</f>
        <v>55</v>
      </c>
      <c r="O437" s="34" t="str">
        <f>VLOOKUP(E437,Sales_Reps!$A$2:$E$31,3,FALSE)</f>
        <v>South</v>
      </c>
      <c r="P437" s="13" t="s">
        <v>98</v>
      </c>
      <c r="Q437" s="34">
        <f t="shared" si="16"/>
        <v>995713.54000000015</v>
      </c>
      <c r="R437" s="34" t="str">
        <f>VLOOKUP(E437,Sales_Reps!$A$2:$E$100,3,FALSE)</f>
        <v>South</v>
      </c>
      <c r="S437" s="34" t="str">
        <f t="shared" si="17"/>
        <v>Home</v>
      </c>
      <c r="T437" s="38">
        <f>VLOOKUP(D437,Products!$A$2:$F$68,4,FALSE)</f>
        <v>2459</v>
      </c>
    </row>
    <row r="438" spans="1:20" x14ac:dyDescent="0.35">
      <c r="A438" s="13" t="s">
        <v>853</v>
      </c>
      <c r="B438" s="14">
        <v>45381</v>
      </c>
      <c r="C438" s="13" t="s">
        <v>610</v>
      </c>
      <c r="D438" s="13" t="s">
        <v>264</v>
      </c>
      <c r="E438" s="13" t="s">
        <v>111</v>
      </c>
      <c r="F438" s="15">
        <v>3</v>
      </c>
      <c r="G438" s="15">
        <v>4070</v>
      </c>
      <c r="H438" s="15">
        <v>23.7</v>
      </c>
      <c r="I438" s="15">
        <v>9316.23</v>
      </c>
      <c r="J438" s="13" t="s">
        <v>87</v>
      </c>
      <c r="K438" s="13" t="s">
        <v>117</v>
      </c>
      <c r="L438" s="34" t="str">
        <f>VLOOKUP(D438,Products!$A$2:$F$61,3,FALSE)</f>
        <v>Grocery</v>
      </c>
      <c r="M438" s="34" t="str">
        <f>VLOOKUP(C438,Customers!$A$2:$F$301,5,FALSE)</f>
        <v>SMB</v>
      </c>
      <c r="N438" s="34">
        <f>VLOOKUP(C438,Customers!$A$2:$F$301,3,FALSE)</f>
        <v>42</v>
      </c>
      <c r="O438" s="34" t="str">
        <f>VLOOKUP(E438,Sales_Reps!$A$2:$E$31,3,FALSE)</f>
        <v>West</v>
      </c>
      <c r="P438" s="13" t="s">
        <v>111</v>
      </c>
      <c r="Q438" s="34">
        <f t="shared" si="16"/>
        <v>901298.89</v>
      </c>
      <c r="R438" s="34" t="str">
        <f>VLOOKUP(E438,Sales_Reps!$A$2:$E$100,3,FALSE)</f>
        <v>West</v>
      </c>
      <c r="S438" s="34" t="str">
        <f t="shared" si="17"/>
        <v>Grocery</v>
      </c>
      <c r="T438" s="38">
        <f>VLOOKUP(D438,Products!$A$2:$F$68,4,FALSE)</f>
        <v>2027</v>
      </c>
    </row>
    <row r="439" spans="1:20" x14ac:dyDescent="0.35">
      <c r="A439" s="13" t="s">
        <v>854</v>
      </c>
      <c r="B439" s="14">
        <v>45511</v>
      </c>
      <c r="C439" s="13" t="s">
        <v>190</v>
      </c>
      <c r="D439" s="13" t="s">
        <v>292</v>
      </c>
      <c r="E439" s="13" t="s">
        <v>252</v>
      </c>
      <c r="F439" s="15">
        <v>4</v>
      </c>
      <c r="G439" s="15">
        <v>620</v>
      </c>
      <c r="H439" s="15">
        <v>18.8</v>
      </c>
      <c r="I439" s="15">
        <v>2013.76</v>
      </c>
      <c r="J439" s="13" t="s">
        <v>87</v>
      </c>
      <c r="K439" s="13" t="s">
        <v>133</v>
      </c>
      <c r="L439" s="34" t="str">
        <f>VLOOKUP(D439,Products!$A$2:$F$61,3,FALSE)</f>
        <v>Apparel</v>
      </c>
      <c r="M439" s="34" t="str">
        <f>VLOOKUP(C439,Customers!$A$2:$F$301,5,FALSE)</f>
        <v>Corporate</v>
      </c>
      <c r="N439" s="34">
        <f>VLOOKUP(C439,Customers!$A$2:$F$301,3,FALSE)</f>
        <v>56</v>
      </c>
      <c r="O439" s="34" t="str">
        <f>VLOOKUP(E439,Sales_Reps!$A$2:$E$31,3,FALSE)</f>
        <v>South</v>
      </c>
      <c r="P439" s="13" t="s">
        <v>252</v>
      </c>
      <c r="Q439" s="34">
        <f t="shared" si="16"/>
        <v>811524.37999999989</v>
      </c>
      <c r="R439" s="34" t="str">
        <f>VLOOKUP(E439,Sales_Reps!$A$2:$E$100,3,FALSE)</f>
        <v>South</v>
      </c>
      <c r="S439" s="34" t="str">
        <f t="shared" si="17"/>
        <v>Apparel</v>
      </c>
      <c r="T439" s="38">
        <f>VLOOKUP(D439,Products!$A$2:$F$68,4,FALSE)</f>
        <v>396</v>
      </c>
    </row>
    <row r="440" spans="1:20" x14ac:dyDescent="0.35">
      <c r="A440" s="13" t="s">
        <v>855</v>
      </c>
      <c r="B440" s="14">
        <v>45628</v>
      </c>
      <c r="C440" s="13" t="s">
        <v>856</v>
      </c>
      <c r="D440" s="13" t="s">
        <v>135</v>
      </c>
      <c r="E440" s="13" t="s">
        <v>238</v>
      </c>
      <c r="F440" s="15">
        <v>10</v>
      </c>
      <c r="G440" s="15">
        <v>2640</v>
      </c>
      <c r="H440" s="15">
        <v>12.7</v>
      </c>
      <c r="I440" s="15">
        <v>23047.200000000001</v>
      </c>
      <c r="J440" s="13" t="s">
        <v>87</v>
      </c>
      <c r="K440" s="13" t="s">
        <v>88</v>
      </c>
      <c r="L440" s="34" t="str">
        <f>VLOOKUP(D440,Products!$A$2:$F$61,3,FALSE)</f>
        <v>Electronics</v>
      </c>
      <c r="M440" s="34" t="str">
        <f>VLOOKUP(C440,Customers!$A$2:$F$301,5,FALSE)</f>
        <v>SMB</v>
      </c>
      <c r="N440" s="34">
        <f>VLOOKUP(C440,Customers!$A$2:$F$301,3,FALSE)</f>
        <v>59</v>
      </c>
      <c r="O440" s="34" t="str">
        <f>VLOOKUP(E440,Sales_Reps!$A$2:$E$31,3,FALSE)</f>
        <v>East</v>
      </c>
      <c r="P440" s="13" t="s">
        <v>238</v>
      </c>
      <c r="Q440" s="34">
        <f t="shared" si="16"/>
        <v>780384.40999999992</v>
      </c>
      <c r="R440" s="34" t="str">
        <f>VLOOKUP(E440,Sales_Reps!$A$2:$E$100,3,FALSE)</f>
        <v>East</v>
      </c>
      <c r="S440" s="34" t="str">
        <f t="shared" si="17"/>
        <v>Electronics</v>
      </c>
      <c r="T440" s="38">
        <f>VLOOKUP(D440,Products!$A$2:$F$68,4,FALSE)</f>
        <v>1149</v>
      </c>
    </row>
    <row r="441" spans="1:20" x14ac:dyDescent="0.35">
      <c r="A441" s="13" t="s">
        <v>857</v>
      </c>
      <c r="B441" s="14">
        <v>45326</v>
      </c>
      <c r="C441" s="13" t="s">
        <v>469</v>
      </c>
      <c r="D441" s="13" t="s">
        <v>264</v>
      </c>
      <c r="E441" s="13" t="s">
        <v>170</v>
      </c>
      <c r="F441" s="15">
        <v>2</v>
      </c>
      <c r="G441" s="15">
        <v>4070</v>
      </c>
      <c r="H441" s="15">
        <v>29</v>
      </c>
      <c r="I441" s="15">
        <v>5779.4</v>
      </c>
      <c r="J441" s="13" t="s">
        <v>87</v>
      </c>
      <c r="K441" s="13" t="s">
        <v>117</v>
      </c>
      <c r="L441" s="34" t="str">
        <f>VLOOKUP(D441,Products!$A$2:$F$61,3,FALSE)</f>
        <v>Grocery</v>
      </c>
      <c r="M441" s="34" t="str">
        <f>VLOOKUP(C441,Customers!$A$2:$F$301,5,FALSE)</f>
        <v>SMB</v>
      </c>
      <c r="N441" s="34">
        <f>VLOOKUP(C441,Customers!$A$2:$F$301,3,FALSE)</f>
        <v>43</v>
      </c>
      <c r="O441" s="34" t="str">
        <f>VLOOKUP(E441,Sales_Reps!$A$2:$E$31,3,FALSE)</f>
        <v>West</v>
      </c>
      <c r="P441" s="13" t="s">
        <v>170</v>
      </c>
      <c r="Q441" s="34">
        <f t="shared" si="16"/>
        <v>747624.36999999988</v>
      </c>
      <c r="R441" s="34" t="str">
        <f>VLOOKUP(E441,Sales_Reps!$A$2:$E$100,3,FALSE)</f>
        <v>West</v>
      </c>
      <c r="S441" s="34" t="str">
        <f t="shared" si="17"/>
        <v>Grocery</v>
      </c>
      <c r="T441" s="38">
        <f>VLOOKUP(D441,Products!$A$2:$F$68,4,FALSE)</f>
        <v>2027</v>
      </c>
    </row>
    <row r="442" spans="1:20" x14ac:dyDescent="0.35">
      <c r="A442" s="13" t="s">
        <v>858</v>
      </c>
      <c r="B442" s="14">
        <v>45561</v>
      </c>
      <c r="C442" s="13" t="s">
        <v>662</v>
      </c>
      <c r="D442" s="13" t="s">
        <v>182</v>
      </c>
      <c r="E442" s="13" t="s">
        <v>86</v>
      </c>
      <c r="F442" s="15">
        <v>8</v>
      </c>
      <c r="G442" s="15">
        <v>1010</v>
      </c>
      <c r="H442" s="15">
        <v>25.4</v>
      </c>
      <c r="I442" s="15">
        <v>6027.68</v>
      </c>
      <c r="J442" s="13" t="s">
        <v>87</v>
      </c>
      <c r="K442" s="13" t="s">
        <v>94</v>
      </c>
      <c r="L442" s="34" t="str">
        <f>VLOOKUP(D442,Products!$A$2:$F$61,3,FALSE)</f>
        <v>Sports</v>
      </c>
      <c r="M442" s="34" t="str">
        <f>VLOOKUP(C442,Customers!$A$2:$F$301,5,FALSE)</f>
        <v>Corporate</v>
      </c>
      <c r="N442" s="34">
        <f>VLOOKUP(C442,Customers!$A$2:$F$301,3,FALSE)</f>
        <v>41</v>
      </c>
      <c r="O442" s="34" t="str">
        <f>VLOOKUP(E442,Sales_Reps!$A$2:$E$31,3,FALSE)</f>
        <v>North</v>
      </c>
      <c r="P442" s="13" t="s">
        <v>86</v>
      </c>
      <c r="Q442" s="34">
        <f t="shared" si="16"/>
        <v>855749.67999999982</v>
      </c>
      <c r="R442" s="34" t="str">
        <f>VLOOKUP(E442,Sales_Reps!$A$2:$E$100,3,FALSE)</f>
        <v>North</v>
      </c>
      <c r="S442" s="34" t="str">
        <f t="shared" si="17"/>
        <v>Sports</v>
      </c>
      <c r="T442" s="38">
        <f>VLOOKUP(D442,Products!$A$2:$F$68,4,FALSE)</f>
        <v>516</v>
      </c>
    </row>
    <row r="443" spans="1:20" x14ac:dyDescent="0.35">
      <c r="A443" s="13" t="s">
        <v>859</v>
      </c>
      <c r="B443" s="14">
        <v>45629</v>
      </c>
      <c r="C443" s="13" t="s">
        <v>487</v>
      </c>
      <c r="D443" s="13" t="s">
        <v>143</v>
      </c>
      <c r="E443" s="13" t="s">
        <v>92</v>
      </c>
      <c r="F443" s="15">
        <v>8</v>
      </c>
      <c r="G443" s="15">
        <v>3250</v>
      </c>
      <c r="H443" s="15">
        <v>5.4</v>
      </c>
      <c r="I443" s="15">
        <v>24596</v>
      </c>
      <c r="J443" s="13" t="s">
        <v>87</v>
      </c>
      <c r="K443" s="13" t="s">
        <v>88</v>
      </c>
      <c r="L443" s="34" t="str">
        <f>VLOOKUP(D443,Products!$A$2:$F$61,3,FALSE)</f>
        <v>Home</v>
      </c>
      <c r="M443" s="34" t="str">
        <f>VLOOKUP(C443,Customers!$A$2:$F$301,5,FALSE)</f>
        <v>Corporate</v>
      </c>
      <c r="N443" s="34">
        <f>VLOOKUP(C443,Customers!$A$2:$F$301,3,FALSE)</f>
        <v>29</v>
      </c>
      <c r="O443" s="34" t="str">
        <f>VLOOKUP(E443,Sales_Reps!$A$2:$E$31,3,FALSE)</f>
        <v>North</v>
      </c>
      <c r="P443" s="13" t="s">
        <v>92</v>
      </c>
      <c r="Q443" s="34">
        <f t="shared" si="16"/>
        <v>782445.33</v>
      </c>
      <c r="R443" s="34" t="str">
        <f>VLOOKUP(E443,Sales_Reps!$A$2:$E$100,3,FALSE)</f>
        <v>North</v>
      </c>
      <c r="S443" s="34" t="str">
        <f t="shared" si="17"/>
        <v>Home</v>
      </c>
      <c r="T443" s="38">
        <f>VLOOKUP(D443,Products!$A$2:$F$68,4,FALSE)</f>
        <v>1556</v>
      </c>
    </row>
    <row r="444" spans="1:20" x14ac:dyDescent="0.35">
      <c r="A444" s="13" t="s">
        <v>860</v>
      </c>
      <c r="B444" s="14">
        <v>45460</v>
      </c>
      <c r="C444" s="13" t="s">
        <v>427</v>
      </c>
      <c r="D444" s="13" t="s">
        <v>120</v>
      </c>
      <c r="E444" s="13" t="s">
        <v>204</v>
      </c>
      <c r="F444" s="15">
        <v>7</v>
      </c>
      <c r="G444" s="15">
        <v>1430</v>
      </c>
      <c r="H444" s="15">
        <v>19.3</v>
      </c>
      <c r="I444" s="15">
        <v>8078.07</v>
      </c>
      <c r="J444" s="13" t="s">
        <v>87</v>
      </c>
      <c r="K444" s="13" t="s">
        <v>88</v>
      </c>
      <c r="L444" s="34" t="str">
        <f>VLOOKUP(D444,Products!$A$2:$F$61,3,FALSE)</f>
        <v>Electronics</v>
      </c>
      <c r="M444" s="34" t="str">
        <f>VLOOKUP(C444,Customers!$A$2:$F$301,5,FALSE)</f>
        <v>Corporate</v>
      </c>
      <c r="N444" s="34">
        <f>VLOOKUP(C444,Customers!$A$2:$F$301,3,FALSE)</f>
        <v>48</v>
      </c>
      <c r="O444" s="34" t="str">
        <f>VLOOKUP(E444,Sales_Reps!$A$2:$E$31,3,FALSE)</f>
        <v>South</v>
      </c>
      <c r="P444" s="13" t="s">
        <v>204</v>
      </c>
      <c r="Q444" s="34">
        <f t="shared" si="16"/>
        <v>914554.71999999986</v>
      </c>
      <c r="R444" s="34" t="str">
        <f>VLOOKUP(E444,Sales_Reps!$A$2:$E$100,3,FALSE)</f>
        <v>South</v>
      </c>
      <c r="S444" s="34" t="str">
        <f t="shared" si="17"/>
        <v>Electronics</v>
      </c>
      <c r="T444" s="38">
        <f>VLOOKUP(D444,Products!$A$2:$F$68,4,FALSE)</f>
        <v>861</v>
      </c>
    </row>
    <row r="445" spans="1:20" x14ac:dyDescent="0.35">
      <c r="A445" s="13" t="s">
        <v>861</v>
      </c>
      <c r="B445" s="14">
        <v>45597</v>
      </c>
      <c r="C445" s="13" t="s">
        <v>376</v>
      </c>
      <c r="D445" s="13" t="s">
        <v>276</v>
      </c>
      <c r="E445" s="13" t="s">
        <v>303</v>
      </c>
      <c r="F445" s="15">
        <v>9</v>
      </c>
      <c r="G445" s="15">
        <v>3020</v>
      </c>
      <c r="H445" s="15">
        <v>15</v>
      </c>
      <c r="I445" s="15">
        <v>23103</v>
      </c>
      <c r="J445" s="13" t="s">
        <v>87</v>
      </c>
      <c r="K445" s="13" t="s">
        <v>117</v>
      </c>
      <c r="L445" s="34" t="str">
        <f>VLOOKUP(D445,Products!$A$2:$F$61,3,FALSE)</f>
        <v>Beauty</v>
      </c>
      <c r="M445" s="34" t="str">
        <f>VLOOKUP(C445,Customers!$A$2:$F$301,5,FALSE)</f>
        <v>SMB</v>
      </c>
      <c r="N445" s="34">
        <f>VLOOKUP(C445,Customers!$A$2:$F$301,3,FALSE)</f>
        <v>44</v>
      </c>
      <c r="O445" s="34" t="str">
        <f>VLOOKUP(E445,Sales_Reps!$A$2:$E$31,3,FALSE)</f>
        <v>East</v>
      </c>
      <c r="P445" s="13" t="s">
        <v>303</v>
      </c>
      <c r="Q445" s="34">
        <f t="shared" si="16"/>
        <v>1112289.6400000001</v>
      </c>
      <c r="R445" s="34" t="str">
        <f>VLOOKUP(E445,Sales_Reps!$A$2:$E$100,3,FALSE)</f>
        <v>East</v>
      </c>
      <c r="S445" s="34" t="str">
        <f t="shared" si="17"/>
        <v>Beauty</v>
      </c>
      <c r="T445" s="38">
        <f>VLOOKUP(D445,Products!$A$2:$F$68,4,FALSE)</f>
        <v>1626</v>
      </c>
    </row>
    <row r="446" spans="1:20" x14ac:dyDescent="0.35">
      <c r="A446" s="13" t="s">
        <v>862</v>
      </c>
      <c r="B446" s="14">
        <v>45324</v>
      </c>
      <c r="C446" s="13" t="s">
        <v>863</v>
      </c>
      <c r="D446" s="13" t="s">
        <v>279</v>
      </c>
      <c r="E446" s="13" t="s">
        <v>297</v>
      </c>
      <c r="F446" s="15">
        <v>2</v>
      </c>
      <c r="G446" s="15">
        <v>2660</v>
      </c>
      <c r="H446" s="15">
        <v>21.4</v>
      </c>
      <c r="I446" s="15">
        <v>4181.5200000000004</v>
      </c>
      <c r="J446" s="13" t="s">
        <v>87</v>
      </c>
      <c r="K446" s="13" t="s">
        <v>94</v>
      </c>
      <c r="L446" s="34" t="str">
        <f>VLOOKUP(D446,Products!$A$2:$F$61,3,FALSE)</f>
        <v>Electronics</v>
      </c>
      <c r="M446" s="34" t="e">
        <f>VLOOKUP(C446,Customers!$A$2:$F$301,5,FALSE)</f>
        <v>#N/A</v>
      </c>
      <c r="N446" s="34" t="e">
        <f>VLOOKUP(C446,Customers!$A$2:$F$301,3,FALSE)</f>
        <v>#N/A</v>
      </c>
      <c r="O446" s="34" t="str">
        <f>VLOOKUP(E446,Sales_Reps!$A$2:$E$31,3,FALSE)</f>
        <v>North</v>
      </c>
      <c r="P446" s="13" t="s">
        <v>297</v>
      </c>
      <c r="Q446" s="34">
        <f t="shared" si="16"/>
        <v>980063.65999999968</v>
      </c>
      <c r="R446" s="34" t="str">
        <f>VLOOKUP(E446,Sales_Reps!$A$2:$E$100,3,FALSE)</f>
        <v>North</v>
      </c>
      <c r="S446" s="34" t="str">
        <f t="shared" si="17"/>
        <v>Electronics</v>
      </c>
      <c r="T446" s="38">
        <f>VLOOKUP(D446,Products!$A$2:$F$68,4,FALSE)</f>
        <v>1259</v>
      </c>
    </row>
    <row r="447" spans="1:20" x14ac:dyDescent="0.35">
      <c r="A447" s="13" t="s">
        <v>864</v>
      </c>
      <c r="B447" s="14">
        <v>45490</v>
      </c>
      <c r="C447" s="13" t="s">
        <v>181</v>
      </c>
      <c r="D447" s="13" t="s">
        <v>187</v>
      </c>
      <c r="E447" s="13" t="s">
        <v>121</v>
      </c>
      <c r="F447" s="15">
        <v>10</v>
      </c>
      <c r="G447" s="15">
        <v>3570</v>
      </c>
      <c r="H447" s="15">
        <v>20.3</v>
      </c>
      <c r="I447" s="15">
        <v>28452.9</v>
      </c>
      <c r="J447" s="13" t="s">
        <v>87</v>
      </c>
      <c r="K447" s="13" t="s">
        <v>99</v>
      </c>
      <c r="L447" s="34" t="str">
        <f>VLOOKUP(D447,Products!$A$2:$F$61,3,FALSE)</f>
        <v>Electronics</v>
      </c>
      <c r="M447" s="34" t="str">
        <f>VLOOKUP(C447,Customers!$A$2:$F$301,5,FALSE)</f>
        <v>Retail</v>
      </c>
      <c r="N447" s="34">
        <f>VLOOKUP(C447,Customers!$A$2:$F$301,3,FALSE)</f>
        <v>31</v>
      </c>
      <c r="O447" s="34" t="str">
        <f>VLOOKUP(E447,Sales_Reps!$A$2:$E$31,3,FALSE)</f>
        <v>East</v>
      </c>
      <c r="P447" s="13" t="s">
        <v>121</v>
      </c>
      <c r="Q447" s="34">
        <f t="shared" si="16"/>
        <v>971183.52000000014</v>
      </c>
      <c r="R447" s="34" t="str">
        <f>VLOOKUP(E447,Sales_Reps!$A$2:$E$100,3,FALSE)</f>
        <v>East</v>
      </c>
      <c r="S447" s="34" t="str">
        <f t="shared" si="17"/>
        <v>Electronics</v>
      </c>
      <c r="T447" s="38">
        <f>VLOOKUP(D447,Products!$A$2:$F$68,4,FALSE)</f>
        <v>1665</v>
      </c>
    </row>
    <row r="448" spans="1:20" x14ac:dyDescent="0.35">
      <c r="A448" s="13" t="s">
        <v>865</v>
      </c>
      <c r="B448" s="14">
        <v>45330</v>
      </c>
      <c r="C448" s="13" t="s">
        <v>197</v>
      </c>
      <c r="D448" s="13" t="s">
        <v>179</v>
      </c>
      <c r="E448" s="13" t="s">
        <v>132</v>
      </c>
      <c r="F448" s="15">
        <v>4</v>
      </c>
      <c r="G448" s="15">
        <v>3350</v>
      </c>
      <c r="H448" s="15">
        <v>28.1</v>
      </c>
      <c r="I448" s="15">
        <v>9634.6</v>
      </c>
      <c r="J448" s="13" t="s">
        <v>87</v>
      </c>
      <c r="K448" s="13" t="s">
        <v>88</v>
      </c>
      <c r="L448" s="34" t="str">
        <f>VLOOKUP(D448,Products!$A$2:$F$61,3,FALSE)</f>
        <v>Beauty</v>
      </c>
      <c r="M448" s="34" t="str">
        <f>VLOOKUP(C448,Customers!$A$2:$F$301,5,FALSE)</f>
        <v>Corporate</v>
      </c>
      <c r="N448" s="34">
        <f>VLOOKUP(C448,Customers!$A$2:$F$301,3,FALSE)</f>
        <v>47</v>
      </c>
      <c r="O448" s="34" t="str">
        <f>VLOOKUP(E448,Sales_Reps!$A$2:$E$31,3,FALSE)</f>
        <v>South</v>
      </c>
      <c r="P448" s="13" t="s">
        <v>132</v>
      </c>
      <c r="Q448" s="34">
        <f t="shared" si="16"/>
        <v>880345.20000000007</v>
      </c>
      <c r="R448" s="34" t="str">
        <f>VLOOKUP(E448,Sales_Reps!$A$2:$E$100,3,FALSE)</f>
        <v>South</v>
      </c>
      <c r="S448" s="34" t="str">
        <f t="shared" si="17"/>
        <v>Beauty</v>
      </c>
      <c r="T448" s="38">
        <f>VLOOKUP(D448,Products!$A$2:$F$68,4,FALSE)</f>
        <v>1728</v>
      </c>
    </row>
    <row r="449" spans="1:20" x14ac:dyDescent="0.35">
      <c r="A449" s="13" t="s">
        <v>866</v>
      </c>
      <c r="B449" s="14">
        <v>45336</v>
      </c>
      <c r="C449" s="13" t="s">
        <v>101</v>
      </c>
      <c r="D449" s="13" t="s">
        <v>167</v>
      </c>
      <c r="E449" s="13" t="s">
        <v>158</v>
      </c>
      <c r="F449" s="15">
        <v>1</v>
      </c>
      <c r="G449" s="15">
        <v>2480</v>
      </c>
      <c r="H449" s="15">
        <v>13.5</v>
      </c>
      <c r="I449" s="15">
        <v>2145.1999999999998</v>
      </c>
      <c r="J449" s="13" t="s">
        <v>87</v>
      </c>
      <c r="K449" s="13" t="s">
        <v>99</v>
      </c>
      <c r="L449" s="34" t="str">
        <f>VLOOKUP(D449,Products!$A$2:$F$61,3,FALSE)</f>
        <v>Apparel</v>
      </c>
      <c r="M449" s="34" t="str">
        <f>VLOOKUP(C449,Customers!$A$2:$F$301,5,FALSE)</f>
        <v>Corporate</v>
      </c>
      <c r="N449" s="34">
        <f>VLOOKUP(C449,Customers!$A$2:$F$301,3,FALSE)</f>
        <v>46</v>
      </c>
      <c r="O449" s="34" t="str">
        <f>VLOOKUP(E449,Sales_Reps!$A$2:$E$31,3,FALSE)</f>
        <v>East</v>
      </c>
      <c r="P449" s="13" t="s">
        <v>158</v>
      </c>
      <c r="Q449" s="34">
        <f t="shared" si="16"/>
        <v>761507.17000000027</v>
      </c>
      <c r="R449" s="34" t="str">
        <f>VLOOKUP(E449,Sales_Reps!$A$2:$E$100,3,FALSE)</f>
        <v>East</v>
      </c>
      <c r="S449" s="34" t="str">
        <f t="shared" si="17"/>
        <v>Apparel</v>
      </c>
      <c r="T449" s="38">
        <f>VLOOKUP(D449,Products!$A$2:$F$68,4,FALSE)</f>
        <v>1173</v>
      </c>
    </row>
    <row r="450" spans="1:20" x14ac:dyDescent="0.35">
      <c r="A450" s="13" t="s">
        <v>867</v>
      </c>
      <c r="B450" s="14">
        <v>45649</v>
      </c>
      <c r="C450" s="13" t="s">
        <v>868</v>
      </c>
      <c r="D450" s="13" t="s">
        <v>360</v>
      </c>
      <c r="E450" s="13" t="s">
        <v>188</v>
      </c>
      <c r="F450" s="15">
        <v>10</v>
      </c>
      <c r="G450" s="15">
        <v>5410</v>
      </c>
      <c r="H450" s="15">
        <v>26.1</v>
      </c>
      <c r="I450" s="15">
        <v>39979.9</v>
      </c>
      <c r="J450" s="13" t="s">
        <v>87</v>
      </c>
      <c r="K450" s="13" t="s">
        <v>99</v>
      </c>
      <c r="L450" s="34" t="str">
        <f>VLOOKUP(D450,Products!$A$2:$F$61,3,FALSE)</f>
        <v>Sports</v>
      </c>
      <c r="M450" s="34" t="str">
        <f>VLOOKUP(C450,Customers!$A$2:$F$301,5,FALSE)</f>
        <v>SMB</v>
      </c>
      <c r="N450" s="34">
        <f>VLOOKUP(C450,Customers!$A$2:$F$301,3,FALSE)</f>
        <v>38</v>
      </c>
      <c r="O450" s="34" t="str">
        <f>VLOOKUP(E450,Sales_Reps!$A$2:$E$31,3,FALSE)</f>
        <v>South</v>
      </c>
      <c r="P450" s="13" t="s">
        <v>188</v>
      </c>
      <c r="Q450" s="34">
        <f t="shared" si="16"/>
        <v>1091740.1799999997</v>
      </c>
      <c r="R450" s="34" t="str">
        <f>VLOOKUP(E450,Sales_Reps!$A$2:$E$100,3,FALSE)</f>
        <v>South</v>
      </c>
      <c r="S450" s="34" t="str">
        <f t="shared" si="17"/>
        <v>Sports</v>
      </c>
      <c r="T450" s="38">
        <f>VLOOKUP(D450,Products!$A$2:$F$68,4,FALSE)</f>
        <v>2265</v>
      </c>
    </row>
    <row r="451" spans="1:20" x14ac:dyDescent="0.35">
      <c r="A451" s="13" t="s">
        <v>869</v>
      </c>
      <c r="B451" s="14">
        <v>45586</v>
      </c>
      <c r="C451" s="13" t="s">
        <v>870</v>
      </c>
      <c r="D451" s="13" t="s">
        <v>203</v>
      </c>
      <c r="E451" s="13" t="s">
        <v>154</v>
      </c>
      <c r="F451" s="15">
        <v>2</v>
      </c>
      <c r="G451" s="15">
        <v>660</v>
      </c>
      <c r="H451" s="15">
        <v>5</v>
      </c>
      <c r="I451" s="15">
        <v>1254</v>
      </c>
      <c r="J451" s="13" t="s">
        <v>87</v>
      </c>
      <c r="K451" s="13" t="s">
        <v>117</v>
      </c>
      <c r="L451" s="34" t="str">
        <f>VLOOKUP(D451,Products!$A$2:$F$61,3,FALSE)</f>
        <v>Home</v>
      </c>
      <c r="M451" s="34" t="str">
        <f>VLOOKUP(C451,Customers!$A$2:$F$301,5,FALSE)</f>
        <v>Retail</v>
      </c>
      <c r="N451" s="34">
        <f>VLOOKUP(C451,Customers!$A$2:$F$301,3,FALSE)</f>
        <v>47</v>
      </c>
      <c r="O451" s="34" t="str">
        <f>VLOOKUP(E451,Sales_Reps!$A$2:$E$31,3,FALSE)</f>
        <v>East</v>
      </c>
      <c r="P451" s="13" t="s">
        <v>154</v>
      </c>
      <c r="Q451" s="34">
        <f t="shared" ref="Q451:Q514" si="18">SUMIFS($I:$I,$E:$E,P451)</f>
        <v>983787.4800000001</v>
      </c>
      <c r="R451" s="34" t="str">
        <f>VLOOKUP(E451,Sales_Reps!$A$2:$E$100,3,FALSE)</f>
        <v>East</v>
      </c>
      <c r="S451" s="34" t="str">
        <f t="shared" ref="S451:S514" si="19">L451</f>
        <v>Home</v>
      </c>
      <c r="T451" s="38">
        <f>VLOOKUP(D451,Products!$A$2:$F$68,4,FALSE)</f>
        <v>329</v>
      </c>
    </row>
    <row r="452" spans="1:20" x14ac:dyDescent="0.35">
      <c r="A452" s="13" t="s">
        <v>871</v>
      </c>
      <c r="B452" s="14">
        <v>45647</v>
      </c>
      <c r="C452" s="13" t="s">
        <v>872</v>
      </c>
      <c r="D452" s="13" t="s">
        <v>182</v>
      </c>
      <c r="E452" s="13" t="s">
        <v>86</v>
      </c>
      <c r="F452" s="15">
        <v>10</v>
      </c>
      <c r="G452" s="15">
        <v>1010</v>
      </c>
      <c r="H452" s="15">
        <v>10</v>
      </c>
      <c r="I452" s="15">
        <v>9090</v>
      </c>
      <c r="J452" s="13" t="s">
        <v>87</v>
      </c>
      <c r="K452" s="13" t="s">
        <v>112</v>
      </c>
      <c r="L452" s="34" t="str">
        <f>VLOOKUP(D452,Products!$A$2:$F$61,3,FALSE)</f>
        <v>Sports</v>
      </c>
      <c r="M452" s="34" t="str">
        <f>VLOOKUP(C452,Customers!$A$2:$F$301,5,FALSE)</f>
        <v>Corporate</v>
      </c>
      <c r="N452" s="34">
        <f>VLOOKUP(C452,Customers!$A$2:$F$301,3,FALSE)</f>
        <v>62</v>
      </c>
      <c r="O452" s="34" t="str">
        <f>VLOOKUP(E452,Sales_Reps!$A$2:$E$31,3,FALSE)</f>
        <v>North</v>
      </c>
      <c r="P452" s="13" t="s">
        <v>86</v>
      </c>
      <c r="Q452" s="34">
        <f t="shared" si="18"/>
        <v>855749.67999999982</v>
      </c>
      <c r="R452" s="34" t="str">
        <f>VLOOKUP(E452,Sales_Reps!$A$2:$E$100,3,FALSE)</f>
        <v>North</v>
      </c>
      <c r="S452" s="34" t="str">
        <f t="shared" si="19"/>
        <v>Sports</v>
      </c>
      <c r="T452" s="38">
        <f>VLOOKUP(D452,Products!$A$2:$F$68,4,FALSE)</f>
        <v>516</v>
      </c>
    </row>
    <row r="453" spans="1:20" x14ac:dyDescent="0.35">
      <c r="A453" s="13" t="s">
        <v>873</v>
      </c>
      <c r="B453" s="14">
        <v>45496</v>
      </c>
      <c r="C453" s="13" t="s">
        <v>874</v>
      </c>
      <c r="D453" s="13" t="s">
        <v>386</v>
      </c>
      <c r="E453" s="13" t="s">
        <v>215</v>
      </c>
      <c r="F453" s="15">
        <v>3</v>
      </c>
      <c r="G453" s="15">
        <v>2290</v>
      </c>
      <c r="H453" s="15">
        <v>8.9</v>
      </c>
      <c r="I453" s="15">
        <v>6258.57</v>
      </c>
      <c r="J453" s="13" t="s">
        <v>87</v>
      </c>
      <c r="K453" s="13" t="s">
        <v>112</v>
      </c>
      <c r="L453" s="34" t="str">
        <f>VLOOKUP(D453,Products!$A$2:$F$61,3,FALSE)</f>
        <v>Beauty</v>
      </c>
      <c r="M453" s="34" t="str">
        <f>VLOOKUP(C453,Customers!$A$2:$F$301,5,FALSE)</f>
        <v>Retail</v>
      </c>
      <c r="N453" s="34">
        <f>VLOOKUP(C453,Customers!$A$2:$F$301,3,FALSE)</f>
        <v>57</v>
      </c>
      <c r="O453" s="34" t="str">
        <f>VLOOKUP(E453,Sales_Reps!$A$2:$E$31,3,FALSE)</f>
        <v>North</v>
      </c>
      <c r="P453" s="13" t="s">
        <v>215</v>
      </c>
      <c r="Q453" s="34">
        <f t="shared" si="18"/>
        <v>789849.60000000009</v>
      </c>
      <c r="R453" s="34" t="str">
        <f>VLOOKUP(E453,Sales_Reps!$A$2:$E$100,3,FALSE)</f>
        <v>North</v>
      </c>
      <c r="S453" s="34" t="str">
        <f t="shared" si="19"/>
        <v>Beauty</v>
      </c>
      <c r="T453" s="38">
        <f>VLOOKUP(D453,Products!$A$2:$F$68,4,FALSE)</f>
        <v>1219</v>
      </c>
    </row>
    <row r="454" spans="1:20" x14ac:dyDescent="0.35">
      <c r="A454" s="13" t="s">
        <v>875</v>
      </c>
      <c r="B454" s="14">
        <v>45369</v>
      </c>
      <c r="C454" s="13" t="s">
        <v>714</v>
      </c>
      <c r="D454" s="13" t="s">
        <v>157</v>
      </c>
      <c r="E454" s="13" t="s">
        <v>215</v>
      </c>
      <c r="F454" s="15">
        <v>9</v>
      </c>
      <c r="G454" s="15">
        <v>3450</v>
      </c>
      <c r="H454" s="15">
        <v>24.3</v>
      </c>
      <c r="I454" s="15">
        <v>23504.85</v>
      </c>
      <c r="J454" s="13" t="s">
        <v>87</v>
      </c>
      <c r="K454" s="13" t="s">
        <v>99</v>
      </c>
      <c r="L454" s="34" t="str">
        <f>VLOOKUP(D454,Products!$A$2:$F$61,3,FALSE)</f>
        <v>Beauty</v>
      </c>
      <c r="M454" s="34" t="str">
        <f>VLOOKUP(C454,Customers!$A$2:$F$301,5,FALSE)</f>
        <v>Retail</v>
      </c>
      <c r="N454" s="34">
        <f>VLOOKUP(C454,Customers!$A$2:$F$301,3,FALSE)</f>
        <v>24</v>
      </c>
      <c r="O454" s="34" t="str">
        <f>VLOOKUP(E454,Sales_Reps!$A$2:$E$31,3,FALSE)</f>
        <v>North</v>
      </c>
      <c r="P454" s="13" t="s">
        <v>215</v>
      </c>
      <c r="Q454" s="34">
        <f t="shared" si="18"/>
        <v>789849.60000000009</v>
      </c>
      <c r="R454" s="34" t="str">
        <f>VLOOKUP(E454,Sales_Reps!$A$2:$E$100,3,FALSE)</f>
        <v>North</v>
      </c>
      <c r="S454" s="34" t="str">
        <f t="shared" si="19"/>
        <v>Beauty</v>
      </c>
      <c r="T454" s="38">
        <f>VLOOKUP(D454,Products!$A$2:$F$68,4,FALSE)</f>
        <v>2420</v>
      </c>
    </row>
    <row r="455" spans="1:20" x14ac:dyDescent="0.35">
      <c r="A455" s="13" t="s">
        <v>876</v>
      </c>
      <c r="B455" s="14">
        <v>45389</v>
      </c>
      <c r="C455" s="13" t="s">
        <v>289</v>
      </c>
      <c r="D455" s="13" t="s">
        <v>237</v>
      </c>
      <c r="E455" s="13" t="s">
        <v>148</v>
      </c>
      <c r="F455" s="15">
        <v>10</v>
      </c>
      <c r="G455" s="15">
        <v>3640</v>
      </c>
      <c r="H455" s="15">
        <v>21.4</v>
      </c>
      <c r="I455" s="15">
        <v>28610.400000000001</v>
      </c>
      <c r="J455" s="13" t="s">
        <v>140</v>
      </c>
      <c r="K455" s="13" t="s">
        <v>94</v>
      </c>
      <c r="L455" s="34" t="str">
        <f>VLOOKUP(D455,Products!$A$2:$F$61,3,FALSE)</f>
        <v>Apparel</v>
      </c>
      <c r="M455" s="34" t="str">
        <f>VLOOKUP(C455,Customers!$A$2:$F$301,5,FALSE)</f>
        <v>Retail</v>
      </c>
      <c r="N455" s="34">
        <f>VLOOKUP(C455,Customers!$A$2:$F$301,3,FALSE)</f>
        <v>38</v>
      </c>
      <c r="O455" s="34" t="str">
        <f>VLOOKUP(E455,Sales_Reps!$A$2:$E$31,3,FALSE)</f>
        <v>North</v>
      </c>
      <c r="P455" s="13" t="s">
        <v>148</v>
      </c>
      <c r="Q455" s="34">
        <f t="shared" si="18"/>
        <v>986692.91</v>
      </c>
      <c r="R455" s="34" t="str">
        <f>VLOOKUP(E455,Sales_Reps!$A$2:$E$100,3,FALSE)</f>
        <v>North</v>
      </c>
      <c r="S455" s="34" t="str">
        <f t="shared" si="19"/>
        <v>Apparel</v>
      </c>
      <c r="T455" s="38">
        <f>VLOOKUP(D455,Products!$A$2:$F$68,4,FALSE)</f>
        <v>2611</v>
      </c>
    </row>
    <row r="456" spans="1:20" x14ac:dyDescent="0.35">
      <c r="A456" s="13" t="s">
        <v>877</v>
      </c>
      <c r="B456" s="14">
        <v>45336</v>
      </c>
      <c r="C456" s="13" t="s">
        <v>878</v>
      </c>
      <c r="D456" s="13" t="s">
        <v>367</v>
      </c>
      <c r="E456" s="13" t="s">
        <v>188</v>
      </c>
      <c r="F456" s="15">
        <v>5</v>
      </c>
      <c r="G456" s="15">
        <v>2380</v>
      </c>
      <c r="H456" s="15">
        <v>12.2</v>
      </c>
      <c r="I456" s="15">
        <v>10448.200000000001</v>
      </c>
      <c r="J456" s="13" t="s">
        <v>87</v>
      </c>
      <c r="K456" s="13" t="s">
        <v>112</v>
      </c>
      <c r="L456" s="34" t="str">
        <f>VLOOKUP(D456,Products!$A$2:$F$61,3,FALSE)</f>
        <v>Grocery</v>
      </c>
      <c r="M456" s="34" t="str">
        <f>VLOOKUP(C456,Customers!$A$2:$F$301,5,FALSE)</f>
        <v>Corporate</v>
      </c>
      <c r="N456" s="34">
        <f>VLOOKUP(C456,Customers!$A$2:$F$301,3,FALSE)</f>
        <v>62</v>
      </c>
      <c r="O456" s="34" t="str">
        <f>VLOOKUP(E456,Sales_Reps!$A$2:$E$31,3,FALSE)</f>
        <v>South</v>
      </c>
      <c r="P456" s="13" t="s">
        <v>188</v>
      </c>
      <c r="Q456" s="34">
        <f t="shared" si="18"/>
        <v>1091740.1799999997</v>
      </c>
      <c r="R456" s="34" t="str">
        <f>VLOOKUP(E456,Sales_Reps!$A$2:$E$100,3,FALSE)</f>
        <v>South</v>
      </c>
      <c r="S456" s="34" t="str">
        <f t="shared" si="19"/>
        <v>Grocery</v>
      </c>
      <c r="T456" s="38">
        <f>VLOOKUP(D456,Products!$A$2:$F$68,4,FALSE)</f>
        <v>1182</v>
      </c>
    </row>
    <row r="457" spans="1:20" x14ac:dyDescent="0.35">
      <c r="A457" s="13" t="s">
        <v>879</v>
      </c>
      <c r="B457" s="14">
        <v>45505</v>
      </c>
      <c r="C457" s="13" t="s">
        <v>539</v>
      </c>
      <c r="D457" s="13" t="s">
        <v>360</v>
      </c>
      <c r="E457" s="13" t="s">
        <v>238</v>
      </c>
      <c r="F457" s="15">
        <v>10</v>
      </c>
      <c r="G457" s="15">
        <v>5410</v>
      </c>
      <c r="H457" s="15">
        <v>29.8</v>
      </c>
      <c r="I457" s="15">
        <v>37978.199999999997</v>
      </c>
      <c r="J457" s="13" t="s">
        <v>87</v>
      </c>
      <c r="K457" s="13" t="s">
        <v>133</v>
      </c>
      <c r="L457" s="34" t="str">
        <f>VLOOKUP(D457,Products!$A$2:$F$61,3,FALSE)</f>
        <v>Sports</v>
      </c>
      <c r="M457" s="34" t="str">
        <f>VLOOKUP(C457,Customers!$A$2:$F$301,5,FALSE)</f>
        <v>Retail</v>
      </c>
      <c r="N457" s="34">
        <f>VLOOKUP(C457,Customers!$A$2:$F$301,3,FALSE)</f>
        <v>38</v>
      </c>
      <c r="O457" s="34" t="str">
        <f>VLOOKUP(E457,Sales_Reps!$A$2:$E$31,3,FALSE)</f>
        <v>East</v>
      </c>
      <c r="P457" s="13" t="s">
        <v>238</v>
      </c>
      <c r="Q457" s="34">
        <f t="shared" si="18"/>
        <v>780384.40999999992</v>
      </c>
      <c r="R457" s="34" t="str">
        <f>VLOOKUP(E457,Sales_Reps!$A$2:$E$100,3,FALSE)</f>
        <v>East</v>
      </c>
      <c r="S457" s="34" t="str">
        <f t="shared" si="19"/>
        <v>Sports</v>
      </c>
      <c r="T457" s="38">
        <f>VLOOKUP(D457,Products!$A$2:$F$68,4,FALSE)</f>
        <v>2265</v>
      </c>
    </row>
    <row r="458" spans="1:20" x14ac:dyDescent="0.35">
      <c r="A458" s="13" t="s">
        <v>880</v>
      </c>
      <c r="B458" s="14">
        <v>45375</v>
      </c>
      <c r="C458" s="13" t="s">
        <v>872</v>
      </c>
      <c r="D458" s="13" t="s">
        <v>176</v>
      </c>
      <c r="E458" s="13" t="s">
        <v>158</v>
      </c>
      <c r="F458" s="15">
        <v>3</v>
      </c>
      <c r="G458" s="15">
        <v>1650</v>
      </c>
      <c r="H458" s="15">
        <v>9.4</v>
      </c>
      <c r="I458" s="15">
        <v>4484.7</v>
      </c>
      <c r="J458" s="13" t="s">
        <v>140</v>
      </c>
      <c r="K458" s="13" t="s">
        <v>112</v>
      </c>
      <c r="L458" s="34" t="str">
        <f>VLOOKUP(D458,Products!$A$2:$F$61,3,FALSE)</f>
        <v>Beauty</v>
      </c>
      <c r="M458" s="34" t="str">
        <f>VLOOKUP(C458,Customers!$A$2:$F$301,5,FALSE)</f>
        <v>Corporate</v>
      </c>
      <c r="N458" s="34">
        <f>VLOOKUP(C458,Customers!$A$2:$F$301,3,FALSE)</f>
        <v>62</v>
      </c>
      <c r="O458" s="34" t="str">
        <f>VLOOKUP(E458,Sales_Reps!$A$2:$E$31,3,FALSE)</f>
        <v>East</v>
      </c>
      <c r="P458" s="13" t="s">
        <v>158</v>
      </c>
      <c r="Q458" s="34">
        <f t="shared" si="18"/>
        <v>761507.17000000027</v>
      </c>
      <c r="R458" s="34" t="str">
        <f>VLOOKUP(E458,Sales_Reps!$A$2:$E$100,3,FALSE)</f>
        <v>East</v>
      </c>
      <c r="S458" s="34" t="str">
        <f t="shared" si="19"/>
        <v>Beauty</v>
      </c>
      <c r="T458" s="38">
        <f>VLOOKUP(D458,Products!$A$2:$F$68,4,FALSE)</f>
        <v>1222</v>
      </c>
    </row>
    <row r="459" spans="1:20" x14ac:dyDescent="0.35">
      <c r="A459" s="13" t="s">
        <v>881</v>
      </c>
      <c r="B459" s="14">
        <v>45383</v>
      </c>
      <c r="C459" s="13" t="s">
        <v>882</v>
      </c>
      <c r="D459" s="13" t="s">
        <v>138</v>
      </c>
      <c r="E459" s="13" t="s">
        <v>285</v>
      </c>
      <c r="F459" s="15">
        <v>7</v>
      </c>
      <c r="G459" s="15">
        <v>2600</v>
      </c>
      <c r="H459" s="15">
        <v>19.899999999999999</v>
      </c>
      <c r="I459" s="15">
        <v>14578.2</v>
      </c>
      <c r="J459" s="13" t="s">
        <v>93</v>
      </c>
      <c r="K459" s="13" t="s">
        <v>112</v>
      </c>
      <c r="L459" s="34" t="str">
        <f>VLOOKUP(D459,Products!$A$2:$F$61,3,FALSE)</f>
        <v>Electronics</v>
      </c>
      <c r="M459" s="34" t="str">
        <f>VLOOKUP(C459,Customers!$A$2:$F$301,5,FALSE)</f>
        <v>Retail</v>
      </c>
      <c r="N459" s="34">
        <f>VLOOKUP(C459,Customers!$A$2:$F$301,3,FALSE)</f>
        <v>22</v>
      </c>
      <c r="O459" s="34" t="str">
        <f>VLOOKUP(E459,Sales_Reps!$A$2:$E$31,3,FALSE)</f>
        <v>East</v>
      </c>
      <c r="P459" s="13" t="s">
        <v>285</v>
      </c>
      <c r="Q459" s="34">
        <f t="shared" si="18"/>
        <v>1069570.5400000003</v>
      </c>
      <c r="R459" s="34" t="str">
        <f>VLOOKUP(E459,Sales_Reps!$A$2:$E$100,3,FALSE)</f>
        <v>East</v>
      </c>
      <c r="S459" s="34" t="str">
        <f t="shared" si="19"/>
        <v>Electronics</v>
      </c>
      <c r="T459" s="38">
        <f>VLOOKUP(D459,Products!$A$2:$F$68,4,FALSE)</f>
        <v>1052</v>
      </c>
    </row>
    <row r="460" spans="1:20" x14ac:dyDescent="0.35">
      <c r="A460" s="13" t="s">
        <v>421</v>
      </c>
      <c r="B460" s="14">
        <v>45474</v>
      </c>
      <c r="C460" s="13" t="s">
        <v>883</v>
      </c>
      <c r="D460" s="13" t="s">
        <v>270</v>
      </c>
      <c r="E460" s="13" t="s">
        <v>297</v>
      </c>
      <c r="F460" s="15">
        <v>4</v>
      </c>
      <c r="G460" s="15">
        <v>4610</v>
      </c>
      <c r="H460" s="15">
        <v>13.2</v>
      </c>
      <c r="I460" s="15">
        <v>16005.92</v>
      </c>
      <c r="J460" s="13" t="s">
        <v>87</v>
      </c>
      <c r="K460" s="13" t="s">
        <v>133</v>
      </c>
      <c r="L460" s="34" t="str">
        <f>VLOOKUP(D460,Products!$A$2:$F$61,3,FALSE)</f>
        <v>Home</v>
      </c>
      <c r="M460" s="34" t="str">
        <f>VLOOKUP(C460,Customers!$A$2:$F$301,5,FALSE)</f>
        <v>SMB</v>
      </c>
      <c r="N460" s="34">
        <f>VLOOKUP(C460,Customers!$A$2:$F$301,3,FALSE)</f>
        <v>28</v>
      </c>
      <c r="O460" s="34" t="str">
        <f>VLOOKUP(E460,Sales_Reps!$A$2:$E$31,3,FALSE)</f>
        <v>North</v>
      </c>
      <c r="P460" s="13" t="s">
        <v>297</v>
      </c>
      <c r="Q460" s="34">
        <f t="shared" si="18"/>
        <v>980063.65999999968</v>
      </c>
      <c r="R460" s="34" t="str">
        <f>VLOOKUP(E460,Sales_Reps!$A$2:$E$100,3,FALSE)</f>
        <v>North</v>
      </c>
      <c r="S460" s="34" t="str">
        <f t="shared" si="19"/>
        <v>Home</v>
      </c>
      <c r="T460" s="38">
        <f>VLOOKUP(D460,Products!$A$2:$F$68,4,FALSE)</f>
        <v>1850</v>
      </c>
    </row>
    <row r="461" spans="1:20" x14ac:dyDescent="0.35">
      <c r="A461" s="13" t="s">
        <v>884</v>
      </c>
      <c r="B461" s="14">
        <v>45361</v>
      </c>
      <c r="C461" s="13" t="s">
        <v>263</v>
      </c>
      <c r="D461" s="13" t="s">
        <v>270</v>
      </c>
      <c r="E461" s="13" t="s">
        <v>158</v>
      </c>
      <c r="F461" s="15">
        <v>9</v>
      </c>
      <c r="G461" s="15">
        <v>4610</v>
      </c>
      <c r="H461" s="15">
        <v>25.8</v>
      </c>
      <c r="I461" s="15">
        <v>30785.58</v>
      </c>
      <c r="J461" s="13" t="s">
        <v>87</v>
      </c>
      <c r="K461" s="13" t="s">
        <v>133</v>
      </c>
      <c r="L461" s="34" t="str">
        <f>VLOOKUP(D461,Products!$A$2:$F$61,3,FALSE)</f>
        <v>Home</v>
      </c>
      <c r="M461" s="34" t="str">
        <f>VLOOKUP(C461,Customers!$A$2:$F$301,5,FALSE)</f>
        <v>Retail</v>
      </c>
      <c r="N461" s="34">
        <f>VLOOKUP(C461,Customers!$A$2:$F$301,3,FALSE)</f>
        <v>53</v>
      </c>
      <c r="O461" s="34" t="str">
        <f>VLOOKUP(E461,Sales_Reps!$A$2:$E$31,3,FALSE)</f>
        <v>East</v>
      </c>
      <c r="P461" s="13" t="s">
        <v>158</v>
      </c>
      <c r="Q461" s="34">
        <f t="shared" si="18"/>
        <v>761507.17000000027</v>
      </c>
      <c r="R461" s="34" t="str">
        <f>VLOOKUP(E461,Sales_Reps!$A$2:$E$100,3,FALSE)</f>
        <v>East</v>
      </c>
      <c r="S461" s="34" t="str">
        <f t="shared" si="19"/>
        <v>Home</v>
      </c>
      <c r="T461" s="38">
        <f>VLOOKUP(D461,Products!$A$2:$F$68,4,FALSE)</f>
        <v>1850</v>
      </c>
    </row>
    <row r="462" spans="1:20" x14ac:dyDescent="0.35">
      <c r="A462" s="13" t="s">
        <v>885</v>
      </c>
      <c r="B462" s="14">
        <v>45550</v>
      </c>
      <c r="C462" s="13" t="s">
        <v>886</v>
      </c>
      <c r="D462" s="13" t="s">
        <v>282</v>
      </c>
      <c r="E462" s="13" t="s">
        <v>98</v>
      </c>
      <c r="F462" s="15">
        <v>5</v>
      </c>
      <c r="G462" s="15">
        <v>300</v>
      </c>
      <c r="H462" s="15">
        <v>11.8</v>
      </c>
      <c r="I462" s="15">
        <v>1323</v>
      </c>
      <c r="J462" s="13" t="s">
        <v>87</v>
      </c>
      <c r="K462" s="13" t="s">
        <v>94</v>
      </c>
      <c r="L462" s="34" t="str">
        <f>VLOOKUP(D462,Products!$A$2:$F$61,3,FALSE)</f>
        <v>Electronics</v>
      </c>
      <c r="M462" s="34" t="str">
        <f>VLOOKUP(C462,Customers!$A$2:$F$301,5,FALSE)</f>
        <v>Corporate</v>
      </c>
      <c r="N462" s="34">
        <f>VLOOKUP(C462,Customers!$A$2:$F$301,3,FALSE)</f>
        <v>44</v>
      </c>
      <c r="O462" s="34" t="str">
        <f>VLOOKUP(E462,Sales_Reps!$A$2:$E$31,3,FALSE)</f>
        <v>South</v>
      </c>
      <c r="P462" s="13" t="s">
        <v>98</v>
      </c>
      <c r="Q462" s="34">
        <f t="shared" si="18"/>
        <v>995713.54000000015</v>
      </c>
      <c r="R462" s="34" t="str">
        <f>VLOOKUP(E462,Sales_Reps!$A$2:$E$100,3,FALSE)</f>
        <v>South</v>
      </c>
      <c r="S462" s="34" t="str">
        <f t="shared" si="19"/>
        <v>Electronics</v>
      </c>
      <c r="T462" s="38">
        <f>VLOOKUP(D462,Products!$A$2:$F$68,4,FALSE)</f>
        <v>128</v>
      </c>
    </row>
    <row r="463" spans="1:20" x14ac:dyDescent="0.35">
      <c r="A463" s="13" t="s">
        <v>887</v>
      </c>
      <c r="B463" s="14">
        <v>45485</v>
      </c>
      <c r="C463" s="13" t="s">
        <v>795</v>
      </c>
      <c r="D463" s="13" t="s">
        <v>452</v>
      </c>
      <c r="E463" s="13" t="s">
        <v>192</v>
      </c>
      <c r="F463" s="15">
        <v>3</v>
      </c>
      <c r="G463" s="15">
        <v>3450</v>
      </c>
      <c r="H463" s="15">
        <v>14.2</v>
      </c>
      <c r="I463" s="15">
        <v>8880.2999999999993</v>
      </c>
      <c r="J463" s="13" t="s">
        <v>87</v>
      </c>
      <c r="K463" s="13" t="s">
        <v>94</v>
      </c>
      <c r="L463" s="34" t="str">
        <f>VLOOKUP(D463,Products!$A$2:$F$61,3,FALSE)</f>
        <v>Apparel</v>
      </c>
      <c r="M463" s="34" t="str">
        <f>VLOOKUP(C463,Customers!$A$2:$F$301,5,FALSE)</f>
        <v>Retail</v>
      </c>
      <c r="N463" s="34">
        <f>VLOOKUP(C463,Customers!$A$2:$F$301,3,FALSE)</f>
        <v>22</v>
      </c>
      <c r="O463" s="34" t="str">
        <f>VLOOKUP(E463,Sales_Reps!$A$2:$E$31,3,FALSE)</f>
        <v>East</v>
      </c>
      <c r="P463" s="13" t="s">
        <v>192</v>
      </c>
      <c r="Q463" s="34">
        <f t="shared" si="18"/>
        <v>906107.71000000008</v>
      </c>
      <c r="R463" s="34" t="str">
        <f>VLOOKUP(E463,Sales_Reps!$A$2:$E$100,3,FALSE)</f>
        <v>East</v>
      </c>
      <c r="S463" s="34" t="str">
        <f t="shared" si="19"/>
        <v>Apparel</v>
      </c>
      <c r="T463" s="38">
        <f>VLOOKUP(D463,Products!$A$2:$F$68,4,FALSE)</f>
        <v>1748</v>
      </c>
    </row>
    <row r="464" spans="1:20" x14ac:dyDescent="0.35">
      <c r="A464" s="13" t="s">
        <v>888</v>
      </c>
      <c r="B464" s="14">
        <v>45523</v>
      </c>
      <c r="C464" s="13" t="s">
        <v>589</v>
      </c>
      <c r="D464" s="13" t="s">
        <v>173</v>
      </c>
      <c r="E464" s="13" t="s">
        <v>128</v>
      </c>
      <c r="F464" s="15">
        <v>2</v>
      </c>
      <c r="G464" s="15">
        <v>2720</v>
      </c>
      <c r="H464" s="15">
        <v>14.6</v>
      </c>
      <c r="I464" s="15">
        <v>4645.76</v>
      </c>
      <c r="J464" s="13" t="s">
        <v>140</v>
      </c>
      <c r="K464" s="13" t="s">
        <v>94</v>
      </c>
      <c r="L464" s="34" t="str">
        <f>VLOOKUP(D464,Products!$A$2:$F$61,3,FALSE)</f>
        <v>Apparel</v>
      </c>
      <c r="M464" s="34" t="str">
        <f>VLOOKUP(C464,Customers!$A$2:$F$301,5,FALSE)</f>
        <v>Corporate</v>
      </c>
      <c r="N464" s="34">
        <f>VLOOKUP(C464,Customers!$A$2:$F$301,3,FALSE)</f>
        <v>30</v>
      </c>
      <c r="O464" s="34" t="str">
        <f>VLOOKUP(E464,Sales_Reps!$A$2:$E$31,3,FALSE)</f>
        <v>West</v>
      </c>
      <c r="P464" s="13" t="s">
        <v>128</v>
      </c>
      <c r="Q464" s="34">
        <f t="shared" si="18"/>
        <v>880468.05</v>
      </c>
      <c r="R464" s="34" t="str">
        <f>VLOOKUP(E464,Sales_Reps!$A$2:$E$100,3,FALSE)</f>
        <v>West</v>
      </c>
      <c r="S464" s="34" t="str">
        <f t="shared" si="19"/>
        <v>Apparel</v>
      </c>
      <c r="T464" s="38">
        <f>VLOOKUP(D464,Products!$A$2:$F$68,4,FALSE)</f>
        <v>1962</v>
      </c>
    </row>
    <row r="465" spans="1:20" x14ac:dyDescent="0.35">
      <c r="A465" s="13" t="s">
        <v>889</v>
      </c>
      <c r="B465" s="14">
        <v>45626</v>
      </c>
      <c r="C465" s="13" t="s">
        <v>669</v>
      </c>
      <c r="D465" s="13" t="s">
        <v>279</v>
      </c>
      <c r="E465" s="13" t="s">
        <v>238</v>
      </c>
      <c r="F465" s="15">
        <v>7</v>
      </c>
      <c r="G465" s="15">
        <v>2660</v>
      </c>
      <c r="H465" s="15">
        <v>27.4</v>
      </c>
      <c r="I465" s="15">
        <v>13518.12</v>
      </c>
      <c r="J465" s="13" t="s">
        <v>140</v>
      </c>
      <c r="K465" s="13" t="s">
        <v>133</v>
      </c>
      <c r="L465" s="34" t="str">
        <f>VLOOKUP(D465,Products!$A$2:$F$61,3,FALSE)</f>
        <v>Electronics</v>
      </c>
      <c r="M465" s="34" t="str">
        <f>VLOOKUP(C465,Customers!$A$2:$F$301,5,FALSE)</f>
        <v>Retail</v>
      </c>
      <c r="N465" s="34">
        <f>VLOOKUP(C465,Customers!$A$2:$F$301,3,FALSE)</f>
        <v>31</v>
      </c>
      <c r="O465" s="34" t="str">
        <f>VLOOKUP(E465,Sales_Reps!$A$2:$E$31,3,FALSE)</f>
        <v>East</v>
      </c>
      <c r="P465" s="13" t="s">
        <v>238</v>
      </c>
      <c r="Q465" s="34">
        <f t="shared" si="18"/>
        <v>780384.40999999992</v>
      </c>
      <c r="R465" s="34" t="str">
        <f>VLOOKUP(E465,Sales_Reps!$A$2:$E$100,3,FALSE)</f>
        <v>East</v>
      </c>
      <c r="S465" s="34" t="str">
        <f t="shared" si="19"/>
        <v>Electronics</v>
      </c>
      <c r="T465" s="38">
        <f>VLOOKUP(D465,Products!$A$2:$F$68,4,FALSE)</f>
        <v>1259</v>
      </c>
    </row>
    <row r="466" spans="1:20" x14ac:dyDescent="0.35">
      <c r="A466" s="13" t="s">
        <v>890</v>
      </c>
      <c r="B466" s="14">
        <v>45302</v>
      </c>
      <c r="C466" s="13" t="s">
        <v>615</v>
      </c>
      <c r="D466" s="13" t="s">
        <v>161</v>
      </c>
      <c r="E466" s="13" t="s">
        <v>92</v>
      </c>
      <c r="F466" s="15">
        <v>8</v>
      </c>
      <c r="G466" s="15">
        <v>3450</v>
      </c>
      <c r="H466" s="15">
        <v>20.399999999999999</v>
      </c>
      <c r="I466" s="15">
        <v>21969.599999999999</v>
      </c>
      <c r="J466" s="13" t="s">
        <v>87</v>
      </c>
      <c r="K466" s="13" t="s">
        <v>112</v>
      </c>
      <c r="L466" s="34" t="str">
        <f>VLOOKUP(D466,Products!$A$2:$F$61,3,FALSE)</f>
        <v>Sports</v>
      </c>
      <c r="M466" s="34" t="str">
        <f>VLOOKUP(C466,Customers!$A$2:$F$301,5,FALSE)</f>
        <v>Retail</v>
      </c>
      <c r="N466" s="34">
        <f>VLOOKUP(C466,Customers!$A$2:$F$301,3,FALSE)</f>
        <v>53</v>
      </c>
      <c r="O466" s="34" t="str">
        <f>VLOOKUP(E466,Sales_Reps!$A$2:$E$31,3,FALSE)</f>
        <v>North</v>
      </c>
      <c r="P466" s="13" t="s">
        <v>92</v>
      </c>
      <c r="Q466" s="34">
        <f t="shared" si="18"/>
        <v>782445.33</v>
      </c>
      <c r="R466" s="34" t="str">
        <f>VLOOKUP(E466,Sales_Reps!$A$2:$E$100,3,FALSE)</f>
        <v>North</v>
      </c>
      <c r="S466" s="34" t="str">
        <f t="shared" si="19"/>
        <v>Sports</v>
      </c>
      <c r="T466" s="38">
        <f>VLOOKUP(D466,Products!$A$2:$F$68,4,FALSE)</f>
        <v>2467</v>
      </c>
    </row>
    <row r="467" spans="1:20" x14ac:dyDescent="0.35">
      <c r="A467" s="13" t="s">
        <v>891</v>
      </c>
      <c r="B467" s="14">
        <v>45427</v>
      </c>
      <c r="C467" s="13" t="s">
        <v>482</v>
      </c>
      <c r="D467" s="13" t="s">
        <v>360</v>
      </c>
      <c r="E467" s="13" t="s">
        <v>346</v>
      </c>
      <c r="F467" s="15">
        <v>2</v>
      </c>
      <c r="G467" s="15">
        <v>5410</v>
      </c>
      <c r="H467" s="15">
        <v>7.2</v>
      </c>
      <c r="I467" s="15">
        <v>10040.959999999999</v>
      </c>
      <c r="J467" s="13" t="s">
        <v>87</v>
      </c>
      <c r="K467" s="13" t="s">
        <v>133</v>
      </c>
      <c r="L467" s="34" t="str">
        <f>VLOOKUP(D467,Products!$A$2:$F$61,3,FALSE)</f>
        <v>Sports</v>
      </c>
      <c r="M467" s="34" t="str">
        <f>VLOOKUP(C467,Customers!$A$2:$F$301,5,FALSE)</f>
        <v>Corporate</v>
      </c>
      <c r="N467" s="34">
        <f>VLOOKUP(C467,Customers!$A$2:$F$301,3,FALSE)</f>
        <v>52</v>
      </c>
      <c r="O467" s="34" t="str">
        <f>VLOOKUP(E467,Sales_Reps!$A$2:$E$31,3,FALSE)</f>
        <v>South</v>
      </c>
      <c r="P467" s="13" t="s">
        <v>346</v>
      </c>
      <c r="Q467" s="34">
        <f t="shared" si="18"/>
        <v>814563.7100000002</v>
      </c>
      <c r="R467" s="34" t="str">
        <f>VLOOKUP(E467,Sales_Reps!$A$2:$E$100,3,FALSE)</f>
        <v>South</v>
      </c>
      <c r="S467" s="34" t="str">
        <f t="shared" si="19"/>
        <v>Sports</v>
      </c>
      <c r="T467" s="38">
        <f>VLOOKUP(D467,Products!$A$2:$F$68,4,FALSE)</f>
        <v>2265</v>
      </c>
    </row>
    <row r="468" spans="1:20" x14ac:dyDescent="0.35">
      <c r="A468" s="13" t="s">
        <v>892</v>
      </c>
      <c r="B468" s="14">
        <v>45315</v>
      </c>
      <c r="C468" s="13" t="s">
        <v>589</v>
      </c>
      <c r="D468" s="13" t="s">
        <v>248</v>
      </c>
      <c r="E468" s="13" t="s">
        <v>252</v>
      </c>
      <c r="F468" s="15">
        <v>3</v>
      </c>
      <c r="G468" s="15">
        <v>3870</v>
      </c>
      <c r="H468" s="15">
        <v>4.2</v>
      </c>
      <c r="I468" s="15">
        <v>11122.38</v>
      </c>
      <c r="J468" s="13" t="s">
        <v>87</v>
      </c>
      <c r="K468" s="13" t="s">
        <v>94</v>
      </c>
      <c r="L468" s="34" t="str">
        <f>VLOOKUP(D468,Products!$A$2:$F$61,3,FALSE)</f>
        <v>Electronics</v>
      </c>
      <c r="M468" s="34" t="str">
        <f>VLOOKUP(C468,Customers!$A$2:$F$301,5,FALSE)</f>
        <v>Corporate</v>
      </c>
      <c r="N468" s="34">
        <f>VLOOKUP(C468,Customers!$A$2:$F$301,3,FALSE)</f>
        <v>30</v>
      </c>
      <c r="O468" s="34" t="str">
        <f>VLOOKUP(E468,Sales_Reps!$A$2:$E$31,3,FALSE)</f>
        <v>South</v>
      </c>
      <c r="P468" s="13" t="s">
        <v>252</v>
      </c>
      <c r="Q468" s="34">
        <f t="shared" si="18"/>
        <v>811524.37999999989</v>
      </c>
      <c r="R468" s="34" t="str">
        <f>VLOOKUP(E468,Sales_Reps!$A$2:$E$100,3,FALSE)</f>
        <v>South</v>
      </c>
      <c r="S468" s="34" t="str">
        <f t="shared" si="19"/>
        <v>Electronics</v>
      </c>
      <c r="T468" s="38">
        <f>VLOOKUP(D468,Products!$A$2:$F$68,4,FALSE)</f>
        <v>1559</v>
      </c>
    </row>
    <row r="469" spans="1:20" x14ac:dyDescent="0.35">
      <c r="A469" s="13" t="s">
        <v>893</v>
      </c>
      <c r="B469" s="14">
        <v>45328</v>
      </c>
      <c r="C469" s="13" t="s">
        <v>316</v>
      </c>
      <c r="D469" s="13" t="s">
        <v>131</v>
      </c>
      <c r="E469" s="13" t="s">
        <v>92</v>
      </c>
      <c r="F469" s="15">
        <v>10</v>
      </c>
      <c r="G469" s="15">
        <v>2270</v>
      </c>
      <c r="H469" s="15">
        <v>17.3</v>
      </c>
      <c r="I469" s="15">
        <v>18772.900000000001</v>
      </c>
      <c r="J469" s="13" t="s">
        <v>87</v>
      </c>
      <c r="K469" s="13" t="s">
        <v>88</v>
      </c>
      <c r="L469" s="34" t="str">
        <f>VLOOKUP(D469,Products!$A$2:$F$61,3,FALSE)</f>
        <v>Grocery</v>
      </c>
      <c r="M469" s="34" t="str">
        <f>VLOOKUP(C469,Customers!$A$2:$F$301,5,FALSE)</f>
        <v>SMB</v>
      </c>
      <c r="N469" s="34">
        <f>VLOOKUP(C469,Customers!$A$2:$F$301,3,FALSE)</f>
        <v>60</v>
      </c>
      <c r="O469" s="34" t="str">
        <f>VLOOKUP(E469,Sales_Reps!$A$2:$E$31,3,FALSE)</f>
        <v>North</v>
      </c>
      <c r="P469" s="13" t="s">
        <v>92</v>
      </c>
      <c r="Q469" s="34">
        <f t="shared" si="18"/>
        <v>782445.33</v>
      </c>
      <c r="R469" s="34" t="str">
        <f>VLOOKUP(E469,Sales_Reps!$A$2:$E$100,3,FALSE)</f>
        <v>North</v>
      </c>
      <c r="S469" s="34" t="str">
        <f t="shared" si="19"/>
        <v>Grocery</v>
      </c>
      <c r="T469" s="38">
        <f>VLOOKUP(D469,Products!$A$2:$F$68,4,FALSE)</f>
        <v>1203</v>
      </c>
    </row>
    <row r="470" spans="1:20" x14ac:dyDescent="0.35">
      <c r="A470" s="13" t="s">
        <v>894</v>
      </c>
      <c r="B470" s="14">
        <v>45394</v>
      </c>
      <c r="C470" s="13" t="s">
        <v>895</v>
      </c>
      <c r="D470" s="13" t="s">
        <v>364</v>
      </c>
      <c r="E470" s="13" t="s">
        <v>111</v>
      </c>
      <c r="F470" s="15">
        <v>1</v>
      </c>
      <c r="G470" s="15">
        <v>5330</v>
      </c>
      <c r="H470" s="15">
        <v>24.2</v>
      </c>
      <c r="I470" s="15">
        <v>4040.14</v>
      </c>
      <c r="J470" s="13" t="s">
        <v>87</v>
      </c>
      <c r="K470" s="13" t="s">
        <v>117</v>
      </c>
      <c r="L470" s="34" t="str">
        <f>VLOOKUP(D470,Products!$A$2:$F$61,3,FALSE)</f>
        <v>Electronics</v>
      </c>
      <c r="M470" s="34" t="str">
        <f>VLOOKUP(C470,Customers!$A$2:$F$301,5,FALSE)</f>
        <v>Retail</v>
      </c>
      <c r="N470" s="34">
        <f>VLOOKUP(C470,Customers!$A$2:$F$301,3,FALSE)</f>
        <v>46</v>
      </c>
      <c r="O470" s="34" t="str">
        <f>VLOOKUP(E470,Sales_Reps!$A$2:$E$31,3,FALSE)</f>
        <v>West</v>
      </c>
      <c r="P470" s="13" t="s">
        <v>111</v>
      </c>
      <c r="Q470" s="34">
        <f t="shared" si="18"/>
        <v>901298.89</v>
      </c>
      <c r="R470" s="34" t="str">
        <f>VLOOKUP(E470,Sales_Reps!$A$2:$E$100,3,FALSE)</f>
        <v>West</v>
      </c>
      <c r="S470" s="34" t="str">
        <f t="shared" si="19"/>
        <v>Electronics</v>
      </c>
      <c r="T470" s="38">
        <f>VLOOKUP(D470,Products!$A$2:$F$68,4,FALSE)</f>
        <v>2405</v>
      </c>
    </row>
    <row r="471" spans="1:20" x14ac:dyDescent="0.35">
      <c r="A471" s="13" t="s">
        <v>896</v>
      </c>
      <c r="B471" s="14">
        <v>45414</v>
      </c>
      <c r="C471" s="13" t="s">
        <v>119</v>
      </c>
      <c r="D471" s="13" t="s">
        <v>179</v>
      </c>
      <c r="E471" s="13" t="s">
        <v>188</v>
      </c>
      <c r="F471" s="15">
        <v>2</v>
      </c>
      <c r="G471" s="15">
        <v>3350</v>
      </c>
      <c r="H471" s="15">
        <v>23.4</v>
      </c>
      <c r="I471" s="15">
        <v>5132.2</v>
      </c>
      <c r="J471" s="13" t="s">
        <v>87</v>
      </c>
      <c r="K471" s="13" t="s">
        <v>117</v>
      </c>
      <c r="L471" s="34" t="str">
        <f>VLOOKUP(D471,Products!$A$2:$F$61,3,FALSE)</f>
        <v>Beauty</v>
      </c>
      <c r="M471" s="34" t="str">
        <f>VLOOKUP(C471,Customers!$A$2:$F$301,5,FALSE)</f>
        <v>Corporate</v>
      </c>
      <c r="N471" s="34">
        <f>VLOOKUP(C471,Customers!$A$2:$F$301,3,FALSE)</f>
        <v>57</v>
      </c>
      <c r="O471" s="34" t="str">
        <f>VLOOKUP(E471,Sales_Reps!$A$2:$E$31,3,FALSE)</f>
        <v>South</v>
      </c>
      <c r="P471" s="13" t="s">
        <v>188</v>
      </c>
      <c r="Q471" s="34">
        <f t="shared" si="18"/>
        <v>1091740.1799999997</v>
      </c>
      <c r="R471" s="34" t="str">
        <f>VLOOKUP(E471,Sales_Reps!$A$2:$E$100,3,FALSE)</f>
        <v>South</v>
      </c>
      <c r="S471" s="34" t="str">
        <f t="shared" si="19"/>
        <v>Beauty</v>
      </c>
      <c r="T471" s="38">
        <f>VLOOKUP(D471,Products!$A$2:$F$68,4,FALSE)</f>
        <v>1728</v>
      </c>
    </row>
    <row r="472" spans="1:20" x14ac:dyDescent="0.35">
      <c r="A472" s="13" t="s">
        <v>897</v>
      </c>
      <c r="B472" s="14">
        <v>45393</v>
      </c>
      <c r="C472" s="13" t="s">
        <v>823</v>
      </c>
      <c r="D472" s="13" t="s">
        <v>276</v>
      </c>
      <c r="E472" s="13" t="s">
        <v>103</v>
      </c>
      <c r="F472" s="15">
        <v>7</v>
      </c>
      <c r="G472" s="15">
        <v>3020</v>
      </c>
      <c r="H472" s="15">
        <v>23.7</v>
      </c>
      <c r="I472" s="15">
        <v>16129.82</v>
      </c>
      <c r="J472" s="13" t="s">
        <v>87</v>
      </c>
      <c r="K472" s="13" t="s">
        <v>94</v>
      </c>
      <c r="L472" s="34" t="str">
        <f>VLOOKUP(D472,Products!$A$2:$F$61,3,FALSE)</f>
        <v>Beauty</v>
      </c>
      <c r="M472" s="34" t="str">
        <f>VLOOKUP(C472,Customers!$A$2:$F$301,5,FALSE)</f>
        <v>Retail</v>
      </c>
      <c r="N472" s="34">
        <f>VLOOKUP(C472,Customers!$A$2:$F$301,3,FALSE)</f>
        <v>32</v>
      </c>
      <c r="O472" s="34" t="str">
        <f>VLOOKUP(E472,Sales_Reps!$A$2:$E$31,3,FALSE)</f>
        <v>North</v>
      </c>
      <c r="P472" s="13" t="s">
        <v>103</v>
      </c>
      <c r="Q472" s="34">
        <f t="shared" si="18"/>
        <v>1138648.73</v>
      </c>
      <c r="R472" s="34" t="str">
        <f>VLOOKUP(E472,Sales_Reps!$A$2:$E$100,3,FALSE)</f>
        <v>North</v>
      </c>
      <c r="S472" s="34" t="str">
        <f t="shared" si="19"/>
        <v>Beauty</v>
      </c>
      <c r="T472" s="38">
        <f>VLOOKUP(D472,Products!$A$2:$F$68,4,FALSE)</f>
        <v>1626</v>
      </c>
    </row>
    <row r="473" spans="1:20" x14ac:dyDescent="0.35">
      <c r="A473" s="13" t="s">
        <v>898</v>
      </c>
      <c r="B473" s="14">
        <v>45535</v>
      </c>
      <c r="C473" s="13" t="s">
        <v>565</v>
      </c>
      <c r="D473" s="13" t="s">
        <v>106</v>
      </c>
      <c r="E473" s="13" t="s">
        <v>192</v>
      </c>
      <c r="F473" s="15">
        <v>7</v>
      </c>
      <c r="G473" s="15">
        <v>3160</v>
      </c>
      <c r="H473" s="15">
        <v>22.8</v>
      </c>
      <c r="I473" s="15">
        <v>17076.64</v>
      </c>
      <c r="J473" s="13" t="s">
        <v>87</v>
      </c>
      <c r="K473" s="13" t="s">
        <v>112</v>
      </c>
      <c r="L473" s="34" t="str">
        <f>VLOOKUP(D473,Products!$A$2:$F$61,3,FALSE)</f>
        <v>Apparel</v>
      </c>
      <c r="M473" s="34" t="str">
        <f>VLOOKUP(C473,Customers!$A$2:$F$301,5,FALSE)</f>
        <v>SMB</v>
      </c>
      <c r="N473" s="34">
        <f>VLOOKUP(C473,Customers!$A$2:$F$301,3,FALSE)</f>
        <v>61</v>
      </c>
      <c r="O473" s="34" t="str">
        <f>VLOOKUP(E473,Sales_Reps!$A$2:$E$31,3,FALSE)</f>
        <v>East</v>
      </c>
      <c r="P473" s="13" t="s">
        <v>192</v>
      </c>
      <c r="Q473" s="34">
        <f t="shared" si="18"/>
        <v>906107.71000000008</v>
      </c>
      <c r="R473" s="34" t="str">
        <f>VLOOKUP(E473,Sales_Reps!$A$2:$E$100,3,FALSE)</f>
        <v>East</v>
      </c>
      <c r="S473" s="34" t="str">
        <f t="shared" si="19"/>
        <v>Apparel</v>
      </c>
      <c r="T473" s="38">
        <f>VLOOKUP(D473,Products!$A$2:$F$68,4,FALSE)</f>
        <v>1886</v>
      </c>
    </row>
    <row r="474" spans="1:20" x14ac:dyDescent="0.35">
      <c r="A474" s="13" t="s">
        <v>899</v>
      </c>
      <c r="B474" s="14">
        <v>45541</v>
      </c>
      <c r="C474" s="13" t="s">
        <v>900</v>
      </c>
      <c r="D474" s="13" t="s">
        <v>97</v>
      </c>
      <c r="E474" s="13" t="s">
        <v>192</v>
      </c>
      <c r="F474" s="15">
        <v>2</v>
      </c>
      <c r="G474" s="15">
        <v>470</v>
      </c>
      <c r="H474" s="15">
        <v>28.8</v>
      </c>
      <c r="I474" s="15">
        <v>669.28</v>
      </c>
      <c r="J474" s="13" t="s">
        <v>140</v>
      </c>
      <c r="K474" s="13" t="s">
        <v>117</v>
      </c>
      <c r="L474" s="34" t="str">
        <f>VLOOKUP(D474,Products!$A$2:$F$61,3,FALSE)</f>
        <v>Sports</v>
      </c>
      <c r="M474" s="34" t="str">
        <f>VLOOKUP(C474,Customers!$A$2:$F$301,5,FALSE)</f>
        <v>Retail</v>
      </c>
      <c r="N474" s="34">
        <f>VLOOKUP(C474,Customers!$A$2:$F$301,3,FALSE)</f>
        <v>35</v>
      </c>
      <c r="O474" s="34" t="str">
        <f>VLOOKUP(E474,Sales_Reps!$A$2:$E$31,3,FALSE)</f>
        <v>East</v>
      </c>
      <c r="P474" s="13" t="s">
        <v>192</v>
      </c>
      <c r="Q474" s="34">
        <f t="shared" si="18"/>
        <v>906107.71000000008</v>
      </c>
      <c r="R474" s="34" t="str">
        <f>VLOOKUP(E474,Sales_Reps!$A$2:$E$100,3,FALSE)</f>
        <v>East</v>
      </c>
      <c r="S474" s="34" t="str">
        <f t="shared" si="19"/>
        <v>Sports</v>
      </c>
      <c r="T474" s="38">
        <f>VLOOKUP(D474,Products!$A$2:$F$68,4,FALSE)</f>
        <v>302</v>
      </c>
    </row>
    <row r="475" spans="1:20" x14ac:dyDescent="0.35">
      <c r="A475" s="13" t="s">
        <v>901</v>
      </c>
      <c r="B475" s="14">
        <v>45454</v>
      </c>
      <c r="C475" s="13" t="s">
        <v>902</v>
      </c>
      <c r="D475" s="13" t="s">
        <v>143</v>
      </c>
      <c r="E475" s="13" t="s">
        <v>158</v>
      </c>
      <c r="F475" s="15">
        <v>2</v>
      </c>
      <c r="G475" s="15">
        <v>3250</v>
      </c>
      <c r="H475" s="15">
        <v>24.7</v>
      </c>
      <c r="I475" s="15">
        <v>4894.5</v>
      </c>
      <c r="J475" s="13" t="s">
        <v>87</v>
      </c>
      <c r="K475" s="13" t="s">
        <v>112</v>
      </c>
      <c r="L475" s="34" t="str">
        <f>VLOOKUP(D475,Products!$A$2:$F$61,3,FALSE)</f>
        <v>Home</v>
      </c>
      <c r="M475" s="34" t="str">
        <f>VLOOKUP(C475,Customers!$A$2:$F$301,5,FALSE)</f>
        <v>Retail</v>
      </c>
      <c r="N475" s="34">
        <f>VLOOKUP(C475,Customers!$A$2:$F$301,3,FALSE)</f>
        <v>37</v>
      </c>
      <c r="O475" s="34" t="str">
        <f>VLOOKUP(E475,Sales_Reps!$A$2:$E$31,3,FALSE)</f>
        <v>East</v>
      </c>
      <c r="P475" s="13" t="s">
        <v>158</v>
      </c>
      <c r="Q475" s="34">
        <f t="shared" si="18"/>
        <v>761507.17000000027</v>
      </c>
      <c r="R475" s="34" t="str">
        <f>VLOOKUP(E475,Sales_Reps!$A$2:$E$100,3,FALSE)</f>
        <v>East</v>
      </c>
      <c r="S475" s="34" t="str">
        <f t="shared" si="19"/>
        <v>Home</v>
      </c>
      <c r="T475" s="38">
        <f>VLOOKUP(D475,Products!$A$2:$F$68,4,FALSE)</f>
        <v>1556</v>
      </c>
    </row>
    <row r="476" spans="1:20" x14ac:dyDescent="0.35">
      <c r="A476" s="13" t="s">
        <v>903</v>
      </c>
      <c r="B476" s="14">
        <v>45631</v>
      </c>
      <c r="C476" s="13" t="s">
        <v>390</v>
      </c>
      <c r="D476" s="13" t="s">
        <v>182</v>
      </c>
      <c r="E476" s="13" t="s">
        <v>154</v>
      </c>
      <c r="F476" s="15">
        <v>2</v>
      </c>
      <c r="G476" s="15">
        <v>1010</v>
      </c>
      <c r="H476" s="15">
        <v>5.2</v>
      </c>
      <c r="I476" s="15">
        <v>1914.96</v>
      </c>
      <c r="J476" s="13" t="s">
        <v>140</v>
      </c>
      <c r="K476" s="13" t="s">
        <v>88</v>
      </c>
      <c r="L476" s="34" t="str">
        <f>VLOOKUP(D476,Products!$A$2:$F$61,3,FALSE)</f>
        <v>Sports</v>
      </c>
      <c r="M476" s="34" t="str">
        <f>VLOOKUP(C476,Customers!$A$2:$F$301,5,FALSE)</f>
        <v>SMB</v>
      </c>
      <c r="N476" s="34">
        <f>VLOOKUP(C476,Customers!$A$2:$F$301,3,FALSE)</f>
        <v>54</v>
      </c>
      <c r="O476" s="34" t="str">
        <f>VLOOKUP(E476,Sales_Reps!$A$2:$E$31,3,FALSE)</f>
        <v>East</v>
      </c>
      <c r="P476" s="13" t="s">
        <v>154</v>
      </c>
      <c r="Q476" s="34">
        <f t="shared" si="18"/>
        <v>983787.4800000001</v>
      </c>
      <c r="R476" s="34" t="str">
        <f>VLOOKUP(E476,Sales_Reps!$A$2:$E$100,3,FALSE)</f>
        <v>East</v>
      </c>
      <c r="S476" s="34" t="str">
        <f t="shared" si="19"/>
        <v>Sports</v>
      </c>
      <c r="T476" s="38">
        <f>VLOOKUP(D476,Products!$A$2:$F$68,4,FALSE)</f>
        <v>516</v>
      </c>
    </row>
    <row r="477" spans="1:20" x14ac:dyDescent="0.35">
      <c r="A477" s="13" t="s">
        <v>904</v>
      </c>
      <c r="B477" s="14">
        <v>45588</v>
      </c>
      <c r="C477" s="13" t="s">
        <v>905</v>
      </c>
      <c r="D477" s="13" t="s">
        <v>282</v>
      </c>
      <c r="E477" s="13" t="s">
        <v>215</v>
      </c>
      <c r="F477" s="15">
        <v>9</v>
      </c>
      <c r="G477" s="15">
        <v>300</v>
      </c>
      <c r="H477" s="15">
        <v>7.9</v>
      </c>
      <c r="I477" s="15">
        <v>2486.6999999999998</v>
      </c>
      <c r="J477" s="13" t="s">
        <v>87</v>
      </c>
      <c r="K477" s="13" t="s">
        <v>112</v>
      </c>
      <c r="L477" s="34" t="str">
        <f>VLOOKUP(D477,Products!$A$2:$F$61,3,FALSE)</f>
        <v>Electronics</v>
      </c>
      <c r="M477" s="34" t="str">
        <f>VLOOKUP(C477,Customers!$A$2:$F$301,5,FALSE)</f>
        <v>SMB</v>
      </c>
      <c r="N477" s="34">
        <f>VLOOKUP(C477,Customers!$A$2:$F$301,3,FALSE)</f>
        <v>43</v>
      </c>
      <c r="O477" s="34" t="str">
        <f>VLOOKUP(E477,Sales_Reps!$A$2:$E$31,3,FALSE)</f>
        <v>North</v>
      </c>
      <c r="P477" s="13" t="s">
        <v>215</v>
      </c>
      <c r="Q477" s="34">
        <f t="shared" si="18"/>
        <v>789849.60000000009</v>
      </c>
      <c r="R477" s="34" t="str">
        <f>VLOOKUP(E477,Sales_Reps!$A$2:$E$100,3,FALSE)</f>
        <v>North</v>
      </c>
      <c r="S477" s="34" t="str">
        <f t="shared" si="19"/>
        <v>Electronics</v>
      </c>
      <c r="T477" s="38">
        <f>VLOOKUP(D477,Products!$A$2:$F$68,4,FALSE)</f>
        <v>128</v>
      </c>
    </row>
    <row r="478" spans="1:20" x14ac:dyDescent="0.35">
      <c r="A478" s="13" t="s">
        <v>906</v>
      </c>
      <c r="B478" s="14">
        <v>45469</v>
      </c>
      <c r="C478" s="13" t="s">
        <v>703</v>
      </c>
      <c r="D478" s="13" t="s">
        <v>191</v>
      </c>
      <c r="E478" s="13" t="s">
        <v>103</v>
      </c>
      <c r="F478" s="15">
        <v>10</v>
      </c>
      <c r="G478" s="15">
        <v>5100</v>
      </c>
      <c r="H478" s="15">
        <v>26.3</v>
      </c>
      <c r="I478" s="15">
        <v>37587</v>
      </c>
      <c r="J478" s="13" t="s">
        <v>93</v>
      </c>
      <c r="K478" s="13" t="s">
        <v>88</v>
      </c>
      <c r="L478" s="34" t="str">
        <f>VLOOKUP(D478,Products!$A$2:$F$61,3,FALSE)</f>
        <v>Beauty</v>
      </c>
      <c r="M478" s="34" t="str">
        <f>VLOOKUP(C478,Customers!$A$2:$F$301,5,FALSE)</f>
        <v>Corporate</v>
      </c>
      <c r="N478" s="34">
        <f>VLOOKUP(C478,Customers!$A$2:$F$301,3,FALSE)</f>
        <v>52</v>
      </c>
      <c r="O478" s="34" t="str">
        <f>VLOOKUP(E478,Sales_Reps!$A$2:$E$31,3,FALSE)</f>
        <v>North</v>
      </c>
      <c r="P478" s="13" t="s">
        <v>103</v>
      </c>
      <c r="Q478" s="34">
        <f t="shared" si="18"/>
        <v>1138648.73</v>
      </c>
      <c r="R478" s="34" t="str">
        <f>VLOOKUP(E478,Sales_Reps!$A$2:$E$100,3,FALSE)</f>
        <v>North</v>
      </c>
      <c r="S478" s="34" t="str">
        <f t="shared" si="19"/>
        <v>Beauty</v>
      </c>
      <c r="T478" s="38">
        <f>VLOOKUP(D478,Products!$A$2:$F$68,4,FALSE)</f>
        <v>2237</v>
      </c>
    </row>
    <row r="479" spans="1:20" x14ac:dyDescent="0.35">
      <c r="A479" s="13" t="s">
        <v>907</v>
      </c>
      <c r="B479" s="14">
        <v>45552</v>
      </c>
      <c r="C479" s="13" t="s">
        <v>908</v>
      </c>
      <c r="D479" s="13" t="s">
        <v>179</v>
      </c>
      <c r="E479" s="13" t="s">
        <v>128</v>
      </c>
      <c r="F479" s="15">
        <v>1</v>
      </c>
      <c r="G479" s="15">
        <v>3350</v>
      </c>
      <c r="H479" s="15">
        <v>8.5</v>
      </c>
      <c r="I479" s="15">
        <v>3065.25</v>
      </c>
      <c r="J479" s="13" t="s">
        <v>140</v>
      </c>
      <c r="K479" s="13" t="s">
        <v>133</v>
      </c>
      <c r="L479" s="34" t="str">
        <f>VLOOKUP(D479,Products!$A$2:$F$61,3,FALSE)</f>
        <v>Beauty</v>
      </c>
      <c r="M479" s="34" t="str">
        <f>VLOOKUP(C479,Customers!$A$2:$F$301,5,FALSE)</f>
        <v>Retail</v>
      </c>
      <c r="N479" s="34">
        <f>VLOOKUP(C479,Customers!$A$2:$F$301,3,FALSE)</f>
        <v>31</v>
      </c>
      <c r="O479" s="34" t="str">
        <f>VLOOKUP(E479,Sales_Reps!$A$2:$E$31,3,FALSE)</f>
        <v>West</v>
      </c>
      <c r="P479" s="13" t="s">
        <v>128</v>
      </c>
      <c r="Q479" s="34">
        <f t="shared" si="18"/>
        <v>880468.05</v>
      </c>
      <c r="R479" s="34" t="str">
        <f>VLOOKUP(E479,Sales_Reps!$A$2:$E$100,3,FALSE)</f>
        <v>West</v>
      </c>
      <c r="S479" s="34" t="str">
        <f t="shared" si="19"/>
        <v>Beauty</v>
      </c>
      <c r="T479" s="38">
        <f>VLOOKUP(D479,Products!$A$2:$F$68,4,FALSE)</f>
        <v>1728</v>
      </c>
    </row>
    <row r="480" spans="1:20" x14ac:dyDescent="0.35">
      <c r="A480" s="13" t="s">
        <v>909</v>
      </c>
      <c r="B480" s="14">
        <v>45554</v>
      </c>
      <c r="C480" s="13" t="s">
        <v>910</v>
      </c>
      <c r="D480" s="13" t="s">
        <v>143</v>
      </c>
      <c r="E480" s="13" t="s">
        <v>285</v>
      </c>
      <c r="F480" s="15">
        <v>2</v>
      </c>
      <c r="G480" s="15">
        <v>3250</v>
      </c>
      <c r="H480" s="15">
        <v>25.7</v>
      </c>
      <c r="I480" s="15">
        <v>4829.5</v>
      </c>
      <c r="J480" s="13" t="s">
        <v>144</v>
      </c>
      <c r="K480" s="13" t="s">
        <v>99</v>
      </c>
      <c r="L480" s="34" t="str">
        <f>VLOOKUP(D480,Products!$A$2:$F$61,3,FALSE)</f>
        <v>Home</v>
      </c>
      <c r="M480" s="34" t="str">
        <f>VLOOKUP(C480,Customers!$A$2:$F$301,5,FALSE)</f>
        <v>Retail</v>
      </c>
      <c r="N480" s="34">
        <f>VLOOKUP(C480,Customers!$A$2:$F$301,3,FALSE)</f>
        <v>55</v>
      </c>
      <c r="O480" s="34" t="str">
        <f>VLOOKUP(E480,Sales_Reps!$A$2:$E$31,3,FALSE)</f>
        <v>East</v>
      </c>
      <c r="P480" s="13" t="s">
        <v>285</v>
      </c>
      <c r="Q480" s="34">
        <f t="shared" si="18"/>
        <v>1069570.5400000003</v>
      </c>
      <c r="R480" s="34" t="str">
        <f>VLOOKUP(E480,Sales_Reps!$A$2:$E$100,3,FALSE)</f>
        <v>East</v>
      </c>
      <c r="S480" s="34" t="str">
        <f t="shared" si="19"/>
        <v>Home</v>
      </c>
      <c r="T480" s="38">
        <f>VLOOKUP(D480,Products!$A$2:$F$68,4,FALSE)</f>
        <v>1556</v>
      </c>
    </row>
    <row r="481" spans="1:20" x14ac:dyDescent="0.35">
      <c r="A481" s="13" t="s">
        <v>911</v>
      </c>
      <c r="B481" s="14">
        <v>45352</v>
      </c>
      <c r="C481" s="13" t="s">
        <v>146</v>
      </c>
      <c r="D481" s="13" t="s">
        <v>102</v>
      </c>
      <c r="E481" s="13" t="s">
        <v>107</v>
      </c>
      <c r="F481" s="15">
        <v>10</v>
      </c>
      <c r="G481" s="15">
        <v>3660</v>
      </c>
      <c r="H481" s="15">
        <v>12</v>
      </c>
      <c r="I481" s="15">
        <v>32208</v>
      </c>
      <c r="J481" s="13" t="s">
        <v>87</v>
      </c>
      <c r="K481" s="13" t="s">
        <v>88</v>
      </c>
      <c r="L481" s="34" t="str">
        <f>VLOOKUP(D481,Products!$A$2:$F$61,3,FALSE)</f>
        <v>Grocery</v>
      </c>
      <c r="M481" s="34" t="str">
        <f>VLOOKUP(C481,Customers!$A$2:$F$301,5,FALSE)</f>
        <v>Retail</v>
      </c>
      <c r="N481" s="34">
        <f>VLOOKUP(C481,Customers!$A$2:$F$301,3,FALSE)</f>
        <v>38</v>
      </c>
      <c r="O481" s="34" t="str">
        <f>VLOOKUP(E481,Sales_Reps!$A$2:$E$31,3,FALSE)</f>
        <v>North</v>
      </c>
      <c r="P481" s="13" t="s">
        <v>107</v>
      </c>
      <c r="Q481" s="34">
        <f t="shared" si="18"/>
        <v>861553.33</v>
      </c>
      <c r="R481" s="34" t="str">
        <f>VLOOKUP(E481,Sales_Reps!$A$2:$E$100,3,FALSE)</f>
        <v>North</v>
      </c>
      <c r="S481" s="34" t="str">
        <f t="shared" si="19"/>
        <v>Grocery</v>
      </c>
      <c r="T481" s="38">
        <f>VLOOKUP(D481,Products!$A$2:$F$68,4,FALSE)</f>
        <v>2214</v>
      </c>
    </row>
    <row r="482" spans="1:20" x14ac:dyDescent="0.35">
      <c r="A482" s="13" t="s">
        <v>912</v>
      </c>
      <c r="B482" s="14">
        <v>45521</v>
      </c>
      <c r="C482" s="13" t="s">
        <v>217</v>
      </c>
      <c r="D482" s="13" t="s">
        <v>151</v>
      </c>
      <c r="E482" s="13" t="s">
        <v>204</v>
      </c>
      <c r="F482" s="15">
        <v>1</v>
      </c>
      <c r="G482" s="15">
        <v>2400</v>
      </c>
      <c r="H482" s="15">
        <v>24.5</v>
      </c>
      <c r="I482" s="15">
        <v>1812</v>
      </c>
      <c r="J482" s="13" t="s">
        <v>87</v>
      </c>
      <c r="K482" s="13" t="s">
        <v>94</v>
      </c>
      <c r="L482" s="34" t="str">
        <f>VLOOKUP(D482,Products!$A$2:$F$61,3,FALSE)</f>
        <v>Sports</v>
      </c>
      <c r="M482" s="34" t="str">
        <f>VLOOKUP(C482,Customers!$A$2:$F$301,5,FALSE)</f>
        <v>Retail</v>
      </c>
      <c r="N482" s="34">
        <f>VLOOKUP(C482,Customers!$A$2:$F$301,3,FALSE)</f>
        <v>51</v>
      </c>
      <c r="O482" s="34" t="str">
        <f>VLOOKUP(E482,Sales_Reps!$A$2:$E$31,3,FALSE)</f>
        <v>South</v>
      </c>
      <c r="P482" s="13" t="s">
        <v>204</v>
      </c>
      <c r="Q482" s="34">
        <f t="shared" si="18"/>
        <v>914554.71999999986</v>
      </c>
      <c r="R482" s="34" t="str">
        <f>VLOOKUP(E482,Sales_Reps!$A$2:$E$100,3,FALSE)</f>
        <v>South</v>
      </c>
      <c r="S482" s="34" t="str">
        <f t="shared" si="19"/>
        <v>Sports</v>
      </c>
      <c r="T482" s="38">
        <f>VLOOKUP(D482,Products!$A$2:$F$68,4,FALSE)</f>
        <v>974</v>
      </c>
    </row>
    <row r="483" spans="1:20" x14ac:dyDescent="0.35">
      <c r="A483" s="13" t="s">
        <v>913</v>
      </c>
      <c r="B483" s="14">
        <v>45496</v>
      </c>
      <c r="C483" s="13" t="s">
        <v>434</v>
      </c>
      <c r="D483" s="13" t="s">
        <v>502</v>
      </c>
      <c r="E483" s="13" t="s">
        <v>132</v>
      </c>
      <c r="F483" s="15">
        <v>1</v>
      </c>
      <c r="G483" s="15">
        <v>1090</v>
      </c>
      <c r="H483" s="15">
        <v>18.399999999999999</v>
      </c>
      <c r="I483" s="15">
        <v>889.44</v>
      </c>
      <c r="J483" s="13" t="s">
        <v>87</v>
      </c>
      <c r="K483" s="13" t="s">
        <v>99</v>
      </c>
      <c r="L483" s="34" t="str">
        <f>VLOOKUP(D483,Products!$A$2:$F$61,3,FALSE)</f>
        <v>Home</v>
      </c>
      <c r="M483" s="34" t="str">
        <f>VLOOKUP(C483,Customers!$A$2:$F$301,5,FALSE)</f>
        <v>Corporate</v>
      </c>
      <c r="N483" s="34">
        <f>VLOOKUP(C483,Customers!$A$2:$F$301,3,FALSE)</f>
        <v>31</v>
      </c>
      <c r="O483" s="34" t="str">
        <f>VLOOKUP(E483,Sales_Reps!$A$2:$E$31,3,FALSE)</f>
        <v>South</v>
      </c>
      <c r="P483" s="13" t="s">
        <v>132</v>
      </c>
      <c r="Q483" s="34">
        <f t="shared" si="18"/>
        <v>880345.20000000007</v>
      </c>
      <c r="R483" s="34" t="str">
        <f>VLOOKUP(E483,Sales_Reps!$A$2:$E$100,3,FALSE)</f>
        <v>South</v>
      </c>
      <c r="S483" s="34" t="str">
        <f t="shared" si="19"/>
        <v>Home</v>
      </c>
      <c r="T483" s="38">
        <f>VLOOKUP(D483,Products!$A$2:$F$68,4,FALSE)</f>
        <v>464</v>
      </c>
    </row>
    <row r="484" spans="1:20" x14ac:dyDescent="0.35">
      <c r="A484" s="13" t="s">
        <v>914</v>
      </c>
      <c r="B484" s="14">
        <v>45404</v>
      </c>
      <c r="C484" s="13" t="s">
        <v>795</v>
      </c>
      <c r="D484" s="13" t="s">
        <v>461</v>
      </c>
      <c r="E484" s="13" t="s">
        <v>188</v>
      </c>
      <c r="F484" s="15">
        <v>6</v>
      </c>
      <c r="G484" s="15">
        <v>3780</v>
      </c>
      <c r="H484" s="15">
        <v>15.9</v>
      </c>
      <c r="I484" s="15">
        <v>19073.88</v>
      </c>
      <c r="J484" s="13" t="s">
        <v>87</v>
      </c>
      <c r="K484" s="13" t="s">
        <v>94</v>
      </c>
      <c r="L484" s="34" t="str">
        <f>VLOOKUP(D484,Products!$A$2:$F$61,3,FALSE)</f>
        <v>Sports</v>
      </c>
      <c r="M484" s="34" t="str">
        <f>VLOOKUP(C484,Customers!$A$2:$F$301,5,FALSE)</f>
        <v>Retail</v>
      </c>
      <c r="N484" s="34">
        <f>VLOOKUP(C484,Customers!$A$2:$F$301,3,FALSE)</f>
        <v>22</v>
      </c>
      <c r="O484" s="34" t="str">
        <f>VLOOKUP(E484,Sales_Reps!$A$2:$E$31,3,FALSE)</f>
        <v>South</v>
      </c>
      <c r="P484" s="13" t="s">
        <v>188</v>
      </c>
      <c r="Q484" s="34">
        <f t="shared" si="18"/>
        <v>1091740.1799999997</v>
      </c>
      <c r="R484" s="34" t="str">
        <f>VLOOKUP(E484,Sales_Reps!$A$2:$E$100,3,FALSE)</f>
        <v>South</v>
      </c>
      <c r="S484" s="34" t="str">
        <f t="shared" si="19"/>
        <v>Sports</v>
      </c>
      <c r="T484" s="38">
        <f>VLOOKUP(D484,Products!$A$2:$F$68,4,FALSE)</f>
        <v>1860</v>
      </c>
    </row>
    <row r="485" spans="1:20" x14ac:dyDescent="0.35">
      <c r="A485" s="13" t="s">
        <v>915</v>
      </c>
      <c r="B485" s="14">
        <v>45330</v>
      </c>
      <c r="C485" s="13" t="s">
        <v>479</v>
      </c>
      <c r="D485" s="13" t="s">
        <v>179</v>
      </c>
      <c r="E485" s="13" t="s">
        <v>121</v>
      </c>
      <c r="F485" s="15">
        <v>3</v>
      </c>
      <c r="G485" s="15">
        <v>3350</v>
      </c>
      <c r="H485" s="15">
        <v>18.8</v>
      </c>
      <c r="I485" s="15">
        <v>8160.6</v>
      </c>
      <c r="J485" s="13" t="s">
        <v>144</v>
      </c>
      <c r="K485" s="13" t="s">
        <v>88</v>
      </c>
      <c r="L485" s="34" t="str">
        <f>VLOOKUP(D485,Products!$A$2:$F$61,3,FALSE)</f>
        <v>Beauty</v>
      </c>
      <c r="M485" s="34" t="str">
        <f>VLOOKUP(C485,Customers!$A$2:$F$301,5,FALSE)</f>
        <v>SMB</v>
      </c>
      <c r="N485" s="34">
        <f>VLOOKUP(C485,Customers!$A$2:$F$301,3,FALSE)</f>
        <v>49</v>
      </c>
      <c r="O485" s="34" t="str">
        <f>VLOOKUP(E485,Sales_Reps!$A$2:$E$31,3,FALSE)</f>
        <v>East</v>
      </c>
      <c r="P485" s="13" t="s">
        <v>121</v>
      </c>
      <c r="Q485" s="34">
        <f t="shared" si="18"/>
        <v>971183.52000000014</v>
      </c>
      <c r="R485" s="34" t="str">
        <f>VLOOKUP(E485,Sales_Reps!$A$2:$E$100,3,FALSE)</f>
        <v>East</v>
      </c>
      <c r="S485" s="34" t="str">
        <f t="shared" si="19"/>
        <v>Beauty</v>
      </c>
      <c r="T485" s="38">
        <f>VLOOKUP(D485,Products!$A$2:$F$68,4,FALSE)</f>
        <v>1728</v>
      </c>
    </row>
    <row r="486" spans="1:20" x14ac:dyDescent="0.35">
      <c r="A486" s="13" t="s">
        <v>916</v>
      </c>
      <c r="B486" s="14">
        <v>45323</v>
      </c>
      <c r="C486" s="13" t="s">
        <v>119</v>
      </c>
      <c r="D486" s="13" t="s">
        <v>164</v>
      </c>
      <c r="E486" s="13" t="s">
        <v>170</v>
      </c>
      <c r="F486" s="15">
        <v>3</v>
      </c>
      <c r="G486" s="15">
        <v>1080</v>
      </c>
      <c r="H486" s="15">
        <v>3.4</v>
      </c>
      <c r="I486" s="15">
        <v>3129.84</v>
      </c>
      <c r="J486" s="13" t="s">
        <v>87</v>
      </c>
      <c r="K486" s="13" t="s">
        <v>117</v>
      </c>
      <c r="L486" s="34" t="str">
        <f>VLOOKUP(D486,Products!$A$2:$F$61,3,FALSE)</f>
        <v>Home</v>
      </c>
      <c r="M486" s="34" t="str">
        <f>VLOOKUP(C486,Customers!$A$2:$F$301,5,FALSE)</f>
        <v>Corporate</v>
      </c>
      <c r="N486" s="34">
        <f>VLOOKUP(C486,Customers!$A$2:$F$301,3,FALSE)</f>
        <v>57</v>
      </c>
      <c r="O486" s="34" t="str">
        <f>VLOOKUP(E486,Sales_Reps!$A$2:$E$31,3,FALSE)</f>
        <v>West</v>
      </c>
      <c r="P486" s="13" t="s">
        <v>170</v>
      </c>
      <c r="Q486" s="34">
        <f t="shared" si="18"/>
        <v>747624.36999999988</v>
      </c>
      <c r="R486" s="34" t="str">
        <f>VLOOKUP(E486,Sales_Reps!$A$2:$E$100,3,FALSE)</f>
        <v>West</v>
      </c>
      <c r="S486" s="34" t="str">
        <f t="shared" si="19"/>
        <v>Home</v>
      </c>
      <c r="T486" s="38">
        <f>VLOOKUP(D486,Products!$A$2:$F$68,4,FALSE)</f>
        <v>519</v>
      </c>
    </row>
    <row r="487" spans="1:20" x14ac:dyDescent="0.35">
      <c r="A487" s="13" t="s">
        <v>917</v>
      </c>
      <c r="B487" s="14">
        <v>45519</v>
      </c>
      <c r="C487" s="13" t="s">
        <v>318</v>
      </c>
      <c r="D487" s="13" t="s">
        <v>264</v>
      </c>
      <c r="E487" s="13" t="s">
        <v>285</v>
      </c>
      <c r="F487" s="15">
        <v>6</v>
      </c>
      <c r="G487" s="15">
        <v>4070</v>
      </c>
      <c r="H487" s="15">
        <v>27.7</v>
      </c>
      <c r="I487" s="15">
        <v>17655.66</v>
      </c>
      <c r="J487" s="13" t="s">
        <v>93</v>
      </c>
      <c r="K487" s="13" t="s">
        <v>94</v>
      </c>
      <c r="L487" s="34" t="str">
        <f>VLOOKUP(D487,Products!$A$2:$F$61,3,FALSE)</f>
        <v>Grocery</v>
      </c>
      <c r="M487" s="34" t="str">
        <f>VLOOKUP(C487,Customers!$A$2:$F$301,5,FALSE)</f>
        <v>SMB</v>
      </c>
      <c r="N487" s="34">
        <f>VLOOKUP(C487,Customers!$A$2:$F$301,3,FALSE)</f>
        <v>57</v>
      </c>
      <c r="O487" s="34" t="str">
        <f>VLOOKUP(E487,Sales_Reps!$A$2:$E$31,3,FALSE)</f>
        <v>East</v>
      </c>
      <c r="P487" s="13" t="s">
        <v>285</v>
      </c>
      <c r="Q487" s="34">
        <f t="shared" si="18"/>
        <v>1069570.5400000003</v>
      </c>
      <c r="R487" s="34" t="str">
        <f>VLOOKUP(E487,Sales_Reps!$A$2:$E$100,3,FALSE)</f>
        <v>East</v>
      </c>
      <c r="S487" s="34" t="str">
        <f t="shared" si="19"/>
        <v>Grocery</v>
      </c>
      <c r="T487" s="38">
        <f>VLOOKUP(D487,Products!$A$2:$F$68,4,FALSE)</f>
        <v>2027</v>
      </c>
    </row>
    <row r="488" spans="1:20" x14ac:dyDescent="0.35">
      <c r="A488" s="13" t="s">
        <v>918</v>
      </c>
      <c r="B488" s="14">
        <v>45514</v>
      </c>
      <c r="C488" s="13" t="s">
        <v>795</v>
      </c>
      <c r="D488" s="13" t="s">
        <v>259</v>
      </c>
      <c r="E488" s="13" t="s">
        <v>201</v>
      </c>
      <c r="F488" s="15">
        <v>5</v>
      </c>
      <c r="G488" s="15">
        <v>1540</v>
      </c>
      <c r="H488" s="15">
        <v>24.9</v>
      </c>
      <c r="I488" s="15">
        <v>5782.7</v>
      </c>
      <c r="J488" s="13" t="s">
        <v>87</v>
      </c>
      <c r="K488" s="13" t="s">
        <v>94</v>
      </c>
      <c r="L488" s="34" t="str">
        <f>VLOOKUP(D488,Products!$A$2:$F$61,3,FALSE)</f>
        <v>Beauty</v>
      </c>
      <c r="M488" s="34" t="str">
        <f>VLOOKUP(C488,Customers!$A$2:$F$301,5,FALSE)</f>
        <v>Retail</v>
      </c>
      <c r="N488" s="34">
        <f>VLOOKUP(C488,Customers!$A$2:$F$301,3,FALSE)</f>
        <v>22</v>
      </c>
      <c r="O488" s="34" t="str">
        <f>VLOOKUP(E488,Sales_Reps!$A$2:$E$31,3,FALSE)</f>
        <v>West</v>
      </c>
      <c r="P488" s="13" t="s">
        <v>201</v>
      </c>
      <c r="Q488" s="34">
        <f t="shared" si="18"/>
        <v>576305.08000000019</v>
      </c>
      <c r="R488" s="34" t="str">
        <f>VLOOKUP(E488,Sales_Reps!$A$2:$E$100,3,FALSE)</f>
        <v>West</v>
      </c>
      <c r="S488" s="34" t="str">
        <f t="shared" si="19"/>
        <v>Beauty</v>
      </c>
      <c r="T488" s="38">
        <f>VLOOKUP(D488,Products!$A$2:$F$68,4,FALSE)</f>
        <v>647</v>
      </c>
    </row>
    <row r="489" spans="1:20" x14ac:dyDescent="0.35">
      <c r="A489" s="13" t="s">
        <v>919</v>
      </c>
      <c r="B489" s="14">
        <v>45497</v>
      </c>
      <c r="C489" s="13" t="s">
        <v>394</v>
      </c>
      <c r="D489" s="13" t="s">
        <v>200</v>
      </c>
      <c r="E489" s="13" t="s">
        <v>128</v>
      </c>
      <c r="F489" s="15">
        <v>6</v>
      </c>
      <c r="G489" s="15">
        <v>2760</v>
      </c>
      <c r="H489" s="15">
        <v>29.9</v>
      </c>
      <c r="I489" s="15">
        <v>11608.56</v>
      </c>
      <c r="J489" s="13" t="s">
        <v>87</v>
      </c>
      <c r="K489" s="13" t="s">
        <v>117</v>
      </c>
      <c r="L489" s="34" t="str">
        <f>VLOOKUP(D489,Products!$A$2:$F$61,3,FALSE)</f>
        <v>Grocery</v>
      </c>
      <c r="M489" s="34" t="str">
        <f>VLOOKUP(C489,Customers!$A$2:$F$301,5,FALSE)</f>
        <v>SMB</v>
      </c>
      <c r="N489" s="34">
        <f>VLOOKUP(C489,Customers!$A$2:$F$301,3,FALSE)</f>
        <v>28</v>
      </c>
      <c r="O489" s="34" t="str">
        <f>VLOOKUP(E489,Sales_Reps!$A$2:$E$31,3,FALSE)</f>
        <v>West</v>
      </c>
      <c r="P489" s="13" t="s">
        <v>128</v>
      </c>
      <c r="Q489" s="34">
        <f t="shared" si="18"/>
        <v>880468.05</v>
      </c>
      <c r="R489" s="34" t="str">
        <f>VLOOKUP(E489,Sales_Reps!$A$2:$E$100,3,FALSE)</f>
        <v>West</v>
      </c>
      <c r="S489" s="34" t="str">
        <f t="shared" si="19"/>
        <v>Grocery</v>
      </c>
      <c r="T489" s="38">
        <f>VLOOKUP(D489,Products!$A$2:$F$68,4,FALSE)</f>
        <v>1435</v>
      </c>
    </row>
    <row r="490" spans="1:20" x14ac:dyDescent="0.35">
      <c r="A490" s="13" t="s">
        <v>920</v>
      </c>
      <c r="B490" s="14">
        <v>45639</v>
      </c>
      <c r="C490" s="13" t="s">
        <v>921</v>
      </c>
      <c r="D490" s="13" t="s">
        <v>408</v>
      </c>
      <c r="E490" s="13" t="s">
        <v>285</v>
      </c>
      <c r="F490" s="15">
        <v>8</v>
      </c>
      <c r="G490" s="15">
        <v>3970</v>
      </c>
      <c r="H490" s="15">
        <v>23.7</v>
      </c>
      <c r="I490" s="15">
        <v>24232.880000000001</v>
      </c>
      <c r="J490" s="13" t="s">
        <v>87</v>
      </c>
      <c r="K490" s="13" t="s">
        <v>117</v>
      </c>
      <c r="L490" s="34" t="str">
        <f>VLOOKUP(D490,Products!$A$2:$F$61,3,FALSE)</f>
        <v>Electronics</v>
      </c>
      <c r="M490" s="34" t="str">
        <f>VLOOKUP(C490,Customers!$A$2:$F$301,5,FALSE)</f>
        <v>Retail</v>
      </c>
      <c r="N490" s="34">
        <f>VLOOKUP(C490,Customers!$A$2:$F$301,3,FALSE)</f>
        <v>28</v>
      </c>
      <c r="O490" s="34" t="str">
        <f>VLOOKUP(E490,Sales_Reps!$A$2:$E$31,3,FALSE)</f>
        <v>East</v>
      </c>
      <c r="P490" s="13" t="s">
        <v>285</v>
      </c>
      <c r="Q490" s="34">
        <f t="shared" si="18"/>
        <v>1069570.5400000003</v>
      </c>
      <c r="R490" s="34" t="str">
        <f>VLOOKUP(E490,Sales_Reps!$A$2:$E$100,3,FALSE)</f>
        <v>East</v>
      </c>
      <c r="S490" s="34" t="str">
        <f t="shared" si="19"/>
        <v>Electronics</v>
      </c>
      <c r="T490" s="38">
        <f>VLOOKUP(D490,Products!$A$2:$F$68,4,FALSE)</f>
        <v>2865</v>
      </c>
    </row>
    <row r="491" spans="1:20" x14ac:dyDescent="0.35">
      <c r="A491" s="13" t="s">
        <v>922</v>
      </c>
      <c r="B491" s="14">
        <v>45562</v>
      </c>
      <c r="C491" s="13" t="s">
        <v>902</v>
      </c>
      <c r="D491" s="13" t="s">
        <v>452</v>
      </c>
      <c r="E491" s="13" t="s">
        <v>158</v>
      </c>
      <c r="F491" s="15">
        <v>1</v>
      </c>
      <c r="G491" s="15">
        <v>3450</v>
      </c>
      <c r="H491" s="15">
        <v>7.4</v>
      </c>
      <c r="I491" s="15">
        <v>3194.7</v>
      </c>
      <c r="J491" s="13" t="s">
        <v>87</v>
      </c>
      <c r="K491" s="13" t="s">
        <v>112</v>
      </c>
      <c r="L491" s="34" t="str">
        <f>VLOOKUP(D491,Products!$A$2:$F$61,3,FALSE)</f>
        <v>Apparel</v>
      </c>
      <c r="M491" s="34" t="str">
        <f>VLOOKUP(C491,Customers!$A$2:$F$301,5,FALSE)</f>
        <v>Retail</v>
      </c>
      <c r="N491" s="34">
        <f>VLOOKUP(C491,Customers!$A$2:$F$301,3,FALSE)</f>
        <v>37</v>
      </c>
      <c r="O491" s="34" t="str">
        <f>VLOOKUP(E491,Sales_Reps!$A$2:$E$31,3,FALSE)</f>
        <v>East</v>
      </c>
      <c r="P491" s="13" t="s">
        <v>158</v>
      </c>
      <c r="Q491" s="34">
        <f t="shared" si="18"/>
        <v>761507.17000000027</v>
      </c>
      <c r="R491" s="34" t="str">
        <f>VLOOKUP(E491,Sales_Reps!$A$2:$E$100,3,FALSE)</f>
        <v>East</v>
      </c>
      <c r="S491" s="34" t="str">
        <f t="shared" si="19"/>
        <v>Apparel</v>
      </c>
      <c r="T491" s="38">
        <f>VLOOKUP(D491,Products!$A$2:$F$68,4,FALSE)</f>
        <v>1748</v>
      </c>
    </row>
    <row r="492" spans="1:20" x14ac:dyDescent="0.35">
      <c r="A492" s="13" t="s">
        <v>923</v>
      </c>
      <c r="B492" s="14">
        <v>45308</v>
      </c>
      <c r="C492" s="13" t="s">
        <v>504</v>
      </c>
      <c r="D492" s="13" t="s">
        <v>659</v>
      </c>
      <c r="E492" s="13" t="s">
        <v>92</v>
      </c>
      <c r="F492" s="15">
        <v>3</v>
      </c>
      <c r="G492" s="15">
        <v>3560</v>
      </c>
      <c r="H492" s="15">
        <v>15.2</v>
      </c>
      <c r="I492" s="15">
        <v>9056.64</v>
      </c>
      <c r="J492" s="13" t="s">
        <v>87</v>
      </c>
      <c r="K492" s="13" t="s">
        <v>117</v>
      </c>
      <c r="L492" s="34" t="str">
        <f>VLOOKUP(D492,Products!$A$2:$F$61,3,FALSE)</f>
        <v>Apparel</v>
      </c>
      <c r="M492" s="34" t="str">
        <f>VLOOKUP(C492,Customers!$A$2:$F$301,5,FALSE)</f>
        <v>Corporate</v>
      </c>
      <c r="N492" s="34">
        <f>VLOOKUP(C492,Customers!$A$2:$F$301,3,FALSE)</f>
        <v>36</v>
      </c>
      <c r="O492" s="34" t="str">
        <f>VLOOKUP(E492,Sales_Reps!$A$2:$E$31,3,FALSE)</f>
        <v>North</v>
      </c>
      <c r="P492" s="13" t="s">
        <v>92</v>
      </c>
      <c r="Q492" s="34">
        <f t="shared" si="18"/>
        <v>782445.33</v>
      </c>
      <c r="R492" s="34" t="str">
        <f>VLOOKUP(E492,Sales_Reps!$A$2:$E$100,3,FALSE)</f>
        <v>North</v>
      </c>
      <c r="S492" s="34" t="str">
        <f t="shared" si="19"/>
        <v>Apparel</v>
      </c>
      <c r="T492" s="38">
        <f>VLOOKUP(D492,Products!$A$2:$F$68,4,FALSE)</f>
        <v>2629</v>
      </c>
    </row>
    <row r="493" spans="1:20" x14ac:dyDescent="0.35">
      <c r="A493" s="13" t="s">
        <v>924</v>
      </c>
      <c r="B493" s="14">
        <v>45428</v>
      </c>
      <c r="C493" s="13" t="s">
        <v>487</v>
      </c>
      <c r="D493" s="13" t="s">
        <v>187</v>
      </c>
      <c r="E493" s="13" t="s">
        <v>170</v>
      </c>
      <c r="F493" s="15">
        <v>4</v>
      </c>
      <c r="G493" s="15">
        <v>3570</v>
      </c>
      <c r="H493" s="15">
        <v>18.899999999999999</v>
      </c>
      <c r="I493" s="15">
        <v>11581.08</v>
      </c>
      <c r="J493" s="13" t="s">
        <v>87</v>
      </c>
      <c r="K493" s="13" t="s">
        <v>88</v>
      </c>
      <c r="L493" s="34" t="str">
        <f>VLOOKUP(D493,Products!$A$2:$F$61,3,FALSE)</f>
        <v>Electronics</v>
      </c>
      <c r="M493" s="34" t="str">
        <f>VLOOKUP(C493,Customers!$A$2:$F$301,5,FALSE)</f>
        <v>Corporate</v>
      </c>
      <c r="N493" s="34">
        <f>VLOOKUP(C493,Customers!$A$2:$F$301,3,FALSE)</f>
        <v>29</v>
      </c>
      <c r="O493" s="34" t="str">
        <f>VLOOKUP(E493,Sales_Reps!$A$2:$E$31,3,FALSE)</f>
        <v>West</v>
      </c>
      <c r="P493" s="13" t="s">
        <v>170</v>
      </c>
      <c r="Q493" s="34">
        <f t="shared" si="18"/>
        <v>747624.36999999988</v>
      </c>
      <c r="R493" s="34" t="str">
        <f>VLOOKUP(E493,Sales_Reps!$A$2:$E$100,3,FALSE)</f>
        <v>West</v>
      </c>
      <c r="S493" s="34" t="str">
        <f t="shared" si="19"/>
        <v>Electronics</v>
      </c>
      <c r="T493" s="38">
        <f>VLOOKUP(D493,Products!$A$2:$F$68,4,FALSE)</f>
        <v>1665</v>
      </c>
    </row>
    <row r="494" spans="1:20" x14ac:dyDescent="0.35">
      <c r="A494" s="13" t="s">
        <v>925</v>
      </c>
      <c r="B494" s="14">
        <v>45472</v>
      </c>
      <c r="C494" s="13" t="s">
        <v>507</v>
      </c>
      <c r="D494" s="13" t="s">
        <v>115</v>
      </c>
      <c r="E494" s="13" t="s">
        <v>111</v>
      </c>
      <c r="F494" s="15">
        <v>9</v>
      </c>
      <c r="G494" s="15">
        <v>960</v>
      </c>
      <c r="H494" s="15">
        <v>14</v>
      </c>
      <c r="I494" s="15">
        <v>7430.4</v>
      </c>
      <c r="J494" s="13" t="s">
        <v>144</v>
      </c>
      <c r="K494" s="13" t="s">
        <v>88</v>
      </c>
      <c r="L494" s="34" t="str">
        <f>VLOOKUP(D494,Products!$A$2:$F$61,3,FALSE)</f>
        <v>Sports</v>
      </c>
      <c r="M494" s="34" t="str">
        <f>VLOOKUP(C494,Customers!$A$2:$F$301,5,FALSE)</f>
        <v>Retail</v>
      </c>
      <c r="N494" s="34">
        <f>VLOOKUP(C494,Customers!$A$2:$F$301,3,FALSE)</f>
        <v>59</v>
      </c>
      <c r="O494" s="34" t="str">
        <f>VLOOKUP(E494,Sales_Reps!$A$2:$E$31,3,FALSE)</f>
        <v>West</v>
      </c>
      <c r="P494" s="13" t="s">
        <v>111</v>
      </c>
      <c r="Q494" s="34">
        <f t="shared" si="18"/>
        <v>901298.89</v>
      </c>
      <c r="R494" s="34" t="str">
        <f>VLOOKUP(E494,Sales_Reps!$A$2:$E$100,3,FALSE)</f>
        <v>West</v>
      </c>
      <c r="S494" s="34" t="str">
        <f t="shared" si="19"/>
        <v>Sports</v>
      </c>
      <c r="T494" s="38">
        <f>VLOOKUP(D494,Products!$A$2:$F$68,4,FALSE)</f>
        <v>705</v>
      </c>
    </row>
    <row r="495" spans="1:20" x14ac:dyDescent="0.35">
      <c r="A495" s="13" t="s">
        <v>926</v>
      </c>
      <c r="B495" s="14">
        <v>45406</v>
      </c>
      <c r="C495" s="13" t="s">
        <v>703</v>
      </c>
      <c r="D495" s="13" t="s">
        <v>157</v>
      </c>
      <c r="E495" s="13" t="s">
        <v>346</v>
      </c>
      <c r="F495" s="15">
        <v>9</v>
      </c>
      <c r="G495" s="15">
        <v>3450</v>
      </c>
      <c r="H495" s="15">
        <v>6</v>
      </c>
      <c r="I495" s="15">
        <v>29187</v>
      </c>
      <c r="J495" s="13" t="s">
        <v>140</v>
      </c>
      <c r="K495" s="13" t="s">
        <v>88</v>
      </c>
      <c r="L495" s="34" t="str">
        <f>VLOOKUP(D495,Products!$A$2:$F$61,3,FALSE)</f>
        <v>Beauty</v>
      </c>
      <c r="M495" s="34" t="str">
        <f>VLOOKUP(C495,Customers!$A$2:$F$301,5,FALSE)</f>
        <v>Corporate</v>
      </c>
      <c r="N495" s="34">
        <f>VLOOKUP(C495,Customers!$A$2:$F$301,3,FALSE)</f>
        <v>52</v>
      </c>
      <c r="O495" s="34" t="str">
        <f>VLOOKUP(E495,Sales_Reps!$A$2:$E$31,3,FALSE)</f>
        <v>South</v>
      </c>
      <c r="P495" s="13" t="s">
        <v>346</v>
      </c>
      <c r="Q495" s="34">
        <f t="shared" si="18"/>
        <v>814563.7100000002</v>
      </c>
      <c r="R495" s="34" t="str">
        <f>VLOOKUP(E495,Sales_Reps!$A$2:$E$100,3,FALSE)</f>
        <v>South</v>
      </c>
      <c r="S495" s="34" t="str">
        <f t="shared" si="19"/>
        <v>Beauty</v>
      </c>
      <c r="T495" s="38">
        <f>VLOOKUP(D495,Products!$A$2:$F$68,4,FALSE)</f>
        <v>2420</v>
      </c>
    </row>
    <row r="496" spans="1:20" x14ac:dyDescent="0.35">
      <c r="A496" s="13" t="s">
        <v>927</v>
      </c>
      <c r="B496" s="14">
        <v>45457</v>
      </c>
      <c r="C496" s="13" t="s">
        <v>403</v>
      </c>
      <c r="D496" s="13" t="s">
        <v>179</v>
      </c>
      <c r="E496" s="13" t="s">
        <v>325</v>
      </c>
      <c r="F496" s="15">
        <v>7</v>
      </c>
      <c r="G496" s="15">
        <v>3350</v>
      </c>
      <c r="H496" s="15">
        <v>14</v>
      </c>
      <c r="I496" s="15">
        <v>20167</v>
      </c>
      <c r="J496" s="13" t="s">
        <v>140</v>
      </c>
      <c r="K496" s="13" t="s">
        <v>117</v>
      </c>
      <c r="L496" s="34" t="str">
        <f>VLOOKUP(D496,Products!$A$2:$F$61,3,FALSE)</f>
        <v>Beauty</v>
      </c>
      <c r="M496" s="34" t="str">
        <f>VLOOKUP(C496,Customers!$A$2:$F$301,5,FALSE)</f>
        <v>Retail</v>
      </c>
      <c r="N496" s="34">
        <f>VLOOKUP(C496,Customers!$A$2:$F$301,3,FALSE)</f>
        <v>59</v>
      </c>
      <c r="O496" s="34" t="str">
        <f>VLOOKUP(E496,Sales_Reps!$A$2:$E$31,3,FALSE)</f>
        <v>South</v>
      </c>
      <c r="P496" s="13" t="s">
        <v>325</v>
      </c>
      <c r="Q496" s="34">
        <f t="shared" si="18"/>
        <v>901394.32000000007</v>
      </c>
      <c r="R496" s="34" t="str">
        <f>VLOOKUP(E496,Sales_Reps!$A$2:$E$100,3,FALSE)</f>
        <v>South</v>
      </c>
      <c r="S496" s="34" t="str">
        <f t="shared" si="19"/>
        <v>Beauty</v>
      </c>
      <c r="T496" s="38">
        <f>VLOOKUP(D496,Products!$A$2:$F$68,4,FALSE)</f>
        <v>1728</v>
      </c>
    </row>
    <row r="497" spans="1:20" x14ac:dyDescent="0.35">
      <c r="A497" s="13" t="s">
        <v>928</v>
      </c>
      <c r="B497" s="14">
        <v>45298</v>
      </c>
      <c r="C497" s="13" t="s">
        <v>291</v>
      </c>
      <c r="D497" s="13" t="s">
        <v>380</v>
      </c>
      <c r="E497" s="13" t="s">
        <v>139</v>
      </c>
      <c r="F497" s="15">
        <v>6</v>
      </c>
      <c r="G497" s="15">
        <v>960</v>
      </c>
      <c r="H497" s="15">
        <v>10.1</v>
      </c>
      <c r="I497" s="15">
        <v>5178.24</v>
      </c>
      <c r="J497" s="13" t="s">
        <v>87</v>
      </c>
      <c r="K497" s="13" t="s">
        <v>99</v>
      </c>
      <c r="L497" s="34" t="str">
        <f>VLOOKUP(D497,Products!$A$2:$F$61,3,FALSE)</f>
        <v>Beauty</v>
      </c>
      <c r="M497" s="34" t="str">
        <f>VLOOKUP(C497,Customers!$A$2:$F$301,5,FALSE)</f>
        <v>Retail</v>
      </c>
      <c r="N497" s="34">
        <f>VLOOKUP(C497,Customers!$A$2:$F$301,3,FALSE)</f>
        <v>35</v>
      </c>
      <c r="O497" s="34" t="str">
        <f>VLOOKUP(E497,Sales_Reps!$A$2:$E$31,3,FALSE)</f>
        <v>North</v>
      </c>
      <c r="P497" s="13" t="s">
        <v>139</v>
      </c>
      <c r="Q497" s="34">
        <f t="shared" si="18"/>
        <v>589026.2899999998</v>
      </c>
      <c r="R497" s="34" t="str">
        <f>VLOOKUP(E497,Sales_Reps!$A$2:$E$100,3,FALSE)</f>
        <v>North</v>
      </c>
      <c r="S497" s="34" t="str">
        <f t="shared" si="19"/>
        <v>Beauty</v>
      </c>
      <c r="T497" s="38">
        <f>VLOOKUP(D497,Products!$A$2:$F$68,4,FALSE)</f>
        <v>675</v>
      </c>
    </row>
    <row r="498" spans="1:20" x14ac:dyDescent="0.35">
      <c r="A498" s="13" t="s">
        <v>929</v>
      </c>
      <c r="B498" s="14">
        <v>45337</v>
      </c>
      <c r="C498" s="13" t="s">
        <v>137</v>
      </c>
      <c r="D498" s="13" t="s">
        <v>282</v>
      </c>
      <c r="E498" s="13" t="s">
        <v>346</v>
      </c>
      <c r="F498" s="15">
        <v>7</v>
      </c>
      <c r="G498" s="15">
        <v>300</v>
      </c>
      <c r="H498" s="15">
        <v>21.9</v>
      </c>
      <c r="I498" s="15">
        <v>1640.1</v>
      </c>
      <c r="J498" s="13" t="s">
        <v>87</v>
      </c>
      <c r="K498" s="13" t="s">
        <v>99</v>
      </c>
      <c r="L498" s="34" t="str">
        <f>VLOOKUP(D498,Products!$A$2:$F$61,3,FALSE)</f>
        <v>Electronics</v>
      </c>
      <c r="M498" s="34" t="str">
        <f>VLOOKUP(C498,Customers!$A$2:$F$301,5,FALSE)</f>
        <v>SMB</v>
      </c>
      <c r="N498" s="34">
        <f>VLOOKUP(C498,Customers!$A$2:$F$301,3,FALSE)</f>
        <v>27</v>
      </c>
      <c r="O498" s="34" t="str">
        <f>VLOOKUP(E498,Sales_Reps!$A$2:$E$31,3,FALSE)</f>
        <v>South</v>
      </c>
      <c r="P498" s="13" t="s">
        <v>346</v>
      </c>
      <c r="Q498" s="34">
        <f t="shared" si="18"/>
        <v>814563.7100000002</v>
      </c>
      <c r="R498" s="34" t="str">
        <f>VLOOKUP(E498,Sales_Reps!$A$2:$E$100,3,FALSE)</f>
        <v>South</v>
      </c>
      <c r="S498" s="34" t="str">
        <f t="shared" si="19"/>
        <v>Electronics</v>
      </c>
      <c r="T498" s="38">
        <f>VLOOKUP(D498,Products!$A$2:$F$68,4,FALSE)</f>
        <v>128</v>
      </c>
    </row>
    <row r="499" spans="1:20" x14ac:dyDescent="0.35">
      <c r="A499" s="13" t="s">
        <v>930</v>
      </c>
      <c r="B499" s="14">
        <v>45389</v>
      </c>
      <c r="C499" s="13" t="s">
        <v>539</v>
      </c>
      <c r="D499" s="13" t="s">
        <v>367</v>
      </c>
      <c r="E499" s="13" t="s">
        <v>121</v>
      </c>
      <c r="F499" s="15">
        <v>2</v>
      </c>
      <c r="G499" s="15">
        <v>2380</v>
      </c>
      <c r="H499" s="15">
        <v>6.8</v>
      </c>
      <c r="I499" s="15">
        <v>4436.32</v>
      </c>
      <c r="J499" s="13" t="s">
        <v>87</v>
      </c>
      <c r="K499" s="13" t="s">
        <v>133</v>
      </c>
      <c r="L499" s="34" t="str">
        <f>VLOOKUP(D499,Products!$A$2:$F$61,3,FALSE)</f>
        <v>Grocery</v>
      </c>
      <c r="M499" s="34" t="str">
        <f>VLOOKUP(C499,Customers!$A$2:$F$301,5,FALSE)</f>
        <v>Retail</v>
      </c>
      <c r="N499" s="34">
        <f>VLOOKUP(C499,Customers!$A$2:$F$301,3,FALSE)</f>
        <v>38</v>
      </c>
      <c r="O499" s="34" t="str">
        <f>VLOOKUP(E499,Sales_Reps!$A$2:$E$31,3,FALSE)</f>
        <v>East</v>
      </c>
      <c r="P499" s="13" t="s">
        <v>121</v>
      </c>
      <c r="Q499" s="34">
        <f t="shared" si="18"/>
        <v>971183.52000000014</v>
      </c>
      <c r="R499" s="34" t="str">
        <f>VLOOKUP(E499,Sales_Reps!$A$2:$E$100,3,FALSE)</f>
        <v>East</v>
      </c>
      <c r="S499" s="34" t="str">
        <f t="shared" si="19"/>
        <v>Grocery</v>
      </c>
      <c r="T499" s="38">
        <f>VLOOKUP(D499,Products!$A$2:$F$68,4,FALSE)</f>
        <v>1182</v>
      </c>
    </row>
    <row r="500" spans="1:20" x14ac:dyDescent="0.35">
      <c r="A500" s="13" t="s">
        <v>931</v>
      </c>
      <c r="B500" s="14">
        <v>45298</v>
      </c>
      <c r="C500" s="13" t="s">
        <v>759</v>
      </c>
      <c r="D500" s="13" t="s">
        <v>115</v>
      </c>
      <c r="E500" s="13" t="s">
        <v>116</v>
      </c>
      <c r="F500" s="15">
        <v>5</v>
      </c>
      <c r="G500" s="15">
        <v>960</v>
      </c>
      <c r="H500" s="15">
        <v>15</v>
      </c>
      <c r="I500" s="15">
        <v>4080</v>
      </c>
      <c r="J500" s="13" t="s">
        <v>140</v>
      </c>
      <c r="K500" s="13" t="s">
        <v>117</v>
      </c>
      <c r="L500" s="34" t="str">
        <f>VLOOKUP(D500,Products!$A$2:$F$61,3,FALSE)</f>
        <v>Sports</v>
      </c>
      <c r="M500" s="34" t="str">
        <f>VLOOKUP(C500,Customers!$A$2:$F$301,5,FALSE)</f>
        <v>Retail</v>
      </c>
      <c r="N500" s="34">
        <f>VLOOKUP(C500,Customers!$A$2:$F$301,3,FALSE)</f>
        <v>29</v>
      </c>
      <c r="O500" s="34" t="str">
        <f>VLOOKUP(E500,Sales_Reps!$A$2:$E$31,3,FALSE)</f>
        <v>West</v>
      </c>
      <c r="P500" s="13" t="s">
        <v>116</v>
      </c>
      <c r="Q500" s="34">
        <f t="shared" si="18"/>
        <v>819558.58</v>
      </c>
      <c r="R500" s="34" t="str">
        <f>VLOOKUP(E500,Sales_Reps!$A$2:$E$100,3,FALSE)</f>
        <v>West</v>
      </c>
      <c r="S500" s="34" t="str">
        <f t="shared" si="19"/>
        <v>Sports</v>
      </c>
      <c r="T500" s="38">
        <f>VLOOKUP(D500,Products!$A$2:$F$68,4,FALSE)</f>
        <v>705</v>
      </c>
    </row>
    <row r="501" spans="1:20" x14ac:dyDescent="0.35">
      <c r="A501" s="13" t="s">
        <v>932</v>
      </c>
      <c r="B501" s="14">
        <v>45577</v>
      </c>
      <c r="C501" s="13" t="s">
        <v>272</v>
      </c>
      <c r="D501" s="13" t="s">
        <v>461</v>
      </c>
      <c r="E501" s="13" t="s">
        <v>325</v>
      </c>
      <c r="F501" s="15">
        <v>10</v>
      </c>
      <c r="G501" s="15">
        <v>3780</v>
      </c>
      <c r="H501" s="15">
        <v>24.1</v>
      </c>
      <c r="I501" s="15">
        <v>28690.2</v>
      </c>
      <c r="J501" s="13" t="s">
        <v>144</v>
      </c>
      <c r="K501" s="13" t="s">
        <v>94</v>
      </c>
      <c r="L501" s="34" t="str">
        <f>VLOOKUP(D501,Products!$A$2:$F$61,3,FALSE)</f>
        <v>Sports</v>
      </c>
      <c r="M501" s="34" t="str">
        <f>VLOOKUP(C501,Customers!$A$2:$F$301,5,FALSE)</f>
        <v>SMB</v>
      </c>
      <c r="N501" s="34">
        <f>VLOOKUP(C501,Customers!$A$2:$F$301,3,FALSE)</f>
        <v>55</v>
      </c>
      <c r="O501" s="34" t="str">
        <f>VLOOKUP(E501,Sales_Reps!$A$2:$E$31,3,FALSE)</f>
        <v>South</v>
      </c>
      <c r="P501" s="13" t="s">
        <v>325</v>
      </c>
      <c r="Q501" s="34">
        <f t="shared" si="18"/>
        <v>901394.32000000007</v>
      </c>
      <c r="R501" s="34" t="str">
        <f>VLOOKUP(E501,Sales_Reps!$A$2:$E$100,3,FALSE)</f>
        <v>South</v>
      </c>
      <c r="S501" s="34" t="str">
        <f t="shared" si="19"/>
        <v>Sports</v>
      </c>
      <c r="T501" s="38">
        <f>VLOOKUP(D501,Products!$A$2:$F$68,4,FALSE)</f>
        <v>1860</v>
      </c>
    </row>
    <row r="502" spans="1:20" x14ac:dyDescent="0.35">
      <c r="A502" s="13" t="s">
        <v>933</v>
      </c>
      <c r="B502" s="14">
        <v>45355</v>
      </c>
      <c r="C502" s="13" t="s">
        <v>217</v>
      </c>
      <c r="D502" s="13" t="s">
        <v>259</v>
      </c>
      <c r="E502" s="13" t="s">
        <v>192</v>
      </c>
      <c r="F502" s="15">
        <v>4</v>
      </c>
      <c r="G502" s="15">
        <v>1540</v>
      </c>
      <c r="H502" s="15">
        <v>14.2</v>
      </c>
      <c r="I502" s="15">
        <v>5285.28</v>
      </c>
      <c r="J502" s="13" t="s">
        <v>140</v>
      </c>
      <c r="K502" s="13" t="s">
        <v>94</v>
      </c>
      <c r="L502" s="34" t="str">
        <f>VLOOKUP(D502,Products!$A$2:$F$61,3,FALSE)</f>
        <v>Beauty</v>
      </c>
      <c r="M502" s="34" t="str">
        <f>VLOOKUP(C502,Customers!$A$2:$F$301,5,FALSE)</f>
        <v>Retail</v>
      </c>
      <c r="N502" s="34">
        <f>VLOOKUP(C502,Customers!$A$2:$F$301,3,FALSE)</f>
        <v>51</v>
      </c>
      <c r="O502" s="34" t="str">
        <f>VLOOKUP(E502,Sales_Reps!$A$2:$E$31,3,FALSE)</f>
        <v>East</v>
      </c>
      <c r="P502" s="13" t="s">
        <v>192</v>
      </c>
      <c r="Q502" s="34">
        <f t="shared" si="18"/>
        <v>906107.71000000008</v>
      </c>
      <c r="R502" s="34" t="str">
        <f>VLOOKUP(E502,Sales_Reps!$A$2:$E$100,3,FALSE)</f>
        <v>East</v>
      </c>
      <c r="S502" s="34" t="str">
        <f t="shared" si="19"/>
        <v>Beauty</v>
      </c>
      <c r="T502" s="38">
        <f>VLOOKUP(D502,Products!$A$2:$F$68,4,FALSE)</f>
        <v>647</v>
      </c>
    </row>
    <row r="503" spans="1:20" x14ac:dyDescent="0.35">
      <c r="A503" s="13" t="s">
        <v>934</v>
      </c>
      <c r="B503" s="14">
        <v>45463</v>
      </c>
      <c r="C503" s="13" t="s">
        <v>835</v>
      </c>
      <c r="D503" s="13" t="s">
        <v>355</v>
      </c>
      <c r="E503" s="13" t="s">
        <v>92</v>
      </c>
      <c r="F503" s="15">
        <v>10</v>
      </c>
      <c r="G503" s="15">
        <v>2510</v>
      </c>
      <c r="H503" s="15">
        <v>20.8</v>
      </c>
      <c r="I503" s="15">
        <v>19879.2</v>
      </c>
      <c r="J503" s="13" t="s">
        <v>87</v>
      </c>
      <c r="K503" s="13" t="s">
        <v>117</v>
      </c>
      <c r="L503" s="34" t="str">
        <f>VLOOKUP(D503,Products!$A$2:$F$61,3,FALSE)</f>
        <v>Apparel</v>
      </c>
      <c r="M503" s="34" t="str">
        <f>VLOOKUP(C503,Customers!$A$2:$F$301,5,FALSE)</f>
        <v>Retail</v>
      </c>
      <c r="N503" s="34">
        <f>VLOOKUP(C503,Customers!$A$2:$F$301,3,FALSE)</f>
        <v>52</v>
      </c>
      <c r="O503" s="34" t="str">
        <f>VLOOKUP(E503,Sales_Reps!$A$2:$E$31,3,FALSE)</f>
        <v>North</v>
      </c>
      <c r="P503" s="13" t="s">
        <v>92</v>
      </c>
      <c r="Q503" s="34">
        <f t="shared" si="18"/>
        <v>782445.33</v>
      </c>
      <c r="R503" s="34" t="str">
        <f>VLOOKUP(E503,Sales_Reps!$A$2:$E$100,3,FALSE)</f>
        <v>North</v>
      </c>
      <c r="S503" s="34" t="str">
        <f t="shared" si="19"/>
        <v>Apparel</v>
      </c>
      <c r="T503" s="38">
        <f>VLOOKUP(D503,Products!$A$2:$F$68,4,FALSE)</f>
        <v>1075</v>
      </c>
    </row>
    <row r="504" spans="1:20" x14ac:dyDescent="0.35">
      <c r="A504" s="13" t="s">
        <v>935</v>
      </c>
      <c r="B504" s="14">
        <v>45374</v>
      </c>
      <c r="C504" s="13" t="s">
        <v>388</v>
      </c>
      <c r="D504" s="13" t="s">
        <v>351</v>
      </c>
      <c r="E504" s="13" t="s">
        <v>98</v>
      </c>
      <c r="F504" s="15">
        <v>9</v>
      </c>
      <c r="G504" s="15">
        <v>4060</v>
      </c>
      <c r="H504" s="15">
        <v>27.1</v>
      </c>
      <c r="I504" s="15">
        <v>26637.66</v>
      </c>
      <c r="J504" s="13" t="s">
        <v>87</v>
      </c>
      <c r="K504" s="13" t="s">
        <v>133</v>
      </c>
      <c r="L504" s="34" t="str">
        <f>VLOOKUP(D504,Products!$A$2:$F$61,3,FALSE)</f>
        <v>Grocery</v>
      </c>
      <c r="M504" s="34" t="str">
        <f>VLOOKUP(C504,Customers!$A$2:$F$301,5,FALSE)</f>
        <v>Retail</v>
      </c>
      <c r="N504" s="34">
        <f>VLOOKUP(C504,Customers!$A$2:$F$301,3,FALSE)</f>
        <v>44</v>
      </c>
      <c r="O504" s="34" t="str">
        <f>VLOOKUP(E504,Sales_Reps!$A$2:$E$31,3,FALSE)</f>
        <v>South</v>
      </c>
      <c r="P504" s="13" t="s">
        <v>98</v>
      </c>
      <c r="Q504" s="34">
        <f t="shared" si="18"/>
        <v>995713.54000000015</v>
      </c>
      <c r="R504" s="34" t="str">
        <f>VLOOKUP(E504,Sales_Reps!$A$2:$E$100,3,FALSE)</f>
        <v>South</v>
      </c>
      <c r="S504" s="34" t="str">
        <f t="shared" si="19"/>
        <v>Grocery</v>
      </c>
      <c r="T504" s="38">
        <f>VLOOKUP(D504,Products!$A$2:$F$68,4,FALSE)</f>
        <v>2911</v>
      </c>
    </row>
    <row r="505" spans="1:20" x14ac:dyDescent="0.35">
      <c r="A505" s="13" t="s">
        <v>936</v>
      </c>
      <c r="B505" s="14">
        <v>45638</v>
      </c>
      <c r="C505" s="13" t="s">
        <v>359</v>
      </c>
      <c r="D505" s="13" t="s">
        <v>151</v>
      </c>
      <c r="E505" s="13" t="s">
        <v>111</v>
      </c>
      <c r="F505" s="15">
        <v>4</v>
      </c>
      <c r="G505" s="15">
        <v>2400</v>
      </c>
      <c r="H505" s="15">
        <v>19.100000000000001</v>
      </c>
      <c r="I505" s="15">
        <v>7766.4</v>
      </c>
      <c r="J505" s="13" t="s">
        <v>87</v>
      </c>
      <c r="K505" s="13" t="s">
        <v>99</v>
      </c>
      <c r="L505" s="34" t="str">
        <f>VLOOKUP(D505,Products!$A$2:$F$61,3,FALSE)</f>
        <v>Sports</v>
      </c>
      <c r="M505" s="34" t="str">
        <f>VLOOKUP(C505,Customers!$A$2:$F$301,5,FALSE)</f>
        <v>SMB</v>
      </c>
      <c r="N505" s="34">
        <f>VLOOKUP(C505,Customers!$A$2:$F$301,3,FALSE)</f>
        <v>28</v>
      </c>
      <c r="O505" s="34" t="str">
        <f>VLOOKUP(E505,Sales_Reps!$A$2:$E$31,3,FALSE)</f>
        <v>West</v>
      </c>
      <c r="P505" s="13" t="s">
        <v>111</v>
      </c>
      <c r="Q505" s="34">
        <f t="shared" si="18"/>
        <v>901298.89</v>
      </c>
      <c r="R505" s="34" t="str">
        <f>VLOOKUP(E505,Sales_Reps!$A$2:$E$100,3,FALSE)</f>
        <v>West</v>
      </c>
      <c r="S505" s="34" t="str">
        <f t="shared" si="19"/>
        <v>Sports</v>
      </c>
      <c r="T505" s="38">
        <f>VLOOKUP(D505,Products!$A$2:$F$68,4,FALSE)</f>
        <v>974</v>
      </c>
    </row>
    <row r="506" spans="1:20" x14ac:dyDescent="0.35">
      <c r="A506" s="13" t="s">
        <v>937</v>
      </c>
      <c r="B506" s="14">
        <v>45525</v>
      </c>
      <c r="C506" s="13" t="s">
        <v>101</v>
      </c>
      <c r="D506" s="13" t="s">
        <v>184</v>
      </c>
      <c r="E506" s="13" t="s">
        <v>285</v>
      </c>
      <c r="F506" s="15">
        <v>8</v>
      </c>
      <c r="G506" s="15">
        <v>4880</v>
      </c>
      <c r="H506" s="15">
        <v>9.1999999999999993</v>
      </c>
      <c r="I506" s="15">
        <v>35448.32</v>
      </c>
      <c r="J506" s="13" t="s">
        <v>140</v>
      </c>
      <c r="K506" s="13" t="s">
        <v>99</v>
      </c>
      <c r="L506" s="34" t="str">
        <f>VLOOKUP(D506,Products!$A$2:$F$61,3,FALSE)</f>
        <v>Beauty</v>
      </c>
      <c r="M506" s="34" t="str">
        <f>VLOOKUP(C506,Customers!$A$2:$F$301,5,FALSE)</f>
        <v>Corporate</v>
      </c>
      <c r="N506" s="34">
        <f>VLOOKUP(C506,Customers!$A$2:$F$301,3,FALSE)</f>
        <v>46</v>
      </c>
      <c r="O506" s="34" t="str">
        <f>VLOOKUP(E506,Sales_Reps!$A$2:$E$31,3,FALSE)</f>
        <v>East</v>
      </c>
      <c r="P506" s="13" t="s">
        <v>285</v>
      </c>
      <c r="Q506" s="34">
        <f t="shared" si="18"/>
        <v>1069570.5400000003</v>
      </c>
      <c r="R506" s="34" t="str">
        <f>VLOOKUP(E506,Sales_Reps!$A$2:$E$100,3,FALSE)</f>
        <v>East</v>
      </c>
      <c r="S506" s="34" t="str">
        <f t="shared" si="19"/>
        <v>Beauty</v>
      </c>
      <c r="T506" s="38">
        <f>VLOOKUP(D506,Products!$A$2:$F$68,4,FALSE)</f>
        <v>2768</v>
      </c>
    </row>
    <row r="507" spans="1:20" x14ac:dyDescent="0.35">
      <c r="A507" s="13" t="s">
        <v>938</v>
      </c>
      <c r="B507" s="14">
        <v>45586</v>
      </c>
      <c r="C507" s="13" t="s">
        <v>613</v>
      </c>
      <c r="D507" s="13" t="s">
        <v>191</v>
      </c>
      <c r="E507" s="13" t="s">
        <v>121</v>
      </c>
      <c r="F507" s="15">
        <v>9</v>
      </c>
      <c r="G507" s="15">
        <v>5100</v>
      </c>
      <c r="H507" s="15">
        <v>11.1</v>
      </c>
      <c r="I507" s="15">
        <v>40805.1</v>
      </c>
      <c r="J507" s="13" t="s">
        <v>140</v>
      </c>
      <c r="K507" s="13" t="s">
        <v>112</v>
      </c>
      <c r="L507" s="34" t="str">
        <f>VLOOKUP(D507,Products!$A$2:$F$61,3,FALSE)</f>
        <v>Beauty</v>
      </c>
      <c r="M507" s="34" t="str">
        <f>VLOOKUP(C507,Customers!$A$2:$F$301,5,FALSE)</f>
        <v>Retail</v>
      </c>
      <c r="N507" s="34">
        <f>VLOOKUP(C507,Customers!$A$2:$F$301,3,FALSE)</f>
        <v>44</v>
      </c>
      <c r="O507" s="34" t="str">
        <f>VLOOKUP(E507,Sales_Reps!$A$2:$E$31,3,FALSE)</f>
        <v>East</v>
      </c>
      <c r="P507" s="13" t="s">
        <v>121</v>
      </c>
      <c r="Q507" s="34">
        <f t="shared" si="18"/>
        <v>971183.52000000014</v>
      </c>
      <c r="R507" s="34" t="str">
        <f>VLOOKUP(E507,Sales_Reps!$A$2:$E$100,3,FALSE)</f>
        <v>East</v>
      </c>
      <c r="S507" s="34" t="str">
        <f t="shared" si="19"/>
        <v>Beauty</v>
      </c>
      <c r="T507" s="38">
        <f>VLOOKUP(D507,Products!$A$2:$F$68,4,FALSE)</f>
        <v>2237</v>
      </c>
    </row>
    <row r="508" spans="1:20" x14ac:dyDescent="0.35">
      <c r="A508" s="13" t="s">
        <v>939</v>
      </c>
      <c r="B508" s="14">
        <v>45637</v>
      </c>
      <c r="C508" s="13" t="s">
        <v>357</v>
      </c>
      <c r="D508" s="13" t="s">
        <v>282</v>
      </c>
      <c r="E508" s="13" t="s">
        <v>128</v>
      </c>
      <c r="F508" s="15">
        <v>4</v>
      </c>
      <c r="G508" s="15">
        <v>300</v>
      </c>
      <c r="H508" s="15">
        <v>16.7</v>
      </c>
      <c r="I508" s="15">
        <v>999.6</v>
      </c>
      <c r="J508" s="13" t="s">
        <v>87</v>
      </c>
      <c r="K508" s="13" t="s">
        <v>99</v>
      </c>
      <c r="L508" s="34" t="str">
        <f>VLOOKUP(D508,Products!$A$2:$F$61,3,FALSE)</f>
        <v>Electronics</v>
      </c>
      <c r="M508" s="34" t="str">
        <f>VLOOKUP(C508,Customers!$A$2:$F$301,5,FALSE)</f>
        <v>SMB</v>
      </c>
      <c r="N508" s="34">
        <f>VLOOKUP(C508,Customers!$A$2:$F$301,3,FALSE)</f>
        <v>38</v>
      </c>
      <c r="O508" s="34" t="str">
        <f>VLOOKUP(E508,Sales_Reps!$A$2:$E$31,3,FALSE)</f>
        <v>West</v>
      </c>
      <c r="P508" s="13" t="s">
        <v>128</v>
      </c>
      <c r="Q508" s="34">
        <f t="shared" si="18"/>
        <v>880468.05</v>
      </c>
      <c r="R508" s="34" t="str">
        <f>VLOOKUP(E508,Sales_Reps!$A$2:$E$100,3,FALSE)</f>
        <v>West</v>
      </c>
      <c r="S508" s="34" t="str">
        <f t="shared" si="19"/>
        <v>Electronics</v>
      </c>
      <c r="T508" s="38">
        <f>VLOOKUP(D508,Products!$A$2:$F$68,4,FALSE)</f>
        <v>128</v>
      </c>
    </row>
    <row r="509" spans="1:20" x14ac:dyDescent="0.35">
      <c r="A509" s="13" t="s">
        <v>940</v>
      </c>
      <c r="B509" s="14">
        <v>45443</v>
      </c>
      <c r="C509" s="13" t="s">
        <v>585</v>
      </c>
      <c r="D509" s="13" t="s">
        <v>167</v>
      </c>
      <c r="E509" s="13" t="s">
        <v>98</v>
      </c>
      <c r="F509" s="15">
        <v>6</v>
      </c>
      <c r="G509" s="15">
        <v>2480</v>
      </c>
      <c r="H509" s="15">
        <v>3.3</v>
      </c>
      <c r="I509" s="15">
        <v>14388.96</v>
      </c>
      <c r="J509" s="13" t="s">
        <v>87</v>
      </c>
      <c r="K509" s="13" t="s">
        <v>94</v>
      </c>
      <c r="L509" s="34" t="str">
        <f>VLOOKUP(D509,Products!$A$2:$F$61,3,FALSE)</f>
        <v>Apparel</v>
      </c>
      <c r="M509" s="34" t="str">
        <f>VLOOKUP(C509,Customers!$A$2:$F$301,5,FALSE)</f>
        <v>Retail</v>
      </c>
      <c r="N509" s="34">
        <f>VLOOKUP(C509,Customers!$A$2:$F$301,3,FALSE)</f>
        <v>26</v>
      </c>
      <c r="O509" s="34" t="str">
        <f>VLOOKUP(E509,Sales_Reps!$A$2:$E$31,3,FALSE)</f>
        <v>South</v>
      </c>
      <c r="P509" s="13" t="s">
        <v>98</v>
      </c>
      <c r="Q509" s="34">
        <f t="shared" si="18"/>
        <v>995713.54000000015</v>
      </c>
      <c r="R509" s="34" t="str">
        <f>VLOOKUP(E509,Sales_Reps!$A$2:$E$100,3,FALSE)</f>
        <v>South</v>
      </c>
      <c r="S509" s="34" t="str">
        <f t="shared" si="19"/>
        <v>Apparel</v>
      </c>
      <c r="T509" s="38">
        <f>VLOOKUP(D509,Products!$A$2:$F$68,4,FALSE)</f>
        <v>1173</v>
      </c>
    </row>
    <row r="510" spans="1:20" x14ac:dyDescent="0.35">
      <c r="A510" s="13" t="s">
        <v>941</v>
      </c>
      <c r="B510" s="14">
        <v>45569</v>
      </c>
      <c r="C510" s="13" t="s">
        <v>105</v>
      </c>
      <c r="D510" s="13" t="s">
        <v>176</v>
      </c>
      <c r="E510" s="13" t="s">
        <v>154</v>
      </c>
      <c r="F510" s="15">
        <v>10</v>
      </c>
      <c r="G510" s="15">
        <v>1650</v>
      </c>
      <c r="H510" s="15">
        <v>22.9</v>
      </c>
      <c r="I510" s="15">
        <v>12721.5</v>
      </c>
      <c r="J510" s="13" t="s">
        <v>144</v>
      </c>
      <c r="K510" s="13" t="s">
        <v>94</v>
      </c>
      <c r="L510" s="34" t="str">
        <f>VLOOKUP(D510,Products!$A$2:$F$61,3,FALSE)</f>
        <v>Beauty</v>
      </c>
      <c r="M510" s="34" t="str">
        <f>VLOOKUP(C510,Customers!$A$2:$F$301,5,FALSE)</f>
        <v>Retail</v>
      </c>
      <c r="N510" s="34">
        <f>VLOOKUP(C510,Customers!$A$2:$F$301,3,FALSE)</f>
        <v>36</v>
      </c>
      <c r="O510" s="34" t="str">
        <f>VLOOKUP(E510,Sales_Reps!$A$2:$E$31,3,FALSE)</f>
        <v>East</v>
      </c>
      <c r="P510" s="13" t="s">
        <v>154</v>
      </c>
      <c r="Q510" s="34">
        <f t="shared" si="18"/>
        <v>983787.4800000001</v>
      </c>
      <c r="R510" s="34" t="str">
        <f>VLOOKUP(E510,Sales_Reps!$A$2:$E$100,3,FALSE)</f>
        <v>East</v>
      </c>
      <c r="S510" s="34" t="str">
        <f t="shared" si="19"/>
        <v>Beauty</v>
      </c>
      <c r="T510" s="38">
        <f>VLOOKUP(D510,Products!$A$2:$F$68,4,FALSE)</f>
        <v>1222</v>
      </c>
    </row>
    <row r="511" spans="1:20" x14ac:dyDescent="0.35">
      <c r="A511" s="13" t="s">
        <v>942</v>
      </c>
      <c r="B511" s="14">
        <v>45319</v>
      </c>
      <c r="C511" s="13" t="s">
        <v>943</v>
      </c>
      <c r="D511" s="13" t="s">
        <v>338</v>
      </c>
      <c r="E511" s="13" t="s">
        <v>325</v>
      </c>
      <c r="F511" s="15">
        <v>3</v>
      </c>
      <c r="G511" s="15">
        <v>2210</v>
      </c>
      <c r="H511" s="15">
        <v>11.1</v>
      </c>
      <c r="I511" s="15">
        <v>5894.07</v>
      </c>
      <c r="J511" s="13" t="s">
        <v>87</v>
      </c>
      <c r="K511" s="13" t="s">
        <v>133</v>
      </c>
      <c r="L511" s="34" t="str">
        <f>VLOOKUP(D511,Products!$A$2:$F$61,3,FALSE)</f>
        <v>Grocery</v>
      </c>
      <c r="M511" s="34" t="str">
        <f>VLOOKUP(C511,Customers!$A$2:$F$301,5,FALSE)</f>
        <v>Corporate</v>
      </c>
      <c r="N511" s="34">
        <f>VLOOKUP(C511,Customers!$A$2:$F$301,3,FALSE)</f>
        <v>54</v>
      </c>
      <c r="O511" s="34" t="str">
        <f>VLOOKUP(E511,Sales_Reps!$A$2:$E$31,3,FALSE)</f>
        <v>South</v>
      </c>
      <c r="P511" s="13" t="s">
        <v>325</v>
      </c>
      <c r="Q511" s="34">
        <f t="shared" si="18"/>
        <v>901394.32000000007</v>
      </c>
      <c r="R511" s="34" t="str">
        <f>VLOOKUP(E511,Sales_Reps!$A$2:$E$100,3,FALSE)</f>
        <v>South</v>
      </c>
      <c r="S511" s="34" t="str">
        <f t="shared" si="19"/>
        <v>Grocery</v>
      </c>
      <c r="T511" s="38">
        <f>VLOOKUP(D511,Products!$A$2:$F$68,4,FALSE)</f>
        <v>1010</v>
      </c>
    </row>
    <row r="512" spans="1:20" x14ac:dyDescent="0.35">
      <c r="A512" s="13" t="s">
        <v>944</v>
      </c>
      <c r="B512" s="14">
        <v>45406</v>
      </c>
      <c r="C512" s="13" t="s">
        <v>945</v>
      </c>
      <c r="D512" s="13" t="s">
        <v>167</v>
      </c>
      <c r="E512" s="13" t="s">
        <v>92</v>
      </c>
      <c r="F512" s="15">
        <v>10</v>
      </c>
      <c r="G512" s="15">
        <v>2480</v>
      </c>
      <c r="H512" s="15">
        <v>13</v>
      </c>
      <c r="I512" s="15">
        <v>21576</v>
      </c>
      <c r="J512" s="13" t="s">
        <v>93</v>
      </c>
      <c r="K512" s="13" t="s">
        <v>88</v>
      </c>
      <c r="L512" s="34" t="str">
        <f>VLOOKUP(D512,Products!$A$2:$F$61,3,FALSE)</f>
        <v>Apparel</v>
      </c>
      <c r="M512" s="34" t="str">
        <f>VLOOKUP(C512,Customers!$A$2:$F$301,5,FALSE)</f>
        <v>Retail</v>
      </c>
      <c r="N512" s="34">
        <f>VLOOKUP(C512,Customers!$A$2:$F$301,3,FALSE)</f>
        <v>54</v>
      </c>
      <c r="O512" s="34" t="str">
        <f>VLOOKUP(E512,Sales_Reps!$A$2:$E$31,3,FALSE)</f>
        <v>North</v>
      </c>
      <c r="P512" s="13" t="s">
        <v>92</v>
      </c>
      <c r="Q512" s="34">
        <f t="shared" si="18"/>
        <v>782445.33</v>
      </c>
      <c r="R512" s="34" t="str">
        <f>VLOOKUP(E512,Sales_Reps!$A$2:$E$100,3,FALSE)</f>
        <v>North</v>
      </c>
      <c r="S512" s="34" t="str">
        <f t="shared" si="19"/>
        <v>Apparel</v>
      </c>
      <c r="T512" s="38">
        <f>VLOOKUP(D512,Products!$A$2:$F$68,4,FALSE)</f>
        <v>1173</v>
      </c>
    </row>
    <row r="513" spans="1:20" x14ac:dyDescent="0.35">
      <c r="A513" s="13" t="s">
        <v>946</v>
      </c>
      <c r="B513" s="14">
        <v>45629</v>
      </c>
      <c r="C513" s="13" t="s">
        <v>101</v>
      </c>
      <c r="D513" s="13" t="s">
        <v>364</v>
      </c>
      <c r="E513" s="13" t="s">
        <v>154</v>
      </c>
      <c r="F513" s="15">
        <v>10</v>
      </c>
      <c r="G513" s="15">
        <v>5330</v>
      </c>
      <c r="H513" s="15">
        <v>0.7</v>
      </c>
      <c r="I513" s="15">
        <v>52926.9</v>
      </c>
      <c r="J513" s="13" t="s">
        <v>87</v>
      </c>
      <c r="K513" s="13" t="s">
        <v>99</v>
      </c>
      <c r="L513" s="34" t="str">
        <f>VLOOKUP(D513,Products!$A$2:$F$61,3,FALSE)</f>
        <v>Electronics</v>
      </c>
      <c r="M513" s="34" t="str">
        <f>VLOOKUP(C513,Customers!$A$2:$F$301,5,FALSE)</f>
        <v>Corporate</v>
      </c>
      <c r="N513" s="34">
        <f>VLOOKUP(C513,Customers!$A$2:$F$301,3,FALSE)</f>
        <v>46</v>
      </c>
      <c r="O513" s="34" t="str">
        <f>VLOOKUP(E513,Sales_Reps!$A$2:$E$31,3,FALSE)</f>
        <v>East</v>
      </c>
      <c r="P513" s="13" t="s">
        <v>154</v>
      </c>
      <c r="Q513" s="34">
        <f t="shared" si="18"/>
        <v>983787.4800000001</v>
      </c>
      <c r="R513" s="34" t="str">
        <f>VLOOKUP(E513,Sales_Reps!$A$2:$E$100,3,FALSE)</f>
        <v>East</v>
      </c>
      <c r="S513" s="34" t="str">
        <f t="shared" si="19"/>
        <v>Electronics</v>
      </c>
      <c r="T513" s="38">
        <f>VLOOKUP(D513,Products!$A$2:$F$68,4,FALSE)</f>
        <v>2405</v>
      </c>
    </row>
    <row r="514" spans="1:20" x14ac:dyDescent="0.35">
      <c r="A514" s="13" t="s">
        <v>947</v>
      </c>
      <c r="B514" s="14">
        <v>45612</v>
      </c>
      <c r="C514" s="13" t="s">
        <v>948</v>
      </c>
      <c r="D514" s="13" t="s">
        <v>264</v>
      </c>
      <c r="E514" s="13" t="s">
        <v>325</v>
      </c>
      <c r="F514" s="15">
        <v>9</v>
      </c>
      <c r="G514" s="15">
        <v>4070</v>
      </c>
      <c r="H514" s="15">
        <v>15.6</v>
      </c>
      <c r="I514" s="15">
        <v>30915.72</v>
      </c>
      <c r="J514" s="13" t="s">
        <v>87</v>
      </c>
      <c r="K514" s="13" t="s">
        <v>88</v>
      </c>
      <c r="L514" s="34" t="str">
        <f>VLOOKUP(D514,Products!$A$2:$F$61,3,FALSE)</f>
        <v>Grocery</v>
      </c>
      <c r="M514" s="34" t="str">
        <f>VLOOKUP(C514,Customers!$A$2:$F$301,5,FALSE)</f>
        <v>Retail</v>
      </c>
      <c r="N514" s="34">
        <f>VLOOKUP(C514,Customers!$A$2:$F$301,3,FALSE)</f>
        <v>65</v>
      </c>
      <c r="O514" s="34" t="str">
        <f>VLOOKUP(E514,Sales_Reps!$A$2:$E$31,3,FALSE)</f>
        <v>South</v>
      </c>
      <c r="P514" s="13" t="s">
        <v>325</v>
      </c>
      <c r="Q514" s="34">
        <f t="shared" si="18"/>
        <v>901394.32000000007</v>
      </c>
      <c r="R514" s="34" t="str">
        <f>VLOOKUP(E514,Sales_Reps!$A$2:$E$100,3,FALSE)</f>
        <v>South</v>
      </c>
      <c r="S514" s="34" t="str">
        <f t="shared" si="19"/>
        <v>Grocery</v>
      </c>
      <c r="T514" s="38">
        <f>VLOOKUP(D514,Products!$A$2:$F$68,4,FALSE)</f>
        <v>2027</v>
      </c>
    </row>
    <row r="515" spans="1:20" x14ac:dyDescent="0.35">
      <c r="A515" s="13" t="s">
        <v>949</v>
      </c>
      <c r="B515" s="14">
        <v>45613</v>
      </c>
      <c r="C515" s="13" t="s">
        <v>823</v>
      </c>
      <c r="D515" s="13" t="s">
        <v>173</v>
      </c>
      <c r="E515" s="13" t="s">
        <v>215</v>
      </c>
      <c r="F515" s="15">
        <v>5</v>
      </c>
      <c r="G515" s="15">
        <v>2720</v>
      </c>
      <c r="H515" s="15">
        <v>10.3</v>
      </c>
      <c r="I515" s="15">
        <v>12199.2</v>
      </c>
      <c r="J515" s="13" t="s">
        <v>140</v>
      </c>
      <c r="K515" s="13" t="s">
        <v>94</v>
      </c>
      <c r="L515" s="34" t="str">
        <f>VLOOKUP(D515,Products!$A$2:$F$61,3,FALSE)</f>
        <v>Apparel</v>
      </c>
      <c r="M515" s="34" t="str">
        <f>VLOOKUP(C515,Customers!$A$2:$F$301,5,FALSE)</f>
        <v>Retail</v>
      </c>
      <c r="N515" s="34">
        <f>VLOOKUP(C515,Customers!$A$2:$F$301,3,FALSE)</f>
        <v>32</v>
      </c>
      <c r="O515" s="34" t="str">
        <f>VLOOKUP(E515,Sales_Reps!$A$2:$E$31,3,FALSE)</f>
        <v>North</v>
      </c>
      <c r="P515" s="13" t="s">
        <v>215</v>
      </c>
      <c r="Q515" s="34">
        <f t="shared" ref="Q515:Q578" si="20">SUMIFS($I:$I,$E:$E,P515)</f>
        <v>789849.60000000009</v>
      </c>
      <c r="R515" s="34" t="str">
        <f>VLOOKUP(E515,Sales_Reps!$A$2:$E$100,3,FALSE)</f>
        <v>North</v>
      </c>
      <c r="S515" s="34" t="str">
        <f t="shared" ref="S515:S578" si="21">L515</f>
        <v>Apparel</v>
      </c>
      <c r="T515" s="38">
        <f>VLOOKUP(D515,Products!$A$2:$F$68,4,FALSE)</f>
        <v>1962</v>
      </c>
    </row>
    <row r="516" spans="1:20" x14ac:dyDescent="0.35">
      <c r="A516" s="13" t="s">
        <v>950</v>
      </c>
      <c r="B516" s="14">
        <v>45484</v>
      </c>
      <c r="C516" s="13" t="s">
        <v>757</v>
      </c>
      <c r="D516" s="13" t="s">
        <v>195</v>
      </c>
      <c r="E516" s="13" t="s">
        <v>229</v>
      </c>
      <c r="F516" s="15">
        <v>6</v>
      </c>
      <c r="G516" s="15">
        <v>2860</v>
      </c>
      <c r="H516" s="15">
        <v>28.9</v>
      </c>
      <c r="I516" s="15">
        <v>12200.76</v>
      </c>
      <c r="J516" s="13" t="s">
        <v>87</v>
      </c>
      <c r="K516" s="13" t="s">
        <v>117</v>
      </c>
      <c r="L516" s="34" t="str">
        <f>VLOOKUP(D516,Products!$A$2:$F$61,3,FALSE)</f>
        <v>Sports</v>
      </c>
      <c r="M516" s="34" t="str">
        <f>VLOOKUP(C516,Customers!$A$2:$F$301,5,FALSE)</f>
        <v>Corporate</v>
      </c>
      <c r="N516" s="34">
        <f>VLOOKUP(C516,Customers!$A$2:$F$301,3,FALSE)</f>
        <v>43</v>
      </c>
      <c r="O516" s="34" t="str">
        <f>VLOOKUP(E516,Sales_Reps!$A$2:$E$31,3,FALSE)</f>
        <v>West</v>
      </c>
      <c r="P516" s="13" t="s">
        <v>229</v>
      </c>
      <c r="Q516" s="34">
        <f t="shared" si="20"/>
        <v>1016696.8000000002</v>
      </c>
      <c r="R516" s="34" t="str">
        <f>VLOOKUP(E516,Sales_Reps!$A$2:$E$100,3,FALSE)</f>
        <v>West</v>
      </c>
      <c r="S516" s="34" t="str">
        <f t="shared" si="21"/>
        <v>Sports</v>
      </c>
      <c r="T516" s="38">
        <f>VLOOKUP(D516,Products!$A$2:$F$68,4,FALSE)</f>
        <v>2028</v>
      </c>
    </row>
    <row r="517" spans="1:20" x14ac:dyDescent="0.35">
      <c r="A517" s="13" t="s">
        <v>951</v>
      </c>
      <c r="B517" s="14">
        <v>45656</v>
      </c>
      <c r="C517" s="13" t="s">
        <v>952</v>
      </c>
      <c r="D517" s="13" t="s">
        <v>85</v>
      </c>
      <c r="E517" s="13" t="s">
        <v>325</v>
      </c>
      <c r="F517" s="15">
        <v>5</v>
      </c>
      <c r="G517" s="15">
        <v>3620</v>
      </c>
      <c r="H517" s="15">
        <v>18.2</v>
      </c>
      <c r="I517" s="15">
        <v>14805.8</v>
      </c>
      <c r="J517" s="13" t="s">
        <v>87</v>
      </c>
      <c r="K517" s="13" t="s">
        <v>133</v>
      </c>
      <c r="L517" s="34" t="str">
        <f>VLOOKUP(D517,Products!$A$2:$F$61,3,FALSE)</f>
        <v>Apparel</v>
      </c>
      <c r="M517" s="34" t="str">
        <f>VLOOKUP(C517,Customers!$A$2:$F$301,5,FALSE)</f>
        <v>Retail</v>
      </c>
      <c r="N517" s="34">
        <f>VLOOKUP(C517,Customers!$A$2:$F$301,3,FALSE)</f>
        <v>35</v>
      </c>
      <c r="O517" s="34" t="str">
        <f>VLOOKUP(E517,Sales_Reps!$A$2:$E$31,3,FALSE)</f>
        <v>South</v>
      </c>
      <c r="P517" s="13" t="s">
        <v>325</v>
      </c>
      <c r="Q517" s="34">
        <f t="shared" si="20"/>
        <v>901394.32000000007</v>
      </c>
      <c r="R517" s="34" t="str">
        <f>VLOOKUP(E517,Sales_Reps!$A$2:$E$100,3,FALSE)</f>
        <v>South</v>
      </c>
      <c r="S517" s="34" t="str">
        <f t="shared" si="21"/>
        <v>Apparel</v>
      </c>
      <c r="T517" s="38">
        <f>VLOOKUP(D517,Products!$A$2:$F$68,4,FALSE)</f>
        <v>2509</v>
      </c>
    </row>
    <row r="518" spans="1:20" x14ac:dyDescent="0.35">
      <c r="A518" s="13" t="s">
        <v>953</v>
      </c>
      <c r="B518" s="14">
        <v>45432</v>
      </c>
      <c r="C518" s="13" t="s">
        <v>153</v>
      </c>
      <c r="D518" s="13" t="s">
        <v>176</v>
      </c>
      <c r="E518" s="13" t="s">
        <v>303</v>
      </c>
      <c r="F518" s="15">
        <v>3</v>
      </c>
      <c r="G518" s="15">
        <v>1650</v>
      </c>
      <c r="H518" s="15">
        <v>10.7</v>
      </c>
      <c r="I518" s="15">
        <v>4420.3500000000004</v>
      </c>
      <c r="J518" s="13" t="s">
        <v>87</v>
      </c>
      <c r="K518" s="13" t="s">
        <v>117</v>
      </c>
      <c r="L518" s="34" t="str">
        <f>VLOOKUP(D518,Products!$A$2:$F$61,3,FALSE)</f>
        <v>Beauty</v>
      </c>
      <c r="M518" s="34" t="str">
        <f>VLOOKUP(C518,Customers!$A$2:$F$301,5,FALSE)</f>
        <v>SMB</v>
      </c>
      <c r="N518" s="34">
        <f>VLOOKUP(C518,Customers!$A$2:$F$301,3,FALSE)</f>
        <v>46</v>
      </c>
      <c r="O518" s="34" t="str">
        <f>VLOOKUP(E518,Sales_Reps!$A$2:$E$31,3,FALSE)</f>
        <v>East</v>
      </c>
      <c r="P518" s="13" t="s">
        <v>303</v>
      </c>
      <c r="Q518" s="34">
        <f t="shared" si="20"/>
        <v>1112289.6400000001</v>
      </c>
      <c r="R518" s="34" t="str">
        <f>VLOOKUP(E518,Sales_Reps!$A$2:$E$100,3,FALSE)</f>
        <v>East</v>
      </c>
      <c r="S518" s="34" t="str">
        <f t="shared" si="21"/>
        <v>Beauty</v>
      </c>
      <c r="T518" s="38">
        <f>VLOOKUP(D518,Products!$A$2:$F$68,4,FALSE)</f>
        <v>1222</v>
      </c>
    </row>
    <row r="519" spans="1:20" x14ac:dyDescent="0.35">
      <c r="A519" s="13" t="s">
        <v>954</v>
      </c>
      <c r="B519" s="14">
        <v>45495</v>
      </c>
      <c r="C519" s="13" t="s">
        <v>544</v>
      </c>
      <c r="D519" s="13" t="s">
        <v>147</v>
      </c>
      <c r="E519" s="13" t="s">
        <v>229</v>
      </c>
      <c r="F519" s="15">
        <v>8</v>
      </c>
      <c r="G519" s="15">
        <v>190</v>
      </c>
      <c r="H519" s="15">
        <v>18</v>
      </c>
      <c r="I519" s="15">
        <v>1246.4000000000001</v>
      </c>
      <c r="J519" s="13" t="s">
        <v>93</v>
      </c>
      <c r="K519" s="13" t="s">
        <v>133</v>
      </c>
      <c r="L519" s="34" t="str">
        <f>VLOOKUP(D519,Products!$A$2:$F$61,3,FALSE)</f>
        <v>Sports</v>
      </c>
      <c r="M519" s="34" t="str">
        <f>VLOOKUP(C519,Customers!$A$2:$F$301,5,FALSE)</f>
        <v>Retail</v>
      </c>
      <c r="N519" s="34">
        <f>VLOOKUP(C519,Customers!$A$2:$F$301,3,FALSE)</f>
        <v>25</v>
      </c>
      <c r="O519" s="34" t="str">
        <f>VLOOKUP(E519,Sales_Reps!$A$2:$E$31,3,FALSE)</f>
        <v>West</v>
      </c>
      <c r="P519" s="13" t="s">
        <v>229</v>
      </c>
      <c r="Q519" s="34">
        <f t="shared" si="20"/>
        <v>1016696.8000000002</v>
      </c>
      <c r="R519" s="34" t="str">
        <f>VLOOKUP(E519,Sales_Reps!$A$2:$E$100,3,FALSE)</f>
        <v>West</v>
      </c>
      <c r="S519" s="34" t="str">
        <f t="shared" si="21"/>
        <v>Sports</v>
      </c>
      <c r="T519" s="38">
        <f>VLOOKUP(D519,Products!$A$2:$F$68,4,FALSE)</f>
        <v>147</v>
      </c>
    </row>
    <row r="520" spans="1:20" x14ac:dyDescent="0.35">
      <c r="A520" s="13" t="s">
        <v>955</v>
      </c>
      <c r="B520" s="14">
        <v>45443</v>
      </c>
      <c r="C520" s="13" t="s">
        <v>956</v>
      </c>
      <c r="D520" s="13" t="s">
        <v>386</v>
      </c>
      <c r="E520" s="13" t="s">
        <v>229</v>
      </c>
      <c r="F520" s="15">
        <v>7</v>
      </c>
      <c r="G520" s="15">
        <v>2290</v>
      </c>
      <c r="H520" s="15">
        <v>12.5</v>
      </c>
      <c r="I520" s="15">
        <v>14026.25</v>
      </c>
      <c r="J520" s="13" t="s">
        <v>87</v>
      </c>
      <c r="K520" s="13" t="s">
        <v>112</v>
      </c>
      <c r="L520" s="34" t="str">
        <f>VLOOKUP(D520,Products!$A$2:$F$61,3,FALSE)</f>
        <v>Beauty</v>
      </c>
      <c r="M520" s="34" t="str">
        <f>VLOOKUP(C520,Customers!$A$2:$F$301,5,FALSE)</f>
        <v>Retail</v>
      </c>
      <c r="N520" s="34">
        <f>VLOOKUP(C520,Customers!$A$2:$F$301,3,FALSE)</f>
        <v>49</v>
      </c>
      <c r="O520" s="34" t="str">
        <f>VLOOKUP(E520,Sales_Reps!$A$2:$E$31,3,FALSE)</f>
        <v>West</v>
      </c>
      <c r="P520" s="13" t="s">
        <v>229</v>
      </c>
      <c r="Q520" s="34">
        <f t="shared" si="20"/>
        <v>1016696.8000000002</v>
      </c>
      <c r="R520" s="34" t="str">
        <f>VLOOKUP(E520,Sales_Reps!$A$2:$E$100,3,FALSE)</f>
        <v>West</v>
      </c>
      <c r="S520" s="34" t="str">
        <f t="shared" si="21"/>
        <v>Beauty</v>
      </c>
      <c r="T520" s="38">
        <f>VLOOKUP(D520,Products!$A$2:$F$68,4,FALSE)</f>
        <v>1219</v>
      </c>
    </row>
    <row r="521" spans="1:20" x14ac:dyDescent="0.35">
      <c r="A521" s="13" t="s">
        <v>957</v>
      </c>
      <c r="B521" s="14">
        <v>45638</v>
      </c>
      <c r="C521" s="13" t="s">
        <v>186</v>
      </c>
      <c r="D521" s="13" t="s">
        <v>364</v>
      </c>
      <c r="E521" s="13" t="s">
        <v>238</v>
      </c>
      <c r="F521" s="15">
        <v>2</v>
      </c>
      <c r="G521" s="15">
        <v>5330</v>
      </c>
      <c r="H521" s="15">
        <v>26.5</v>
      </c>
      <c r="I521" s="15">
        <v>7835.1</v>
      </c>
      <c r="J521" s="13" t="s">
        <v>87</v>
      </c>
      <c r="K521" s="13" t="s">
        <v>94</v>
      </c>
      <c r="L521" s="34" t="str">
        <f>VLOOKUP(D521,Products!$A$2:$F$61,3,FALSE)</f>
        <v>Electronics</v>
      </c>
      <c r="M521" s="34" t="str">
        <f>VLOOKUP(C521,Customers!$A$2:$F$301,5,FALSE)</f>
        <v>SMB</v>
      </c>
      <c r="N521" s="34">
        <f>VLOOKUP(C521,Customers!$A$2:$F$301,3,FALSE)</f>
        <v>52</v>
      </c>
      <c r="O521" s="34" t="str">
        <f>VLOOKUP(E521,Sales_Reps!$A$2:$E$31,3,FALSE)</f>
        <v>East</v>
      </c>
      <c r="P521" s="13" t="s">
        <v>238</v>
      </c>
      <c r="Q521" s="34">
        <f t="shared" si="20"/>
        <v>780384.40999999992</v>
      </c>
      <c r="R521" s="34" t="str">
        <f>VLOOKUP(E521,Sales_Reps!$A$2:$E$100,3,FALSE)</f>
        <v>East</v>
      </c>
      <c r="S521" s="34" t="str">
        <f t="shared" si="21"/>
        <v>Electronics</v>
      </c>
      <c r="T521" s="38">
        <f>VLOOKUP(D521,Products!$A$2:$F$68,4,FALSE)</f>
        <v>2405</v>
      </c>
    </row>
    <row r="522" spans="1:20" x14ac:dyDescent="0.35">
      <c r="A522" s="13" t="s">
        <v>958</v>
      </c>
      <c r="B522" s="14">
        <v>45476</v>
      </c>
      <c r="C522" s="13" t="s">
        <v>959</v>
      </c>
      <c r="D522" s="13" t="s">
        <v>364</v>
      </c>
      <c r="E522" s="13" t="s">
        <v>188</v>
      </c>
      <c r="F522" s="15">
        <v>4</v>
      </c>
      <c r="G522" s="15">
        <v>5330</v>
      </c>
      <c r="H522" s="15">
        <v>25.6</v>
      </c>
      <c r="I522" s="15">
        <v>15862.08</v>
      </c>
      <c r="J522" s="13" t="s">
        <v>87</v>
      </c>
      <c r="K522" s="13" t="s">
        <v>112</v>
      </c>
      <c r="L522" s="34" t="str">
        <f>VLOOKUP(D522,Products!$A$2:$F$61,3,FALSE)</f>
        <v>Electronics</v>
      </c>
      <c r="M522" s="34" t="str">
        <f>VLOOKUP(C522,Customers!$A$2:$F$301,5,FALSE)</f>
        <v>SMB</v>
      </c>
      <c r="N522" s="34">
        <f>VLOOKUP(C522,Customers!$A$2:$F$301,3,FALSE)</f>
        <v>65</v>
      </c>
      <c r="O522" s="34" t="str">
        <f>VLOOKUP(E522,Sales_Reps!$A$2:$E$31,3,FALSE)</f>
        <v>South</v>
      </c>
      <c r="P522" s="13" t="s">
        <v>188</v>
      </c>
      <c r="Q522" s="34">
        <f t="shared" si="20"/>
        <v>1091740.1799999997</v>
      </c>
      <c r="R522" s="34" t="str">
        <f>VLOOKUP(E522,Sales_Reps!$A$2:$E$100,3,FALSE)</f>
        <v>South</v>
      </c>
      <c r="S522" s="34" t="str">
        <f t="shared" si="21"/>
        <v>Electronics</v>
      </c>
      <c r="T522" s="38">
        <f>VLOOKUP(D522,Products!$A$2:$F$68,4,FALSE)</f>
        <v>2405</v>
      </c>
    </row>
    <row r="523" spans="1:20" x14ac:dyDescent="0.35">
      <c r="A523" s="13" t="s">
        <v>960</v>
      </c>
      <c r="B523" s="14">
        <v>45566</v>
      </c>
      <c r="C523" s="13" t="s">
        <v>289</v>
      </c>
      <c r="D523" s="13" t="s">
        <v>443</v>
      </c>
      <c r="E523" s="13" t="s">
        <v>103</v>
      </c>
      <c r="F523" s="15">
        <v>4</v>
      </c>
      <c r="G523" s="15">
        <v>5080</v>
      </c>
      <c r="H523" s="15">
        <v>28.6</v>
      </c>
      <c r="I523" s="15">
        <v>14508.48</v>
      </c>
      <c r="J523" s="13" t="s">
        <v>87</v>
      </c>
      <c r="K523" s="13" t="s">
        <v>94</v>
      </c>
      <c r="L523" s="34" t="str">
        <f>VLOOKUP(D523,Products!$A$2:$F$61,3,FALSE)</f>
        <v>Home</v>
      </c>
      <c r="M523" s="34" t="str">
        <f>VLOOKUP(C523,Customers!$A$2:$F$301,5,FALSE)</f>
        <v>Retail</v>
      </c>
      <c r="N523" s="34">
        <f>VLOOKUP(C523,Customers!$A$2:$F$301,3,FALSE)</f>
        <v>38</v>
      </c>
      <c r="O523" s="34" t="str">
        <f>VLOOKUP(E523,Sales_Reps!$A$2:$E$31,3,FALSE)</f>
        <v>North</v>
      </c>
      <c r="P523" s="13" t="s">
        <v>103</v>
      </c>
      <c r="Q523" s="34">
        <f t="shared" si="20"/>
        <v>1138648.73</v>
      </c>
      <c r="R523" s="34" t="str">
        <f>VLOOKUP(E523,Sales_Reps!$A$2:$E$100,3,FALSE)</f>
        <v>North</v>
      </c>
      <c r="S523" s="34" t="str">
        <f t="shared" si="21"/>
        <v>Home</v>
      </c>
      <c r="T523" s="38">
        <f>VLOOKUP(D523,Products!$A$2:$F$68,4,FALSE)</f>
        <v>2459</v>
      </c>
    </row>
    <row r="524" spans="1:20" x14ac:dyDescent="0.35">
      <c r="A524" s="13" t="s">
        <v>961</v>
      </c>
      <c r="B524" s="14">
        <v>45392</v>
      </c>
      <c r="C524" s="13" t="s">
        <v>479</v>
      </c>
      <c r="D524" s="13" t="s">
        <v>110</v>
      </c>
      <c r="E524" s="13" t="s">
        <v>297</v>
      </c>
      <c r="F524" s="15">
        <v>4</v>
      </c>
      <c r="G524" s="15">
        <v>370</v>
      </c>
      <c r="H524" s="15">
        <v>12.6</v>
      </c>
      <c r="I524" s="15">
        <v>1293.52</v>
      </c>
      <c r="J524" s="13" t="s">
        <v>93</v>
      </c>
      <c r="K524" s="13" t="s">
        <v>88</v>
      </c>
      <c r="L524" s="34" t="str">
        <f>VLOOKUP(D524,Products!$A$2:$F$61,3,FALSE)</f>
        <v>Home</v>
      </c>
      <c r="M524" s="34" t="str">
        <f>VLOOKUP(C524,Customers!$A$2:$F$301,5,FALSE)</f>
        <v>SMB</v>
      </c>
      <c r="N524" s="34">
        <f>VLOOKUP(C524,Customers!$A$2:$F$301,3,FALSE)</f>
        <v>49</v>
      </c>
      <c r="O524" s="34" t="str">
        <f>VLOOKUP(E524,Sales_Reps!$A$2:$E$31,3,FALSE)</f>
        <v>North</v>
      </c>
      <c r="P524" s="13" t="s">
        <v>297</v>
      </c>
      <c r="Q524" s="34">
        <f t="shared" si="20"/>
        <v>980063.65999999968</v>
      </c>
      <c r="R524" s="34" t="str">
        <f>VLOOKUP(E524,Sales_Reps!$A$2:$E$100,3,FALSE)</f>
        <v>North</v>
      </c>
      <c r="S524" s="34" t="str">
        <f t="shared" si="21"/>
        <v>Home</v>
      </c>
      <c r="T524" s="38">
        <f>VLOOKUP(D524,Products!$A$2:$F$68,4,FALSE)</f>
        <v>288</v>
      </c>
    </row>
    <row r="525" spans="1:20" x14ac:dyDescent="0.35">
      <c r="A525" s="13" t="s">
        <v>962</v>
      </c>
      <c r="B525" s="14">
        <v>45561</v>
      </c>
      <c r="C525" s="13" t="s">
        <v>963</v>
      </c>
      <c r="D525" s="13" t="s">
        <v>97</v>
      </c>
      <c r="E525" s="13" t="s">
        <v>252</v>
      </c>
      <c r="F525" s="15">
        <v>9</v>
      </c>
      <c r="G525" s="15">
        <v>470</v>
      </c>
      <c r="H525" s="15">
        <v>3.6</v>
      </c>
      <c r="I525" s="15">
        <v>4077.72</v>
      </c>
      <c r="J525" s="13" t="s">
        <v>87</v>
      </c>
      <c r="K525" s="13" t="s">
        <v>94</v>
      </c>
      <c r="L525" s="34" t="str">
        <f>VLOOKUP(D525,Products!$A$2:$F$61,3,FALSE)</f>
        <v>Sports</v>
      </c>
      <c r="M525" s="34" t="str">
        <f>VLOOKUP(C525,Customers!$A$2:$F$301,5,FALSE)</f>
        <v>Retail</v>
      </c>
      <c r="N525" s="34">
        <f>VLOOKUP(C525,Customers!$A$2:$F$301,3,FALSE)</f>
        <v>31</v>
      </c>
      <c r="O525" s="34" t="str">
        <f>VLOOKUP(E525,Sales_Reps!$A$2:$E$31,3,FALSE)</f>
        <v>South</v>
      </c>
      <c r="P525" s="13" t="s">
        <v>252</v>
      </c>
      <c r="Q525" s="34">
        <f t="shared" si="20"/>
        <v>811524.37999999989</v>
      </c>
      <c r="R525" s="34" t="str">
        <f>VLOOKUP(E525,Sales_Reps!$A$2:$E$100,3,FALSE)</f>
        <v>South</v>
      </c>
      <c r="S525" s="34" t="str">
        <f t="shared" si="21"/>
        <v>Sports</v>
      </c>
      <c r="T525" s="38">
        <f>VLOOKUP(D525,Products!$A$2:$F$68,4,FALSE)</f>
        <v>302</v>
      </c>
    </row>
    <row r="526" spans="1:20" x14ac:dyDescent="0.35">
      <c r="A526" s="13" t="s">
        <v>964</v>
      </c>
      <c r="B526" s="14">
        <v>45634</v>
      </c>
      <c r="C526" s="13" t="s">
        <v>643</v>
      </c>
      <c r="D526" s="13" t="s">
        <v>360</v>
      </c>
      <c r="E526" s="13" t="s">
        <v>343</v>
      </c>
      <c r="F526" s="15">
        <v>4</v>
      </c>
      <c r="G526" s="15">
        <v>5410</v>
      </c>
      <c r="H526" s="15">
        <v>11.3</v>
      </c>
      <c r="I526" s="15">
        <v>19194.68</v>
      </c>
      <c r="J526" s="13" t="s">
        <v>144</v>
      </c>
      <c r="K526" s="13" t="s">
        <v>112</v>
      </c>
      <c r="L526" s="34" t="str">
        <f>VLOOKUP(D526,Products!$A$2:$F$61,3,FALSE)</f>
        <v>Sports</v>
      </c>
      <c r="M526" s="34" t="str">
        <f>VLOOKUP(C526,Customers!$A$2:$F$301,5,FALSE)</f>
        <v>SMB</v>
      </c>
      <c r="N526" s="34">
        <f>VLOOKUP(C526,Customers!$A$2:$F$301,3,FALSE)</f>
        <v>27</v>
      </c>
      <c r="O526" s="34" t="str">
        <f>VLOOKUP(E526,Sales_Reps!$A$2:$E$31,3,FALSE)</f>
        <v>West</v>
      </c>
      <c r="P526" s="13" t="s">
        <v>343</v>
      </c>
      <c r="Q526" s="34">
        <f t="shared" si="20"/>
        <v>917092.61999999965</v>
      </c>
      <c r="R526" s="34" t="str">
        <f>VLOOKUP(E526,Sales_Reps!$A$2:$E$100,3,FALSE)</f>
        <v>West</v>
      </c>
      <c r="S526" s="34" t="str">
        <f t="shared" si="21"/>
        <v>Sports</v>
      </c>
      <c r="T526" s="38">
        <f>VLOOKUP(D526,Products!$A$2:$F$68,4,FALSE)</f>
        <v>2265</v>
      </c>
    </row>
    <row r="527" spans="1:20" x14ac:dyDescent="0.35">
      <c r="A527" s="13" t="s">
        <v>965</v>
      </c>
      <c r="B527" s="14">
        <v>45311</v>
      </c>
      <c r="C527" s="13" t="s">
        <v>966</v>
      </c>
      <c r="D527" s="13" t="s">
        <v>85</v>
      </c>
      <c r="E527" s="13" t="s">
        <v>86</v>
      </c>
      <c r="F527" s="15">
        <v>10</v>
      </c>
      <c r="G527" s="15">
        <v>3620</v>
      </c>
      <c r="H527" s="15">
        <v>2.5</v>
      </c>
      <c r="I527" s="15">
        <v>35295</v>
      </c>
      <c r="J527" s="13" t="s">
        <v>87</v>
      </c>
      <c r="K527" s="13" t="s">
        <v>133</v>
      </c>
      <c r="L527" s="34" t="str">
        <f>VLOOKUP(D527,Products!$A$2:$F$61,3,FALSE)</f>
        <v>Apparel</v>
      </c>
      <c r="M527" s="34" t="str">
        <f>VLOOKUP(C527,Customers!$A$2:$F$301,5,FALSE)</f>
        <v>SMB</v>
      </c>
      <c r="N527" s="34">
        <f>VLOOKUP(C527,Customers!$A$2:$F$301,3,FALSE)</f>
        <v>31</v>
      </c>
      <c r="O527" s="34" t="str">
        <f>VLOOKUP(E527,Sales_Reps!$A$2:$E$31,3,FALSE)</f>
        <v>North</v>
      </c>
      <c r="P527" s="13" t="s">
        <v>86</v>
      </c>
      <c r="Q527" s="34">
        <f t="shared" si="20"/>
        <v>855749.67999999982</v>
      </c>
      <c r="R527" s="34" t="str">
        <f>VLOOKUP(E527,Sales_Reps!$A$2:$E$100,3,FALSE)</f>
        <v>North</v>
      </c>
      <c r="S527" s="34" t="str">
        <f t="shared" si="21"/>
        <v>Apparel</v>
      </c>
      <c r="T527" s="38">
        <f>VLOOKUP(D527,Products!$A$2:$F$68,4,FALSE)</f>
        <v>2509</v>
      </c>
    </row>
    <row r="528" spans="1:20" x14ac:dyDescent="0.35">
      <c r="A528" s="13" t="s">
        <v>967</v>
      </c>
      <c r="B528" s="14">
        <v>45380</v>
      </c>
      <c r="C528" s="13" t="s">
        <v>968</v>
      </c>
      <c r="D528" s="13" t="s">
        <v>200</v>
      </c>
      <c r="E528" s="13" t="s">
        <v>170</v>
      </c>
      <c r="F528" s="15">
        <v>1</v>
      </c>
      <c r="G528" s="15">
        <v>2760</v>
      </c>
      <c r="H528" s="15">
        <v>22.2</v>
      </c>
      <c r="I528" s="15">
        <v>2147.2800000000002</v>
      </c>
      <c r="J528" s="13" t="s">
        <v>87</v>
      </c>
      <c r="K528" s="13" t="s">
        <v>99</v>
      </c>
      <c r="L528" s="34" t="str">
        <f>VLOOKUP(D528,Products!$A$2:$F$61,3,FALSE)</f>
        <v>Grocery</v>
      </c>
      <c r="M528" s="34" t="str">
        <f>VLOOKUP(C528,Customers!$A$2:$F$301,5,FALSE)</f>
        <v>Retail</v>
      </c>
      <c r="N528" s="34">
        <f>VLOOKUP(C528,Customers!$A$2:$F$301,3,FALSE)</f>
        <v>47</v>
      </c>
      <c r="O528" s="34" t="str">
        <f>VLOOKUP(E528,Sales_Reps!$A$2:$E$31,3,FALSE)</f>
        <v>West</v>
      </c>
      <c r="P528" s="13" t="s">
        <v>170</v>
      </c>
      <c r="Q528" s="34">
        <f t="shared" si="20"/>
        <v>747624.36999999988</v>
      </c>
      <c r="R528" s="34" t="str">
        <f>VLOOKUP(E528,Sales_Reps!$A$2:$E$100,3,FALSE)</f>
        <v>West</v>
      </c>
      <c r="S528" s="34" t="str">
        <f t="shared" si="21"/>
        <v>Grocery</v>
      </c>
      <c r="T528" s="38">
        <f>VLOOKUP(D528,Products!$A$2:$F$68,4,FALSE)</f>
        <v>1435</v>
      </c>
    </row>
    <row r="529" spans="1:20" x14ac:dyDescent="0.35">
      <c r="A529" s="13" t="s">
        <v>969</v>
      </c>
      <c r="B529" s="14">
        <v>45549</v>
      </c>
      <c r="C529" s="13" t="s">
        <v>970</v>
      </c>
      <c r="D529" s="13" t="s">
        <v>157</v>
      </c>
      <c r="E529" s="13" t="s">
        <v>215</v>
      </c>
      <c r="F529" s="15">
        <v>7</v>
      </c>
      <c r="G529" s="15">
        <v>3450</v>
      </c>
      <c r="H529" s="15">
        <v>8.6</v>
      </c>
      <c r="I529" s="15">
        <v>22073.1</v>
      </c>
      <c r="J529" s="13" t="s">
        <v>87</v>
      </c>
      <c r="K529" s="13" t="s">
        <v>112</v>
      </c>
      <c r="L529" s="34" t="str">
        <f>VLOOKUP(D529,Products!$A$2:$F$61,3,FALSE)</f>
        <v>Beauty</v>
      </c>
      <c r="M529" s="34" t="str">
        <f>VLOOKUP(C529,Customers!$A$2:$F$301,5,FALSE)</f>
        <v>Retail</v>
      </c>
      <c r="N529" s="34">
        <f>VLOOKUP(C529,Customers!$A$2:$F$301,3,FALSE)</f>
        <v>40</v>
      </c>
      <c r="O529" s="34" t="str">
        <f>VLOOKUP(E529,Sales_Reps!$A$2:$E$31,3,FALSE)</f>
        <v>North</v>
      </c>
      <c r="P529" s="13" t="s">
        <v>215</v>
      </c>
      <c r="Q529" s="34">
        <f t="shared" si="20"/>
        <v>789849.60000000009</v>
      </c>
      <c r="R529" s="34" t="str">
        <f>VLOOKUP(E529,Sales_Reps!$A$2:$E$100,3,FALSE)</f>
        <v>North</v>
      </c>
      <c r="S529" s="34" t="str">
        <f t="shared" si="21"/>
        <v>Beauty</v>
      </c>
      <c r="T529" s="38">
        <f>VLOOKUP(D529,Products!$A$2:$F$68,4,FALSE)</f>
        <v>2420</v>
      </c>
    </row>
    <row r="530" spans="1:20" x14ac:dyDescent="0.35">
      <c r="A530" s="13" t="s">
        <v>971</v>
      </c>
      <c r="B530" s="14">
        <v>45418</v>
      </c>
      <c r="C530" s="13" t="s">
        <v>546</v>
      </c>
      <c r="D530" s="13" t="s">
        <v>102</v>
      </c>
      <c r="E530" s="13" t="s">
        <v>128</v>
      </c>
      <c r="F530" s="15">
        <v>6</v>
      </c>
      <c r="G530" s="15">
        <v>3660</v>
      </c>
      <c r="H530" s="15">
        <v>10.6</v>
      </c>
      <c r="I530" s="15">
        <v>19632.240000000002</v>
      </c>
      <c r="J530" s="13" t="s">
        <v>87</v>
      </c>
      <c r="K530" s="13" t="s">
        <v>99</v>
      </c>
      <c r="L530" s="34" t="str">
        <f>VLOOKUP(D530,Products!$A$2:$F$61,3,FALSE)</f>
        <v>Grocery</v>
      </c>
      <c r="M530" s="34" t="str">
        <f>VLOOKUP(C530,Customers!$A$2:$F$301,5,FALSE)</f>
        <v>SMB</v>
      </c>
      <c r="N530" s="34">
        <f>VLOOKUP(C530,Customers!$A$2:$F$301,3,FALSE)</f>
        <v>29</v>
      </c>
      <c r="O530" s="34" t="str">
        <f>VLOOKUP(E530,Sales_Reps!$A$2:$E$31,3,FALSE)</f>
        <v>West</v>
      </c>
      <c r="P530" s="13" t="s">
        <v>128</v>
      </c>
      <c r="Q530" s="34">
        <f t="shared" si="20"/>
        <v>880468.05</v>
      </c>
      <c r="R530" s="34" t="str">
        <f>VLOOKUP(E530,Sales_Reps!$A$2:$E$100,3,FALSE)</f>
        <v>West</v>
      </c>
      <c r="S530" s="34" t="str">
        <f t="shared" si="21"/>
        <v>Grocery</v>
      </c>
      <c r="T530" s="38">
        <f>VLOOKUP(D530,Products!$A$2:$F$68,4,FALSE)</f>
        <v>2214</v>
      </c>
    </row>
    <row r="531" spans="1:20" x14ac:dyDescent="0.35">
      <c r="A531" s="13" t="s">
        <v>972</v>
      </c>
      <c r="B531" s="14">
        <v>45532</v>
      </c>
      <c r="C531" s="13" t="s">
        <v>524</v>
      </c>
      <c r="D531" s="13" t="s">
        <v>187</v>
      </c>
      <c r="E531" s="13" t="s">
        <v>128</v>
      </c>
      <c r="F531" s="15">
        <v>10</v>
      </c>
      <c r="G531" s="15">
        <v>3570</v>
      </c>
      <c r="H531" s="15">
        <v>1.2</v>
      </c>
      <c r="I531" s="15">
        <v>35271.599999999999</v>
      </c>
      <c r="J531" s="13" t="s">
        <v>87</v>
      </c>
      <c r="K531" s="13" t="s">
        <v>112</v>
      </c>
      <c r="L531" s="34" t="str">
        <f>VLOOKUP(D531,Products!$A$2:$F$61,3,FALSE)</f>
        <v>Electronics</v>
      </c>
      <c r="M531" s="34" t="str">
        <f>VLOOKUP(C531,Customers!$A$2:$F$301,5,FALSE)</f>
        <v>Corporate</v>
      </c>
      <c r="N531" s="34">
        <f>VLOOKUP(C531,Customers!$A$2:$F$301,3,FALSE)</f>
        <v>55</v>
      </c>
      <c r="O531" s="34" t="str">
        <f>VLOOKUP(E531,Sales_Reps!$A$2:$E$31,3,FALSE)</f>
        <v>West</v>
      </c>
      <c r="P531" s="13" t="s">
        <v>128</v>
      </c>
      <c r="Q531" s="34">
        <f t="shared" si="20"/>
        <v>880468.05</v>
      </c>
      <c r="R531" s="34" t="str">
        <f>VLOOKUP(E531,Sales_Reps!$A$2:$E$100,3,FALSE)</f>
        <v>West</v>
      </c>
      <c r="S531" s="34" t="str">
        <f t="shared" si="21"/>
        <v>Electronics</v>
      </c>
      <c r="T531" s="38">
        <f>VLOOKUP(D531,Products!$A$2:$F$68,4,FALSE)</f>
        <v>1665</v>
      </c>
    </row>
    <row r="532" spans="1:20" x14ac:dyDescent="0.35">
      <c r="A532" s="13" t="s">
        <v>973</v>
      </c>
      <c r="B532" s="14">
        <v>45542</v>
      </c>
      <c r="C532" s="13" t="s">
        <v>420</v>
      </c>
      <c r="D532" s="13" t="s">
        <v>502</v>
      </c>
      <c r="E532" s="13" t="s">
        <v>204</v>
      </c>
      <c r="F532" s="15">
        <v>8</v>
      </c>
      <c r="G532" s="15">
        <v>1090</v>
      </c>
      <c r="H532" s="15">
        <v>13.2</v>
      </c>
      <c r="I532" s="15">
        <v>7568.96</v>
      </c>
      <c r="J532" s="13" t="s">
        <v>144</v>
      </c>
      <c r="K532" s="13" t="s">
        <v>99</v>
      </c>
      <c r="L532" s="34" t="str">
        <f>VLOOKUP(D532,Products!$A$2:$F$61,3,FALSE)</f>
        <v>Home</v>
      </c>
      <c r="M532" s="34" t="str">
        <f>VLOOKUP(C532,Customers!$A$2:$F$301,5,FALSE)</f>
        <v>Retail</v>
      </c>
      <c r="N532" s="34">
        <f>VLOOKUP(C532,Customers!$A$2:$F$301,3,FALSE)</f>
        <v>44</v>
      </c>
      <c r="O532" s="34" t="str">
        <f>VLOOKUP(E532,Sales_Reps!$A$2:$E$31,3,FALSE)</f>
        <v>South</v>
      </c>
      <c r="P532" s="13" t="s">
        <v>204</v>
      </c>
      <c r="Q532" s="34">
        <f t="shared" si="20"/>
        <v>914554.71999999986</v>
      </c>
      <c r="R532" s="34" t="str">
        <f>VLOOKUP(E532,Sales_Reps!$A$2:$E$100,3,FALSE)</f>
        <v>South</v>
      </c>
      <c r="S532" s="34" t="str">
        <f t="shared" si="21"/>
        <v>Home</v>
      </c>
      <c r="T532" s="38">
        <f>VLOOKUP(D532,Products!$A$2:$F$68,4,FALSE)</f>
        <v>464</v>
      </c>
    </row>
    <row r="533" spans="1:20" x14ac:dyDescent="0.35">
      <c r="A533" s="13" t="s">
        <v>974</v>
      </c>
      <c r="B533" s="14">
        <v>45320</v>
      </c>
      <c r="C533" s="13" t="s">
        <v>457</v>
      </c>
      <c r="D533" s="13" t="s">
        <v>85</v>
      </c>
      <c r="E533" s="13" t="s">
        <v>303</v>
      </c>
      <c r="F533" s="15">
        <v>8</v>
      </c>
      <c r="G533" s="15">
        <v>3620</v>
      </c>
      <c r="H533" s="15">
        <v>29</v>
      </c>
      <c r="I533" s="15">
        <v>20561.599999999999</v>
      </c>
      <c r="J533" s="13" t="s">
        <v>87</v>
      </c>
      <c r="K533" s="13" t="s">
        <v>88</v>
      </c>
      <c r="L533" s="34" t="str">
        <f>VLOOKUP(D533,Products!$A$2:$F$61,3,FALSE)</f>
        <v>Apparel</v>
      </c>
      <c r="M533" s="34" t="str">
        <f>VLOOKUP(C533,Customers!$A$2:$F$301,5,FALSE)</f>
        <v>Retail</v>
      </c>
      <c r="N533" s="34">
        <f>VLOOKUP(C533,Customers!$A$2:$F$301,3,FALSE)</f>
        <v>29</v>
      </c>
      <c r="O533" s="34" t="str">
        <f>VLOOKUP(E533,Sales_Reps!$A$2:$E$31,3,FALSE)</f>
        <v>East</v>
      </c>
      <c r="P533" s="13" t="s">
        <v>303</v>
      </c>
      <c r="Q533" s="34">
        <f t="shared" si="20"/>
        <v>1112289.6400000001</v>
      </c>
      <c r="R533" s="34" t="str">
        <f>VLOOKUP(E533,Sales_Reps!$A$2:$E$100,3,FALSE)</f>
        <v>East</v>
      </c>
      <c r="S533" s="34" t="str">
        <f t="shared" si="21"/>
        <v>Apparel</v>
      </c>
      <c r="T533" s="38">
        <f>VLOOKUP(D533,Products!$A$2:$F$68,4,FALSE)</f>
        <v>2509</v>
      </c>
    </row>
    <row r="534" spans="1:20" x14ac:dyDescent="0.35">
      <c r="A534" s="13" t="s">
        <v>975</v>
      </c>
      <c r="B534" s="14">
        <v>45548</v>
      </c>
      <c r="C534" s="13" t="s">
        <v>291</v>
      </c>
      <c r="D534" s="13" t="s">
        <v>184</v>
      </c>
      <c r="E534" s="13" t="s">
        <v>132</v>
      </c>
      <c r="F534" s="15">
        <v>7</v>
      </c>
      <c r="G534" s="15">
        <v>4880</v>
      </c>
      <c r="H534" s="15">
        <v>25.6</v>
      </c>
      <c r="I534" s="15">
        <v>25415.040000000001</v>
      </c>
      <c r="J534" s="13" t="s">
        <v>144</v>
      </c>
      <c r="K534" s="13" t="s">
        <v>99</v>
      </c>
      <c r="L534" s="34" t="str">
        <f>VLOOKUP(D534,Products!$A$2:$F$61,3,FALSE)</f>
        <v>Beauty</v>
      </c>
      <c r="M534" s="34" t="str">
        <f>VLOOKUP(C534,Customers!$A$2:$F$301,5,FALSE)</f>
        <v>Retail</v>
      </c>
      <c r="N534" s="34">
        <f>VLOOKUP(C534,Customers!$A$2:$F$301,3,FALSE)</f>
        <v>35</v>
      </c>
      <c r="O534" s="34" t="str">
        <f>VLOOKUP(E534,Sales_Reps!$A$2:$E$31,3,FALSE)</f>
        <v>South</v>
      </c>
      <c r="P534" s="13" t="s">
        <v>132</v>
      </c>
      <c r="Q534" s="34">
        <f t="shared" si="20"/>
        <v>880345.20000000007</v>
      </c>
      <c r="R534" s="34" t="str">
        <f>VLOOKUP(E534,Sales_Reps!$A$2:$E$100,3,FALSE)</f>
        <v>South</v>
      </c>
      <c r="S534" s="34" t="str">
        <f t="shared" si="21"/>
        <v>Beauty</v>
      </c>
      <c r="T534" s="38">
        <f>VLOOKUP(D534,Products!$A$2:$F$68,4,FALSE)</f>
        <v>2768</v>
      </c>
    </row>
    <row r="535" spans="1:20" x14ac:dyDescent="0.35">
      <c r="A535" s="13" t="s">
        <v>976</v>
      </c>
      <c r="B535" s="14">
        <v>45434</v>
      </c>
      <c r="C535" s="13" t="s">
        <v>977</v>
      </c>
      <c r="D535" s="13" t="s">
        <v>97</v>
      </c>
      <c r="E535" s="13" t="s">
        <v>128</v>
      </c>
      <c r="F535" s="15">
        <v>2</v>
      </c>
      <c r="G535" s="15">
        <v>470</v>
      </c>
      <c r="H535" s="15">
        <v>9.6999999999999993</v>
      </c>
      <c r="I535" s="15">
        <v>848.82</v>
      </c>
      <c r="J535" s="13" t="s">
        <v>87</v>
      </c>
      <c r="K535" s="13" t="s">
        <v>88</v>
      </c>
      <c r="L535" s="34" t="str">
        <f>VLOOKUP(D535,Products!$A$2:$F$61,3,FALSE)</f>
        <v>Sports</v>
      </c>
      <c r="M535" s="34" t="str">
        <f>VLOOKUP(C535,Customers!$A$2:$F$301,5,FALSE)</f>
        <v>Corporate</v>
      </c>
      <c r="N535" s="34">
        <f>VLOOKUP(C535,Customers!$A$2:$F$301,3,FALSE)</f>
        <v>29</v>
      </c>
      <c r="O535" s="34" t="str">
        <f>VLOOKUP(E535,Sales_Reps!$A$2:$E$31,3,FALSE)</f>
        <v>West</v>
      </c>
      <c r="P535" s="13" t="s">
        <v>128</v>
      </c>
      <c r="Q535" s="34">
        <f t="shared" si="20"/>
        <v>880468.05</v>
      </c>
      <c r="R535" s="34" t="str">
        <f>VLOOKUP(E535,Sales_Reps!$A$2:$E$100,3,FALSE)</f>
        <v>West</v>
      </c>
      <c r="S535" s="34" t="str">
        <f t="shared" si="21"/>
        <v>Sports</v>
      </c>
      <c r="T535" s="38">
        <f>VLOOKUP(D535,Products!$A$2:$F$68,4,FALSE)</f>
        <v>302</v>
      </c>
    </row>
    <row r="536" spans="1:20" x14ac:dyDescent="0.35">
      <c r="A536" s="13" t="s">
        <v>978</v>
      </c>
      <c r="B536" s="14">
        <v>45539</v>
      </c>
      <c r="C536" s="13" t="s">
        <v>835</v>
      </c>
      <c r="D536" s="13" t="s">
        <v>386</v>
      </c>
      <c r="E536" s="13" t="s">
        <v>285</v>
      </c>
      <c r="F536" s="15">
        <v>6</v>
      </c>
      <c r="G536" s="15">
        <v>2290</v>
      </c>
      <c r="H536" s="15">
        <v>8.9</v>
      </c>
      <c r="I536" s="15">
        <v>12517.14</v>
      </c>
      <c r="J536" s="13" t="s">
        <v>87</v>
      </c>
      <c r="K536" s="13" t="s">
        <v>117</v>
      </c>
      <c r="L536" s="34" t="str">
        <f>VLOOKUP(D536,Products!$A$2:$F$61,3,FALSE)</f>
        <v>Beauty</v>
      </c>
      <c r="M536" s="34" t="str">
        <f>VLOOKUP(C536,Customers!$A$2:$F$301,5,FALSE)</f>
        <v>Retail</v>
      </c>
      <c r="N536" s="34">
        <f>VLOOKUP(C536,Customers!$A$2:$F$301,3,FALSE)</f>
        <v>52</v>
      </c>
      <c r="O536" s="34" t="str">
        <f>VLOOKUP(E536,Sales_Reps!$A$2:$E$31,3,FALSE)</f>
        <v>East</v>
      </c>
      <c r="P536" s="13" t="s">
        <v>285</v>
      </c>
      <c r="Q536" s="34">
        <f t="shared" si="20"/>
        <v>1069570.5400000003</v>
      </c>
      <c r="R536" s="34" t="str">
        <f>VLOOKUP(E536,Sales_Reps!$A$2:$E$100,3,FALSE)</f>
        <v>East</v>
      </c>
      <c r="S536" s="34" t="str">
        <f t="shared" si="21"/>
        <v>Beauty</v>
      </c>
      <c r="T536" s="38">
        <f>VLOOKUP(D536,Products!$A$2:$F$68,4,FALSE)</f>
        <v>1219</v>
      </c>
    </row>
    <row r="537" spans="1:20" x14ac:dyDescent="0.35">
      <c r="A537" s="13" t="s">
        <v>979</v>
      </c>
      <c r="B537" s="14">
        <v>45468</v>
      </c>
      <c r="C537" s="13" t="s">
        <v>460</v>
      </c>
      <c r="D537" s="13" t="s">
        <v>367</v>
      </c>
      <c r="E537" s="13" t="s">
        <v>132</v>
      </c>
      <c r="F537" s="15">
        <v>3</v>
      </c>
      <c r="G537" s="15">
        <v>2380</v>
      </c>
      <c r="H537" s="15">
        <v>2.7</v>
      </c>
      <c r="I537" s="15">
        <v>6947.22</v>
      </c>
      <c r="J537" s="13" t="s">
        <v>93</v>
      </c>
      <c r="K537" s="13" t="s">
        <v>88</v>
      </c>
      <c r="L537" s="34" t="str">
        <f>VLOOKUP(D537,Products!$A$2:$F$61,3,FALSE)</f>
        <v>Grocery</v>
      </c>
      <c r="M537" s="34" t="str">
        <f>VLOOKUP(C537,Customers!$A$2:$F$301,5,FALSE)</f>
        <v>Corporate</v>
      </c>
      <c r="N537" s="34">
        <f>VLOOKUP(C537,Customers!$A$2:$F$301,3,FALSE)</f>
        <v>37</v>
      </c>
      <c r="O537" s="34" t="str">
        <f>VLOOKUP(E537,Sales_Reps!$A$2:$E$31,3,FALSE)</f>
        <v>South</v>
      </c>
      <c r="P537" s="13" t="s">
        <v>132</v>
      </c>
      <c r="Q537" s="34">
        <f t="shared" si="20"/>
        <v>880345.20000000007</v>
      </c>
      <c r="R537" s="34" t="str">
        <f>VLOOKUP(E537,Sales_Reps!$A$2:$E$100,3,FALSE)</f>
        <v>South</v>
      </c>
      <c r="S537" s="34" t="str">
        <f t="shared" si="21"/>
        <v>Grocery</v>
      </c>
      <c r="T537" s="38">
        <f>VLOOKUP(D537,Products!$A$2:$F$68,4,FALSE)</f>
        <v>1182</v>
      </c>
    </row>
    <row r="538" spans="1:20" x14ac:dyDescent="0.35">
      <c r="A538" s="13" t="s">
        <v>980</v>
      </c>
      <c r="B538" s="14">
        <v>45485</v>
      </c>
      <c r="C538" s="13" t="s">
        <v>729</v>
      </c>
      <c r="D538" s="13" t="s">
        <v>367</v>
      </c>
      <c r="E538" s="13" t="s">
        <v>107</v>
      </c>
      <c r="F538" s="15">
        <v>9</v>
      </c>
      <c r="G538" s="15">
        <v>2380</v>
      </c>
      <c r="H538" s="15">
        <v>20.100000000000001</v>
      </c>
      <c r="I538" s="15">
        <v>17114.580000000002</v>
      </c>
      <c r="J538" s="13" t="s">
        <v>87</v>
      </c>
      <c r="K538" s="13" t="s">
        <v>112</v>
      </c>
      <c r="L538" s="34" t="str">
        <f>VLOOKUP(D538,Products!$A$2:$F$61,3,FALSE)</f>
        <v>Grocery</v>
      </c>
      <c r="M538" s="34" t="str">
        <f>VLOOKUP(C538,Customers!$A$2:$F$301,5,FALSE)</f>
        <v>Retail</v>
      </c>
      <c r="N538" s="34">
        <f>VLOOKUP(C538,Customers!$A$2:$F$301,3,FALSE)</f>
        <v>56</v>
      </c>
      <c r="O538" s="34" t="str">
        <f>VLOOKUP(E538,Sales_Reps!$A$2:$E$31,3,FALSE)</f>
        <v>North</v>
      </c>
      <c r="P538" s="13" t="s">
        <v>107</v>
      </c>
      <c r="Q538" s="34">
        <f t="shared" si="20"/>
        <v>861553.33</v>
      </c>
      <c r="R538" s="34" t="str">
        <f>VLOOKUP(E538,Sales_Reps!$A$2:$E$100,3,FALSE)</f>
        <v>North</v>
      </c>
      <c r="S538" s="34" t="str">
        <f t="shared" si="21"/>
        <v>Grocery</v>
      </c>
      <c r="T538" s="38">
        <f>VLOOKUP(D538,Products!$A$2:$F$68,4,FALSE)</f>
        <v>1182</v>
      </c>
    </row>
    <row r="539" spans="1:20" x14ac:dyDescent="0.35">
      <c r="A539" s="13" t="s">
        <v>981</v>
      </c>
      <c r="B539" s="14">
        <v>45303</v>
      </c>
      <c r="C539" s="13" t="s">
        <v>567</v>
      </c>
      <c r="D539" s="13" t="s">
        <v>360</v>
      </c>
      <c r="E539" s="13" t="s">
        <v>98</v>
      </c>
      <c r="F539" s="15">
        <v>8</v>
      </c>
      <c r="G539" s="15">
        <v>5410</v>
      </c>
      <c r="H539" s="15">
        <v>11.2</v>
      </c>
      <c r="I539" s="15">
        <v>38432.639999999999</v>
      </c>
      <c r="J539" s="13" t="s">
        <v>87</v>
      </c>
      <c r="K539" s="13" t="s">
        <v>117</v>
      </c>
      <c r="L539" s="34" t="str">
        <f>VLOOKUP(D539,Products!$A$2:$F$61,3,FALSE)</f>
        <v>Sports</v>
      </c>
      <c r="M539" s="34" t="str">
        <f>VLOOKUP(C539,Customers!$A$2:$F$301,5,FALSE)</f>
        <v>Corporate</v>
      </c>
      <c r="N539" s="34">
        <f>VLOOKUP(C539,Customers!$A$2:$F$301,3,FALSE)</f>
        <v>41</v>
      </c>
      <c r="O539" s="34" t="str">
        <f>VLOOKUP(E539,Sales_Reps!$A$2:$E$31,3,FALSE)</f>
        <v>South</v>
      </c>
      <c r="P539" s="13" t="s">
        <v>98</v>
      </c>
      <c r="Q539" s="34">
        <f t="shared" si="20"/>
        <v>995713.54000000015</v>
      </c>
      <c r="R539" s="34" t="str">
        <f>VLOOKUP(E539,Sales_Reps!$A$2:$E$100,3,FALSE)</f>
        <v>South</v>
      </c>
      <c r="S539" s="34" t="str">
        <f t="shared" si="21"/>
        <v>Sports</v>
      </c>
      <c r="T539" s="38">
        <f>VLOOKUP(D539,Products!$A$2:$F$68,4,FALSE)</f>
        <v>2265</v>
      </c>
    </row>
    <row r="540" spans="1:20" x14ac:dyDescent="0.35">
      <c r="A540" s="13" t="s">
        <v>982</v>
      </c>
      <c r="B540" s="14">
        <v>45605</v>
      </c>
      <c r="C540" s="13" t="s">
        <v>983</v>
      </c>
      <c r="D540" s="13" t="s">
        <v>120</v>
      </c>
      <c r="E540" s="13" t="s">
        <v>107</v>
      </c>
      <c r="F540" s="15">
        <v>1</v>
      </c>
      <c r="G540" s="15">
        <v>1430</v>
      </c>
      <c r="H540" s="15">
        <v>19.600000000000001</v>
      </c>
      <c r="I540" s="15">
        <v>1149.72</v>
      </c>
      <c r="J540" s="13" t="s">
        <v>87</v>
      </c>
      <c r="K540" s="13" t="s">
        <v>117</v>
      </c>
      <c r="L540" s="34" t="str">
        <f>VLOOKUP(D540,Products!$A$2:$F$61,3,FALSE)</f>
        <v>Electronics</v>
      </c>
      <c r="M540" s="34" t="str">
        <f>VLOOKUP(C540,Customers!$A$2:$F$301,5,FALSE)</f>
        <v>SMB</v>
      </c>
      <c r="N540" s="34">
        <f>VLOOKUP(C540,Customers!$A$2:$F$301,3,FALSE)</f>
        <v>36</v>
      </c>
      <c r="O540" s="34" t="str">
        <f>VLOOKUP(E540,Sales_Reps!$A$2:$E$31,3,FALSE)</f>
        <v>North</v>
      </c>
      <c r="P540" s="13" t="s">
        <v>107</v>
      </c>
      <c r="Q540" s="34">
        <f t="shared" si="20"/>
        <v>861553.33</v>
      </c>
      <c r="R540" s="34" t="str">
        <f>VLOOKUP(E540,Sales_Reps!$A$2:$E$100,3,FALSE)</f>
        <v>North</v>
      </c>
      <c r="S540" s="34" t="str">
        <f t="shared" si="21"/>
        <v>Electronics</v>
      </c>
      <c r="T540" s="38">
        <f>VLOOKUP(D540,Products!$A$2:$F$68,4,FALSE)</f>
        <v>861</v>
      </c>
    </row>
    <row r="541" spans="1:20" x14ac:dyDescent="0.35">
      <c r="A541" s="13" t="s">
        <v>984</v>
      </c>
      <c r="B541" s="14">
        <v>45421</v>
      </c>
      <c r="C541" s="13" t="s">
        <v>870</v>
      </c>
      <c r="D541" s="13" t="s">
        <v>151</v>
      </c>
      <c r="E541" s="13" t="s">
        <v>343</v>
      </c>
      <c r="F541" s="15">
        <v>9</v>
      </c>
      <c r="G541" s="15">
        <v>2400</v>
      </c>
      <c r="H541" s="15">
        <v>5</v>
      </c>
      <c r="I541" s="15">
        <v>20520</v>
      </c>
      <c r="J541" s="13" t="s">
        <v>87</v>
      </c>
      <c r="K541" s="13" t="s">
        <v>117</v>
      </c>
      <c r="L541" s="34" t="str">
        <f>VLOOKUP(D541,Products!$A$2:$F$61,3,FALSE)</f>
        <v>Sports</v>
      </c>
      <c r="M541" s="34" t="str">
        <f>VLOOKUP(C541,Customers!$A$2:$F$301,5,FALSE)</f>
        <v>Retail</v>
      </c>
      <c r="N541" s="34">
        <f>VLOOKUP(C541,Customers!$A$2:$F$301,3,FALSE)</f>
        <v>47</v>
      </c>
      <c r="O541" s="34" t="str">
        <f>VLOOKUP(E541,Sales_Reps!$A$2:$E$31,3,FALSE)</f>
        <v>West</v>
      </c>
      <c r="P541" s="13" t="s">
        <v>343</v>
      </c>
      <c r="Q541" s="34">
        <f t="shared" si="20"/>
        <v>917092.61999999965</v>
      </c>
      <c r="R541" s="34" t="str">
        <f>VLOOKUP(E541,Sales_Reps!$A$2:$E$100,3,FALSE)</f>
        <v>West</v>
      </c>
      <c r="S541" s="34" t="str">
        <f t="shared" si="21"/>
        <v>Sports</v>
      </c>
      <c r="T541" s="38">
        <f>VLOOKUP(D541,Products!$A$2:$F$68,4,FALSE)</f>
        <v>974</v>
      </c>
    </row>
    <row r="542" spans="1:20" x14ac:dyDescent="0.35">
      <c r="A542" s="13" t="s">
        <v>985</v>
      </c>
      <c r="B542" s="14">
        <v>45493</v>
      </c>
      <c r="C542" s="13" t="s">
        <v>986</v>
      </c>
      <c r="D542" s="13" t="s">
        <v>234</v>
      </c>
      <c r="E542" s="13" t="s">
        <v>215</v>
      </c>
      <c r="F542" s="15">
        <v>1</v>
      </c>
      <c r="G542" s="15">
        <v>3780</v>
      </c>
      <c r="H542" s="15">
        <v>4.7</v>
      </c>
      <c r="I542" s="15">
        <v>3602.34</v>
      </c>
      <c r="J542" s="13" t="s">
        <v>87</v>
      </c>
      <c r="K542" s="13" t="s">
        <v>94</v>
      </c>
      <c r="L542" s="34" t="str">
        <f>VLOOKUP(D542,Products!$A$2:$F$61,3,FALSE)</f>
        <v>Grocery</v>
      </c>
      <c r="M542" s="34" t="str">
        <f>VLOOKUP(C542,Customers!$A$2:$F$301,5,FALSE)</f>
        <v>Corporate</v>
      </c>
      <c r="N542" s="34">
        <f>VLOOKUP(C542,Customers!$A$2:$F$301,3,FALSE)</f>
        <v>52</v>
      </c>
      <c r="O542" s="34" t="str">
        <f>VLOOKUP(E542,Sales_Reps!$A$2:$E$31,3,FALSE)</f>
        <v>North</v>
      </c>
      <c r="P542" s="13" t="s">
        <v>215</v>
      </c>
      <c r="Q542" s="34">
        <f t="shared" si="20"/>
        <v>789849.60000000009</v>
      </c>
      <c r="R542" s="34" t="str">
        <f>VLOOKUP(E542,Sales_Reps!$A$2:$E$100,3,FALSE)</f>
        <v>North</v>
      </c>
      <c r="S542" s="34" t="str">
        <f t="shared" si="21"/>
        <v>Grocery</v>
      </c>
      <c r="T542" s="38">
        <f>VLOOKUP(D542,Products!$A$2:$F$68,4,FALSE)</f>
        <v>2436</v>
      </c>
    </row>
    <row r="543" spans="1:20" x14ac:dyDescent="0.35">
      <c r="A543" s="13" t="s">
        <v>987</v>
      </c>
      <c r="B543" s="14">
        <v>45592</v>
      </c>
      <c r="C543" s="13" t="s">
        <v>878</v>
      </c>
      <c r="D543" s="13" t="s">
        <v>292</v>
      </c>
      <c r="E543" s="13" t="s">
        <v>121</v>
      </c>
      <c r="F543" s="15">
        <v>2</v>
      </c>
      <c r="G543" s="15">
        <v>620</v>
      </c>
      <c r="H543" s="15">
        <v>8</v>
      </c>
      <c r="I543" s="15">
        <v>1140.8</v>
      </c>
      <c r="J543" s="13" t="s">
        <v>87</v>
      </c>
      <c r="K543" s="13" t="s">
        <v>112</v>
      </c>
      <c r="L543" s="34" t="str">
        <f>VLOOKUP(D543,Products!$A$2:$F$61,3,FALSE)</f>
        <v>Apparel</v>
      </c>
      <c r="M543" s="34" t="str">
        <f>VLOOKUP(C543,Customers!$A$2:$F$301,5,FALSE)</f>
        <v>Corporate</v>
      </c>
      <c r="N543" s="34">
        <f>VLOOKUP(C543,Customers!$A$2:$F$301,3,FALSE)</f>
        <v>62</v>
      </c>
      <c r="O543" s="34" t="str">
        <f>VLOOKUP(E543,Sales_Reps!$A$2:$E$31,3,FALSE)</f>
        <v>East</v>
      </c>
      <c r="P543" s="13" t="s">
        <v>121</v>
      </c>
      <c r="Q543" s="34">
        <f t="shared" si="20"/>
        <v>971183.52000000014</v>
      </c>
      <c r="R543" s="34" t="str">
        <f>VLOOKUP(E543,Sales_Reps!$A$2:$E$100,3,FALSE)</f>
        <v>East</v>
      </c>
      <c r="S543" s="34" t="str">
        <f t="shared" si="21"/>
        <v>Apparel</v>
      </c>
      <c r="T543" s="38">
        <f>VLOOKUP(D543,Products!$A$2:$F$68,4,FALSE)</f>
        <v>396</v>
      </c>
    </row>
    <row r="544" spans="1:20" x14ac:dyDescent="0.35">
      <c r="A544" s="13" t="s">
        <v>988</v>
      </c>
      <c r="B544" s="14">
        <v>45379</v>
      </c>
      <c r="C544" s="13" t="s">
        <v>638</v>
      </c>
      <c r="D544" s="13" t="s">
        <v>147</v>
      </c>
      <c r="E544" s="13" t="s">
        <v>86</v>
      </c>
      <c r="F544" s="15">
        <v>3</v>
      </c>
      <c r="G544" s="15">
        <v>190</v>
      </c>
      <c r="H544" s="15">
        <v>17.899999999999999</v>
      </c>
      <c r="I544" s="15">
        <v>467.97</v>
      </c>
      <c r="J544" s="13" t="s">
        <v>93</v>
      </c>
      <c r="K544" s="13" t="s">
        <v>99</v>
      </c>
      <c r="L544" s="34" t="str">
        <f>VLOOKUP(D544,Products!$A$2:$F$61,3,FALSE)</f>
        <v>Sports</v>
      </c>
      <c r="M544" s="34" t="str">
        <f>VLOOKUP(C544,Customers!$A$2:$F$301,5,FALSE)</f>
        <v>Retail</v>
      </c>
      <c r="N544" s="34">
        <f>VLOOKUP(C544,Customers!$A$2:$F$301,3,FALSE)</f>
        <v>43</v>
      </c>
      <c r="O544" s="34" t="str">
        <f>VLOOKUP(E544,Sales_Reps!$A$2:$E$31,3,FALSE)</f>
        <v>North</v>
      </c>
      <c r="P544" s="13" t="s">
        <v>86</v>
      </c>
      <c r="Q544" s="34">
        <f t="shared" si="20"/>
        <v>855749.67999999982</v>
      </c>
      <c r="R544" s="34" t="str">
        <f>VLOOKUP(E544,Sales_Reps!$A$2:$E$100,3,FALSE)</f>
        <v>North</v>
      </c>
      <c r="S544" s="34" t="str">
        <f t="shared" si="21"/>
        <v>Sports</v>
      </c>
      <c r="T544" s="38">
        <f>VLOOKUP(D544,Products!$A$2:$F$68,4,FALSE)</f>
        <v>147</v>
      </c>
    </row>
    <row r="545" spans="1:20" x14ac:dyDescent="0.35">
      <c r="A545" s="13" t="s">
        <v>989</v>
      </c>
      <c r="B545" s="14">
        <v>45332</v>
      </c>
      <c r="C545" s="13" t="s">
        <v>990</v>
      </c>
      <c r="D545" s="13" t="s">
        <v>85</v>
      </c>
      <c r="E545" s="13" t="s">
        <v>121</v>
      </c>
      <c r="F545" s="15">
        <v>2</v>
      </c>
      <c r="G545" s="15">
        <v>3620</v>
      </c>
      <c r="H545" s="15">
        <v>15.5</v>
      </c>
      <c r="I545" s="15">
        <v>6117.8</v>
      </c>
      <c r="J545" s="13" t="s">
        <v>87</v>
      </c>
      <c r="K545" s="13" t="s">
        <v>117</v>
      </c>
      <c r="L545" s="34" t="str">
        <f>VLOOKUP(D545,Products!$A$2:$F$61,3,FALSE)</f>
        <v>Apparel</v>
      </c>
      <c r="M545" s="34" t="str">
        <f>VLOOKUP(C545,Customers!$A$2:$F$301,5,FALSE)</f>
        <v>Retail</v>
      </c>
      <c r="N545" s="34">
        <f>VLOOKUP(C545,Customers!$A$2:$F$301,3,FALSE)</f>
        <v>61</v>
      </c>
      <c r="O545" s="34" t="str">
        <f>VLOOKUP(E545,Sales_Reps!$A$2:$E$31,3,FALSE)</f>
        <v>East</v>
      </c>
      <c r="P545" s="13" t="s">
        <v>121</v>
      </c>
      <c r="Q545" s="34">
        <f t="shared" si="20"/>
        <v>971183.52000000014</v>
      </c>
      <c r="R545" s="34" t="str">
        <f>VLOOKUP(E545,Sales_Reps!$A$2:$E$100,3,FALSE)</f>
        <v>East</v>
      </c>
      <c r="S545" s="34" t="str">
        <f t="shared" si="21"/>
        <v>Apparel</v>
      </c>
      <c r="T545" s="38">
        <f>VLOOKUP(D545,Products!$A$2:$F$68,4,FALSE)</f>
        <v>2509</v>
      </c>
    </row>
    <row r="546" spans="1:20" x14ac:dyDescent="0.35">
      <c r="A546" s="13" t="s">
        <v>991</v>
      </c>
      <c r="B546" s="14">
        <v>45610</v>
      </c>
      <c r="C546" s="13" t="s">
        <v>190</v>
      </c>
      <c r="D546" s="13" t="s">
        <v>195</v>
      </c>
      <c r="E546" s="13" t="s">
        <v>303</v>
      </c>
      <c r="F546" s="15">
        <v>5</v>
      </c>
      <c r="G546" s="15">
        <v>2860</v>
      </c>
      <c r="H546" s="15">
        <v>26.8</v>
      </c>
      <c r="I546" s="15">
        <v>10467.6</v>
      </c>
      <c r="J546" s="13" t="s">
        <v>87</v>
      </c>
      <c r="K546" s="13" t="s">
        <v>133</v>
      </c>
      <c r="L546" s="34" t="str">
        <f>VLOOKUP(D546,Products!$A$2:$F$61,3,FALSE)</f>
        <v>Sports</v>
      </c>
      <c r="M546" s="34" t="str">
        <f>VLOOKUP(C546,Customers!$A$2:$F$301,5,FALSE)</f>
        <v>Corporate</v>
      </c>
      <c r="N546" s="34">
        <f>VLOOKUP(C546,Customers!$A$2:$F$301,3,FALSE)</f>
        <v>56</v>
      </c>
      <c r="O546" s="34" t="str">
        <f>VLOOKUP(E546,Sales_Reps!$A$2:$E$31,3,FALSE)</f>
        <v>East</v>
      </c>
      <c r="P546" s="13" t="s">
        <v>303</v>
      </c>
      <c r="Q546" s="34">
        <f t="shared" si="20"/>
        <v>1112289.6400000001</v>
      </c>
      <c r="R546" s="34" t="str">
        <f>VLOOKUP(E546,Sales_Reps!$A$2:$E$100,3,FALSE)</f>
        <v>East</v>
      </c>
      <c r="S546" s="34" t="str">
        <f t="shared" si="21"/>
        <v>Sports</v>
      </c>
      <c r="T546" s="38">
        <f>VLOOKUP(D546,Products!$A$2:$F$68,4,FALSE)</f>
        <v>2028</v>
      </c>
    </row>
    <row r="547" spans="1:20" x14ac:dyDescent="0.35">
      <c r="A547" s="13" t="s">
        <v>992</v>
      </c>
      <c r="B547" s="14">
        <v>45638</v>
      </c>
      <c r="C547" s="13" t="s">
        <v>910</v>
      </c>
      <c r="D547" s="13" t="s">
        <v>151</v>
      </c>
      <c r="E547" s="13" t="s">
        <v>154</v>
      </c>
      <c r="F547" s="15">
        <v>6</v>
      </c>
      <c r="G547" s="15">
        <v>2400</v>
      </c>
      <c r="H547" s="15">
        <v>19.2</v>
      </c>
      <c r="I547" s="15">
        <v>11635.2</v>
      </c>
      <c r="J547" s="13" t="s">
        <v>140</v>
      </c>
      <c r="K547" s="13" t="s">
        <v>99</v>
      </c>
      <c r="L547" s="34" t="str">
        <f>VLOOKUP(D547,Products!$A$2:$F$61,3,FALSE)</f>
        <v>Sports</v>
      </c>
      <c r="M547" s="34" t="str">
        <f>VLOOKUP(C547,Customers!$A$2:$F$301,5,FALSE)</f>
        <v>Retail</v>
      </c>
      <c r="N547" s="34">
        <f>VLOOKUP(C547,Customers!$A$2:$F$301,3,FALSE)</f>
        <v>55</v>
      </c>
      <c r="O547" s="34" t="str">
        <f>VLOOKUP(E547,Sales_Reps!$A$2:$E$31,3,FALSE)</f>
        <v>East</v>
      </c>
      <c r="P547" s="13" t="s">
        <v>154</v>
      </c>
      <c r="Q547" s="34">
        <f t="shared" si="20"/>
        <v>983787.4800000001</v>
      </c>
      <c r="R547" s="34" t="str">
        <f>VLOOKUP(E547,Sales_Reps!$A$2:$E$100,3,FALSE)</f>
        <v>East</v>
      </c>
      <c r="S547" s="34" t="str">
        <f t="shared" si="21"/>
        <v>Sports</v>
      </c>
      <c r="T547" s="38">
        <f>VLOOKUP(D547,Products!$A$2:$F$68,4,FALSE)</f>
        <v>974</v>
      </c>
    </row>
    <row r="548" spans="1:20" x14ac:dyDescent="0.35">
      <c r="A548" s="13" t="s">
        <v>993</v>
      </c>
      <c r="B548" s="14">
        <v>45546</v>
      </c>
      <c r="C548" s="13" t="s">
        <v>610</v>
      </c>
      <c r="D548" s="13" t="s">
        <v>443</v>
      </c>
      <c r="E548" s="13" t="s">
        <v>204</v>
      </c>
      <c r="F548" s="15">
        <v>7</v>
      </c>
      <c r="G548" s="15">
        <v>5080</v>
      </c>
      <c r="H548" s="15">
        <v>16.600000000000001</v>
      </c>
      <c r="I548" s="15">
        <v>29657.040000000001</v>
      </c>
      <c r="J548" s="13" t="s">
        <v>93</v>
      </c>
      <c r="K548" s="13" t="s">
        <v>117</v>
      </c>
      <c r="L548" s="34" t="str">
        <f>VLOOKUP(D548,Products!$A$2:$F$61,3,FALSE)</f>
        <v>Home</v>
      </c>
      <c r="M548" s="34" t="str">
        <f>VLOOKUP(C548,Customers!$A$2:$F$301,5,FALSE)</f>
        <v>SMB</v>
      </c>
      <c r="N548" s="34">
        <f>VLOOKUP(C548,Customers!$A$2:$F$301,3,FALSE)</f>
        <v>42</v>
      </c>
      <c r="O548" s="34" t="str">
        <f>VLOOKUP(E548,Sales_Reps!$A$2:$E$31,3,FALSE)</f>
        <v>South</v>
      </c>
      <c r="P548" s="13" t="s">
        <v>204</v>
      </c>
      <c r="Q548" s="34">
        <f t="shared" si="20"/>
        <v>914554.71999999986</v>
      </c>
      <c r="R548" s="34" t="str">
        <f>VLOOKUP(E548,Sales_Reps!$A$2:$E$100,3,FALSE)</f>
        <v>South</v>
      </c>
      <c r="S548" s="34" t="str">
        <f t="shared" si="21"/>
        <v>Home</v>
      </c>
      <c r="T548" s="38">
        <f>VLOOKUP(D548,Products!$A$2:$F$68,4,FALSE)</f>
        <v>2459</v>
      </c>
    </row>
    <row r="549" spans="1:20" x14ac:dyDescent="0.35">
      <c r="A549" s="13" t="s">
        <v>994</v>
      </c>
      <c r="B549" s="14">
        <v>45436</v>
      </c>
      <c r="C549" s="13" t="s">
        <v>156</v>
      </c>
      <c r="D549" s="13" t="s">
        <v>443</v>
      </c>
      <c r="E549" s="13" t="s">
        <v>188</v>
      </c>
      <c r="F549" s="15">
        <v>10</v>
      </c>
      <c r="G549" s="15">
        <v>5080</v>
      </c>
      <c r="H549" s="15">
        <v>24.6</v>
      </c>
      <c r="I549" s="15">
        <v>38303.199999999997</v>
      </c>
      <c r="J549" s="13" t="s">
        <v>87</v>
      </c>
      <c r="K549" s="13" t="s">
        <v>133</v>
      </c>
      <c r="L549" s="34" t="str">
        <f>VLOOKUP(D549,Products!$A$2:$F$61,3,FALSE)</f>
        <v>Home</v>
      </c>
      <c r="M549" s="34" t="str">
        <f>VLOOKUP(C549,Customers!$A$2:$F$301,5,FALSE)</f>
        <v>Corporate</v>
      </c>
      <c r="N549" s="34">
        <f>VLOOKUP(C549,Customers!$A$2:$F$301,3,FALSE)</f>
        <v>32</v>
      </c>
      <c r="O549" s="34" t="str">
        <f>VLOOKUP(E549,Sales_Reps!$A$2:$E$31,3,FALSE)</f>
        <v>South</v>
      </c>
      <c r="P549" s="13" t="s">
        <v>188</v>
      </c>
      <c r="Q549" s="34">
        <f t="shared" si="20"/>
        <v>1091740.1799999997</v>
      </c>
      <c r="R549" s="34" t="str">
        <f>VLOOKUP(E549,Sales_Reps!$A$2:$E$100,3,FALSE)</f>
        <v>South</v>
      </c>
      <c r="S549" s="34" t="str">
        <f t="shared" si="21"/>
        <v>Home</v>
      </c>
      <c r="T549" s="38">
        <f>VLOOKUP(D549,Products!$A$2:$F$68,4,FALSE)</f>
        <v>2459</v>
      </c>
    </row>
    <row r="550" spans="1:20" x14ac:dyDescent="0.35">
      <c r="A550" s="13" t="s">
        <v>995</v>
      </c>
      <c r="B550" s="14">
        <v>45532</v>
      </c>
      <c r="C550" s="13" t="s">
        <v>959</v>
      </c>
      <c r="D550" s="13" t="s">
        <v>115</v>
      </c>
      <c r="E550" s="13" t="s">
        <v>107</v>
      </c>
      <c r="F550" s="15">
        <v>7</v>
      </c>
      <c r="G550" s="15">
        <v>960</v>
      </c>
      <c r="H550" s="15">
        <v>16.600000000000001</v>
      </c>
      <c r="I550" s="15">
        <v>5604.48</v>
      </c>
      <c r="J550" s="13" t="s">
        <v>87</v>
      </c>
      <c r="K550" s="13" t="s">
        <v>112</v>
      </c>
      <c r="L550" s="34" t="str">
        <f>VLOOKUP(D550,Products!$A$2:$F$61,3,FALSE)</f>
        <v>Sports</v>
      </c>
      <c r="M550" s="34" t="str">
        <f>VLOOKUP(C550,Customers!$A$2:$F$301,5,FALSE)</f>
        <v>SMB</v>
      </c>
      <c r="N550" s="34">
        <f>VLOOKUP(C550,Customers!$A$2:$F$301,3,FALSE)</f>
        <v>65</v>
      </c>
      <c r="O550" s="34" t="str">
        <f>VLOOKUP(E550,Sales_Reps!$A$2:$E$31,3,FALSE)</f>
        <v>North</v>
      </c>
      <c r="P550" s="13" t="s">
        <v>107</v>
      </c>
      <c r="Q550" s="34">
        <f t="shared" si="20"/>
        <v>861553.33</v>
      </c>
      <c r="R550" s="34" t="str">
        <f>VLOOKUP(E550,Sales_Reps!$A$2:$E$100,3,FALSE)</f>
        <v>North</v>
      </c>
      <c r="S550" s="34" t="str">
        <f t="shared" si="21"/>
        <v>Sports</v>
      </c>
      <c r="T550" s="38">
        <f>VLOOKUP(D550,Products!$A$2:$F$68,4,FALSE)</f>
        <v>705</v>
      </c>
    </row>
    <row r="551" spans="1:20" x14ac:dyDescent="0.35">
      <c r="A551" s="13" t="s">
        <v>996</v>
      </c>
      <c r="B551" s="14">
        <v>45568</v>
      </c>
      <c r="C551" s="13" t="s">
        <v>266</v>
      </c>
      <c r="D551" s="13" t="s">
        <v>102</v>
      </c>
      <c r="E551" s="13" t="s">
        <v>128</v>
      </c>
      <c r="F551" s="15">
        <v>3</v>
      </c>
      <c r="G551" s="15">
        <v>3660</v>
      </c>
      <c r="H551" s="15">
        <v>3.2</v>
      </c>
      <c r="I551" s="15">
        <v>10628.64</v>
      </c>
      <c r="J551" s="13" t="s">
        <v>93</v>
      </c>
      <c r="K551" s="13" t="s">
        <v>99</v>
      </c>
      <c r="L551" s="34" t="str">
        <f>VLOOKUP(D551,Products!$A$2:$F$61,3,FALSE)</f>
        <v>Grocery</v>
      </c>
      <c r="M551" s="34" t="str">
        <f>VLOOKUP(C551,Customers!$A$2:$F$301,5,FALSE)</f>
        <v>Corporate</v>
      </c>
      <c r="N551" s="34">
        <f>VLOOKUP(C551,Customers!$A$2:$F$301,3,FALSE)</f>
        <v>55</v>
      </c>
      <c r="O551" s="34" t="str">
        <f>VLOOKUP(E551,Sales_Reps!$A$2:$E$31,3,FALSE)</f>
        <v>West</v>
      </c>
      <c r="P551" s="13" t="s">
        <v>128</v>
      </c>
      <c r="Q551" s="34">
        <f t="shared" si="20"/>
        <v>880468.05</v>
      </c>
      <c r="R551" s="34" t="str">
        <f>VLOOKUP(E551,Sales_Reps!$A$2:$E$100,3,FALSE)</f>
        <v>West</v>
      </c>
      <c r="S551" s="34" t="str">
        <f t="shared" si="21"/>
        <v>Grocery</v>
      </c>
      <c r="T551" s="38">
        <f>VLOOKUP(D551,Products!$A$2:$F$68,4,FALSE)</f>
        <v>2214</v>
      </c>
    </row>
    <row r="552" spans="1:20" x14ac:dyDescent="0.35">
      <c r="A552" s="13" t="s">
        <v>997</v>
      </c>
      <c r="B552" s="14">
        <v>45572</v>
      </c>
      <c r="C552" s="13" t="s">
        <v>197</v>
      </c>
      <c r="D552" s="13" t="s">
        <v>135</v>
      </c>
      <c r="E552" s="13" t="s">
        <v>204</v>
      </c>
      <c r="F552" s="15">
        <v>6</v>
      </c>
      <c r="G552" s="15">
        <v>2640</v>
      </c>
      <c r="H552" s="15">
        <v>26.3</v>
      </c>
      <c r="I552" s="15">
        <v>11674.08</v>
      </c>
      <c r="J552" s="13" t="s">
        <v>87</v>
      </c>
      <c r="K552" s="13" t="s">
        <v>88</v>
      </c>
      <c r="L552" s="34" t="str">
        <f>VLOOKUP(D552,Products!$A$2:$F$61,3,FALSE)</f>
        <v>Electronics</v>
      </c>
      <c r="M552" s="34" t="str">
        <f>VLOOKUP(C552,Customers!$A$2:$F$301,5,FALSE)</f>
        <v>Corporate</v>
      </c>
      <c r="N552" s="34">
        <f>VLOOKUP(C552,Customers!$A$2:$F$301,3,FALSE)</f>
        <v>47</v>
      </c>
      <c r="O552" s="34" t="str">
        <f>VLOOKUP(E552,Sales_Reps!$A$2:$E$31,3,FALSE)</f>
        <v>South</v>
      </c>
      <c r="P552" s="13" t="s">
        <v>204</v>
      </c>
      <c r="Q552" s="34">
        <f t="shared" si="20"/>
        <v>914554.71999999986</v>
      </c>
      <c r="R552" s="34" t="str">
        <f>VLOOKUP(E552,Sales_Reps!$A$2:$E$100,3,FALSE)</f>
        <v>South</v>
      </c>
      <c r="S552" s="34" t="str">
        <f t="shared" si="21"/>
        <v>Electronics</v>
      </c>
      <c r="T552" s="38">
        <f>VLOOKUP(D552,Products!$A$2:$F$68,4,FALSE)</f>
        <v>1149</v>
      </c>
    </row>
    <row r="553" spans="1:20" x14ac:dyDescent="0.35">
      <c r="A553" s="13" t="s">
        <v>998</v>
      </c>
      <c r="B553" s="14">
        <v>45562</v>
      </c>
      <c r="C553" s="13" t="s">
        <v>425</v>
      </c>
      <c r="D553" s="13" t="s">
        <v>267</v>
      </c>
      <c r="E553" s="13" t="s">
        <v>204</v>
      </c>
      <c r="F553" s="15">
        <v>6</v>
      </c>
      <c r="G553" s="15">
        <v>1220</v>
      </c>
      <c r="H553" s="15">
        <v>22.3</v>
      </c>
      <c r="I553" s="15">
        <v>5687.64</v>
      </c>
      <c r="J553" s="13" t="s">
        <v>140</v>
      </c>
      <c r="K553" s="13" t="s">
        <v>94</v>
      </c>
      <c r="L553" s="34" t="str">
        <f>VLOOKUP(D553,Products!$A$2:$F$61,3,FALSE)</f>
        <v>Electronics</v>
      </c>
      <c r="M553" s="34" t="str">
        <f>VLOOKUP(C553,Customers!$A$2:$F$301,5,FALSE)</f>
        <v>SMB</v>
      </c>
      <c r="N553" s="34">
        <f>VLOOKUP(C553,Customers!$A$2:$F$301,3,FALSE)</f>
        <v>64</v>
      </c>
      <c r="O553" s="34" t="str">
        <f>VLOOKUP(E553,Sales_Reps!$A$2:$E$31,3,FALSE)</f>
        <v>South</v>
      </c>
      <c r="P553" s="13" t="s">
        <v>204</v>
      </c>
      <c r="Q553" s="34">
        <f t="shared" si="20"/>
        <v>914554.71999999986</v>
      </c>
      <c r="R553" s="34" t="str">
        <f>VLOOKUP(E553,Sales_Reps!$A$2:$E$100,3,FALSE)</f>
        <v>South</v>
      </c>
      <c r="S553" s="34" t="str">
        <f t="shared" si="21"/>
        <v>Electronics</v>
      </c>
      <c r="T553" s="38">
        <f>VLOOKUP(D553,Products!$A$2:$F$68,4,FALSE)</f>
        <v>517</v>
      </c>
    </row>
    <row r="554" spans="1:20" x14ac:dyDescent="0.35">
      <c r="A554" s="13" t="s">
        <v>999</v>
      </c>
      <c r="B554" s="14">
        <v>45345</v>
      </c>
      <c r="C554" s="13" t="s">
        <v>1000</v>
      </c>
      <c r="D554" s="13" t="s">
        <v>282</v>
      </c>
      <c r="E554" s="13" t="s">
        <v>252</v>
      </c>
      <c r="F554" s="15">
        <v>1</v>
      </c>
      <c r="G554" s="15">
        <v>300</v>
      </c>
      <c r="H554" s="15">
        <v>0.7</v>
      </c>
      <c r="I554" s="15">
        <v>297.89999999999998</v>
      </c>
      <c r="J554" s="13" t="s">
        <v>87</v>
      </c>
      <c r="K554" s="13" t="s">
        <v>117</v>
      </c>
      <c r="L554" s="34" t="str">
        <f>VLOOKUP(D554,Products!$A$2:$F$61,3,FALSE)</f>
        <v>Electronics</v>
      </c>
      <c r="M554" s="34" t="str">
        <f>VLOOKUP(C554,Customers!$A$2:$F$301,5,FALSE)</f>
        <v>Retail</v>
      </c>
      <c r="N554" s="34">
        <f>VLOOKUP(C554,Customers!$A$2:$F$301,3,FALSE)</f>
        <v>27</v>
      </c>
      <c r="O554" s="34" t="str">
        <f>VLOOKUP(E554,Sales_Reps!$A$2:$E$31,3,FALSE)</f>
        <v>South</v>
      </c>
      <c r="P554" s="13" t="s">
        <v>252</v>
      </c>
      <c r="Q554" s="34">
        <f t="shared" si="20"/>
        <v>811524.37999999989</v>
      </c>
      <c r="R554" s="34" t="str">
        <f>VLOOKUP(E554,Sales_Reps!$A$2:$E$100,3,FALSE)</f>
        <v>South</v>
      </c>
      <c r="S554" s="34" t="str">
        <f t="shared" si="21"/>
        <v>Electronics</v>
      </c>
      <c r="T554" s="38">
        <f>VLOOKUP(D554,Products!$A$2:$F$68,4,FALSE)</f>
        <v>128</v>
      </c>
    </row>
    <row r="555" spans="1:20" x14ac:dyDescent="0.35">
      <c r="A555" s="13" t="s">
        <v>1001</v>
      </c>
      <c r="B555" s="14">
        <v>45370</v>
      </c>
      <c r="C555" s="13" t="s">
        <v>697</v>
      </c>
      <c r="D555" s="13" t="s">
        <v>182</v>
      </c>
      <c r="E555" s="13" t="s">
        <v>192</v>
      </c>
      <c r="F555" s="15">
        <v>2</v>
      </c>
      <c r="G555" s="15">
        <v>1010</v>
      </c>
      <c r="H555" s="15">
        <v>28</v>
      </c>
      <c r="I555" s="15">
        <v>1454.4</v>
      </c>
      <c r="J555" s="13" t="s">
        <v>87</v>
      </c>
      <c r="K555" s="13" t="s">
        <v>133</v>
      </c>
      <c r="L555" s="34" t="str">
        <f>VLOOKUP(D555,Products!$A$2:$F$61,3,FALSE)</f>
        <v>Sports</v>
      </c>
      <c r="M555" s="34" t="str">
        <f>VLOOKUP(C555,Customers!$A$2:$F$301,5,FALSE)</f>
        <v>Retail</v>
      </c>
      <c r="N555" s="34">
        <f>VLOOKUP(C555,Customers!$A$2:$F$301,3,FALSE)</f>
        <v>65</v>
      </c>
      <c r="O555" s="34" t="str">
        <f>VLOOKUP(E555,Sales_Reps!$A$2:$E$31,3,FALSE)</f>
        <v>East</v>
      </c>
      <c r="P555" s="13" t="s">
        <v>192</v>
      </c>
      <c r="Q555" s="34">
        <f t="shared" si="20"/>
        <v>906107.71000000008</v>
      </c>
      <c r="R555" s="34" t="str">
        <f>VLOOKUP(E555,Sales_Reps!$A$2:$E$100,3,FALSE)</f>
        <v>East</v>
      </c>
      <c r="S555" s="34" t="str">
        <f t="shared" si="21"/>
        <v>Sports</v>
      </c>
      <c r="T555" s="38">
        <f>VLOOKUP(D555,Products!$A$2:$F$68,4,FALSE)</f>
        <v>516</v>
      </c>
    </row>
    <row r="556" spans="1:20" x14ac:dyDescent="0.35">
      <c r="A556" s="13" t="s">
        <v>1002</v>
      </c>
      <c r="B556" s="14">
        <v>45407</v>
      </c>
      <c r="C556" s="13" t="s">
        <v>1003</v>
      </c>
      <c r="D556" s="13" t="s">
        <v>138</v>
      </c>
      <c r="E556" s="13" t="s">
        <v>273</v>
      </c>
      <c r="F556" s="15">
        <v>5</v>
      </c>
      <c r="G556" s="15">
        <v>2600</v>
      </c>
      <c r="H556" s="15">
        <v>0.8</v>
      </c>
      <c r="I556" s="15">
        <v>12896</v>
      </c>
      <c r="J556" s="13" t="s">
        <v>140</v>
      </c>
      <c r="K556" s="13" t="s">
        <v>99</v>
      </c>
      <c r="L556" s="34" t="str">
        <f>VLOOKUP(D556,Products!$A$2:$F$61,3,FALSE)</f>
        <v>Electronics</v>
      </c>
      <c r="M556" s="34" t="str">
        <f>VLOOKUP(C556,Customers!$A$2:$F$301,5,FALSE)</f>
        <v>SMB</v>
      </c>
      <c r="N556" s="34">
        <f>VLOOKUP(C556,Customers!$A$2:$F$301,3,FALSE)</f>
        <v>45</v>
      </c>
      <c r="O556" s="34" t="str">
        <f>VLOOKUP(E556,Sales_Reps!$A$2:$E$31,3,FALSE)</f>
        <v>South</v>
      </c>
      <c r="P556" s="13" t="s">
        <v>273</v>
      </c>
      <c r="Q556" s="34">
        <f t="shared" si="20"/>
        <v>735207.75999999989</v>
      </c>
      <c r="R556" s="34" t="str">
        <f>VLOOKUP(E556,Sales_Reps!$A$2:$E$100,3,FALSE)</f>
        <v>South</v>
      </c>
      <c r="S556" s="34" t="str">
        <f t="shared" si="21"/>
        <v>Electronics</v>
      </c>
      <c r="T556" s="38">
        <f>VLOOKUP(D556,Products!$A$2:$F$68,4,FALSE)</f>
        <v>1052</v>
      </c>
    </row>
    <row r="557" spans="1:20" x14ac:dyDescent="0.35">
      <c r="A557" s="13" t="s">
        <v>1004</v>
      </c>
      <c r="B557" s="14">
        <v>45337</v>
      </c>
      <c r="C557" s="13" t="s">
        <v>555</v>
      </c>
      <c r="D557" s="13" t="s">
        <v>515</v>
      </c>
      <c r="E557" s="13" t="s">
        <v>201</v>
      </c>
      <c r="F557" s="15">
        <v>3</v>
      </c>
      <c r="G557" s="15">
        <v>6940</v>
      </c>
      <c r="H557" s="15">
        <v>10.7</v>
      </c>
      <c r="I557" s="15">
        <v>18592.259999999998</v>
      </c>
      <c r="J557" s="13" t="s">
        <v>140</v>
      </c>
      <c r="K557" s="13" t="s">
        <v>112</v>
      </c>
      <c r="L557" s="34" t="str">
        <f>VLOOKUP(D557,Products!$A$2:$F$61,3,FALSE)</f>
        <v>Sports</v>
      </c>
      <c r="M557" s="34" t="str">
        <f>VLOOKUP(C557,Customers!$A$2:$F$301,5,FALSE)</f>
        <v>Retail</v>
      </c>
      <c r="N557" s="34">
        <f>VLOOKUP(C557,Customers!$A$2:$F$301,3,FALSE)</f>
        <v>37</v>
      </c>
      <c r="O557" s="34" t="str">
        <f>VLOOKUP(E557,Sales_Reps!$A$2:$E$31,3,FALSE)</f>
        <v>West</v>
      </c>
      <c r="P557" s="13" t="s">
        <v>201</v>
      </c>
      <c r="Q557" s="34">
        <f t="shared" si="20"/>
        <v>576305.08000000019</v>
      </c>
      <c r="R557" s="34" t="str">
        <f>VLOOKUP(E557,Sales_Reps!$A$2:$E$100,3,FALSE)</f>
        <v>West</v>
      </c>
      <c r="S557" s="34" t="str">
        <f t="shared" si="21"/>
        <v>Sports</v>
      </c>
      <c r="T557" s="38">
        <f>VLOOKUP(D557,Products!$A$2:$F$68,4,FALSE)</f>
        <v>2827</v>
      </c>
    </row>
    <row r="558" spans="1:20" x14ac:dyDescent="0.35">
      <c r="A558" s="13" t="s">
        <v>1005</v>
      </c>
      <c r="B558" s="14">
        <v>45571</v>
      </c>
      <c r="C558" s="13" t="s">
        <v>1006</v>
      </c>
      <c r="D558" s="13" t="s">
        <v>110</v>
      </c>
      <c r="E558" s="13" t="s">
        <v>273</v>
      </c>
      <c r="F558" s="15">
        <v>1</v>
      </c>
      <c r="G558" s="15">
        <v>370</v>
      </c>
      <c r="H558" s="15">
        <v>10.3</v>
      </c>
      <c r="I558" s="15">
        <v>331.89</v>
      </c>
      <c r="J558" s="13" t="s">
        <v>144</v>
      </c>
      <c r="K558" s="13" t="s">
        <v>117</v>
      </c>
      <c r="L558" s="34" t="str">
        <f>VLOOKUP(D558,Products!$A$2:$F$61,3,FALSE)</f>
        <v>Home</v>
      </c>
      <c r="M558" s="34" t="str">
        <f>VLOOKUP(C558,Customers!$A$2:$F$301,5,FALSE)</f>
        <v>SMB</v>
      </c>
      <c r="N558" s="34">
        <f>VLOOKUP(C558,Customers!$A$2:$F$301,3,FALSE)</f>
        <v>44</v>
      </c>
      <c r="O558" s="34" t="str">
        <f>VLOOKUP(E558,Sales_Reps!$A$2:$E$31,3,FALSE)</f>
        <v>South</v>
      </c>
      <c r="P558" s="13" t="s">
        <v>273</v>
      </c>
      <c r="Q558" s="34">
        <f t="shared" si="20"/>
        <v>735207.75999999989</v>
      </c>
      <c r="R558" s="34" t="str">
        <f>VLOOKUP(E558,Sales_Reps!$A$2:$E$100,3,FALSE)</f>
        <v>South</v>
      </c>
      <c r="S558" s="34" t="str">
        <f t="shared" si="21"/>
        <v>Home</v>
      </c>
      <c r="T558" s="38">
        <f>VLOOKUP(D558,Products!$A$2:$F$68,4,FALSE)</f>
        <v>288</v>
      </c>
    </row>
    <row r="559" spans="1:20" x14ac:dyDescent="0.35">
      <c r="A559" s="13" t="s">
        <v>1007</v>
      </c>
      <c r="B559" s="14">
        <v>45357</v>
      </c>
      <c r="C559" s="13" t="s">
        <v>597</v>
      </c>
      <c r="D559" s="13" t="s">
        <v>234</v>
      </c>
      <c r="E559" s="13" t="s">
        <v>229</v>
      </c>
      <c r="F559" s="15">
        <v>2</v>
      </c>
      <c r="G559" s="15">
        <v>3780</v>
      </c>
      <c r="H559" s="15">
        <v>29.4</v>
      </c>
      <c r="I559" s="15">
        <v>5337.36</v>
      </c>
      <c r="J559" s="13" t="s">
        <v>87</v>
      </c>
      <c r="K559" s="13" t="s">
        <v>112</v>
      </c>
      <c r="L559" s="34" t="str">
        <f>VLOOKUP(D559,Products!$A$2:$F$61,3,FALSE)</f>
        <v>Grocery</v>
      </c>
      <c r="M559" s="34" t="str">
        <f>VLOOKUP(C559,Customers!$A$2:$F$301,5,FALSE)</f>
        <v>Retail</v>
      </c>
      <c r="N559" s="34">
        <f>VLOOKUP(C559,Customers!$A$2:$F$301,3,FALSE)</f>
        <v>39</v>
      </c>
      <c r="O559" s="34" t="str">
        <f>VLOOKUP(E559,Sales_Reps!$A$2:$E$31,3,FALSE)</f>
        <v>West</v>
      </c>
      <c r="P559" s="13" t="s">
        <v>229</v>
      </c>
      <c r="Q559" s="34">
        <f t="shared" si="20"/>
        <v>1016696.8000000002</v>
      </c>
      <c r="R559" s="34" t="str">
        <f>VLOOKUP(E559,Sales_Reps!$A$2:$E$100,3,FALSE)</f>
        <v>West</v>
      </c>
      <c r="S559" s="34" t="str">
        <f t="shared" si="21"/>
        <v>Grocery</v>
      </c>
      <c r="T559" s="38">
        <f>VLOOKUP(D559,Products!$A$2:$F$68,4,FALSE)</f>
        <v>2436</v>
      </c>
    </row>
    <row r="560" spans="1:20" x14ac:dyDescent="0.35">
      <c r="A560" s="13" t="s">
        <v>1008</v>
      </c>
      <c r="B560" s="14">
        <v>45432</v>
      </c>
      <c r="C560" s="13" t="s">
        <v>479</v>
      </c>
      <c r="D560" s="13" t="s">
        <v>127</v>
      </c>
      <c r="E560" s="13" t="s">
        <v>285</v>
      </c>
      <c r="F560" s="15">
        <v>5</v>
      </c>
      <c r="G560" s="15">
        <v>970</v>
      </c>
      <c r="H560" s="15">
        <v>14.6</v>
      </c>
      <c r="I560" s="15">
        <v>4141.8999999999996</v>
      </c>
      <c r="J560" s="13" t="s">
        <v>87</v>
      </c>
      <c r="K560" s="13" t="s">
        <v>88</v>
      </c>
      <c r="L560" s="34" t="str">
        <f>VLOOKUP(D560,Products!$A$2:$F$61,3,FALSE)</f>
        <v>Grocery</v>
      </c>
      <c r="M560" s="34" t="str">
        <f>VLOOKUP(C560,Customers!$A$2:$F$301,5,FALSE)</f>
        <v>SMB</v>
      </c>
      <c r="N560" s="34">
        <f>VLOOKUP(C560,Customers!$A$2:$F$301,3,FALSE)</f>
        <v>49</v>
      </c>
      <c r="O560" s="34" t="str">
        <f>VLOOKUP(E560,Sales_Reps!$A$2:$E$31,3,FALSE)</f>
        <v>East</v>
      </c>
      <c r="P560" s="13" t="s">
        <v>285</v>
      </c>
      <c r="Q560" s="34">
        <f t="shared" si="20"/>
        <v>1069570.5400000003</v>
      </c>
      <c r="R560" s="34" t="str">
        <f>VLOOKUP(E560,Sales_Reps!$A$2:$E$100,3,FALSE)</f>
        <v>East</v>
      </c>
      <c r="S560" s="34" t="str">
        <f t="shared" si="21"/>
        <v>Grocery</v>
      </c>
      <c r="T560" s="38">
        <f>VLOOKUP(D560,Products!$A$2:$F$68,4,FALSE)</f>
        <v>434</v>
      </c>
    </row>
    <row r="561" spans="1:20" x14ac:dyDescent="0.35">
      <c r="A561" s="13" t="s">
        <v>1009</v>
      </c>
      <c r="B561" s="14">
        <v>45604</v>
      </c>
      <c r="C561" s="13" t="s">
        <v>785</v>
      </c>
      <c r="D561" s="13" t="s">
        <v>245</v>
      </c>
      <c r="E561" s="13" t="s">
        <v>297</v>
      </c>
      <c r="F561" s="15">
        <v>3</v>
      </c>
      <c r="G561" s="15">
        <v>2270</v>
      </c>
      <c r="H561" s="15">
        <v>6.5</v>
      </c>
      <c r="I561" s="15">
        <v>6367.35</v>
      </c>
      <c r="J561" s="13" t="s">
        <v>87</v>
      </c>
      <c r="K561" s="13" t="s">
        <v>88</v>
      </c>
      <c r="L561" s="34" t="str">
        <f>VLOOKUP(D561,Products!$A$2:$F$61,3,FALSE)</f>
        <v>Grocery</v>
      </c>
      <c r="M561" s="34" t="str">
        <f>VLOOKUP(C561,Customers!$A$2:$F$301,5,FALSE)</f>
        <v>Retail</v>
      </c>
      <c r="N561" s="34">
        <f>VLOOKUP(C561,Customers!$A$2:$F$301,3,FALSE)</f>
        <v>31</v>
      </c>
      <c r="O561" s="34" t="str">
        <f>VLOOKUP(E561,Sales_Reps!$A$2:$E$31,3,FALSE)</f>
        <v>North</v>
      </c>
      <c r="P561" s="13" t="s">
        <v>297</v>
      </c>
      <c r="Q561" s="34">
        <f t="shared" si="20"/>
        <v>980063.65999999968</v>
      </c>
      <c r="R561" s="34" t="str">
        <f>VLOOKUP(E561,Sales_Reps!$A$2:$E$100,3,FALSE)</f>
        <v>North</v>
      </c>
      <c r="S561" s="34" t="str">
        <f t="shared" si="21"/>
        <v>Grocery</v>
      </c>
      <c r="T561" s="38">
        <f>VLOOKUP(D561,Products!$A$2:$F$68,4,FALSE)</f>
        <v>1412</v>
      </c>
    </row>
    <row r="562" spans="1:20" x14ac:dyDescent="0.35">
      <c r="A562" s="13" t="s">
        <v>1010</v>
      </c>
      <c r="B562" s="14">
        <v>45467</v>
      </c>
      <c r="C562" s="13" t="s">
        <v>700</v>
      </c>
      <c r="D562" s="13" t="s">
        <v>259</v>
      </c>
      <c r="E562" s="13" t="s">
        <v>229</v>
      </c>
      <c r="F562" s="15">
        <v>10</v>
      </c>
      <c r="G562" s="15">
        <v>1540</v>
      </c>
      <c r="H562" s="15">
        <v>16.5</v>
      </c>
      <c r="I562" s="15">
        <v>12859</v>
      </c>
      <c r="J562" s="13" t="s">
        <v>87</v>
      </c>
      <c r="K562" s="13" t="s">
        <v>94</v>
      </c>
      <c r="L562" s="34" t="str">
        <f>VLOOKUP(D562,Products!$A$2:$F$61,3,FALSE)</f>
        <v>Beauty</v>
      </c>
      <c r="M562" s="34" t="str">
        <f>VLOOKUP(C562,Customers!$A$2:$F$301,5,FALSE)</f>
        <v>SMB</v>
      </c>
      <c r="N562" s="34">
        <f>VLOOKUP(C562,Customers!$A$2:$F$301,3,FALSE)</f>
        <v>46</v>
      </c>
      <c r="O562" s="34" t="str">
        <f>VLOOKUP(E562,Sales_Reps!$A$2:$E$31,3,FALSE)</f>
        <v>West</v>
      </c>
      <c r="P562" s="13" t="s">
        <v>229</v>
      </c>
      <c r="Q562" s="34">
        <f t="shared" si="20"/>
        <v>1016696.8000000002</v>
      </c>
      <c r="R562" s="34" t="str">
        <f>VLOOKUP(E562,Sales_Reps!$A$2:$E$100,3,FALSE)</f>
        <v>West</v>
      </c>
      <c r="S562" s="34" t="str">
        <f t="shared" si="21"/>
        <v>Beauty</v>
      </c>
      <c r="T562" s="38">
        <f>VLOOKUP(D562,Products!$A$2:$F$68,4,FALSE)</f>
        <v>647</v>
      </c>
    </row>
    <row r="563" spans="1:20" x14ac:dyDescent="0.35">
      <c r="A563" s="13" t="s">
        <v>1011</v>
      </c>
      <c r="B563" s="14">
        <v>45649</v>
      </c>
      <c r="C563" s="13" t="s">
        <v>105</v>
      </c>
      <c r="D563" s="13" t="s">
        <v>200</v>
      </c>
      <c r="E563" s="13" t="s">
        <v>238</v>
      </c>
      <c r="F563" s="15">
        <v>4</v>
      </c>
      <c r="G563" s="15">
        <v>2760</v>
      </c>
      <c r="H563" s="15">
        <v>19.8</v>
      </c>
      <c r="I563" s="15">
        <v>8854.08</v>
      </c>
      <c r="J563" s="13" t="s">
        <v>87</v>
      </c>
      <c r="K563" s="13" t="s">
        <v>94</v>
      </c>
      <c r="L563" s="34" t="str">
        <f>VLOOKUP(D563,Products!$A$2:$F$61,3,FALSE)</f>
        <v>Grocery</v>
      </c>
      <c r="M563" s="34" t="str">
        <f>VLOOKUP(C563,Customers!$A$2:$F$301,5,FALSE)</f>
        <v>Retail</v>
      </c>
      <c r="N563" s="34">
        <f>VLOOKUP(C563,Customers!$A$2:$F$301,3,FALSE)</f>
        <v>36</v>
      </c>
      <c r="O563" s="34" t="str">
        <f>VLOOKUP(E563,Sales_Reps!$A$2:$E$31,3,FALSE)</f>
        <v>East</v>
      </c>
      <c r="P563" s="13" t="s">
        <v>238</v>
      </c>
      <c r="Q563" s="34">
        <f t="shared" si="20"/>
        <v>780384.40999999992</v>
      </c>
      <c r="R563" s="34" t="str">
        <f>VLOOKUP(E563,Sales_Reps!$A$2:$E$100,3,FALSE)</f>
        <v>East</v>
      </c>
      <c r="S563" s="34" t="str">
        <f t="shared" si="21"/>
        <v>Grocery</v>
      </c>
      <c r="T563" s="38">
        <f>VLOOKUP(D563,Products!$A$2:$F$68,4,FALSE)</f>
        <v>1435</v>
      </c>
    </row>
    <row r="564" spans="1:20" x14ac:dyDescent="0.35">
      <c r="A564" s="13" t="s">
        <v>1012</v>
      </c>
      <c r="B564" s="14">
        <v>45332</v>
      </c>
      <c r="C564" s="13" t="s">
        <v>385</v>
      </c>
      <c r="D564" s="13" t="s">
        <v>131</v>
      </c>
      <c r="E564" s="13" t="s">
        <v>170</v>
      </c>
      <c r="F564" s="15">
        <v>3</v>
      </c>
      <c r="G564" s="15">
        <v>2270</v>
      </c>
      <c r="H564" s="15">
        <v>29.5</v>
      </c>
      <c r="I564" s="15">
        <v>4801.05</v>
      </c>
      <c r="J564" s="13" t="s">
        <v>144</v>
      </c>
      <c r="K564" s="13" t="s">
        <v>117</v>
      </c>
      <c r="L564" s="34" t="str">
        <f>VLOOKUP(D564,Products!$A$2:$F$61,3,FALSE)</f>
        <v>Grocery</v>
      </c>
      <c r="M564" s="34" t="str">
        <f>VLOOKUP(C564,Customers!$A$2:$F$301,5,FALSE)</f>
        <v>Retail</v>
      </c>
      <c r="N564" s="34">
        <f>VLOOKUP(C564,Customers!$A$2:$F$301,3,FALSE)</f>
        <v>23</v>
      </c>
      <c r="O564" s="34" t="str">
        <f>VLOOKUP(E564,Sales_Reps!$A$2:$E$31,3,FALSE)</f>
        <v>West</v>
      </c>
      <c r="P564" s="13" t="s">
        <v>170</v>
      </c>
      <c r="Q564" s="34">
        <f t="shared" si="20"/>
        <v>747624.36999999988</v>
      </c>
      <c r="R564" s="34" t="str">
        <f>VLOOKUP(E564,Sales_Reps!$A$2:$E$100,3,FALSE)</f>
        <v>West</v>
      </c>
      <c r="S564" s="34" t="str">
        <f t="shared" si="21"/>
        <v>Grocery</v>
      </c>
      <c r="T564" s="38">
        <f>VLOOKUP(D564,Products!$A$2:$F$68,4,FALSE)</f>
        <v>1203</v>
      </c>
    </row>
    <row r="565" spans="1:20" x14ac:dyDescent="0.35">
      <c r="A565" s="13" t="s">
        <v>1013</v>
      </c>
      <c r="B565" s="14">
        <v>45418</v>
      </c>
      <c r="C565" s="13" t="s">
        <v>567</v>
      </c>
      <c r="D565" s="13" t="s">
        <v>276</v>
      </c>
      <c r="E565" s="13" t="s">
        <v>188</v>
      </c>
      <c r="F565" s="15">
        <v>8</v>
      </c>
      <c r="G565" s="15">
        <v>3020</v>
      </c>
      <c r="H565" s="15">
        <v>1.2</v>
      </c>
      <c r="I565" s="15">
        <v>23870.080000000002</v>
      </c>
      <c r="J565" s="13" t="s">
        <v>87</v>
      </c>
      <c r="K565" s="13" t="s">
        <v>117</v>
      </c>
      <c r="L565" s="34" t="str">
        <f>VLOOKUP(D565,Products!$A$2:$F$61,3,FALSE)</f>
        <v>Beauty</v>
      </c>
      <c r="M565" s="34" t="str">
        <f>VLOOKUP(C565,Customers!$A$2:$F$301,5,FALSE)</f>
        <v>Corporate</v>
      </c>
      <c r="N565" s="34">
        <f>VLOOKUP(C565,Customers!$A$2:$F$301,3,FALSE)</f>
        <v>41</v>
      </c>
      <c r="O565" s="34" t="str">
        <f>VLOOKUP(E565,Sales_Reps!$A$2:$E$31,3,FALSE)</f>
        <v>South</v>
      </c>
      <c r="P565" s="13" t="s">
        <v>188</v>
      </c>
      <c r="Q565" s="34">
        <f t="shared" si="20"/>
        <v>1091740.1799999997</v>
      </c>
      <c r="R565" s="34" t="str">
        <f>VLOOKUP(E565,Sales_Reps!$A$2:$E$100,3,FALSE)</f>
        <v>South</v>
      </c>
      <c r="S565" s="34" t="str">
        <f t="shared" si="21"/>
        <v>Beauty</v>
      </c>
      <c r="T565" s="38">
        <f>VLOOKUP(D565,Products!$A$2:$F$68,4,FALSE)</f>
        <v>1626</v>
      </c>
    </row>
    <row r="566" spans="1:20" x14ac:dyDescent="0.35">
      <c r="A566" s="13" t="s">
        <v>1014</v>
      </c>
      <c r="B566" s="14">
        <v>45490</v>
      </c>
      <c r="C566" s="13" t="s">
        <v>559</v>
      </c>
      <c r="D566" s="13" t="s">
        <v>367</v>
      </c>
      <c r="E566" s="13" t="s">
        <v>303</v>
      </c>
      <c r="F566" s="15">
        <v>6</v>
      </c>
      <c r="G566" s="15">
        <v>2380</v>
      </c>
      <c r="H566" s="15">
        <v>20.399999999999999</v>
      </c>
      <c r="I566" s="15">
        <v>11366.88</v>
      </c>
      <c r="J566" s="13" t="s">
        <v>87</v>
      </c>
      <c r="K566" s="13" t="s">
        <v>88</v>
      </c>
      <c r="L566" s="34" t="str">
        <f>VLOOKUP(D566,Products!$A$2:$F$61,3,FALSE)</f>
        <v>Grocery</v>
      </c>
      <c r="M566" s="34" t="str">
        <f>VLOOKUP(C566,Customers!$A$2:$F$301,5,FALSE)</f>
        <v>Retail</v>
      </c>
      <c r="N566" s="34">
        <f>VLOOKUP(C566,Customers!$A$2:$F$301,3,FALSE)</f>
        <v>62</v>
      </c>
      <c r="O566" s="34" t="str">
        <f>VLOOKUP(E566,Sales_Reps!$A$2:$E$31,3,FALSE)</f>
        <v>East</v>
      </c>
      <c r="P566" s="13" t="s">
        <v>303</v>
      </c>
      <c r="Q566" s="34">
        <f t="shared" si="20"/>
        <v>1112289.6400000001</v>
      </c>
      <c r="R566" s="34" t="str">
        <f>VLOOKUP(E566,Sales_Reps!$A$2:$E$100,3,FALSE)</f>
        <v>East</v>
      </c>
      <c r="S566" s="34" t="str">
        <f t="shared" si="21"/>
        <v>Grocery</v>
      </c>
      <c r="T566" s="38">
        <f>VLOOKUP(D566,Products!$A$2:$F$68,4,FALSE)</f>
        <v>1182</v>
      </c>
    </row>
    <row r="567" spans="1:20" x14ac:dyDescent="0.35">
      <c r="A567" s="13" t="s">
        <v>1015</v>
      </c>
      <c r="B567" s="14">
        <v>45470</v>
      </c>
      <c r="C567" s="13" t="s">
        <v>1016</v>
      </c>
      <c r="D567" s="13" t="s">
        <v>515</v>
      </c>
      <c r="E567" s="13" t="s">
        <v>128</v>
      </c>
      <c r="F567" s="15">
        <v>1</v>
      </c>
      <c r="G567" s="15">
        <v>6940</v>
      </c>
      <c r="H567" s="15">
        <v>15</v>
      </c>
      <c r="I567" s="15">
        <v>5899</v>
      </c>
      <c r="J567" s="13" t="s">
        <v>140</v>
      </c>
      <c r="K567" s="13" t="s">
        <v>117</v>
      </c>
      <c r="L567" s="34" t="str">
        <f>VLOOKUP(D567,Products!$A$2:$F$61,3,FALSE)</f>
        <v>Sports</v>
      </c>
      <c r="M567" s="34" t="str">
        <f>VLOOKUP(C567,Customers!$A$2:$F$301,5,FALSE)</f>
        <v>SMB</v>
      </c>
      <c r="N567" s="34">
        <f>VLOOKUP(C567,Customers!$A$2:$F$301,3,FALSE)</f>
        <v>49</v>
      </c>
      <c r="O567" s="34" t="str">
        <f>VLOOKUP(E567,Sales_Reps!$A$2:$E$31,3,FALSE)</f>
        <v>West</v>
      </c>
      <c r="P567" s="13" t="s">
        <v>128</v>
      </c>
      <c r="Q567" s="34">
        <f t="shared" si="20"/>
        <v>880468.05</v>
      </c>
      <c r="R567" s="34" t="str">
        <f>VLOOKUP(E567,Sales_Reps!$A$2:$E$100,3,FALSE)</f>
        <v>West</v>
      </c>
      <c r="S567" s="34" t="str">
        <f t="shared" si="21"/>
        <v>Sports</v>
      </c>
      <c r="T567" s="38">
        <f>VLOOKUP(D567,Products!$A$2:$F$68,4,FALSE)</f>
        <v>2827</v>
      </c>
    </row>
    <row r="568" spans="1:20" x14ac:dyDescent="0.35">
      <c r="A568" s="13" t="s">
        <v>1017</v>
      </c>
      <c r="B568" s="14">
        <v>45654</v>
      </c>
      <c r="C568" s="13" t="s">
        <v>291</v>
      </c>
      <c r="D568" s="13" t="s">
        <v>279</v>
      </c>
      <c r="E568" s="13" t="s">
        <v>132</v>
      </c>
      <c r="F568" s="15">
        <v>1</v>
      </c>
      <c r="G568" s="15">
        <v>2660</v>
      </c>
      <c r="H568" s="15">
        <v>11.6</v>
      </c>
      <c r="I568" s="15">
        <v>2351.44</v>
      </c>
      <c r="J568" s="13" t="s">
        <v>87</v>
      </c>
      <c r="K568" s="13" t="s">
        <v>99</v>
      </c>
      <c r="L568" s="34" t="str">
        <f>VLOOKUP(D568,Products!$A$2:$F$61,3,FALSE)</f>
        <v>Electronics</v>
      </c>
      <c r="M568" s="34" t="str">
        <f>VLOOKUP(C568,Customers!$A$2:$F$301,5,FALSE)</f>
        <v>Retail</v>
      </c>
      <c r="N568" s="34">
        <f>VLOOKUP(C568,Customers!$A$2:$F$301,3,FALSE)</f>
        <v>35</v>
      </c>
      <c r="O568" s="34" t="str">
        <f>VLOOKUP(E568,Sales_Reps!$A$2:$E$31,3,FALSE)</f>
        <v>South</v>
      </c>
      <c r="P568" s="13" t="s">
        <v>132</v>
      </c>
      <c r="Q568" s="34">
        <f t="shared" si="20"/>
        <v>880345.20000000007</v>
      </c>
      <c r="R568" s="34" t="str">
        <f>VLOOKUP(E568,Sales_Reps!$A$2:$E$100,3,FALSE)</f>
        <v>South</v>
      </c>
      <c r="S568" s="34" t="str">
        <f t="shared" si="21"/>
        <v>Electronics</v>
      </c>
      <c r="T568" s="38">
        <f>VLOOKUP(D568,Products!$A$2:$F$68,4,FALSE)</f>
        <v>1259</v>
      </c>
    </row>
    <row r="569" spans="1:20" x14ac:dyDescent="0.35">
      <c r="A569" s="13" t="s">
        <v>1018</v>
      </c>
      <c r="B569" s="14">
        <v>45548</v>
      </c>
      <c r="C569" s="13" t="s">
        <v>770</v>
      </c>
      <c r="D569" s="13" t="s">
        <v>127</v>
      </c>
      <c r="E569" s="13" t="s">
        <v>252</v>
      </c>
      <c r="F569" s="15">
        <v>4</v>
      </c>
      <c r="G569" s="15">
        <v>970</v>
      </c>
      <c r="H569" s="15">
        <v>11.6</v>
      </c>
      <c r="I569" s="15">
        <v>3429.92</v>
      </c>
      <c r="J569" s="13" t="s">
        <v>87</v>
      </c>
      <c r="K569" s="13" t="s">
        <v>88</v>
      </c>
      <c r="L569" s="34" t="str">
        <f>VLOOKUP(D569,Products!$A$2:$F$61,3,FALSE)</f>
        <v>Grocery</v>
      </c>
      <c r="M569" s="34" t="str">
        <f>VLOOKUP(C569,Customers!$A$2:$F$301,5,FALSE)</f>
        <v>Retail</v>
      </c>
      <c r="N569" s="34">
        <f>VLOOKUP(C569,Customers!$A$2:$F$301,3,FALSE)</f>
        <v>35</v>
      </c>
      <c r="O569" s="34" t="str">
        <f>VLOOKUP(E569,Sales_Reps!$A$2:$E$31,3,FALSE)</f>
        <v>South</v>
      </c>
      <c r="P569" s="13" t="s">
        <v>252</v>
      </c>
      <c r="Q569" s="34">
        <f t="shared" si="20"/>
        <v>811524.37999999989</v>
      </c>
      <c r="R569" s="34" t="str">
        <f>VLOOKUP(E569,Sales_Reps!$A$2:$E$100,3,FALSE)</f>
        <v>South</v>
      </c>
      <c r="S569" s="34" t="str">
        <f t="shared" si="21"/>
        <v>Grocery</v>
      </c>
      <c r="T569" s="38">
        <f>VLOOKUP(D569,Products!$A$2:$F$68,4,FALSE)</f>
        <v>434</v>
      </c>
    </row>
    <row r="570" spans="1:20" x14ac:dyDescent="0.35">
      <c r="A570" s="13" t="s">
        <v>1019</v>
      </c>
      <c r="B570" s="14">
        <v>45632</v>
      </c>
      <c r="C570" s="13" t="s">
        <v>602</v>
      </c>
      <c r="D570" s="13" t="s">
        <v>245</v>
      </c>
      <c r="E570" s="13" t="s">
        <v>297</v>
      </c>
      <c r="F570" s="15">
        <v>7</v>
      </c>
      <c r="G570" s="15">
        <v>2270</v>
      </c>
      <c r="H570" s="15">
        <v>27.9</v>
      </c>
      <c r="I570" s="15">
        <v>11456.69</v>
      </c>
      <c r="J570" s="13" t="s">
        <v>87</v>
      </c>
      <c r="K570" s="13" t="s">
        <v>94</v>
      </c>
      <c r="L570" s="34" t="str">
        <f>VLOOKUP(D570,Products!$A$2:$F$61,3,FALSE)</f>
        <v>Grocery</v>
      </c>
      <c r="M570" s="34" t="str">
        <f>VLOOKUP(C570,Customers!$A$2:$F$301,5,FALSE)</f>
        <v>Retail</v>
      </c>
      <c r="N570" s="34">
        <f>VLOOKUP(C570,Customers!$A$2:$F$301,3,FALSE)</f>
        <v>61</v>
      </c>
      <c r="O570" s="34" t="str">
        <f>VLOOKUP(E570,Sales_Reps!$A$2:$E$31,3,FALSE)</f>
        <v>North</v>
      </c>
      <c r="P570" s="13" t="s">
        <v>297</v>
      </c>
      <c r="Q570" s="34">
        <f t="shared" si="20"/>
        <v>980063.65999999968</v>
      </c>
      <c r="R570" s="34" t="str">
        <f>VLOOKUP(E570,Sales_Reps!$A$2:$E$100,3,FALSE)</f>
        <v>North</v>
      </c>
      <c r="S570" s="34" t="str">
        <f t="shared" si="21"/>
        <v>Grocery</v>
      </c>
      <c r="T570" s="38">
        <f>VLOOKUP(D570,Products!$A$2:$F$68,4,FALSE)</f>
        <v>1412</v>
      </c>
    </row>
    <row r="571" spans="1:20" x14ac:dyDescent="0.35">
      <c r="A571" s="13" t="s">
        <v>1020</v>
      </c>
      <c r="B571" s="14">
        <v>45304</v>
      </c>
      <c r="C571" s="13" t="s">
        <v>263</v>
      </c>
      <c r="D571" s="13" t="s">
        <v>182</v>
      </c>
      <c r="E571" s="13" t="s">
        <v>346</v>
      </c>
      <c r="F571" s="15">
        <v>8</v>
      </c>
      <c r="G571" s="15">
        <v>1010</v>
      </c>
      <c r="H571" s="15">
        <v>13.7</v>
      </c>
      <c r="I571" s="15">
        <v>6973.04</v>
      </c>
      <c r="J571" s="13" t="s">
        <v>140</v>
      </c>
      <c r="K571" s="13" t="s">
        <v>133</v>
      </c>
      <c r="L571" s="34" t="str">
        <f>VLOOKUP(D571,Products!$A$2:$F$61,3,FALSE)</f>
        <v>Sports</v>
      </c>
      <c r="M571" s="34" t="str">
        <f>VLOOKUP(C571,Customers!$A$2:$F$301,5,FALSE)</f>
        <v>Retail</v>
      </c>
      <c r="N571" s="34">
        <f>VLOOKUP(C571,Customers!$A$2:$F$301,3,FALSE)</f>
        <v>53</v>
      </c>
      <c r="O571" s="34" t="str">
        <f>VLOOKUP(E571,Sales_Reps!$A$2:$E$31,3,FALSE)</f>
        <v>South</v>
      </c>
      <c r="P571" s="13" t="s">
        <v>346</v>
      </c>
      <c r="Q571" s="34">
        <f t="shared" si="20"/>
        <v>814563.7100000002</v>
      </c>
      <c r="R571" s="34" t="str">
        <f>VLOOKUP(E571,Sales_Reps!$A$2:$E$100,3,FALSE)</f>
        <v>South</v>
      </c>
      <c r="S571" s="34" t="str">
        <f t="shared" si="21"/>
        <v>Sports</v>
      </c>
      <c r="T571" s="38">
        <f>VLOOKUP(D571,Products!$A$2:$F$68,4,FALSE)</f>
        <v>516</v>
      </c>
    </row>
    <row r="572" spans="1:20" x14ac:dyDescent="0.35">
      <c r="A572" s="13" t="s">
        <v>1021</v>
      </c>
      <c r="B572" s="14">
        <v>45330</v>
      </c>
      <c r="C572" s="13" t="s">
        <v>460</v>
      </c>
      <c r="D572" s="13" t="s">
        <v>367</v>
      </c>
      <c r="E572" s="13" t="s">
        <v>215</v>
      </c>
      <c r="F572" s="15">
        <v>8</v>
      </c>
      <c r="G572" s="15">
        <v>2380</v>
      </c>
      <c r="H572" s="15">
        <v>15.3</v>
      </c>
      <c r="I572" s="15">
        <v>16126.88</v>
      </c>
      <c r="J572" s="13" t="s">
        <v>140</v>
      </c>
      <c r="K572" s="13" t="s">
        <v>88</v>
      </c>
      <c r="L572" s="34" t="str">
        <f>VLOOKUP(D572,Products!$A$2:$F$61,3,FALSE)</f>
        <v>Grocery</v>
      </c>
      <c r="M572" s="34" t="str">
        <f>VLOOKUP(C572,Customers!$A$2:$F$301,5,FALSE)</f>
        <v>Corporate</v>
      </c>
      <c r="N572" s="34">
        <f>VLOOKUP(C572,Customers!$A$2:$F$301,3,FALSE)</f>
        <v>37</v>
      </c>
      <c r="O572" s="34" t="str">
        <f>VLOOKUP(E572,Sales_Reps!$A$2:$E$31,3,FALSE)</f>
        <v>North</v>
      </c>
      <c r="P572" s="13" t="s">
        <v>215</v>
      </c>
      <c r="Q572" s="34">
        <f t="shared" si="20"/>
        <v>789849.60000000009</v>
      </c>
      <c r="R572" s="34" t="str">
        <f>VLOOKUP(E572,Sales_Reps!$A$2:$E$100,3,FALSE)</f>
        <v>North</v>
      </c>
      <c r="S572" s="34" t="str">
        <f t="shared" si="21"/>
        <v>Grocery</v>
      </c>
      <c r="T572" s="38">
        <f>VLOOKUP(D572,Products!$A$2:$F$68,4,FALSE)</f>
        <v>1182</v>
      </c>
    </row>
    <row r="573" spans="1:20" x14ac:dyDescent="0.35">
      <c r="A573" s="13" t="s">
        <v>1022</v>
      </c>
      <c r="B573" s="14">
        <v>45633</v>
      </c>
      <c r="C573" s="13" t="s">
        <v>983</v>
      </c>
      <c r="D573" s="13" t="s">
        <v>97</v>
      </c>
      <c r="E573" s="13" t="s">
        <v>303</v>
      </c>
      <c r="F573" s="15">
        <v>10</v>
      </c>
      <c r="G573" s="15">
        <v>470</v>
      </c>
      <c r="H573" s="15">
        <v>2.1</v>
      </c>
      <c r="I573" s="15">
        <v>4601.3</v>
      </c>
      <c r="J573" s="13" t="s">
        <v>87</v>
      </c>
      <c r="K573" s="13" t="s">
        <v>117</v>
      </c>
      <c r="L573" s="34" t="str">
        <f>VLOOKUP(D573,Products!$A$2:$F$61,3,FALSE)</f>
        <v>Sports</v>
      </c>
      <c r="M573" s="34" t="str">
        <f>VLOOKUP(C573,Customers!$A$2:$F$301,5,FALSE)</f>
        <v>SMB</v>
      </c>
      <c r="N573" s="34">
        <f>VLOOKUP(C573,Customers!$A$2:$F$301,3,FALSE)</f>
        <v>36</v>
      </c>
      <c r="O573" s="34" t="str">
        <f>VLOOKUP(E573,Sales_Reps!$A$2:$E$31,3,FALSE)</f>
        <v>East</v>
      </c>
      <c r="P573" s="13" t="s">
        <v>303</v>
      </c>
      <c r="Q573" s="34">
        <f t="shared" si="20"/>
        <v>1112289.6400000001</v>
      </c>
      <c r="R573" s="34" t="str">
        <f>VLOOKUP(E573,Sales_Reps!$A$2:$E$100,3,FALSE)</f>
        <v>East</v>
      </c>
      <c r="S573" s="34" t="str">
        <f t="shared" si="21"/>
        <v>Sports</v>
      </c>
      <c r="T573" s="38">
        <f>VLOOKUP(D573,Products!$A$2:$F$68,4,FALSE)</f>
        <v>302</v>
      </c>
    </row>
    <row r="574" spans="1:20" x14ac:dyDescent="0.35">
      <c r="A574" s="13" t="s">
        <v>1023</v>
      </c>
      <c r="B574" s="14">
        <v>45480</v>
      </c>
      <c r="C574" s="13" t="s">
        <v>451</v>
      </c>
      <c r="D574" s="13" t="s">
        <v>191</v>
      </c>
      <c r="E574" s="13" t="s">
        <v>111</v>
      </c>
      <c r="F574" s="15">
        <v>5</v>
      </c>
      <c r="G574" s="15">
        <v>5100</v>
      </c>
      <c r="H574" s="15">
        <v>9.6999999999999993</v>
      </c>
      <c r="I574" s="15">
        <v>23026.5</v>
      </c>
      <c r="J574" s="13" t="s">
        <v>87</v>
      </c>
      <c r="K574" s="13" t="s">
        <v>99</v>
      </c>
      <c r="L574" s="34" t="str">
        <f>VLOOKUP(D574,Products!$A$2:$F$61,3,FALSE)</f>
        <v>Beauty</v>
      </c>
      <c r="M574" s="34" t="str">
        <f>VLOOKUP(C574,Customers!$A$2:$F$301,5,FALSE)</f>
        <v>SMB</v>
      </c>
      <c r="N574" s="34">
        <f>VLOOKUP(C574,Customers!$A$2:$F$301,3,FALSE)</f>
        <v>34</v>
      </c>
      <c r="O574" s="34" t="str">
        <f>VLOOKUP(E574,Sales_Reps!$A$2:$E$31,3,FALSE)</f>
        <v>West</v>
      </c>
      <c r="P574" s="13" t="s">
        <v>111</v>
      </c>
      <c r="Q574" s="34">
        <f t="shared" si="20"/>
        <v>901298.89</v>
      </c>
      <c r="R574" s="34" t="str">
        <f>VLOOKUP(E574,Sales_Reps!$A$2:$E$100,3,FALSE)</f>
        <v>West</v>
      </c>
      <c r="S574" s="34" t="str">
        <f t="shared" si="21"/>
        <v>Beauty</v>
      </c>
      <c r="T574" s="38">
        <f>VLOOKUP(D574,Products!$A$2:$F$68,4,FALSE)</f>
        <v>2237</v>
      </c>
    </row>
    <row r="575" spans="1:20" x14ac:dyDescent="0.35">
      <c r="A575" s="13" t="s">
        <v>1024</v>
      </c>
      <c r="B575" s="14">
        <v>45402</v>
      </c>
      <c r="C575" s="13" t="s">
        <v>166</v>
      </c>
      <c r="D575" s="13" t="s">
        <v>380</v>
      </c>
      <c r="E575" s="13" t="s">
        <v>201</v>
      </c>
      <c r="F575" s="15">
        <v>9</v>
      </c>
      <c r="G575" s="15">
        <v>960</v>
      </c>
      <c r="H575" s="15">
        <v>17.7</v>
      </c>
      <c r="I575" s="15">
        <v>7110.72</v>
      </c>
      <c r="J575" s="13" t="s">
        <v>87</v>
      </c>
      <c r="K575" s="13" t="s">
        <v>133</v>
      </c>
      <c r="L575" s="34" t="str">
        <f>VLOOKUP(D575,Products!$A$2:$F$61,3,FALSE)</f>
        <v>Beauty</v>
      </c>
      <c r="M575" s="34" t="str">
        <f>VLOOKUP(C575,Customers!$A$2:$F$301,5,FALSE)</f>
        <v>Retail</v>
      </c>
      <c r="N575" s="34">
        <f>VLOOKUP(C575,Customers!$A$2:$F$301,3,FALSE)</f>
        <v>32</v>
      </c>
      <c r="O575" s="34" t="str">
        <f>VLOOKUP(E575,Sales_Reps!$A$2:$E$31,3,FALSE)</f>
        <v>West</v>
      </c>
      <c r="P575" s="13" t="s">
        <v>201</v>
      </c>
      <c r="Q575" s="34">
        <f t="shared" si="20"/>
        <v>576305.08000000019</v>
      </c>
      <c r="R575" s="34" t="str">
        <f>VLOOKUP(E575,Sales_Reps!$A$2:$E$100,3,FALSE)</f>
        <v>West</v>
      </c>
      <c r="S575" s="34" t="str">
        <f t="shared" si="21"/>
        <v>Beauty</v>
      </c>
      <c r="T575" s="38">
        <f>VLOOKUP(D575,Products!$A$2:$F$68,4,FALSE)</f>
        <v>675</v>
      </c>
    </row>
    <row r="576" spans="1:20" x14ac:dyDescent="0.35">
      <c r="A576" s="13" t="s">
        <v>1025</v>
      </c>
      <c r="B576" s="14">
        <v>45478</v>
      </c>
      <c r="C576" s="13" t="s">
        <v>206</v>
      </c>
      <c r="D576" s="13" t="s">
        <v>264</v>
      </c>
      <c r="E576" s="13" t="s">
        <v>86</v>
      </c>
      <c r="F576" s="15">
        <v>2</v>
      </c>
      <c r="G576" s="15">
        <v>4070</v>
      </c>
      <c r="H576" s="15">
        <v>2.1</v>
      </c>
      <c r="I576" s="15">
        <v>7969.06</v>
      </c>
      <c r="J576" s="13" t="s">
        <v>87</v>
      </c>
      <c r="K576" s="13" t="s">
        <v>133</v>
      </c>
      <c r="L576" s="34" t="str">
        <f>VLOOKUP(D576,Products!$A$2:$F$61,3,FALSE)</f>
        <v>Grocery</v>
      </c>
      <c r="M576" s="34" t="str">
        <f>VLOOKUP(C576,Customers!$A$2:$F$301,5,FALSE)</f>
        <v>SMB</v>
      </c>
      <c r="N576" s="34">
        <f>VLOOKUP(C576,Customers!$A$2:$F$301,3,FALSE)</f>
        <v>40</v>
      </c>
      <c r="O576" s="34" t="str">
        <f>VLOOKUP(E576,Sales_Reps!$A$2:$E$31,3,FALSE)</f>
        <v>North</v>
      </c>
      <c r="P576" s="13" t="s">
        <v>86</v>
      </c>
      <c r="Q576" s="34">
        <f t="shared" si="20"/>
        <v>855749.67999999982</v>
      </c>
      <c r="R576" s="34" t="str">
        <f>VLOOKUP(E576,Sales_Reps!$A$2:$E$100,3,FALSE)</f>
        <v>North</v>
      </c>
      <c r="S576" s="34" t="str">
        <f t="shared" si="21"/>
        <v>Grocery</v>
      </c>
      <c r="T576" s="38">
        <f>VLOOKUP(D576,Products!$A$2:$F$68,4,FALSE)</f>
        <v>2027</v>
      </c>
    </row>
    <row r="577" spans="1:20" x14ac:dyDescent="0.35">
      <c r="A577" s="13" t="s">
        <v>1026</v>
      </c>
      <c r="B577" s="14">
        <v>45358</v>
      </c>
      <c r="C577" s="13" t="s">
        <v>1027</v>
      </c>
      <c r="D577" s="13" t="s">
        <v>226</v>
      </c>
      <c r="E577" s="13" t="s">
        <v>158</v>
      </c>
      <c r="F577" s="15">
        <v>5</v>
      </c>
      <c r="G577" s="15">
        <v>3730</v>
      </c>
      <c r="H577" s="15">
        <v>16.5</v>
      </c>
      <c r="I577" s="15">
        <v>15572.75</v>
      </c>
      <c r="J577" s="13" t="s">
        <v>87</v>
      </c>
      <c r="K577" s="13" t="s">
        <v>112</v>
      </c>
      <c r="L577" s="34" t="str">
        <f>VLOOKUP(D577,Products!$A$2:$F$61,3,FALSE)</f>
        <v>Home</v>
      </c>
      <c r="M577" s="34" t="str">
        <f>VLOOKUP(C577,Customers!$A$2:$F$301,5,FALSE)</f>
        <v>SMB</v>
      </c>
      <c r="N577" s="34">
        <f>VLOOKUP(C577,Customers!$A$2:$F$301,3,FALSE)</f>
        <v>47</v>
      </c>
      <c r="O577" s="34" t="str">
        <f>VLOOKUP(E577,Sales_Reps!$A$2:$E$31,3,FALSE)</f>
        <v>East</v>
      </c>
      <c r="P577" s="13" t="s">
        <v>158</v>
      </c>
      <c r="Q577" s="34">
        <f t="shared" si="20"/>
        <v>761507.17000000027</v>
      </c>
      <c r="R577" s="34" t="str">
        <f>VLOOKUP(E577,Sales_Reps!$A$2:$E$100,3,FALSE)</f>
        <v>East</v>
      </c>
      <c r="S577" s="34" t="str">
        <f t="shared" si="21"/>
        <v>Home</v>
      </c>
      <c r="T577" s="38">
        <f>VLOOKUP(D577,Products!$A$2:$F$68,4,FALSE)</f>
        <v>2135</v>
      </c>
    </row>
    <row r="578" spans="1:20" x14ac:dyDescent="0.35">
      <c r="A578" s="13" t="s">
        <v>1028</v>
      </c>
      <c r="B578" s="14">
        <v>45589</v>
      </c>
      <c r="C578" s="13" t="s">
        <v>101</v>
      </c>
      <c r="D578" s="13" t="s">
        <v>195</v>
      </c>
      <c r="E578" s="13" t="s">
        <v>285</v>
      </c>
      <c r="F578" s="15">
        <v>1</v>
      </c>
      <c r="G578" s="15">
        <v>2860</v>
      </c>
      <c r="H578" s="15">
        <v>10.4</v>
      </c>
      <c r="I578" s="15">
        <v>2562.56</v>
      </c>
      <c r="J578" s="13" t="s">
        <v>140</v>
      </c>
      <c r="K578" s="13" t="s">
        <v>99</v>
      </c>
      <c r="L578" s="34" t="str">
        <f>VLOOKUP(D578,Products!$A$2:$F$61,3,FALSE)</f>
        <v>Sports</v>
      </c>
      <c r="M578" s="34" t="str">
        <f>VLOOKUP(C578,Customers!$A$2:$F$301,5,FALSE)</f>
        <v>Corporate</v>
      </c>
      <c r="N578" s="34">
        <f>VLOOKUP(C578,Customers!$A$2:$F$301,3,FALSE)</f>
        <v>46</v>
      </c>
      <c r="O578" s="34" t="str">
        <f>VLOOKUP(E578,Sales_Reps!$A$2:$E$31,3,FALSE)</f>
        <v>East</v>
      </c>
      <c r="P578" s="13" t="s">
        <v>285</v>
      </c>
      <c r="Q578" s="34">
        <f t="shared" si="20"/>
        <v>1069570.5400000003</v>
      </c>
      <c r="R578" s="34" t="str">
        <f>VLOOKUP(E578,Sales_Reps!$A$2:$E$100,3,FALSE)</f>
        <v>East</v>
      </c>
      <c r="S578" s="34" t="str">
        <f t="shared" si="21"/>
        <v>Sports</v>
      </c>
      <c r="T578" s="38">
        <f>VLOOKUP(D578,Products!$A$2:$F$68,4,FALSE)</f>
        <v>2028</v>
      </c>
    </row>
    <row r="579" spans="1:20" x14ac:dyDescent="0.35">
      <c r="A579" s="13" t="s">
        <v>1029</v>
      </c>
      <c r="B579" s="14">
        <v>45507</v>
      </c>
      <c r="C579" s="13" t="s">
        <v>802</v>
      </c>
      <c r="D579" s="13" t="s">
        <v>184</v>
      </c>
      <c r="E579" s="13" t="s">
        <v>303</v>
      </c>
      <c r="F579" s="15">
        <v>4</v>
      </c>
      <c r="G579" s="15">
        <v>4880</v>
      </c>
      <c r="H579" s="15">
        <v>27.5</v>
      </c>
      <c r="I579" s="15">
        <v>14152</v>
      </c>
      <c r="J579" s="13" t="s">
        <v>93</v>
      </c>
      <c r="K579" s="13" t="s">
        <v>94</v>
      </c>
      <c r="L579" s="34" t="str">
        <f>VLOOKUP(D579,Products!$A$2:$F$61,3,FALSE)</f>
        <v>Beauty</v>
      </c>
      <c r="M579" s="34" t="str">
        <f>VLOOKUP(C579,Customers!$A$2:$F$301,5,FALSE)</f>
        <v>SMB</v>
      </c>
      <c r="N579" s="34">
        <f>VLOOKUP(C579,Customers!$A$2:$F$301,3,FALSE)</f>
        <v>39</v>
      </c>
      <c r="O579" s="34" t="str">
        <f>VLOOKUP(E579,Sales_Reps!$A$2:$E$31,3,FALSE)</f>
        <v>East</v>
      </c>
      <c r="P579" s="13" t="s">
        <v>303</v>
      </c>
      <c r="Q579" s="34">
        <f t="shared" ref="Q579:Q642" si="22">SUMIFS($I:$I,$E:$E,P579)</f>
        <v>1112289.6400000001</v>
      </c>
      <c r="R579" s="34" t="str">
        <f>VLOOKUP(E579,Sales_Reps!$A$2:$E$100,3,FALSE)</f>
        <v>East</v>
      </c>
      <c r="S579" s="34" t="str">
        <f t="shared" ref="S579:S642" si="23">L579</f>
        <v>Beauty</v>
      </c>
      <c r="T579" s="38">
        <f>VLOOKUP(D579,Products!$A$2:$F$68,4,FALSE)</f>
        <v>2768</v>
      </c>
    </row>
    <row r="580" spans="1:20" x14ac:dyDescent="0.35">
      <c r="A580" s="13" t="s">
        <v>1030</v>
      </c>
      <c r="B580" s="14">
        <v>45470</v>
      </c>
      <c r="C580" s="13" t="s">
        <v>823</v>
      </c>
      <c r="D580" s="13" t="s">
        <v>245</v>
      </c>
      <c r="E580" s="13" t="s">
        <v>285</v>
      </c>
      <c r="F580" s="15">
        <v>3</v>
      </c>
      <c r="G580" s="15">
        <v>2270</v>
      </c>
      <c r="H580" s="15">
        <v>6.7</v>
      </c>
      <c r="I580" s="15">
        <v>6353.73</v>
      </c>
      <c r="J580" s="13" t="s">
        <v>87</v>
      </c>
      <c r="K580" s="13" t="s">
        <v>94</v>
      </c>
      <c r="L580" s="34" t="str">
        <f>VLOOKUP(D580,Products!$A$2:$F$61,3,FALSE)</f>
        <v>Grocery</v>
      </c>
      <c r="M580" s="34" t="str">
        <f>VLOOKUP(C580,Customers!$A$2:$F$301,5,FALSE)</f>
        <v>Retail</v>
      </c>
      <c r="N580" s="34">
        <f>VLOOKUP(C580,Customers!$A$2:$F$301,3,FALSE)</f>
        <v>32</v>
      </c>
      <c r="O580" s="34" t="str">
        <f>VLOOKUP(E580,Sales_Reps!$A$2:$E$31,3,FALSE)</f>
        <v>East</v>
      </c>
      <c r="P580" s="13" t="s">
        <v>285</v>
      </c>
      <c r="Q580" s="34">
        <f t="shared" si="22"/>
        <v>1069570.5400000003</v>
      </c>
      <c r="R580" s="34" t="str">
        <f>VLOOKUP(E580,Sales_Reps!$A$2:$E$100,3,FALSE)</f>
        <v>East</v>
      </c>
      <c r="S580" s="34" t="str">
        <f t="shared" si="23"/>
        <v>Grocery</v>
      </c>
      <c r="T580" s="38">
        <f>VLOOKUP(D580,Products!$A$2:$F$68,4,FALSE)</f>
        <v>1412</v>
      </c>
    </row>
    <row r="581" spans="1:20" x14ac:dyDescent="0.35">
      <c r="A581" s="13" t="s">
        <v>1031</v>
      </c>
      <c r="B581" s="14">
        <v>45589</v>
      </c>
      <c r="C581" s="13" t="s">
        <v>557</v>
      </c>
      <c r="D581" s="13" t="s">
        <v>351</v>
      </c>
      <c r="E581" s="13" t="s">
        <v>86</v>
      </c>
      <c r="F581" s="15">
        <v>10</v>
      </c>
      <c r="G581" s="15">
        <v>4060</v>
      </c>
      <c r="H581" s="15">
        <v>3.6</v>
      </c>
      <c r="I581" s="15">
        <v>39138.400000000001</v>
      </c>
      <c r="J581" s="13" t="s">
        <v>93</v>
      </c>
      <c r="K581" s="13" t="s">
        <v>112</v>
      </c>
      <c r="L581" s="34" t="str">
        <f>VLOOKUP(D581,Products!$A$2:$F$61,3,FALSE)</f>
        <v>Grocery</v>
      </c>
      <c r="M581" s="34" t="str">
        <f>VLOOKUP(C581,Customers!$A$2:$F$301,5,FALSE)</f>
        <v>Retail</v>
      </c>
      <c r="N581" s="34">
        <f>VLOOKUP(C581,Customers!$A$2:$F$301,3,FALSE)</f>
        <v>65</v>
      </c>
      <c r="O581" s="34" t="str">
        <f>VLOOKUP(E581,Sales_Reps!$A$2:$E$31,3,FALSE)</f>
        <v>North</v>
      </c>
      <c r="P581" s="13" t="s">
        <v>86</v>
      </c>
      <c r="Q581" s="34">
        <f t="shared" si="22"/>
        <v>855749.67999999982</v>
      </c>
      <c r="R581" s="34" t="str">
        <f>VLOOKUP(E581,Sales_Reps!$A$2:$E$100,3,FALSE)</f>
        <v>North</v>
      </c>
      <c r="S581" s="34" t="str">
        <f t="shared" si="23"/>
        <v>Grocery</v>
      </c>
      <c r="T581" s="38">
        <f>VLOOKUP(D581,Products!$A$2:$F$68,4,FALSE)</f>
        <v>2911</v>
      </c>
    </row>
    <row r="582" spans="1:20" x14ac:dyDescent="0.35">
      <c r="A582" s="13" t="s">
        <v>1032</v>
      </c>
      <c r="B582" s="14">
        <v>45433</v>
      </c>
      <c r="C582" s="13" t="s">
        <v>615</v>
      </c>
      <c r="D582" s="13" t="s">
        <v>135</v>
      </c>
      <c r="E582" s="13" t="s">
        <v>139</v>
      </c>
      <c r="F582" s="15">
        <v>8</v>
      </c>
      <c r="G582" s="15">
        <v>2640</v>
      </c>
      <c r="H582" s="15">
        <v>28.8</v>
      </c>
      <c r="I582" s="15">
        <v>15037.44</v>
      </c>
      <c r="J582" s="13" t="s">
        <v>87</v>
      </c>
      <c r="K582" s="13" t="s">
        <v>112</v>
      </c>
      <c r="L582" s="34" t="str">
        <f>VLOOKUP(D582,Products!$A$2:$F$61,3,FALSE)</f>
        <v>Electronics</v>
      </c>
      <c r="M582" s="34" t="str">
        <f>VLOOKUP(C582,Customers!$A$2:$F$301,5,FALSE)</f>
        <v>Retail</v>
      </c>
      <c r="N582" s="34">
        <f>VLOOKUP(C582,Customers!$A$2:$F$301,3,FALSE)</f>
        <v>53</v>
      </c>
      <c r="O582" s="34" t="str">
        <f>VLOOKUP(E582,Sales_Reps!$A$2:$E$31,3,FALSE)</f>
        <v>North</v>
      </c>
      <c r="P582" s="13" t="s">
        <v>139</v>
      </c>
      <c r="Q582" s="34">
        <f t="shared" si="22"/>
        <v>589026.2899999998</v>
      </c>
      <c r="R582" s="34" t="str">
        <f>VLOOKUP(E582,Sales_Reps!$A$2:$E$100,3,FALSE)</f>
        <v>North</v>
      </c>
      <c r="S582" s="34" t="str">
        <f t="shared" si="23"/>
        <v>Electronics</v>
      </c>
      <c r="T582" s="38">
        <f>VLOOKUP(D582,Products!$A$2:$F$68,4,FALSE)</f>
        <v>1149</v>
      </c>
    </row>
    <row r="583" spans="1:20" x14ac:dyDescent="0.35">
      <c r="A583" s="13" t="s">
        <v>1033</v>
      </c>
      <c r="B583" s="14">
        <v>45477</v>
      </c>
      <c r="C583" s="13" t="s">
        <v>490</v>
      </c>
      <c r="D583" s="13" t="s">
        <v>226</v>
      </c>
      <c r="E583" s="13" t="s">
        <v>325</v>
      </c>
      <c r="F583" s="15">
        <v>6</v>
      </c>
      <c r="G583" s="15">
        <v>3730</v>
      </c>
      <c r="H583" s="15">
        <v>21.9</v>
      </c>
      <c r="I583" s="15">
        <v>17478.78</v>
      </c>
      <c r="J583" s="13" t="s">
        <v>87</v>
      </c>
      <c r="K583" s="13" t="s">
        <v>99</v>
      </c>
      <c r="L583" s="34" t="str">
        <f>VLOOKUP(D583,Products!$A$2:$F$61,3,FALSE)</f>
        <v>Home</v>
      </c>
      <c r="M583" s="34" t="str">
        <f>VLOOKUP(C583,Customers!$A$2:$F$301,5,FALSE)</f>
        <v>Retail</v>
      </c>
      <c r="N583" s="34">
        <f>VLOOKUP(C583,Customers!$A$2:$F$301,3,FALSE)</f>
        <v>59</v>
      </c>
      <c r="O583" s="34" t="str">
        <f>VLOOKUP(E583,Sales_Reps!$A$2:$E$31,3,FALSE)</f>
        <v>South</v>
      </c>
      <c r="P583" s="13" t="s">
        <v>325</v>
      </c>
      <c r="Q583" s="34">
        <f t="shared" si="22"/>
        <v>901394.32000000007</v>
      </c>
      <c r="R583" s="34" t="str">
        <f>VLOOKUP(E583,Sales_Reps!$A$2:$E$100,3,FALSE)</f>
        <v>South</v>
      </c>
      <c r="S583" s="34" t="str">
        <f t="shared" si="23"/>
        <v>Home</v>
      </c>
      <c r="T583" s="38">
        <f>VLOOKUP(D583,Products!$A$2:$F$68,4,FALSE)</f>
        <v>2135</v>
      </c>
    </row>
    <row r="584" spans="1:20" x14ac:dyDescent="0.35">
      <c r="A584" s="13" t="s">
        <v>1034</v>
      </c>
      <c r="B584" s="14">
        <v>45443</v>
      </c>
      <c r="C584" s="13" t="s">
        <v>490</v>
      </c>
      <c r="D584" s="13" t="s">
        <v>364</v>
      </c>
      <c r="E584" s="13" t="s">
        <v>103</v>
      </c>
      <c r="F584" s="15">
        <v>9</v>
      </c>
      <c r="G584" s="15">
        <v>5330</v>
      </c>
      <c r="H584" s="15">
        <v>29.4</v>
      </c>
      <c r="I584" s="15">
        <v>33866.82</v>
      </c>
      <c r="J584" s="13" t="s">
        <v>140</v>
      </c>
      <c r="K584" s="13" t="s">
        <v>99</v>
      </c>
      <c r="L584" s="34" t="str">
        <f>VLOOKUP(D584,Products!$A$2:$F$61,3,FALSE)</f>
        <v>Electronics</v>
      </c>
      <c r="M584" s="34" t="str">
        <f>VLOOKUP(C584,Customers!$A$2:$F$301,5,FALSE)</f>
        <v>Retail</v>
      </c>
      <c r="N584" s="34">
        <f>VLOOKUP(C584,Customers!$A$2:$F$301,3,FALSE)</f>
        <v>59</v>
      </c>
      <c r="O584" s="34" t="str">
        <f>VLOOKUP(E584,Sales_Reps!$A$2:$E$31,3,FALSE)</f>
        <v>North</v>
      </c>
      <c r="P584" s="13" t="s">
        <v>103</v>
      </c>
      <c r="Q584" s="34">
        <f t="shared" si="22"/>
        <v>1138648.73</v>
      </c>
      <c r="R584" s="34" t="str">
        <f>VLOOKUP(E584,Sales_Reps!$A$2:$E$100,3,FALSE)</f>
        <v>North</v>
      </c>
      <c r="S584" s="34" t="str">
        <f t="shared" si="23"/>
        <v>Electronics</v>
      </c>
      <c r="T584" s="38">
        <f>VLOOKUP(D584,Products!$A$2:$F$68,4,FALSE)</f>
        <v>2405</v>
      </c>
    </row>
    <row r="585" spans="1:20" x14ac:dyDescent="0.35">
      <c r="A585" s="13" t="s">
        <v>1035</v>
      </c>
      <c r="B585" s="14">
        <v>45322</v>
      </c>
      <c r="C585" s="13" t="s">
        <v>1036</v>
      </c>
      <c r="D585" s="13" t="s">
        <v>452</v>
      </c>
      <c r="E585" s="13" t="s">
        <v>343</v>
      </c>
      <c r="F585" s="15">
        <v>1</v>
      </c>
      <c r="G585" s="15">
        <v>3450</v>
      </c>
      <c r="H585" s="15">
        <v>23.3</v>
      </c>
      <c r="I585" s="15">
        <v>2646.15</v>
      </c>
      <c r="J585" s="13" t="s">
        <v>87</v>
      </c>
      <c r="K585" s="13" t="s">
        <v>112</v>
      </c>
      <c r="L585" s="34" t="str">
        <f>VLOOKUP(D585,Products!$A$2:$F$61,3,FALSE)</f>
        <v>Apparel</v>
      </c>
      <c r="M585" s="34" t="str">
        <f>VLOOKUP(C585,Customers!$A$2:$F$301,5,FALSE)</f>
        <v>Retail</v>
      </c>
      <c r="N585" s="34">
        <f>VLOOKUP(C585,Customers!$A$2:$F$301,3,FALSE)</f>
        <v>33</v>
      </c>
      <c r="O585" s="34" t="str">
        <f>VLOOKUP(E585,Sales_Reps!$A$2:$E$31,3,FALSE)</f>
        <v>West</v>
      </c>
      <c r="P585" s="13" t="s">
        <v>343</v>
      </c>
      <c r="Q585" s="34">
        <f t="shared" si="22"/>
        <v>917092.61999999965</v>
      </c>
      <c r="R585" s="34" t="str">
        <f>VLOOKUP(E585,Sales_Reps!$A$2:$E$100,3,FALSE)</f>
        <v>West</v>
      </c>
      <c r="S585" s="34" t="str">
        <f t="shared" si="23"/>
        <v>Apparel</v>
      </c>
      <c r="T585" s="38">
        <f>VLOOKUP(D585,Products!$A$2:$F$68,4,FALSE)</f>
        <v>1748</v>
      </c>
    </row>
    <row r="586" spans="1:20" x14ac:dyDescent="0.35">
      <c r="A586" s="13" t="s">
        <v>1037</v>
      </c>
      <c r="B586" s="14">
        <v>45544</v>
      </c>
      <c r="C586" s="13" t="s">
        <v>1038</v>
      </c>
      <c r="D586" s="13" t="s">
        <v>241</v>
      </c>
      <c r="E586" s="13" t="s">
        <v>238</v>
      </c>
      <c r="F586" s="15">
        <v>3</v>
      </c>
      <c r="G586" s="15">
        <v>6080</v>
      </c>
      <c r="H586" s="15">
        <v>14.5</v>
      </c>
      <c r="I586" s="15">
        <v>15595.2</v>
      </c>
      <c r="J586" s="13" t="s">
        <v>87</v>
      </c>
      <c r="K586" s="13" t="s">
        <v>117</v>
      </c>
      <c r="L586" s="34" t="str">
        <f>VLOOKUP(D586,Products!$A$2:$F$61,3,FALSE)</f>
        <v>Beauty</v>
      </c>
      <c r="M586" s="34" t="str">
        <f>VLOOKUP(C586,Customers!$A$2:$F$301,5,FALSE)</f>
        <v>Corporate</v>
      </c>
      <c r="N586" s="34">
        <f>VLOOKUP(C586,Customers!$A$2:$F$301,3,FALSE)</f>
        <v>55</v>
      </c>
      <c r="O586" s="34" t="str">
        <f>VLOOKUP(E586,Sales_Reps!$A$2:$E$31,3,FALSE)</f>
        <v>East</v>
      </c>
      <c r="P586" s="13" t="s">
        <v>238</v>
      </c>
      <c r="Q586" s="34">
        <f t="shared" si="22"/>
        <v>780384.40999999992</v>
      </c>
      <c r="R586" s="34" t="str">
        <f>VLOOKUP(E586,Sales_Reps!$A$2:$E$100,3,FALSE)</f>
        <v>East</v>
      </c>
      <c r="S586" s="34" t="str">
        <f t="shared" si="23"/>
        <v>Beauty</v>
      </c>
      <c r="T586" s="38">
        <f>VLOOKUP(D586,Products!$A$2:$F$68,4,FALSE)</f>
        <v>2617</v>
      </c>
    </row>
    <row r="587" spans="1:20" x14ac:dyDescent="0.35">
      <c r="A587" s="13" t="s">
        <v>1039</v>
      </c>
      <c r="B587" s="14">
        <v>45609</v>
      </c>
      <c r="C587" s="13" t="s">
        <v>310</v>
      </c>
      <c r="D587" s="13" t="s">
        <v>226</v>
      </c>
      <c r="E587" s="13" t="s">
        <v>297</v>
      </c>
      <c r="F587" s="15">
        <v>4</v>
      </c>
      <c r="G587" s="15">
        <v>3730</v>
      </c>
      <c r="H587" s="15">
        <v>3.4</v>
      </c>
      <c r="I587" s="15">
        <v>14412.72</v>
      </c>
      <c r="J587" s="13" t="s">
        <v>140</v>
      </c>
      <c r="K587" s="13" t="s">
        <v>117</v>
      </c>
      <c r="L587" s="34" t="str">
        <f>VLOOKUP(D587,Products!$A$2:$F$61,3,FALSE)</f>
        <v>Home</v>
      </c>
      <c r="M587" s="34" t="str">
        <f>VLOOKUP(C587,Customers!$A$2:$F$301,5,FALSE)</f>
        <v>Retail</v>
      </c>
      <c r="N587" s="34">
        <f>VLOOKUP(C587,Customers!$A$2:$F$301,3,FALSE)</f>
        <v>42</v>
      </c>
      <c r="O587" s="34" t="str">
        <f>VLOOKUP(E587,Sales_Reps!$A$2:$E$31,3,FALSE)</f>
        <v>North</v>
      </c>
      <c r="P587" s="13" t="s">
        <v>297</v>
      </c>
      <c r="Q587" s="34">
        <f t="shared" si="22"/>
        <v>980063.65999999968</v>
      </c>
      <c r="R587" s="34" t="str">
        <f>VLOOKUP(E587,Sales_Reps!$A$2:$E$100,3,FALSE)</f>
        <v>North</v>
      </c>
      <c r="S587" s="34" t="str">
        <f t="shared" si="23"/>
        <v>Home</v>
      </c>
      <c r="T587" s="38">
        <f>VLOOKUP(D587,Products!$A$2:$F$68,4,FALSE)</f>
        <v>2135</v>
      </c>
    </row>
    <row r="588" spans="1:20" x14ac:dyDescent="0.35">
      <c r="A588" s="13" t="s">
        <v>1040</v>
      </c>
      <c r="B588" s="14">
        <v>45491</v>
      </c>
      <c r="C588" s="13" t="s">
        <v>301</v>
      </c>
      <c r="D588" s="13" t="s">
        <v>279</v>
      </c>
      <c r="E588" s="13" t="s">
        <v>285</v>
      </c>
      <c r="F588" s="15">
        <v>10</v>
      </c>
      <c r="G588" s="15">
        <v>2660</v>
      </c>
      <c r="H588" s="15">
        <v>2.1</v>
      </c>
      <c r="I588" s="15">
        <v>26041.4</v>
      </c>
      <c r="J588" s="13" t="s">
        <v>87</v>
      </c>
      <c r="K588" s="13" t="s">
        <v>94</v>
      </c>
      <c r="L588" s="34" t="str">
        <f>VLOOKUP(D588,Products!$A$2:$F$61,3,FALSE)</f>
        <v>Electronics</v>
      </c>
      <c r="M588" s="34" t="str">
        <f>VLOOKUP(C588,Customers!$A$2:$F$301,5,FALSE)</f>
        <v>Retail</v>
      </c>
      <c r="N588" s="34">
        <f>VLOOKUP(C588,Customers!$A$2:$F$301,3,FALSE)</f>
        <v>41</v>
      </c>
      <c r="O588" s="34" t="str">
        <f>VLOOKUP(E588,Sales_Reps!$A$2:$E$31,3,FALSE)</f>
        <v>East</v>
      </c>
      <c r="P588" s="13" t="s">
        <v>285</v>
      </c>
      <c r="Q588" s="34">
        <f t="shared" si="22"/>
        <v>1069570.5400000003</v>
      </c>
      <c r="R588" s="34" t="str">
        <f>VLOOKUP(E588,Sales_Reps!$A$2:$E$100,3,FALSE)</f>
        <v>East</v>
      </c>
      <c r="S588" s="34" t="str">
        <f t="shared" si="23"/>
        <v>Electronics</v>
      </c>
      <c r="T588" s="38">
        <f>VLOOKUP(D588,Products!$A$2:$F$68,4,FALSE)</f>
        <v>1259</v>
      </c>
    </row>
    <row r="589" spans="1:20" x14ac:dyDescent="0.35">
      <c r="A589" s="13" t="s">
        <v>1041</v>
      </c>
      <c r="B589" s="14">
        <v>45373</v>
      </c>
      <c r="C589" s="13" t="s">
        <v>175</v>
      </c>
      <c r="D589" s="13" t="s">
        <v>338</v>
      </c>
      <c r="E589" s="13" t="s">
        <v>158</v>
      </c>
      <c r="F589" s="15">
        <v>7</v>
      </c>
      <c r="G589" s="15">
        <v>2210</v>
      </c>
      <c r="H589" s="15">
        <v>17.100000000000001</v>
      </c>
      <c r="I589" s="15">
        <v>12824.63</v>
      </c>
      <c r="J589" s="13" t="s">
        <v>87</v>
      </c>
      <c r="K589" s="13" t="s">
        <v>133</v>
      </c>
      <c r="L589" s="34" t="str">
        <f>VLOOKUP(D589,Products!$A$2:$F$61,3,FALSE)</f>
        <v>Grocery</v>
      </c>
      <c r="M589" s="34" t="str">
        <f>VLOOKUP(C589,Customers!$A$2:$F$301,5,FALSE)</f>
        <v>SMB</v>
      </c>
      <c r="N589" s="34">
        <f>VLOOKUP(C589,Customers!$A$2:$F$301,3,FALSE)</f>
        <v>40</v>
      </c>
      <c r="O589" s="34" t="str">
        <f>VLOOKUP(E589,Sales_Reps!$A$2:$E$31,3,FALSE)</f>
        <v>East</v>
      </c>
      <c r="P589" s="13" t="s">
        <v>158</v>
      </c>
      <c r="Q589" s="34">
        <f t="shared" si="22"/>
        <v>761507.17000000027</v>
      </c>
      <c r="R589" s="34" t="str">
        <f>VLOOKUP(E589,Sales_Reps!$A$2:$E$100,3,FALSE)</f>
        <v>East</v>
      </c>
      <c r="S589" s="34" t="str">
        <f t="shared" si="23"/>
        <v>Grocery</v>
      </c>
      <c r="T589" s="38">
        <f>VLOOKUP(D589,Products!$A$2:$F$68,4,FALSE)</f>
        <v>1010</v>
      </c>
    </row>
    <row r="590" spans="1:20" x14ac:dyDescent="0.35">
      <c r="A590" s="13" t="s">
        <v>1042</v>
      </c>
      <c r="B590" s="14">
        <v>45607</v>
      </c>
      <c r="C590" s="13" t="s">
        <v>194</v>
      </c>
      <c r="D590" s="13" t="s">
        <v>461</v>
      </c>
      <c r="E590" s="13" t="s">
        <v>252</v>
      </c>
      <c r="F590" s="15">
        <v>6</v>
      </c>
      <c r="G590" s="15">
        <v>3780</v>
      </c>
      <c r="H590" s="15">
        <v>12.7</v>
      </c>
      <c r="I590" s="15">
        <v>19799.64</v>
      </c>
      <c r="J590" s="13" t="s">
        <v>87</v>
      </c>
      <c r="K590" s="13" t="s">
        <v>88</v>
      </c>
      <c r="L590" s="34" t="str">
        <f>VLOOKUP(D590,Products!$A$2:$F$61,3,FALSE)</f>
        <v>Sports</v>
      </c>
      <c r="M590" s="34" t="str">
        <f>VLOOKUP(C590,Customers!$A$2:$F$301,5,FALSE)</f>
        <v>SMB</v>
      </c>
      <c r="N590" s="34">
        <f>VLOOKUP(C590,Customers!$A$2:$F$301,3,FALSE)</f>
        <v>44</v>
      </c>
      <c r="O590" s="34" t="str">
        <f>VLOOKUP(E590,Sales_Reps!$A$2:$E$31,3,FALSE)</f>
        <v>South</v>
      </c>
      <c r="P590" s="13" t="s">
        <v>252</v>
      </c>
      <c r="Q590" s="34">
        <f t="shared" si="22"/>
        <v>811524.37999999989</v>
      </c>
      <c r="R590" s="34" t="str">
        <f>VLOOKUP(E590,Sales_Reps!$A$2:$E$100,3,FALSE)</f>
        <v>South</v>
      </c>
      <c r="S590" s="34" t="str">
        <f t="shared" si="23"/>
        <v>Sports</v>
      </c>
      <c r="T590" s="38">
        <f>VLOOKUP(D590,Products!$A$2:$F$68,4,FALSE)</f>
        <v>1860</v>
      </c>
    </row>
    <row r="591" spans="1:20" x14ac:dyDescent="0.35">
      <c r="A591" s="13" t="s">
        <v>1043</v>
      </c>
      <c r="B591" s="14">
        <v>45412</v>
      </c>
      <c r="C591" s="13" t="s">
        <v>963</v>
      </c>
      <c r="D591" s="13" t="s">
        <v>124</v>
      </c>
      <c r="E591" s="13" t="s">
        <v>229</v>
      </c>
      <c r="F591" s="15">
        <v>4</v>
      </c>
      <c r="G591" s="15">
        <v>5490</v>
      </c>
      <c r="H591" s="15">
        <v>26.9</v>
      </c>
      <c r="I591" s="15">
        <v>16052.76</v>
      </c>
      <c r="J591" s="13" t="s">
        <v>87</v>
      </c>
      <c r="K591" s="13" t="s">
        <v>94</v>
      </c>
      <c r="L591" s="34" t="str">
        <f>VLOOKUP(D591,Products!$A$2:$F$61,3,FALSE)</f>
        <v>Home</v>
      </c>
      <c r="M591" s="34" t="str">
        <f>VLOOKUP(C591,Customers!$A$2:$F$301,5,FALSE)</f>
        <v>Retail</v>
      </c>
      <c r="N591" s="34">
        <f>VLOOKUP(C591,Customers!$A$2:$F$301,3,FALSE)</f>
        <v>31</v>
      </c>
      <c r="O591" s="34" t="str">
        <f>VLOOKUP(E591,Sales_Reps!$A$2:$E$31,3,FALSE)</f>
        <v>West</v>
      </c>
      <c r="P591" s="13" t="s">
        <v>229</v>
      </c>
      <c r="Q591" s="34">
        <f t="shared" si="22"/>
        <v>1016696.8000000002</v>
      </c>
      <c r="R591" s="34" t="str">
        <f>VLOOKUP(E591,Sales_Reps!$A$2:$E$100,3,FALSE)</f>
        <v>West</v>
      </c>
      <c r="S591" s="34" t="str">
        <f t="shared" si="23"/>
        <v>Home</v>
      </c>
      <c r="T591" s="38">
        <f>VLOOKUP(D591,Products!$A$2:$F$68,4,FALSE)</f>
        <v>2549</v>
      </c>
    </row>
    <row r="592" spans="1:20" x14ac:dyDescent="0.35">
      <c r="A592" s="13" t="s">
        <v>1044</v>
      </c>
      <c r="B592" s="14">
        <v>45351</v>
      </c>
      <c r="C592" s="13" t="s">
        <v>802</v>
      </c>
      <c r="D592" s="13" t="s">
        <v>279</v>
      </c>
      <c r="E592" s="13" t="s">
        <v>252</v>
      </c>
      <c r="F592" s="15">
        <v>9</v>
      </c>
      <c r="G592" s="15">
        <v>2660</v>
      </c>
      <c r="H592" s="15">
        <v>21.9</v>
      </c>
      <c r="I592" s="15">
        <v>18697.14</v>
      </c>
      <c r="J592" s="13" t="s">
        <v>87</v>
      </c>
      <c r="K592" s="13" t="s">
        <v>94</v>
      </c>
      <c r="L592" s="34" t="str">
        <f>VLOOKUP(D592,Products!$A$2:$F$61,3,FALSE)</f>
        <v>Electronics</v>
      </c>
      <c r="M592" s="34" t="str">
        <f>VLOOKUP(C592,Customers!$A$2:$F$301,5,FALSE)</f>
        <v>SMB</v>
      </c>
      <c r="N592" s="34">
        <f>VLOOKUP(C592,Customers!$A$2:$F$301,3,FALSE)</f>
        <v>39</v>
      </c>
      <c r="O592" s="34" t="str">
        <f>VLOOKUP(E592,Sales_Reps!$A$2:$E$31,3,FALSE)</f>
        <v>South</v>
      </c>
      <c r="P592" s="13" t="s">
        <v>252</v>
      </c>
      <c r="Q592" s="34">
        <f t="shared" si="22"/>
        <v>811524.37999999989</v>
      </c>
      <c r="R592" s="34" t="str">
        <f>VLOOKUP(E592,Sales_Reps!$A$2:$E$100,3,FALSE)</f>
        <v>South</v>
      </c>
      <c r="S592" s="34" t="str">
        <f t="shared" si="23"/>
        <v>Electronics</v>
      </c>
      <c r="T592" s="38">
        <f>VLOOKUP(D592,Products!$A$2:$F$68,4,FALSE)</f>
        <v>1259</v>
      </c>
    </row>
    <row r="593" spans="1:20" x14ac:dyDescent="0.35">
      <c r="A593" s="13" t="s">
        <v>1045</v>
      </c>
      <c r="B593" s="14">
        <v>45572</v>
      </c>
      <c r="C593" s="13" t="s">
        <v>403</v>
      </c>
      <c r="D593" s="13" t="s">
        <v>515</v>
      </c>
      <c r="E593" s="13" t="s">
        <v>128</v>
      </c>
      <c r="F593" s="15">
        <v>9</v>
      </c>
      <c r="G593" s="15">
        <v>6940</v>
      </c>
      <c r="H593" s="15">
        <v>8</v>
      </c>
      <c r="I593" s="15">
        <v>57463.199999999997</v>
      </c>
      <c r="J593" s="13" t="s">
        <v>87</v>
      </c>
      <c r="K593" s="13" t="s">
        <v>117</v>
      </c>
      <c r="L593" s="34" t="str">
        <f>VLOOKUP(D593,Products!$A$2:$F$61,3,FALSE)</f>
        <v>Sports</v>
      </c>
      <c r="M593" s="34" t="str">
        <f>VLOOKUP(C593,Customers!$A$2:$F$301,5,FALSE)</f>
        <v>Retail</v>
      </c>
      <c r="N593" s="34">
        <f>VLOOKUP(C593,Customers!$A$2:$F$301,3,FALSE)</f>
        <v>59</v>
      </c>
      <c r="O593" s="34" t="str">
        <f>VLOOKUP(E593,Sales_Reps!$A$2:$E$31,3,FALSE)</f>
        <v>West</v>
      </c>
      <c r="P593" s="13" t="s">
        <v>128</v>
      </c>
      <c r="Q593" s="34">
        <f t="shared" si="22"/>
        <v>880468.05</v>
      </c>
      <c r="R593" s="34" t="str">
        <f>VLOOKUP(E593,Sales_Reps!$A$2:$E$100,3,FALSE)</f>
        <v>West</v>
      </c>
      <c r="S593" s="34" t="str">
        <f t="shared" si="23"/>
        <v>Sports</v>
      </c>
      <c r="T593" s="38">
        <f>VLOOKUP(D593,Products!$A$2:$F$68,4,FALSE)</f>
        <v>2827</v>
      </c>
    </row>
    <row r="594" spans="1:20" x14ac:dyDescent="0.35">
      <c r="A594" s="13" t="s">
        <v>733</v>
      </c>
      <c r="B594" s="14">
        <v>45402</v>
      </c>
      <c r="C594" s="13" t="s">
        <v>197</v>
      </c>
      <c r="D594" s="13" t="s">
        <v>248</v>
      </c>
      <c r="E594" s="13" t="s">
        <v>103</v>
      </c>
      <c r="F594" s="15">
        <v>1</v>
      </c>
      <c r="G594" s="15">
        <v>3870</v>
      </c>
      <c r="H594" s="15">
        <v>22.6</v>
      </c>
      <c r="I594" s="15">
        <v>2995.38</v>
      </c>
      <c r="J594" s="13" t="s">
        <v>87</v>
      </c>
      <c r="K594" s="13" t="s">
        <v>88</v>
      </c>
      <c r="L594" s="34" t="str">
        <f>VLOOKUP(D594,Products!$A$2:$F$61,3,FALSE)</f>
        <v>Electronics</v>
      </c>
      <c r="M594" s="34" t="str">
        <f>VLOOKUP(C594,Customers!$A$2:$F$301,5,FALSE)</f>
        <v>Corporate</v>
      </c>
      <c r="N594" s="34">
        <f>VLOOKUP(C594,Customers!$A$2:$F$301,3,FALSE)</f>
        <v>47</v>
      </c>
      <c r="O594" s="34" t="str">
        <f>VLOOKUP(E594,Sales_Reps!$A$2:$E$31,3,FALSE)</f>
        <v>North</v>
      </c>
      <c r="P594" s="13" t="s">
        <v>103</v>
      </c>
      <c r="Q594" s="34">
        <f t="shared" si="22"/>
        <v>1138648.73</v>
      </c>
      <c r="R594" s="34" t="str">
        <f>VLOOKUP(E594,Sales_Reps!$A$2:$E$100,3,FALSE)</f>
        <v>North</v>
      </c>
      <c r="S594" s="34" t="str">
        <f t="shared" si="23"/>
        <v>Electronics</v>
      </c>
      <c r="T594" s="38">
        <f>VLOOKUP(D594,Products!$A$2:$F$68,4,FALSE)</f>
        <v>1559</v>
      </c>
    </row>
    <row r="595" spans="1:20" x14ac:dyDescent="0.35">
      <c r="A595" s="13" t="s">
        <v>1046</v>
      </c>
      <c r="B595" s="14">
        <v>45503</v>
      </c>
      <c r="C595" s="13" t="s">
        <v>1047</v>
      </c>
      <c r="D595" s="13" t="s">
        <v>502</v>
      </c>
      <c r="E595" s="13" t="s">
        <v>107</v>
      </c>
      <c r="F595" s="15">
        <v>3</v>
      </c>
      <c r="G595" s="15">
        <v>1090</v>
      </c>
      <c r="H595" s="15">
        <v>28.1</v>
      </c>
      <c r="I595" s="15">
        <v>2351.13</v>
      </c>
      <c r="J595" s="13" t="s">
        <v>87</v>
      </c>
      <c r="K595" s="13" t="s">
        <v>133</v>
      </c>
      <c r="L595" s="34" t="str">
        <f>VLOOKUP(D595,Products!$A$2:$F$61,3,FALSE)</f>
        <v>Home</v>
      </c>
      <c r="M595" s="34" t="str">
        <f>VLOOKUP(C595,Customers!$A$2:$F$301,5,FALSE)</f>
        <v>Retail</v>
      </c>
      <c r="N595" s="34">
        <f>VLOOKUP(C595,Customers!$A$2:$F$301,3,FALSE)</f>
        <v>41</v>
      </c>
      <c r="O595" s="34" t="str">
        <f>VLOOKUP(E595,Sales_Reps!$A$2:$E$31,3,FALSE)</f>
        <v>North</v>
      </c>
      <c r="P595" s="13" t="s">
        <v>107</v>
      </c>
      <c r="Q595" s="34">
        <f t="shared" si="22"/>
        <v>861553.33</v>
      </c>
      <c r="R595" s="34" t="str">
        <f>VLOOKUP(E595,Sales_Reps!$A$2:$E$100,3,FALSE)</f>
        <v>North</v>
      </c>
      <c r="S595" s="34" t="str">
        <f t="shared" si="23"/>
        <v>Home</v>
      </c>
      <c r="T595" s="38">
        <f>VLOOKUP(D595,Products!$A$2:$F$68,4,FALSE)</f>
        <v>464</v>
      </c>
    </row>
    <row r="596" spans="1:20" x14ac:dyDescent="0.35">
      <c r="A596" s="13" t="s">
        <v>1048</v>
      </c>
      <c r="B596" s="14">
        <v>45524</v>
      </c>
      <c r="C596" s="13" t="s">
        <v>465</v>
      </c>
      <c r="D596" s="13" t="s">
        <v>138</v>
      </c>
      <c r="E596" s="13" t="s">
        <v>215</v>
      </c>
      <c r="F596" s="15">
        <v>2</v>
      </c>
      <c r="G596" s="15">
        <v>2600</v>
      </c>
      <c r="H596" s="15">
        <v>5.6</v>
      </c>
      <c r="I596" s="15">
        <v>4908.8</v>
      </c>
      <c r="J596" s="13" t="s">
        <v>87</v>
      </c>
      <c r="K596" s="13" t="s">
        <v>112</v>
      </c>
      <c r="L596" s="34" t="str">
        <f>VLOOKUP(D596,Products!$A$2:$F$61,3,FALSE)</f>
        <v>Electronics</v>
      </c>
      <c r="M596" s="34" t="str">
        <f>VLOOKUP(C596,Customers!$A$2:$F$301,5,FALSE)</f>
        <v>Retail</v>
      </c>
      <c r="N596" s="34">
        <f>VLOOKUP(C596,Customers!$A$2:$F$301,3,FALSE)</f>
        <v>61</v>
      </c>
      <c r="O596" s="34" t="str">
        <f>VLOOKUP(E596,Sales_Reps!$A$2:$E$31,3,FALSE)</f>
        <v>North</v>
      </c>
      <c r="P596" s="13" t="s">
        <v>215</v>
      </c>
      <c r="Q596" s="34">
        <f t="shared" si="22"/>
        <v>789849.60000000009</v>
      </c>
      <c r="R596" s="34" t="str">
        <f>VLOOKUP(E596,Sales_Reps!$A$2:$E$100,3,FALSE)</f>
        <v>North</v>
      </c>
      <c r="S596" s="34" t="str">
        <f t="shared" si="23"/>
        <v>Electronics</v>
      </c>
      <c r="T596" s="38">
        <f>VLOOKUP(D596,Products!$A$2:$F$68,4,FALSE)</f>
        <v>1052</v>
      </c>
    </row>
    <row r="597" spans="1:20" x14ac:dyDescent="0.35">
      <c r="A597" s="13" t="s">
        <v>1049</v>
      </c>
      <c r="B597" s="14">
        <v>45425</v>
      </c>
      <c r="C597" s="13" t="s">
        <v>856</v>
      </c>
      <c r="D597" s="13" t="s">
        <v>115</v>
      </c>
      <c r="E597" s="13" t="s">
        <v>192</v>
      </c>
      <c r="F597" s="15">
        <v>4</v>
      </c>
      <c r="G597" s="15">
        <v>960</v>
      </c>
      <c r="H597" s="15">
        <v>21.7</v>
      </c>
      <c r="I597" s="15">
        <v>3006.72</v>
      </c>
      <c r="J597" s="13" t="s">
        <v>87</v>
      </c>
      <c r="K597" s="13" t="s">
        <v>88</v>
      </c>
      <c r="L597" s="34" t="str">
        <f>VLOOKUP(D597,Products!$A$2:$F$61,3,FALSE)</f>
        <v>Sports</v>
      </c>
      <c r="M597" s="34" t="str">
        <f>VLOOKUP(C597,Customers!$A$2:$F$301,5,FALSE)</f>
        <v>SMB</v>
      </c>
      <c r="N597" s="34">
        <f>VLOOKUP(C597,Customers!$A$2:$F$301,3,FALSE)</f>
        <v>59</v>
      </c>
      <c r="O597" s="34" t="str">
        <f>VLOOKUP(E597,Sales_Reps!$A$2:$E$31,3,FALSE)</f>
        <v>East</v>
      </c>
      <c r="P597" s="13" t="s">
        <v>192</v>
      </c>
      <c r="Q597" s="34">
        <f t="shared" si="22"/>
        <v>906107.71000000008</v>
      </c>
      <c r="R597" s="34" t="str">
        <f>VLOOKUP(E597,Sales_Reps!$A$2:$E$100,3,FALSE)</f>
        <v>East</v>
      </c>
      <c r="S597" s="34" t="str">
        <f t="shared" si="23"/>
        <v>Sports</v>
      </c>
      <c r="T597" s="38">
        <f>VLOOKUP(D597,Products!$A$2:$F$68,4,FALSE)</f>
        <v>705</v>
      </c>
    </row>
    <row r="598" spans="1:20" x14ac:dyDescent="0.35">
      <c r="A598" s="13" t="s">
        <v>1050</v>
      </c>
      <c r="B598" s="14">
        <v>45533</v>
      </c>
      <c r="C598" s="13" t="s">
        <v>1051</v>
      </c>
      <c r="D598" s="13" t="s">
        <v>110</v>
      </c>
      <c r="E598" s="13" t="s">
        <v>201</v>
      </c>
      <c r="F598" s="15">
        <v>6</v>
      </c>
      <c r="G598" s="15">
        <v>370</v>
      </c>
      <c r="H598" s="15">
        <v>22.5</v>
      </c>
      <c r="I598" s="15">
        <v>1720.5</v>
      </c>
      <c r="J598" s="13" t="s">
        <v>87</v>
      </c>
      <c r="K598" s="13" t="s">
        <v>112</v>
      </c>
      <c r="L598" s="34" t="str">
        <f>VLOOKUP(D598,Products!$A$2:$F$61,3,FALSE)</f>
        <v>Home</v>
      </c>
      <c r="M598" s="34" t="str">
        <f>VLOOKUP(C598,Customers!$A$2:$F$301,5,FALSE)</f>
        <v>Retail</v>
      </c>
      <c r="N598" s="34">
        <f>VLOOKUP(C598,Customers!$A$2:$F$301,3,FALSE)</f>
        <v>54</v>
      </c>
      <c r="O598" s="34" t="str">
        <f>VLOOKUP(E598,Sales_Reps!$A$2:$E$31,3,FALSE)</f>
        <v>West</v>
      </c>
      <c r="P598" s="13" t="s">
        <v>201</v>
      </c>
      <c r="Q598" s="34">
        <f t="shared" si="22"/>
        <v>576305.08000000019</v>
      </c>
      <c r="R598" s="34" t="str">
        <f>VLOOKUP(E598,Sales_Reps!$A$2:$E$100,3,FALSE)</f>
        <v>West</v>
      </c>
      <c r="S598" s="34" t="str">
        <f t="shared" si="23"/>
        <v>Home</v>
      </c>
      <c r="T598" s="38">
        <f>VLOOKUP(D598,Products!$A$2:$F$68,4,FALSE)</f>
        <v>288</v>
      </c>
    </row>
    <row r="599" spans="1:20" x14ac:dyDescent="0.35">
      <c r="A599" s="13" t="s">
        <v>1052</v>
      </c>
      <c r="B599" s="14">
        <v>45649</v>
      </c>
      <c r="C599" s="13" t="s">
        <v>250</v>
      </c>
      <c r="D599" s="13" t="s">
        <v>443</v>
      </c>
      <c r="E599" s="13" t="s">
        <v>103</v>
      </c>
      <c r="F599" s="15">
        <v>5</v>
      </c>
      <c r="G599" s="15">
        <v>5080</v>
      </c>
      <c r="H599" s="15">
        <v>23.8</v>
      </c>
      <c r="I599" s="15">
        <v>19354.8</v>
      </c>
      <c r="J599" s="13" t="s">
        <v>87</v>
      </c>
      <c r="K599" s="13" t="s">
        <v>117</v>
      </c>
      <c r="L599" s="34" t="str">
        <f>VLOOKUP(D599,Products!$A$2:$F$61,3,FALSE)</f>
        <v>Home</v>
      </c>
      <c r="M599" s="34" t="str">
        <f>VLOOKUP(C599,Customers!$A$2:$F$301,5,FALSE)</f>
        <v>SMB</v>
      </c>
      <c r="N599" s="34">
        <f>VLOOKUP(C599,Customers!$A$2:$F$301,3,FALSE)</f>
        <v>34</v>
      </c>
      <c r="O599" s="34" t="str">
        <f>VLOOKUP(E599,Sales_Reps!$A$2:$E$31,3,FALSE)</f>
        <v>North</v>
      </c>
      <c r="P599" s="13" t="s">
        <v>103</v>
      </c>
      <c r="Q599" s="34">
        <f t="shared" si="22"/>
        <v>1138648.73</v>
      </c>
      <c r="R599" s="34" t="str">
        <f>VLOOKUP(E599,Sales_Reps!$A$2:$E$100,3,FALSE)</f>
        <v>North</v>
      </c>
      <c r="S599" s="34" t="str">
        <f t="shared" si="23"/>
        <v>Home</v>
      </c>
      <c r="T599" s="38">
        <f>VLOOKUP(D599,Products!$A$2:$F$68,4,FALSE)</f>
        <v>2459</v>
      </c>
    </row>
    <row r="600" spans="1:20" x14ac:dyDescent="0.35">
      <c r="A600" s="13" t="s">
        <v>1053</v>
      </c>
      <c r="B600" s="14">
        <v>45375</v>
      </c>
      <c r="C600" s="13" t="s">
        <v>559</v>
      </c>
      <c r="D600" s="13" t="s">
        <v>259</v>
      </c>
      <c r="E600" s="13" t="s">
        <v>148</v>
      </c>
      <c r="F600" s="15">
        <v>5</v>
      </c>
      <c r="G600" s="15">
        <v>1540</v>
      </c>
      <c r="H600" s="15">
        <v>6.1</v>
      </c>
      <c r="I600" s="15">
        <v>7230.3</v>
      </c>
      <c r="J600" s="13" t="s">
        <v>87</v>
      </c>
      <c r="K600" s="13" t="s">
        <v>88</v>
      </c>
      <c r="L600" s="34" t="str">
        <f>VLOOKUP(D600,Products!$A$2:$F$61,3,FALSE)</f>
        <v>Beauty</v>
      </c>
      <c r="M600" s="34" t="str">
        <f>VLOOKUP(C600,Customers!$A$2:$F$301,5,FALSE)</f>
        <v>Retail</v>
      </c>
      <c r="N600" s="34">
        <f>VLOOKUP(C600,Customers!$A$2:$F$301,3,FALSE)</f>
        <v>62</v>
      </c>
      <c r="O600" s="34" t="str">
        <f>VLOOKUP(E600,Sales_Reps!$A$2:$E$31,3,FALSE)</f>
        <v>North</v>
      </c>
      <c r="P600" s="13" t="s">
        <v>148</v>
      </c>
      <c r="Q600" s="34">
        <f t="shared" si="22"/>
        <v>986692.91</v>
      </c>
      <c r="R600" s="34" t="str">
        <f>VLOOKUP(E600,Sales_Reps!$A$2:$E$100,3,FALSE)</f>
        <v>North</v>
      </c>
      <c r="S600" s="34" t="str">
        <f t="shared" si="23"/>
        <v>Beauty</v>
      </c>
      <c r="T600" s="38">
        <f>VLOOKUP(D600,Products!$A$2:$F$68,4,FALSE)</f>
        <v>647</v>
      </c>
    </row>
    <row r="601" spans="1:20" x14ac:dyDescent="0.35">
      <c r="A601" s="13" t="s">
        <v>1054</v>
      </c>
      <c r="B601" s="14">
        <v>45342</v>
      </c>
      <c r="C601" s="13" t="s">
        <v>1055</v>
      </c>
      <c r="D601" s="13" t="s">
        <v>131</v>
      </c>
      <c r="E601" s="13" t="s">
        <v>188</v>
      </c>
      <c r="F601" s="15">
        <v>7</v>
      </c>
      <c r="G601" s="15">
        <v>2270</v>
      </c>
      <c r="H601" s="15">
        <v>0.4</v>
      </c>
      <c r="I601" s="15">
        <v>15826.44</v>
      </c>
      <c r="J601" s="13" t="s">
        <v>87</v>
      </c>
      <c r="K601" s="13" t="s">
        <v>112</v>
      </c>
      <c r="L601" s="34" t="str">
        <f>VLOOKUP(D601,Products!$A$2:$F$61,3,FALSE)</f>
        <v>Grocery</v>
      </c>
      <c r="M601" s="34" t="str">
        <f>VLOOKUP(C601,Customers!$A$2:$F$301,5,FALSE)</f>
        <v>Retail</v>
      </c>
      <c r="N601" s="34">
        <f>VLOOKUP(C601,Customers!$A$2:$F$301,3,FALSE)</f>
        <v>37</v>
      </c>
      <c r="O601" s="34" t="str">
        <f>VLOOKUP(E601,Sales_Reps!$A$2:$E$31,3,FALSE)</f>
        <v>South</v>
      </c>
      <c r="P601" s="13" t="s">
        <v>188</v>
      </c>
      <c r="Q601" s="34">
        <f t="shared" si="22"/>
        <v>1091740.1799999997</v>
      </c>
      <c r="R601" s="34" t="str">
        <f>VLOOKUP(E601,Sales_Reps!$A$2:$E$100,3,FALSE)</f>
        <v>South</v>
      </c>
      <c r="S601" s="34" t="str">
        <f t="shared" si="23"/>
        <v>Grocery</v>
      </c>
      <c r="T601" s="38">
        <f>VLOOKUP(D601,Products!$A$2:$F$68,4,FALSE)</f>
        <v>1203</v>
      </c>
    </row>
    <row r="602" spans="1:20" x14ac:dyDescent="0.35">
      <c r="A602" s="13" t="s">
        <v>1056</v>
      </c>
      <c r="B602" s="14">
        <v>45441</v>
      </c>
      <c r="C602" s="13" t="s">
        <v>828</v>
      </c>
      <c r="D602" s="13" t="s">
        <v>115</v>
      </c>
      <c r="E602" s="13" t="s">
        <v>188</v>
      </c>
      <c r="F602" s="15">
        <v>2</v>
      </c>
      <c r="G602" s="15">
        <v>960</v>
      </c>
      <c r="H602" s="15">
        <v>3.7</v>
      </c>
      <c r="I602" s="15">
        <v>1848.96</v>
      </c>
      <c r="J602" s="13" t="s">
        <v>87</v>
      </c>
      <c r="K602" s="13" t="s">
        <v>133</v>
      </c>
      <c r="L602" s="34" t="str">
        <f>VLOOKUP(D602,Products!$A$2:$F$61,3,FALSE)</f>
        <v>Sports</v>
      </c>
      <c r="M602" s="34" t="str">
        <f>VLOOKUP(C602,Customers!$A$2:$F$301,5,FALSE)</f>
        <v>Retail</v>
      </c>
      <c r="N602" s="34">
        <f>VLOOKUP(C602,Customers!$A$2:$F$301,3,FALSE)</f>
        <v>52</v>
      </c>
      <c r="O602" s="34" t="str">
        <f>VLOOKUP(E602,Sales_Reps!$A$2:$E$31,3,FALSE)</f>
        <v>South</v>
      </c>
      <c r="P602" s="13" t="s">
        <v>188</v>
      </c>
      <c r="Q602" s="34">
        <f t="shared" si="22"/>
        <v>1091740.1799999997</v>
      </c>
      <c r="R602" s="34" t="str">
        <f>VLOOKUP(E602,Sales_Reps!$A$2:$E$100,3,FALSE)</f>
        <v>South</v>
      </c>
      <c r="S602" s="34" t="str">
        <f t="shared" si="23"/>
        <v>Sports</v>
      </c>
      <c r="T602" s="38">
        <f>VLOOKUP(D602,Products!$A$2:$F$68,4,FALSE)</f>
        <v>705</v>
      </c>
    </row>
    <row r="603" spans="1:20" x14ac:dyDescent="0.35">
      <c r="A603" s="13" t="s">
        <v>1057</v>
      </c>
      <c r="B603" s="14">
        <v>45410</v>
      </c>
      <c r="C603" s="13" t="s">
        <v>407</v>
      </c>
      <c r="D603" s="13" t="s">
        <v>120</v>
      </c>
      <c r="E603" s="13" t="s">
        <v>343</v>
      </c>
      <c r="F603" s="15">
        <v>6</v>
      </c>
      <c r="G603" s="15">
        <v>1430</v>
      </c>
      <c r="H603" s="15">
        <v>2</v>
      </c>
      <c r="I603" s="15">
        <v>8408.4</v>
      </c>
      <c r="J603" s="13" t="s">
        <v>93</v>
      </c>
      <c r="K603" s="13" t="s">
        <v>88</v>
      </c>
      <c r="L603" s="34" t="str">
        <f>VLOOKUP(D603,Products!$A$2:$F$61,3,FALSE)</f>
        <v>Electronics</v>
      </c>
      <c r="M603" s="34" t="str">
        <f>VLOOKUP(C603,Customers!$A$2:$F$301,5,FALSE)</f>
        <v>SMB</v>
      </c>
      <c r="N603" s="34">
        <f>VLOOKUP(C603,Customers!$A$2:$F$301,3,FALSE)</f>
        <v>53</v>
      </c>
      <c r="O603" s="34" t="str">
        <f>VLOOKUP(E603,Sales_Reps!$A$2:$E$31,3,FALSE)</f>
        <v>West</v>
      </c>
      <c r="P603" s="13" t="s">
        <v>343</v>
      </c>
      <c r="Q603" s="34">
        <f t="shared" si="22"/>
        <v>917092.61999999965</v>
      </c>
      <c r="R603" s="34" t="str">
        <f>VLOOKUP(E603,Sales_Reps!$A$2:$E$100,3,FALSE)</f>
        <v>West</v>
      </c>
      <c r="S603" s="34" t="str">
        <f t="shared" si="23"/>
        <v>Electronics</v>
      </c>
      <c r="T603" s="38">
        <f>VLOOKUP(D603,Products!$A$2:$F$68,4,FALSE)</f>
        <v>861</v>
      </c>
    </row>
    <row r="604" spans="1:20" x14ac:dyDescent="0.35">
      <c r="A604" s="13" t="s">
        <v>1058</v>
      </c>
      <c r="B604" s="14">
        <v>45588</v>
      </c>
      <c r="C604" s="13" t="s">
        <v>299</v>
      </c>
      <c r="D604" s="13" t="s">
        <v>157</v>
      </c>
      <c r="E604" s="13" t="s">
        <v>103</v>
      </c>
      <c r="F604" s="15">
        <v>10</v>
      </c>
      <c r="G604" s="15">
        <v>3450</v>
      </c>
      <c r="H604" s="15">
        <v>19.100000000000001</v>
      </c>
      <c r="I604" s="15">
        <v>27910.5</v>
      </c>
      <c r="J604" s="13" t="s">
        <v>87</v>
      </c>
      <c r="K604" s="13" t="s">
        <v>133</v>
      </c>
      <c r="L604" s="34" t="str">
        <f>VLOOKUP(D604,Products!$A$2:$F$61,3,FALSE)</f>
        <v>Beauty</v>
      </c>
      <c r="M604" s="34" t="str">
        <f>VLOOKUP(C604,Customers!$A$2:$F$301,5,FALSE)</f>
        <v>Retail</v>
      </c>
      <c r="N604" s="34">
        <f>VLOOKUP(C604,Customers!$A$2:$F$301,3,FALSE)</f>
        <v>29</v>
      </c>
      <c r="O604" s="34" t="str">
        <f>VLOOKUP(E604,Sales_Reps!$A$2:$E$31,3,FALSE)</f>
        <v>North</v>
      </c>
      <c r="P604" s="13" t="s">
        <v>103</v>
      </c>
      <c r="Q604" s="34">
        <f t="shared" si="22"/>
        <v>1138648.73</v>
      </c>
      <c r="R604" s="34" t="str">
        <f>VLOOKUP(E604,Sales_Reps!$A$2:$E$100,3,FALSE)</f>
        <v>North</v>
      </c>
      <c r="S604" s="34" t="str">
        <f t="shared" si="23"/>
        <v>Beauty</v>
      </c>
      <c r="T604" s="38">
        <f>VLOOKUP(D604,Products!$A$2:$F$68,4,FALSE)</f>
        <v>2420</v>
      </c>
    </row>
    <row r="605" spans="1:20" x14ac:dyDescent="0.35">
      <c r="A605" s="13" t="s">
        <v>1059</v>
      </c>
      <c r="B605" s="14">
        <v>45412</v>
      </c>
      <c r="C605" s="13" t="s">
        <v>440</v>
      </c>
      <c r="D605" s="13" t="s">
        <v>267</v>
      </c>
      <c r="E605" s="13" t="s">
        <v>201</v>
      </c>
      <c r="F605" s="15">
        <v>8</v>
      </c>
      <c r="G605" s="15">
        <v>1220</v>
      </c>
      <c r="H605" s="15">
        <v>16.899999999999999</v>
      </c>
      <c r="I605" s="15">
        <v>8110.56</v>
      </c>
      <c r="J605" s="13" t="s">
        <v>87</v>
      </c>
      <c r="K605" s="13" t="s">
        <v>88</v>
      </c>
      <c r="L605" s="34" t="str">
        <f>VLOOKUP(D605,Products!$A$2:$F$61,3,FALSE)</f>
        <v>Electronics</v>
      </c>
      <c r="M605" s="34" t="str">
        <f>VLOOKUP(C605,Customers!$A$2:$F$301,5,FALSE)</f>
        <v>SMB</v>
      </c>
      <c r="N605" s="34">
        <f>VLOOKUP(C605,Customers!$A$2:$F$301,3,FALSE)</f>
        <v>30</v>
      </c>
      <c r="O605" s="34" t="str">
        <f>VLOOKUP(E605,Sales_Reps!$A$2:$E$31,3,FALSE)</f>
        <v>West</v>
      </c>
      <c r="P605" s="13" t="s">
        <v>201</v>
      </c>
      <c r="Q605" s="34">
        <f t="shared" si="22"/>
        <v>576305.08000000019</v>
      </c>
      <c r="R605" s="34" t="str">
        <f>VLOOKUP(E605,Sales_Reps!$A$2:$E$100,3,FALSE)</f>
        <v>West</v>
      </c>
      <c r="S605" s="34" t="str">
        <f t="shared" si="23"/>
        <v>Electronics</v>
      </c>
      <c r="T605" s="38">
        <f>VLOOKUP(D605,Products!$A$2:$F$68,4,FALSE)</f>
        <v>517</v>
      </c>
    </row>
    <row r="606" spans="1:20" x14ac:dyDescent="0.35">
      <c r="A606" s="13" t="s">
        <v>1060</v>
      </c>
      <c r="B606" s="14">
        <v>45439</v>
      </c>
      <c r="C606" s="13" t="s">
        <v>968</v>
      </c>
      <c r="D606" s="13" t="s">
        <v>200</v>
      </c>
      <c r="E606" s="13" t="s">
        <v>192</v>
      </c>
      <c r="F606" s="15">
        <v>9</v>
      </c>
      <c r="G606" s="15">
        <v>2760</v>
      </c>
      <c r="H606" s="15">
        <v>16.899999999999999</v>
      </c>
      <c r="I606" s="15">
        <v>20642.04</v>
      </c>
      <c r="J606" s="13" t="s">
        <v>87</v>
      </c>
      <c r="K606" s="13" t="s">
        <v>99</v>
      </c>
      <c r="L606" s="34" t="str">
        <f>VLOOKUP(D606,Products!$A$2:$F$61,3,FALSE)</f>
        <v>Grocery</v>
      </c>
      <c r="M606" s="34" t="str">
        <f>VLOOKUP(C606,Customers!$A$2:$F$301,5,FALSE)</f>
        <v>Retail</v>
      </c>
      <c r="N606" s="34">
        <f>VLOOKUP(C606,Customers!$A$2:$F$301,3,FALSE)</f>
        <v>47</v>
      </c>
      <c r="O606" s="34" t="str">
        <f>VLOOKUP(E606,Sales_Reps!$A$2:$E$31,3,FALSE)</f>
        <v>East</v>
      </c>
      <c r="P606" s="13" t="s">
        <v>192</v>
      </c>
      <c r="Q606" s="34">
        <f t="shared" si="22"/>
        <v>906107.71000000008</v>
      </c>
      <c r="R606" s="34" t="str">
        <f>VLOOKUP(E606,Sales_Reps!$A$2:$E$100,3,FALSE)</f>
        <v>East</v>
      </c>
      <c r="S606" s="34" t="str">
        <f t="shared" si="23"/>
        <v>Grocery</v>
      </c>
      <c r="T606" s="38">
        <f>VLOOKUP(D606,Products!$A$2:$F$68,4,FALSE)</f>
        <v>1435</v>
      </c>
    </row>
    <row r="607" spans="1:20" x14ac:dyDescent="0.35">
      <c r="A607" s="13" t="s">
        <v>1061</v>
      </c>
      <c r="B607" s="14">
        <v>45593</v>
      </c>
      <c r="C607" s="13" t="s">
        <v>1062</v>
      </c>
      <c r="D607" s="13" t="s">
        <v>179</v>
      </c>
      <c r="E607" s="13" t="s">
        <v>238</v>
      </c>
      <c r="F607" s="15">
        <v>6</v>
      </c>
      <c r="G607" s="15">
        <v>3350</v>
      </c>
      <c r="H607" s="15">
        <v>11.8</v>
      </c>
      <c r="I607" s="15">
        <v>17728.2</v>
      </c>
      <c r="J607" s="13" t="s">
        <v>93</v>
      </c>
      <c r="K607" s="13" t="s">
        <v>112</v>
      </c>
      <c r="L607" s="34" t="str">
        <f>VLOOKUP(D607,Products!$A$2:$F$61,3,FALSE)</f>
        <v>Beauty</v>
      </c>
      <c r="M607" s="34" t="str">
        <f>VLOOKUP(C607,Customers!$A$2:$F$301,5,FALSE)</f>
        <v>SMB</v>
      </c>
      <c r="N607" s="34">
        <f>VLOOKUP(C607,Customers!$A$2:$F$301,3,FALSE)</f>
        <v>54</v>
      </c>
      <c r="O607" s="34" t="str">
        <f>VLOOKUP(E607,Sales_Reps!$A$2:$E$31,3,FALSE)</f>
        <v>East</v>
      </c>
      <c r="P607" s="13" t="s">
        <v>238</v>
      </c>
      <c r="Q607" s="34">
        <f t="shared" si="22"/>
        <v>780384.40999999992</v>
      </c>
      <c r="R607" s="34" t="str">
        <f>VLOOKUP(E607,Sales_Reps!$A$2:$E$100,3,FALSE)</f>
        <v>East</v>
      </c>
      <c r="S607" s="34" t="str">
        <f t="shared" si="23"/>
        <v>Beauty</v>
      </c>
      <c r="T607" s="38">
        <f>VLOOKUP(D607,Products!$A$2:$F$68,4,FALSE)</f>
        <v>1728</v>
      </c>
    </row>
    <row r="608" spans="1:20" x14ac:dyDescent="0.35">
      <c r="A608" s="13" t="s">
        <v>1063</v>
      </c>
      <c r="B608" s="14">
        <v>45570</v>
      </c>
      <c r="C608" s="13" t="s">
        <v>250</v>
      </c>
      <c r="D608" s="13" t="s">
        <v>191</v>
      </c>
      <c r="E608" s="13" t="s">
        <v>252</v>
      </c>
      <c r="F608" s="15">
        <v>6</v>
      </c>
      <c r="G608" s="15">
        <v>5100</v>
      </c>
      <c r="H608" s="15">
        <v>13.2</v>
      </c>
      <c r="I608" s="15">
        <v>26560.799999999999</v>
      </c>
      <c r="J608" s="13" t="s">
        <v>87</v>
      </c>
      <c r="K608" s="13" t="s">
        <v>117</v>
      </c>
      <c r="L608" s="34" t="str">
        <f>VLOOKUP(D608,Products!$A$2:$F$61,3,FALSE)</f>
        <v>Beauty</v>
      </c>
      <c r="M608" s="34" t="str">
        <f>VLOOKUP(C608,Customers!$A$2:$F$301,5,FALSE)</f>
        <v>SMB</v>
      </c>
      <c r="N608" s="34">
        <f>VLOOKUP(C608,Customers!$A$2:$F$301,3,FALSE)</f>
        <v>34</v>
      </c>
      <c r="O608" s="34" t="str">
        <f>VLOOKUP(E608,Sales_Reps!$A$2:$E$31,3,FALSE)</f>
        <v>South</v>
      </c>
      <c r="P608" s="13" t="s">
        <v>252</v>
      </c>
      <c r="Q608" s="34">
        <f t="shared" si="22"/>
        <v>811524.37999999989</v>
      </c>
      <c r="R608" s="34" t="str">
        <f>VLOOKUP(E608,Sales_Reps!$A$2:$E$100,3,FALSE)</f>
        <v>South</v>
      </c>
      <c r="S608" s="34" t="str">
        <f t="shared" si="23"/>
        <v>Beauty</v>
      </c>
      <c r="T608" s="38">
        <f>VLOOKUP(D608,Products!$A$2:$F$68,4,FALSE)</f>
        <v>2237</v>
      </c>
    </row>
    <row r="609" spans="1:20" x14ac:dyDescent="0.35">
      <c r="A609" s="13" t="s">
        <v>1064</v>
      </c>
      <c r="B609" s="14">
        <v>45474</v>
      </c>
      <c r="C609" s="13" t="s">
        <v>1065</v>
      </c>
      <c r="D609" s="13" t="s">
        <v>135</v>
      </c>
      <c r="E609" s="13" t="s">
        <v>343</v>
      </c>
      <c r="F609" s="15">
        <v>6</v>
      </c>
      <c r="G609" s="15">
        <v>2640</v>
      </c>
      <c r="H609" s="15">
        <v>26.2</v>
      </c>
      <c r="I609" s="15">
        <v>11689.92</v>
      </c>
      <c r="J609" s="13" t="s">
        <v>87</v>
      </c>
      <c r="K609" s="13" t="s">
        <v>94</v>
      </c>
      <c r="L609" s="34" t="str">
        <f>VLOOKUP(D609,Products!$A$2:$F$61,3,FALSE)</f>
        <v>Electronics</v>
      </c>
      <c r="M609" s="34" t="str">
        <f>VLOOKUP(C609,Customers!$A$2:$F$301,5,FALSE)</f>
        <v>Retail</v>
      </c>
      <c r="N609" s="34">
        <f>VLOOKUP(C609,Customers!$A$2:$F$301,3,FALSE)</f>
        <v>49</v>
      </c>
      <c r="O609" s="34" t="str">
        <f>VLOOKUP(E609,Sales_Reps!$A$2:$E$31,3,FALSE)</f>
        <v>West</v>
      </c>
      <c r="P609" s="13" t="s">
        <v>343</v>
      </c>
      <c r="Q609" s="34">
        <f t="shared" si="22"/>
        <v>917092.61999999965</v>
      </c>
      <c r="R609" s="34" t="str">
        <f>VLOOKUP(E609,Sales_Reps!$A$2:$E$100,3,FALSE)</f>
        <v>West</v>
      </c>
      <c r="S609" s="34" t="str">
        <f t="shared" si="23"/>
        <v>Electronics</v>
      </c>
      <c r="T609" s="38">
        <f>VLOOKUP(D609,Products!$A$2:$F$68,4,FALSE)</f>
        <v>1149</v>
      </c>
    </row>
    <row r="610" spans="1:20" x14ac:dyDescent="0.35">
      <c r="A610" s="13" t="s">
        <v>1066</v>
      </c>
      <c r="B610" s="14">
        <v>45524</v>
      </c>
      <c r="C610" s="13" t="s">
        <v>597</v>
      </c>
      <c r="D610" s="13" t="s">
        <v>102</v>
      </c>
      <c r="E610" s="13" t="s">
        <v>346</v>
      </c>
      <c r="F610" s="15">
        <v>1</v>
      </c>
      <c r="G610" s="15">
        <v>3660</v>
      </c>
      <c r="H610" s="15">
        <v>19.7</v>
      </c>
      <c r="I610" s="15">
        <v>2938.98</v>
      </c>
      <c r="J610" s="13" t="s">
        <v>87</v>
      </c>
      <c r="K610" s="13" t="s">
        <v>112</v>
      </c>
      <c r="L610" s="34" t="str">
        <f>VLOOKUP(D610,Products!$A$2:$F$61,3,FALSE)</f>
        <v>Grocery</v>
      </c>
      <c r="M610" s="34" t="str">
        <f>VLOOKUP(C610,Customers!$A$2:$F$301,5,FALSE)</f>
        <v>Retail</v>
      </c>
      <c r="N610" s="34">
        <f>VLOOKUP(C610,Customers!$A$2:$F$301,3,FALSE)</f>
        <v>39</v>
      </c>
      <c r="O610" s="34" t="str">
        <f>VLOOKUP(E610,Sales_Reps!$A$2:$E$31,3,FALSE)</f>
        <v>South</v>
      </c>
      <c r="P610" s="13" t="s">
        <v>346</v>
      </c>
      <c r="Q610" s="34">
        <f t="shared" si="22"/>
        <v>814563.7100000002</v>
      </c>
      <c r="R610" s="34" t="str">
        <f>VLOOKUP(E610,Sales_Reps!$A$2:$E$100,3,FALSE)</f>
        <v>South</v>
      </c>
      <c r="S610" s="34" t="str">
        <f t="shared" si="23"/>
        <v>Grocery</v>
      </c>
      <c r="T610" s="38">
        <f>VLOOKUP(D610,Products!$A$2:$F$68,4,FALSE)</f>
        <v>2214</v>
      </c>
    </row>
    <row r="611" spans="1:20" x14ac:dyDescent="0.35">
      <c r="A611" s="13" t="s">
        <v>1067</v>
      </c>
      <c r="B611" s="14">
        <v>45468</v>
      </c>
      <c r="C611" s="13" t="s">
        <v>613</v>
      </c>
      <c r="D611" s="13" t="s">
        <v>110</v>
      </c>
      <c r="E611" s="13" t="s">
        <v>343</v>
      </c>
      <c r="F611" s="15">
        <v>5</v>
      </c>
      <c r="G611" s="15">
        <v>370</v>
      </c>
      <c r="H611" s="15">
        <v>21.7</v>
      </c>
      <c r="I611" s="15">
        <v>1448.55</v>
      </c>
      <c r="J611" s="13" t="s">
        <v>87</v>
      </c>
      <c r="K611" s="13" t="s">
        <v>112</v>
      </c>
      <c r="L611" s="34" t="str">
        <f>VLOOKUP(D611,Products!$A$2:$F$61,3,FALSE)</f>
        <v>Home</v>
      </c>
      <c r="M611" s="34" t="str">
        <f>VLOOKUP(C611,Customers!$A$2:$F$301,5,FALSE)</f>
        <v>Retail</v>
      </c>
      <c r="N611" s="34">
        <f>VLOOKUP(C611,Customers!$A$2:$F$301,3,FALSE)</f>
        <v>44</v>
      </c>
      <c r="O611" s="34" t="str">
        <f>VLOOKUP(E611,Sales_Reps!$A$2:$E$31,3,FALSE)</f>
        <v>West</v>
      </c>
      <c r="P611" s="13" t="s">
        <v>343</v>
      </c>
      <c r="Q611" s="34">
        <f t="shared" si="22"/>
        <v>917092.61999999965</v>
      </c>
      <c r="R611" s="34" t="str">
        <f>VLOOKUP(E611,Sales_Reps!$A$2:$E$100,3,FALSE)</f>
        <v>West</v>
      </c>
      <c r="S611" s="34" t="str">
        <f t="shared" si="23"/>
        <v>Home</v>
      </c>
      <c r="T611" s="38">
        <f>VLOOKUP(D611,Products!$A$2:$F$68,4,FALSE)</f>
        <v>288</v>
      </c>
    </row>
    <row r="612" spans="1:20" x14ac:dyDescent="0.35">
      <c r="A612" s="13" t="s">
        <v>1068</v>
      </c>
      <c r="B612" s="14">
        <v>45336</v>
      </c>
      <c r="C612" s="13" t="s">
        <v>394</v>
      </c>
      <c r="D612" s="13" t="s">
        <v>292</v>
      </c>
      <c r="E612" s="13" t="s">
        <v>111</v>
      </c>
      <c r="F612" s="15">
        <v>5</v>
      </c>
      <c r="G612" s="15">
        <v>620</v>
      </c>
      <c r="H612" s="15">
        <v>10.199999999999999</v>
      </c>
      <c r="I612" s="15">
        <v>2783.8</v>
      </c>
      <c r="J612" s="13" t="s">
        <v>87</v>
      </c>
      <c r="K612" s="13" t="s">
        <v>117</v>
      </c>
      <c r="L612" s="34" t="str">
        <f>VLOOKUP(D612,Products!$A$2:$F$61,3,FALSE)</f>
        <v>Apparel</v>
      </c>
      <c r="M612" s="34" t="str">
        <f>VLOOKUP(C612,Customers!$A$2:$F$301,5,FALSE)</f>
        <v>SMB</v>
      </c>
      <c r="N612" s="34">
        <f>VLOOKUP(C612,Customers!$A$2:$F$301,3,FALSE)</f>
        <v>28</v>
      </c>
      <c r="O612" s="34" t="str">
        <f>VLOOKUP(E612,Sales_Reps!$A$2:$E$31,3,FALSE)</f>
        <v>West</v>
      </c>
      <c r="P612" s="13" t="s">
        <v>111</v>
      </c>
      <c r="Q612" s="34">
        <f t="shared" si="22"/>
        <v>901298.89</v>
      </c>
      <c r="R612" s="34" t="str">
        <f>VLOOKUP(E612,Sales_Reps!$A$2:$E$100,3,FALSE)</f>
        <v>West</v>
      </c>
      <c r="S612" s="34" t="str">
        <f t="shared" si="23"/>
        <v>Apparel</v>
      </c>
      <c r="T612" s="38">
        <f>VLOOKUP(D612,Products!$A$2:$F$68,4,FALSE)</f>
        <v>396</v>
      </c>
    </row>
    <row r="613" spans="1:20" x14ac:dyDescent="0.35">
      <c r="A613" s="13" t="s">
        <v>1069</v>
      </c>
      <c r="B613" s="14">
        <v>45392</v>
      </c>
      <c r="C613" s="13" t="s">
        <v>697</v>
      </c>
      <c r="D613" s="13" t="s">
        <v>97</v>
      </c>
      <c r="E613" s="13" t="s">
        <v>303</v>
      </c>
      <c r="F613" s="15">
        <v>8</v>
      </c>
      <c r="G613" s="15">
        <v>470</v>
      </c>
      <c r="H613" s="15">
        <v>2.4</v>
      </c>
      <c r="I613" s="15">
        <v>3669.76</v>
      </c>
      <c r="J613" s="13" t="s">
        <v>87</v>
      </c>
      <c r="K613" s="13" t="s">
        <v>133</v>
      </c>
      <c r="L613" s="34" t="str">
        <f>VLOOKUP(D613,Products!$A$2:$F$61,3,FALSE)</f>
        <v>Sports</v>
      </c>
      <c r="M613" s="34" t="str">
        <f>VLOOKUP(C613,Customers!$A$2:$F$301,5,FALSE)</f>
        <v>Retail</v>
      </c>
      <c r="N613" s="34">
        <f>VLOOKUP(C613,Customers!$A$2:$F$301,3,FALSE)</f>
        <v>65</v>
      </c>
      <c r="O613" s="34" t="str">
        <f>VLOOKUP(E613,Sales_Reps!$A$2:$E$31,3,FALSE)</f>
        <v>East</v>
      </c>
      <c r="P613" s="13" t="s">
        <v>303</v>
      </c>
      <c r="Q613" s="34">
        <f t="shared" si="22"/>
        <v>1112289.6400000001</v>
      </c>
      <c r="R613" s="34" t="str">
        <f>VLOOKUP(E613,Sales_Reps!$A$2:$E$100,3,FALSE)</f>
        <v>East</v>
      </c>
      <c r="S613" s="34" t="str">
        <f t="shared" si="23"/>
        <v>Sports</v>
      </c>
      <c r="T613" s="38">
        <f>VLOOKUP(D613,Products!$A$2:$F$68,4,FALSE)</f>
        <v>302</v>
      </c>
    </row>
    <row r="614" spans="1:20" x14ac:dyDescent="0.35">
      <c r="A614" s="13" t="s">
        <v>1070</v>
      </c>
      <c r="B614" s="14">
        <v>45610</v>
      </c>
      <c r="C614" s="13" t="s">
        <v>626</v>
      </c>
      <c r="D614" s="13" t="s">
        <v>386</v>
      </c>
      <c r="E614" s="13" t="s">
        <v>92</v>
      </c>
      <c r="F614" s="15">
        <v>3</v>
      </c>
      <c r="G614" s="15">
        <v>2290</v>
      </c>
      <c r="H614" s="15">
        <v>20.8</v>
      </c>
      <c r="I614" s="15">
        <v>5441.04</v>
      </c>
      <c r="J614" s="13" t="s">
        <v>87</v>
      </c>
      <c r="K614" s="13" t="s">
        <v>99</v>
      </c>
      <c r="L614" s="34" t="str">
        <f>VLOOKUP(D614,Products!$A$2:$F$61,3,FALSE)</f>
        <v>Beauty</v>
      </c>
      <c r="M614" s="34" t="str">
        <f>VLOOKUP(C614,Customers!$A$2:$F$301,5,FALSE)</f>
        <v>Retail</v>
      </c>
      <c r="N614" s="34">
        <f>VLOOKUP(C614,Customers!$A$2:$F$301,3,FALSE)</f>
        <v>40</v>
      </c>
      <c r="O614" s="34" t="str">
        <f>VLOOKUP(E614,Sales_Reps!$A$2:$E$31,3,FALSE)</f>
        <v>North</v>
      </c>
      <c r="P614" s="13" t="s">
        <v>92</v>
      </c>
      <c r="Q614" s="34">
        <f t="shared" si="22"/>
        <v>782445.33</v>
      </c>
      <c r="R614" s="34" t="str">
        <f>VLOOKUP(E614,Sales_Reps!$A$2:$E$100,3,FALSE)</f>
        <v>North</v>
      </c>
      <c r="S614" s="34" t="str">
        <f t="shared" si="23"/>
        <v>Beauty</v>
      </c>
      <c r="T614" s="38">
        <f>VLOOKUP(D614,Products!$A$2:$F$68,4,FALSE)</f>
        <v>1219</v>
      </c>
    </row>
    <row r="615" spans="1:20" x14ac:dyDescent="0.35">
      <c r="A615" s="13" t="s">
        <v>1071</v>
      </c>
      <c r="B615" s="14">
        <v>45297</v>
      </c>
      <c r="C615" s="13" t="s">
        <v>1072</v>
      </c>
      <c r="D615" s="13" t="s">
        <v>115</v>
      </c>
      <c r="E615" s="13" t="s">
        <v>116</v>
      </c>
      <c r="F615" s="15">
        <v>4</v>
      </c>
      <c r="G615" s="15">
        <v>960</v>
      </c>
      <c r="H615" s="15">
        <v>28.8</v>
      </c>
      <c r="I615" s="15">
        <v>2734.08</v>
      </c>
      <c r="J615" s="13" t="s">
        <v>93</v>
      </c>
      <c r="K615" s="13" t="s">
        <v>112</v>
      </c>
      <c r="L615" s="34" t="str">
        <f>VLOOKUP(D615,Products!$A$2:$F$61,3,FALSE)</f>
        <v>Sports</v>
      </c>
      <c r="M615" s="34" t="str">
        <f>VLOOKUP(C615,Customers!$A$2:$F$301,5,FALSE)</f>
        <v>SMB</v>
      </c>
      <c r="N615" s="34">
        <f>VLOOKUP(C615,Customers!$A$2:$F$301,3,FALSE)</f>
        <v>53</v>
      </c>
      <c r="O615" s="34" t="str">
        <f>VLOOKUP(E615,Sales_Reps!$A$2:$E$31,3,FALSE)</f>
        <v>West</v>
      </c>
      <c r="P615" s="13" t="s">
        <v>116</v>
      </c>
      <c r="Q615" s="34">
        <f t="shared" si="22"/>
        <v>819558.58</v>
      </c>
      <c r="R615" s="34" t="str">
        <f>VLOOKUP(E615,Sales_Reps!$A$2:$E$100,3,FALSE)</f>
        <v>West</v>
      </c>
      <c r="S615" s="34" t="str">
        <f t="shared" si="23"/>
        <v>Sports</v>
      </c>
      <c r="T615" s="38">
        <f>VLOOKUP(D615,Products!$A$2:$F$68,4,FALSE)</f>
        <v>705</v>
      </c>
    </row>
    <row r="616" spans="1:20" x14ac:dyDescent="0.35">
      <c r="A616" s="13" t="s">
        <v>1073</v>
      </c>
      <c r="B616" s="14">
        <v>45558</v>
      </c>
      <c r="C616" s="13" t="s">
        <v>442</v>
      </c>
      <c r="D616" s="13" t="s">
        <v>102</v>
      </c>
      <c r="E616" s="13" t="s">
        <v>132</v>
      </c>
      <c r="F616" s="15">
        <v>5</v>
      </c>
      <c r="G616" s="15">
        <v>3660</v>
      </c>
      <c r="H616" s="15">
        <v>11.9</v>
      </c>
      <c r="I616" s="15">
        <v>16122.3</v>
      </c>
      <c r="J616" s="13" t="s">
        <v>93</v>
      </c>
      <c r="K616" s="13" t="s">
        <v>88</v>
      </c>
      <c r="L616" s="34" t="str">
        <f>VLOOKUP(D616,Products!$A$2:$F$61,3,FALSE)</f>
        <v>Grocery</v>
      </c>
      <c r="M616" s="34" t="str">
        <f>VLOOKUP(C616,Customers!$A$2:$F$301,5,FALSE)</f>
        <v>Retail</v>
      </c>
      <c r="N616" s="34">
        <f>VLOOKUP(C616,Customers!$A$2:$F$301,3,FALSE)</f>
        <v>65</v>
      </c>
      <c r="O616" s="34" t="str">
        <f>VLOOKUP(E616,Sales_Reps!$A$2:$E$31,3,FALSE)</f>
        <v>South</v>
      </c>
      <c r="P616" s="13" t="s">
        <v>132</v>
      </c>
      <c r="Q616" s="34">
        <f t="shared" si="22"/>
        <v>880345.20000000007</v>
      </c>
      <c r="R616" s="34" t="str">
        <f>VLOOKUP(E616,Sales_Reps!$A$2:$E$100,3,FALSE)</f>
        <v>South</v>
      </c>
      <c r="S616" s="34" t="str">
        <f t="shared" si="23"/>
        <v>Grocery</v>
      </c>
      <c r="T616" s="38">
        <f>VLOOKUP(D616,Products!$A$2:$F$68,4,FALSE)</f>
        <v>2214</v>
      </c>
    </row>
    <row r="617" spans="1:20" x14ac:dyDescent="0.35">
      <c r="A617" s="13" t="s">
        <v>1074</v>
      </c>
      <c r="B617" s="14">
        <v>45487</v>
      </c>
      <c r="C617" s="13" t="s">
        <v>333</v>
      </c>
      <c r="D617" s="13" t="s">
        <v>187</v>
      </c>
      <c r="E617" s="13" t="s">
        <v>121</v>
      </c>
      <c r="F617" s="15">
        <v>5</v>
      </c>
      <c r="G617" s="15">
        <v>3570</v>
      </c>
      <c r="H617" s="15">
        <v>12.4</v>
      </c>
      <c r="I617" s="15">
        <v>15636.6</v>
      </c>
      <c r="J617" s="13" t="s">
        <v>87</v>
      </c>
      <c r="K617" s="13" t="s">
        <v>133</v>
      </c>
      <c r="L617" s="34" t="str">
        <f>VLOOKUP(D617,Products!$A$2:$F$61,3,FALSE)</f>
        <v>Electronics</v>
      </c>
      <c r="M617" s="34" t="str">
        <f>VLOOKUP(C617,Customers!$A$2:$F$301,5,FALSE)</f>
        <v>SMB</v>
      </c>
      <c r="N617" s="34">
        <f>VLOOKUP(C617,Customers!$A$2:$F$301,3,FALSE)</f>
        <v>65</v>
      </c>
      <c r="O617" s="34" t="str">
        <f>VLOOKUP(E617,Sales_Reps!$A$2:$E$31,3,FALSE)</f>
        <v>East</v>
      </c>
      <c r="P617" s="13" t="s">
        <v>121</v>
      </c>
      <c r="Q617" s="34">
        <f t="shared" si="22"/>
        <v>971183.52000000014</v>
      </c>
      <c r="R617" s="34" t="str">
        <f>VLOOKUP(E617,Sales_Reps!$A$2:$E$100,3,FALSE)</f>
        <v>East</v>
      </c>
      <c r="S617" s="34" t="str">
        <f t="shared" si="23"/>
        <v>Electronics</v>
      </c>
      <c r="T617" s="38">
        <f>VLOOKUP(D617,Products!$A$2:$F$68,4,FALSE)</f>
        <v>1665</v>
      </c>
    </row>
    <row r="618" spans="1:20" x14ac:dyDescent="0.35">
      <c r="A618" s="13" t="s">
        <v>1075</v>
      </c>
      <c r="B618" s="14">
        <v>45307</v>
      </c>
      <c r="C618" s="13" t="s">
        <v>109</v>
      </c>
      <c r="D618" s="13" t="s">
        <v>295</v>
      </c>
      <c r="E618" s="13" t="s">
        <v>238</v>
      </c>
      <c r="F618" s="15">
        <v>9</v>
      </c>
      <c r="G618" s="15">
        <v>2030</v>
      </c>
      <c r="H618" s="15">
        <v>23.4</v>
      </c>
      <c r="I618" s="15">
        <v>13994.82</v>
      </c>
      <c r="J618" s="13" t="s">
        <v>87</v>
      </c>
      <c r="K618" s="13" t="s">
        <v>112</v>
      </c>
      <c r="L618" s="34" t="str">
        <f>VLOOKUP(D618,Products!$A$2:$F$61,3,FALSE)</f>
        <v>Home</v>
      </c>
      <c r="M618" s="34" t="str">
        <f>VLOOKUP(C618,Customers!$A$2:$F$301,5,FALSE)</f>
        <v>Retail</v>
      </c>
      <c r="N618" s="34">
        <f>VLOOKUP(C618,Customers!$A$2:$F$301,3,FALSE)</f>
        <v>36</v>
      </c>
      <c r="O618" s="34" t="str">
        <f>VLOOKUP(E618,Sales_Reps!$A$2:$E$31,3,FALSE)</f>
        <v>East</v>
      </c>
      <c r="P618" s="13" t="s">
        <v>238</v>
      </c>
      <c r="Q618" s="34">
        <f t="shared" si="22"/>
        <v>780384.40999999992</v>
      </c>
      <c r="R618" s="34" t="str">
        <f>VLOOKUP(E618,Sales_Reps!$A$2:$E$100,3,FALSE)</f>
        <v>East</v>
      </c>
      <c r="S618" s="34" t="str">
        <f t="shared" si="23"/>
        <v>Home</v>
      </c>
      <c r="T618" s="38">
        <f>VLOOKUP(D618,Products!$A$2:$F$68,4,FALSE)</f>
        <v>1143</v>
      </c>
    </row>
    <row r="619" spans="1:20" x14ac:dyDescent="0.35">
      <c r="A619" s="13" t="s">
        <v>1076</v>
      </c>
      <c r="B619" s="14">
        <v>45328</v>
      </c>
      <c r="C619" s="13" t="s">
        <v>194</v>
      </c>
      <c r="D619" s="13" t="s">
        <v>173</v>
      </c>
      <c r="E619" s="13" t="s">
        <v>116</v>
      </c>
      <c r="F619" s="15">
        <v>7</v>
      </c>
      <c r="G619" s="15">
        <v>2720</v>
      </c>
      <c r="H619" s="15">
        <v>11.2</v>
      </c>
      <c r="I619" s="15">
        <v>16907.52</v>
      </c>
      <c r="J619" s="13" t="s">
        <v>144</v>
      </c>
      <c r="K619" s="13" t="s">
        <v>88</v>
      </c>
      <c r="L619" s="34" t="str">
        <f>VLOOKUP(D619,Products!$A$2:$F$61,3,FALSE)</f>
        <v>Apparel</v>
      </c>
      <c r="M619" s="34" t="str">
        <f>VLOOKUP(C619,Customers!$A$2:$F$301,5,FALSE)</f>
        <v>SMB</v>
      </c>
      <c r="N619" s="34">
        <f>VLOOKUP(C619,Customers!$A$2:$F$301,3,FALSE)</f>
        <v>44</v>
      </c>
      <c r="O619" s="34" t="str">
        <f>VLOOKUP(E619,Sales_Reps!$A$2:$E$31,3,FALSE)</f>
        <v>West</v>
      </c>
      <c r="P619" s="13" t="s">
        <v>116</v>
      </c>
      <c r="Q619" s="34">
        <f t="shared" si="22"/>
        <v>819558.58</v>
      </c>
      <c r="R619" s="34" t="str">
        <f>VLOOKUP(E619,Sales_Reps!$A$2:$E$100,3,FALSE)</f>
        <v>West</v>
      </c>
      <c r="S619" s="34" t="str">
        <f t="shared" si="23"/>
        <v>Apparel</v>
      </c>
      <c r="T619" s="38">
        <f>VLOOKUP(D619,Products!$A$2:$F$68,4,FALSE)</f>
        <v>1962</v>
      </c>
    </row>
    <row r="620" spans="1:20" x14ac:dyDescent="0.35">
      <c r="A620" s="13" t="s">
        <v>1077</v>
      </c>
      <c r="B620" s="14">
        <v>45627</v>
      </c>
      <c r="C620" s="13" t="s">
        <v>729</v>
      </c>
      <c r="D620" s="13" t="s">
        <v>187</v>
      </c>
      <c r="E620" s="13" t="s">
        <v>107</v>
      </c>
      <c r="F620" s="15">
        <v>2</v>
      </c>
      <c r="G620" s="15">
        <v>3570</v>
      </c>
      <c r="H620" s="15">
        <v>6.1</v>
      </c>
      <c r="I620" s="15">
        <v>6704.46</v>
      </c>
      <c r="J620" s="13" t="s">
        <v>140</v>
      </c>
      <c r="K620" s="13" t="s">
        <v>112</v>
      </c>
      <c r="L620" s="34" t="str">
        <f>VLOOKUP(D620,Products!$A$2:$F$61,3,FALSE)</f>
        <v>Electronics</v>
      </c>
      <c r="M620" s="34" t="str">
        <f>VLOOKUP(C620,Customers!$A$2:$F$301,5,FALSE)</f>
        <v>Retail</v>
      </c>
      <c r="N620" s="34">
        <f>VLOOKUP(C620,Customers!$A$2:$F$301,3,FALSE)</f>
        <v>56</v>
      </c>
      <c r="O620" s="34" t="str">
        <f>VLOOKUP(E620,Sales_Reps!$A$2:$E$31,3,FALSE)</f>
        <v>North</v>
      </c>
      <c r="P620" s="13" t="s">
        <v>107</v>
      </c>
      <c r="Q620" s="34">
        <f t="shared" si="22"/>
        <v>861553.33</v>
      </c>
      <c r="R620" s="34" t="str">
        <f>VLOOKUP(E620,Sales_Reps!$A$2:$E$100,3,FALSE)</f>
        <v>North</v>
      </c>
      <c r="S620" s="34" t="str">
        <f t="shared" si="23"/>
        <v>Electronics</v>
      </c>
      <c r="T620" s="38">
        <f>VLOOKUP(D620,Products!$A$2:$F$68,4,FALSE)</f>
        <v>1665</v>
      </c>
    </row>
    <row r="621" spans="1:20" x14ac:dyDescent="0.35">
      <c r="A621" s="13" t="s">
        <v>1078</v>
      </c>
      <c r="B621" s="14">
        <v>45574</v>
      </c>
      <c r="C621" s="13" t="s">
        <v>816</v>
      </c>
      <c r="D621" s="13" t="s">
        <v>151</v>
      </c>
      <c r="E621" s="13" t="s">
        <v>215</v>
      </c>
      <c r="F621" s="15">
        <v>5</v>
      </c>
      <c r="G621" s="15">
        <v>2400</v>
      </c>
      <c r="H621" s="15">
        <v>16.100000000000001</v>
      </c>
      <c r="I621" s="15">
        <v>10068</v>
      </c>
      <c r="J621" s="13" t="s">
        <v>87</v>
      </c>
      <c r="K621" s="13" t="s">
        <v>88</v>
      </c>
      <c r="L621" s="34" t="str">
        <f>VLOOKUP(D621,Products!$A$2:$F$61,3,FALSE)</f>
        <v>Sports</v>
      </c>
      <c r="M621" s="34" t="str">
        <f>VLOOKUP(C621,Customers!$A$2:$F$301,5,FALSE)</f>
        <v>Retail</v>
      </c>
      <c r="N621" s="34">
        <f>VLOOKUP(C621,Customers!$A$2:$F$301,3,FALSE)</f>
        <v>36</v>
      </c>
      <c r="O621" s="34" t="str">
        <f>VLOOKUP(E621,Sales_Reps!$A$2:$E$31,3,FALSE)</f>
        <v>North</v>
      </c>
      <c r="P621" s="13" t="s">
        <v>215</v>
      </c>
      <c r="Q621" s="34">
        <f t="shared" si="22"/>
        <v>789849.60000000009</v>
      </c>
      <c r="R621" s="34" t="str">
        <f>VLOOKUP(E621,Sales_Reps!$A$2:$E$100,3,FALSE)</f>
        <v>North</v>
      </c>
      <c r="S621" s="34" t="str">
        <f t="shared" si="23"/>
        <v>Sports</v>
      </c>
      <c r="T621" s="38">
        <f>VLOOKUP(D621,Products!$A$2:$F$68,4,FALSE)</f>
        <v>974</v>
      </c>
    </row>
    <row r="622" spans="1:20" x14ac:dyDescent="0.35">
      <c r="A622" s="13" t="s">
        <v>1079</v>
      </c>
      <c r="B622" s="14">
        <v>45592</v>
      </c>
      <c r="C622" s="13" t="s">
        <v>1072</v>
      </c>
      <c r="D622" s="13" t="s">
        <v>131</v>
      </c>
      <c r="E622" s="13" t="s">
        <v>297</v>
      </c>
      <c r="F622" s="15">
        <v>4</v>
      </c>
      <c r="G622" s="15">
        <v>2270</v>
      </c>
      <c r="H622" s="15">
        <v>27.5</v>
      </c>
      <c r="I622" s="15">
        <v>6583</v>
      </c>
      <c r="J622" s="13" t="s">
        <v>93</v>
      </c>
      <c r="K622" s="13" t="s">
        <v>112</v>
      </c>
      <c r="L622" s="34" t="str">
        <f>VLOOKUP(D622,Products!$A$2:$F$61,3,FALSE)</f>
        <v>Grocery</v>
      </c>
      <c r="M622" s="34" t="str">
        <f>VLOOKUP(C622,Customers!$A$2:$F$301,5,FALSE)</f>
        <v>SMB</v>
      </c>
      <c r="N622" s="34">
        <f>VLOOKUP(C622,Customers!$A$2:$F$301,3,FALSE)</f>
        <v>53</v>
      </c>
      <c r="O622" s="34" t="str">
        <f>VLOOKUP(E622,Sales_Reps!$A$2:$E$31,3,FALSE)</f>
        <v>North</v>
      </c>
      <c r="P622" s="13" t="s">
        <v>297</v>
      </c>
      <c r="Q622" s="34">
        <f t="shared" si="22"/>
        <v>980063.65999999968</v>
      </c>
      <c r="R622" s="34" t="str">
        <f>VLOOKUP(E622,Sales_Reps!$A$2:$E$100,3,FALSE)</f>
        <v>North</v>
      </c>
      <c r="S622" s="34" t="str">
        <f t="shared" si="23"/>
        <v>Grocery</v>
      </c>
      <c r="T622" s="38">
        <f>VLOOKUP(D622,Products!$A$2:$F$68,4,FALSE)</f>
        <v>1203</v>
      </c>
    </row>
    <row r="623" spans="1:20" x14ac:dyDescent="0.35">
      <c r="A623" s="13" t="s">
        <v>1080</v>
      </c>
      <c r="B623" s="14">
        <v>45509</v>
      </c>
      <c r="C623" s="13" t="s">
        <v>101</v>
      </c>
      <c r="D623" s="13" t="s">
        <v>127</v>
      </c>
      <c r="E623" s="13" t="s">
        <v>325</v>
      </c>
      <c r="F623" s="15">
        <v>1</v>
      </c>
      <c r="G623" s="15">
        <v>970</v>
      </c>
      <c r="H623" s="15">
        <v>12.7</v>
      </c>
      <c r="I623" s="15">
        <v>846.81</v>
      </c>
      <c r="J623" s="13" t="s">
        <v>87</v>
      </c>
      <c r="K623" s="13" t="s">
        <v>99</v>
      </c>
      <c r="L623" s="34" t="str">
        <f>VLOOKUP(D623,Products!$A$2:$F$61,3,FALSE)</f>
        <v>Grocery</v>
      </c>
      <c r="M623" s="34" t="str">
        <f>VLOOKUP(C623,Customers!$A$2:$F$301,5,FALSE)</f>
        <v>Corporate</v>
      </c>
      <c r="N623" s="34">
        <f>VLOOKUP(C623,Customers!$A$2:$F$301,3,FALSE)</f>
        <v>46</v>
      </c>
      <c r="O623" s="34" t="str">
        <f>VLOOKUP(E623,Sales_Reps!$A$2:$E$31,3,FALSE)</f>
        <v>South</v>
      </c>
      <c r="P623" s="13" t="s">
        <v>325</v>
      </c>
      <c r="Q623" s="34">
        <f t="shared" si="22"/>
        <v>901394.32000000007</v>
      </c>
      <c r="R623" s="34" t="str">
        <f>VLOOKUP(E623,Sales_Reps!$A$2:$E$100,3,FALSE)</f>
        <v>South</v>
      </c>
      <c r="S623" s="34" t="str">
        <f t="shared" si="23"/>
        <v>Grocery</v>
      </c>
      <c r="T623" s="38">
        <f>VLOOKUP(D623,Products!$A$2:$F$68,4,FALSE)</f>
        <v>434</v>
      </c>
    </row>
    <row r="624" spans="1:20" x14ac:dyDescent="0.35">
      <c r="A624" s="13" t="s">
        <v>1081</v>
      </c>
      <c r="B624" s="14">
        <v>45307</v>
      </c>
      <c r="C624" s="13" t="s">
        <v>469</v>
      </c>
      <c r="D624" s="13" t="s">
        <v>515</v>
      </c>
      <c r="E624" s="13" t="s">
        <v>303</v>
      </c>
      <c r="F624" s="15">
        <v>5</v>
      </c>
      <c r="G624" s="15">
        <v>6940</v>
      </c>
      <c r="H624" s="15">
        <v>16.2</v>
      </c>
      <c r="I624" s="15">
        <v>29078.6</v>
      </c>
      <c r="J624" s="13" t="s">
        <v>87</v>
      </c>
      <c r="K624" s="13" t="s">
        <v>117</v>
      </c>
      <c r="L624" s="34" t="str">
        <f>VLOOKUP(D624,Products!$A$2:$F$61,3,FALSE)</f>
        <v>Sports</v>
      </c>
      <c r="M624" s="34" t="str">
        <f>VLOOKUP(C624,Customers!$A$2:$F$301,5,FALSE)</f>
        <v>SMB</v>
      </c>
      <c r="N624" s="34">
        <f>VLOOKUP(C624,Customers!$A$2:$F$301,3,FALSE)</f>
        <v>43</v>
      </c>
      <c r="O624" s="34" t="str">
        <f>VLOOKUP(E624,Sales_Reps!$A$2:$E$31,3,FALSE)</f>
        <v>East</v>
      </c>
      <c r="P624" s="13" t="s">
        <v>303</v>
      </c>
      <c r="Q624" s="34">
        <f t="shared" si="22"/>
        <v>1112289.6400000001</v>
      </c>
      <c r="R624" s="34" t="str">
        <f>VLOOKUP(E624,Sales_Reps!$A$2:$E$100,3,FALSE)</f>
        <v>East</v>
      </c>
      <c r="S624" s="34" t="str">
        <f t="shared" si="23"/>
        <v>Sports</v>
      </c>
      <c r="T624" s="38">
        <f>VLOOKUP(D624,Products!$A$2:$F$68,4,FALSE)</f>
        <v>2827</v>
      </c>
    </row>
    <row r="625" spans="1:20" x14ac:dyDescent="0.35">
      <c r="A625" s="13" t="s">
        <v>1082</v>
      </c>
      <c r="B625" s="14">
        <v>45586</v>
      </c>
      <c r="C625" s="13" t="s">
        <v>199</v>
      </c>
      <c r="D625" s="13" t="s">
        <v>515</v>
      </c>
      <c r="E625" s="13" t="s">
        <v>204</v>
      </c>
      <c r="F625" s="15">
        <v>4</v>
      </c>
      <c r="G625" s="15">
        <v>6940</v>
      </c>
      <c r="H625" s="15">
        <v>15.1</v>
      </c>
      <c r="I625" s="15">
        <v>23568.240000000002</v>
      </c>
      <c r="J625" s="13" t="s">
        <v>87</v>
      </c>
      <c r="K625" s="13" t="s">
        <v>133</v>
      </c>
      <c r="L625" s="34" t="str">
        <f>VLOOKUP(D625,Products!$A$2:$F$61,3,FALSE)</f>
        <v>Sports</v>
      </c>
      <c r="M625" s="34" t="str">
        <f>VLOOKUP(C625,Customers!$A$2:$F$301,5,FALSE)</f>
        <v>Retail</v>
      </c>
      <c r="N625" s="34">
        <f>VLOOKUP(C625,Customers!$A$2:$F$301,3,FALSE)</f>
        <v>53</v>
      </c>
      <c r="O625" s="34" t="str">
        <f>VLOOKUP(E625,Sales_Reps!$A$2:$E$31,3,FALSE)</f>
        <v>South</v>
      </c>
      <c r="P625" s="13" t="s">
        <v>204</v>
      </c>
      <c r="Q625" s="34">
        <f t="shared" si="22"/>
        <v>914554.71999999986</v>
      </c>
      <c r="R625" s="34" t="str">
        <f>VLOOKUP(E625,Sales_Reps!$A$2:$E$100,3,FALSE)</f>
        <v>South</v>
      </c>
      <c r="S625" s="34" t="str">
        <f t="shared" si="23"/>
        <v>Sports</v>
      </c>
      <c r="T625" s="38">
        <f>VLOOKUP(D625,Products!$A$2:$F$68,4,FALSE)</f>
        <v>2827</v>
      </c>
    </row>
    <row r="626" spans="1:20" x14ac:dyDescent="0.35">
      <c r="A626" s="13" t="s">
        <v>1083</v>
      </c>
      <c r="B626" s="14">
        <v>45587</v>
      </c>
      <c r="C626" s="13" t="s">
        <v>340</v>
      </c>
      <c r="D626" s="13" t="s">
        <v>182</v>
      </c>
      <c r="E626" s="13" t="s">
        <v>103</v>
      </c>
      <c r="F626" s="15">
        <v>1</v>
      </c>
      <c r="G626" s="15">
        <v>1010</v>
      </c>
      <c r="H626" s="15">
        <v>1.7</v>
      </c>
      <c r="I626" s="15">
        <v>992.83</v>
      </c>
      <c r="J626" s="13" t="s">
        <v>87</v>
      </c>
      <c r="K626" s="13" t="s">
        <v>88</v>
      </c>
      <c r="L626" s="34" t="str">
        <f>VLOOKUP(D626,Products!$A$2:$F$61,3,FALSE)</f>
        <v>Sports</v>
      </c>
      <c r="M626" s="34" t="str">
        <f>VLOOKUP(C626,Customers!$A$2:$F$301,5,FALSE)</f>
        <v>Retail</v>
      </c>
      <c r="N626" s="34">
        <f>VLOOKUP(C626,Customers!$A$2:$F$301,3,FALSE)</f>
        <v>25</v>
      </c>
      <c r="O626" s="34" t="str">
        <f>VLOOKUP(E626,Sales_Reps!$A$2:$E$31,3,FALSE)</f>
        <v>North</v>
      </c>
      <c r="P626" s="13" t="s">
        <v>103</v>
      </c>
      <c r="Q626" s="34">
        <f t="shared" si="22"/>
        <v>1138648.73</v>
      </c>
      <c r="R626" s="34" t="str">
        <f>VLOOKUP(E626,Sales_Reps!$A$2:$E$100,3,FALSE)</f>
        <v>North</v>
      </c>
      <c r="S626" s="34" t="str">
        <f t="shared" si="23"/>
        <v>Sports</v>
      </c>
      <c r="T626" s="38">
        <f>VLOOKUP(D626,Products!$A$2:$F$68,4,FALSE)</f>
        <v>516</v>
      </c>
    </row>
    <row r="627" spans="1:20" x14ac:dyDescent="0.35">
      <c r="A627" s="13" t="s">
        <v>1084</v>
      </c>
      <c r="B627" s="14">
        <v>45609</v>
      </c>
      <c r="C627" s="13" t="s">
        <v>291</v>
      </c>
      <c r="D627" s="13" t="s">
        <v>248</v>
      </c>
      <c r="E627" s="13" t="s">
        <v>86</v>
      </c>
      <c r="F627" s="15">
        <v>6</v>
      </c>
      <c r="G627" s="15">
        <v>3870</v>
      </c>
      <c r="H627" s="15">
        <v>12.2</v>
      </c>
      <c r="I627" s="15">
        <v>20387.16</v>
      </c>
      <c r="J627" s="13" t="s">
        <v>87</v>
      </c>
      <c r="K627" s="13" t="s">
        <v>99</v>
      </c>
      <c r="L627" s="34" t="str">
        <f>VLOOKUP(D627,Products!$A$2:$F$61,3,FALSE)</f>
        <v>Electronics</v>
      </c>
      <c r="M627" s="34" t="str">
        <f>VLOOKUP(C627,Customers!$A$2:$F$301,5,FALSE)</f>
        <v>Retail</v>
      </c>
      <c r="N627" s="34">
        <f>VLOOKUP(C627,Customers!$A$2:$F$301,3,FALSE)</f>
        <v>35</v>
      </c>
      <c r="O627" s="34" t="str">
        <f>VLOOKUP(E627,Sales_Reps!$A$2:$E$31,3,FALSE)</f>
        <v>North</v>
      </c>
      <c r="P627" s="13" t="s">
        <v>86</v>
      </c>
      <c r="Q627" s="34">
        <f t="shared" si="22"/>
        <v>855749.67999999982</v>
      </c>
      <c r="R627" s="34" t="str">
        <f>VLOOKUP(E627,Sales_Reps!$A$2:$E$100,3,FALSE)</f>
        <v>North</v>
      </c>
      <c r="S627" s="34" t="str">
        <f t="shared" si="23"/>
        <v>Electronics</v>
      </c>
      <c r="T627" s="38">
        <f>VLOOKUP(D627,Products!$A$2:$F$68,4,FALSE)</f>
        <v>1559</v>
      </c>
    </row>
    <row r="628" spans="1:20" x14ac:dyDescent="0.35">
      <c r="A628" s="13" t="s">
        <v>1085</v>
      </c>
      <c r="B628" s="14">
        <v>45316</v>
      </c>
      <c r="C628" s="13" t="s">
        <v>537</v>
      </c>
      <c r="D628" s="13" t="s">
        <v>191</v>
      </c>
      <c r="E628" s="13" t="s">
        <v>273</v>
      </c>
      <c r="F628" s="15">
        <v>9</v>
      </c>
      <c r="G628" s="15">
        <v>5100</v>
      </c>
      <c r="H628" s="15">
        <v>26.4</v>
      </c>
      <c r="I628" s="15">
        <v>33782.400000000001</v>
      </c>
      <c r="J628" s="13" t="s">
        <v>87</v>
      </c>
      <c r="K628" s="13" t="s">
        <v>133</v>
      </c>
      <c r="L628" s="34" t="str">
        <f>VLOOKUP(D628,Products!$A$2:$F$61,3,FALSE)</f>
        <v>Beauty</v>
      </c>
      <c r="M628" s="34" t="str">
        <f>VLOOKUP(C628,Customers!$A$2:$F$301,5,FALSE)</f>
        <v>SMB</v>
      </c>
      <c r="N628" s="34">
        <f>VLOOKUP(C628,Customers!$A$2:$F$301,3,FALSE)</f>
        <v>48</v>
      </c>
      <c r="O628" s="34" t="str">
        <f>VLOOKUP(E628,Sales_Reps!$A$2:$E$31,3,FALSE)</f>
        <v>South</v>
      </c>
      <c r="P628" s="13" t="s">
        <v>273</v>
      </c>
      <c r="Q628" s="34">
        <f t="shared" si="22"/>
        <v>735207.75999999989</v>
      </c>
      <c r="R628" s="34" t="str">
        <f>VLOOKUP(E628,Sales_Reps!$A$2:$E$100,3,FALSE)</f>
        <v>South</v>
      </c>
      <c r="S628" s="34" t="str">
        <f t="shared" si="23"/>
        <v>Beauty</v>
      </c>
      <c r="T628" s="38">
        <f>VLOOKUP(D628,Products!$A$2:$F$68,4,FALSE)</f>
        <v>2237</v>
      </c>
    </row>
    <row r="629" spans="1:20" x14ac:dyDescent="0.35">
      <c r="A629" s="13" t="s">
        <v>1086</v>
      </c>
      <c r="B629" s="14">
        <v>45451</v>
      </c>
      <c r="C629" s="13" t="s">
        <v>948</v>
      </c>
      <c r="D629" s="13" t="s">
        <v>106</v>
      </c>
      <c r="E629" s="13" t="s">
        <v>107</v>
      </c>
      <c r="F629" s="15">
        <v>2</v>
      </c>
      <c r="G629" s="15">
        <v>3160</v>
      </c>
      <c r="H629" s="15">
        <v>13.4</v>
      </c>
      <c r="I629" s="15">
        <v>5473.12</v>
      </c>
      <c r="J629" s="13" t="s">
        <v>144</v>
      </c>
      <c r="K629" s="13" t="s">
        <v>88</v>
      </c>
      <c r="L629" s="34" t="str">
        <f>VLOOKUP(D629,Products!$A$2:$F$61,3,FALSE)</f>
        <v>Apparel</v>
      </c>
      <c r="M629" s="34" t="str">
        <f>VLOOKUP(C629,Customers!$A$2:$F$301,5,FALSE)</f>
        <v>Retail</v>
      </c>
      <c r="N629" s="34">
        <f>VLOOKUP(C629,Customers!$A$2:$F$301,3,FALSE)</f>
        <v>65</v>
      </c>
      <c r="O629" s="34" t="str">
        <f>VLOOKUP(E629,Sales_Reps!$A$2:$E$31,3,FALSE)</f>
        <v>North</v>
      </c>
      <c r="P629" s="13" t="s">
        <v>107</v>
      </c>
      <c r="Q629" s="34">
        <f t="shared" si="22"/>
        <v>861553.33</v>
      </c>
      <c r="R629" s="34" t="str">
        <f>VLOOKUP(E629,Sales_Reps!$A$2:$E$100,3,FALSE)</f>
        <v>North</v>
      </c>
      <c r="S629" s="34" t="str">
        <f t="shared" si="23"/>
        <v>Apparel</v>
      </c>
      <c r="T629" s="38">
        <f>VLOOKUP(D629,Products!$A$2:$F$68,4,FALSE)</f>
        <v>1886</v>
      </c>
    </row>
    <row r="630" spans="1:20" x14ac:dyDescent="0.35">
      <c r="A630" s="13" t="s">
        <v>1087</v>
      </c>
      <c r="B630" s="14">
        <v>45554</v>
      </c>
      <c r="C630" s="13" t="s">
        <v>1027</v>
      </c>
      <c r="D630" s="13" t="s">
        <v>338</v>
      </c>
      <c r="E630" s="13" t="s">
        <v>273</v>
      </c>
      <c r="F630" s="15">
        <v>8</v>
      </c>
      <c r="G630" s="15">
        <v>2210</v>
      </c>
      <c r="H630" s="15">
        <v>26</v>
      </c>
      <c r="I630" s="15">
        <v>13083.2</v>
      </c>
      <c r="J630" s="13" t="s">
        <v>87</v>
      </c>
      <c r="K630" s="13" t="s">
        <v>112</v>
      </c>
      <c r="L630" s="34" t="str">
        <f>VLOOKUP(D630,Products!$A$2:$F$61,3,FALSE)</f>
        <v>Grocery</v>
      </c>
      <c r="M630" s="34" t="str">
        <f>VLOOKUP(C630,Customers!$A$2:$F$301,5,FALSE)</f>
        <v>SMB</v>
      </c>
      <c r="N630" s="34">
        <f>VLOOKUP(C630,Customers!$A$2:$F$301,3,FALSE)</f>
        <v>47</v>
      </c>
      <c r="O630" s="34" t="str">
        <f>VLOOKUP(E630,Sales_Reps!$A$2:$E$31,3,FALSE)</f>
        <v>South</v>
      </c>
      <c r="P630" s="13" t="s">
        <v>273</v>
      </c>
      <c r="Q630" s="34">
        <f t="shared" si="22"/>
        <v>735207.75999999989</v>
      </c>
      <c r="R630" s="34" t="str">
        <f>VLOOKUP(E630,Sales_Reps!$A$2:$E$100,3,FALSE)</f>
        <v>South</v>
      </c>
      <c r="S630" s="34" t="str">
        <f t="shared" si="23"/>
        <v>Grocery</v>
      </c>
      <c r="T630" s="38">
        <f>VLOOKUP(D630,Products!$A$2:$F$68,4,FALSE)</f>
        <v>1010</v>
      </c>
    </row>
    <row r="631" spans="1:20" x14ac:dyDescent="0.35">
      <c r="A631" s="13" t="s">
        <v>1088</v>
      </c>
      <c r="B631" s="14">
        <v>45567</v>
      </c>
      <c r="C631" s="13" t="s">
        <v>399</v>
      </c>
      <c r="D631" s="13" t="s">
        <v>659</v>
      </c>
      <c r="E631" s="13" t="s">
        <v>201</v>
      </c>
      <c r="F631" s="15">
        <v>5</v>
      </c>
      <c r="G631" s="15">
        <v>3560</v>
      </c>
      <c r="H631" s="15">
        <v>15</v>
      </c>
      <c r="I631" s="15">
        <v>15130</v>
      </c>
      <c r="J631" s="13" t="s">
        <v>87</v>
      </c>
      <c r="K631" s="13" t="s">
        <v>99</v>
      </c>
      <c r="L631" s="34" t="str">
        <f>VLOOKUP(D631,Products!$A$2:$F$61,3,FALSE)</f>
        <v>Apparel</v>
      </c>
      <c r="M631" s="34" t="str">
        <f>VLOOKUP(C631,Customers!$A$2:$F$301,5,FALSE)</f>
        <v>SMB</v>
      </c>
      <c r="N631" s="34">
        <f>VLOOKUP(C631,Customers!$A$2:$F$301,3,FALSE)</f>
        <v>53</v>
      </c>
      <c r="O631" s="34" t="str">
        <f>VLOOKUP(E631,Sales_Reps!$A$2:$E$31,3,FALSE)</f>
        <v>West</v>
      </c>
      <c r="P631" s="13" t="s">
        <v>201</v>
      </c>
      <c r="Q631" s="34">
        <f t="shared" si="22"/>
        <v>576305.08000000019</v>
      </c>
      <c r="R631" s="34" t="str">
        <f>VLOOKUP(E631,Sales_Reps!$A$2:$E$100,3,FALSE)</f>
        <v>West</v>
      </c>
      <c r="S631" s="34" t="str">
        <f t="shared" si="23"/>
        <v>Apparel</v>
      </c>
      <c r="T631" s="38">
        <f>VLOOKUP(D631,Products!$A$2:$F$68,4,FALSE)</f>
        <v>2629</v>
      </c>
    </row>
    <row r="632" spans="1:20" x14ac:dyDescent="0.35">
      <c r="A632" s="13" t="s">
        <v>1089</v>
      </c>
      <c r="B632" s="14">
        <v>45633</v>
      </c>
      <c r="C632" s="13" t="s">
        <v>1000</v>
      </c>
      <c r="D632" s="13" t="s">
        <v>292</v>
      </c>
      <c r="E632" s="13" t="s">
        <v>132</v>
      </c>
      <c r="F632" s="15">
        <v>10</v>
      </c>
      <c r="G632" s="15">
        <v>620</v>
      </c>
      <c r="H632" s="15">
        <v>15.8</v>
      </c>
      <c r="I632" s="15">
        <v>5220.3999999999996</v>
      </c>
      <c r="J632" s="13" t="s">
        <v>144</v>
      </c>
      <c r="K632" s="13" t="s">
        <v>117</v>
      </c>
      <c r="L632" s="34" t="str">
        <f>VLOOKUP(D632,Products!$A$2:$F$61,3,FALSE)</f>
        <v>Apparel</v>
      </c>
      <c r="M632" s="34" t="str">
        <f>VLOOKUP(C632,Customers!$A$2:$F$301,5,FALSE)</f>
        <v>Retail</v>
      </c>
      <c r="N632" s="34">
        <f>VLOOKUP(C632,Customers!$A$2:$F$301,3,FALSE)</f>
        <v>27</v>
      </c>
      <c r="O632" s="34" t="str">
        <f>VLOOKUP(E632,Sales_Reps!$A$2:$E$31,3,FALSE)</f>
        <v>South</v>
      </c>
      <c r="P632" s="13" t="s">
        <v>132</v>
      </c>
      <c r="Q632" s="34">
        <f t="shared" si="22"/>
        <v>880345.20000000007</v>
      </c>
      <c r="R632" s="34" t="str">
        <f>VLOOKUP(E632,Sales_Reps!$A$2:$E$100,3,FALSE)</f>
        <v>South</v>
      </c>
      <c r="S632" s="34" t="str">
        <f t="shared" si="23"/>
        <v>Apparel</v>
      </c>
      <c r="T632" s="38">
        <f>VLOOKUP(D632,Products!$A$2:$F$68,4,FALSE)</f>
        <v>396</v>
      </c>
    </row>
    <row r="633" spans="1:20" x14ac:dyDescent="0.35">
      <c r="A633" s="13" t="s">
        <v>1090</v>
      </c>
      <c r="B633" s="14">
        <v>45588</v>
      </c>
      <c r="C633" s="13" t="s">
        <v>557</v>
      </c>
      <c r="D633" s="13" t="s">
        <v>200</v>
      </c>
      <c r="E633" s="13" t="s">
        <v>297</v>
      </c>
      <c r="F633" s="15">
        <v>3</v>
      </c>
      <c r="G633" s="15">
        <v>2760</v>
      </c>
      <c r="H633" s="15">
        <v>1.9</v>
      </c>
      <c r="I633" s="15">
        <v>8122.68</v>
      </c>
      <c r="J633" s="13" t="s">
        <v>140</v>
      </c>
      <c r="K633" s="13" t="s">
        <v>112</v>
      </c>
      <c r="L633" s="34" t="str">
        <f>VLOOKUP(D633,Products!$A$2:$F$61,3,FALSE)</f>
        <v>Grocery</v>
      </c>
      <c r="M633" s="34" t="str">
        <f>VLOOKUP(C633,Customers!$A$2:$F$301,5,FALSE)</f>
        <v>Retail</v>
      </c>
      <c r="N633" s="34">
        <f>VLOOKUP(C633,Customers!$A$2:$F$301,3,FALSE)</f>
        <v>65</v>
      </c>
      <c r="O633" s="34" t="str">
        <f>VLOOKUP(E633,Sales_Reps!$A$2:$E$31,3,FALSE)</f>
        <v>North</v>
      </c>
      <c r="P633" s="13" t="s">
        <v>297</v>
      </c>
      <c r="Q633" s="34">
        <f t="shared" si="22"/>
        <v>980063.65999999968</v>
      </c>
      <c r="R633" s="34" t="str">
        <f>VLOOKUP(E633,Sales_Reps!$A$2:$E$100,3,FALSE)</f>
        <v>North</v>
      </c>
      <c r="S633" s="34" t="str">
        <f t="shared" si="23"/>
        <v>Grocery</v>
      </c>
      <c r="T633" s="38">
        <f>VLOOKUP(D633,Products!$A$2:$F$68,4,FALSE)</f>
        <v>1435</v>
      </c>
    </row>
    <row r="634" spans="1:20" x14ac:dyDescent="0.35">
      <c r="A634" s="13" t="s">
        <v>1091</v>
      </c>
      <c r="B634" s="14">
        <v>45634</v>
      </c>
      <c r="C634" s="13" t="s">
        <v>219</v>
      </c>
      <c r="D634" s="13" t="s">
        <v>182</v>
      </c>
      <c r="E634" s="13" t="s">
        <v>92</v>
      </c>
      <c r="F634" s="15">
        <v>10</v>
      </c>
      <c r="G634" s="15">
        <v>1010</v>
      </c>
      <c r="H634" s="15">
        <v>28.9</v>
      </c>
      <c r="I634" s="15">
        <v>7181.1</v>
      </c>
      <c r="J634" s="13" t="s">
        <v>87</v>
      </c>
      <c r="K634" s="13" t="s">
        <v>99</v>
      </c>
      <c r="L634" s="34" t="str">
        <f>VLOOKUP(D634,Products!$A$2:$F$61,3,FALSE)</f>
        <v>Sports</v>
      </c>
      <c r="M634" s="34" t="str">
        <f>VLOOKUP(C634,Customers!$A$2:$F$301,5,FALSE)</f>
        <v>SMB</v>
      </c>
      <c r="N634" s="34">
        <f>VLOOKUP(C634,Customers!$A$2:$F$301,3,FALSE)</f>
        <v>50</v>
      </c>
      <c r="O634" s="34" t="str">
        <f>VLOOKUP(E634,Sales_Reps!$A$2:$E$31,3,FALSE)</f>
        <v>North</v>
      </c>
      <c r="P634" s="13" t="s">
        <v>92</v>
      </c>
      <c r="Q634" s="34">
        <f t="shared" si="22"/>
        <v>782445.33</v>
      </c>
      <c r="R634" s="34" t="str">
        <f>VLOOKUP(E634,Sales_Reps!$A$2:$E$100,3,FALSE)</f>
        <v>North</v>
      </c>
      <c r="S634" s="34" t="str">
        <f t="shared" si="23"/>
        <v>Sports</v>
      </c>
      <c r="T634" s="38">
        <f>VLOOKUP(D634,Products!$A$2:$F$68,4,FALSE)</f>
        <v>516</v>
      </c>
    </row>
    <row r="635" spans="1:20" x14ac:dyDescent="0.35">
      <c r="A635" s="13" t="s">
        <v>1092</v>
      </c>
      <c r="B635" s="14">
        <v>45352</v>
      </c>
      <c r="C635" s="13" t="s">
        <v>206</v>
      </c>
      <c r="D635" s="13" t="s">
        <v>237</v>
      </c>
      <c r="E635" s="13" t="s">
        <v>297</v>
      </c>
      <c r="F635" s="15">
        <v>1</v>
      </c>
      <c r="G635" s="15">
        <v>3640</v>
      </c>
      <c r="H635" s="15">
        <v>9.6999999999999993</v>
      </c>
      <c r="I635" s="15">
        <v>3286.92</v>
      </c>
      <c r="J635" s="13" t="s">
        <v>87</v>
      </c>
      <c r="K635" s="13" t="s">
        <v>133</v>
      </c>
      <c r="L635" s="34" t="str">
        <f>VLOOKUP(D635,Products!$A$2:$F$61,3,FALSE)</f>
        <v>Apparel</v>
      </c>
      <c r="M635" s="34" t="str">
        <f>VLOOKUP(C635,Customers!$A$2:$F$301,5,FALSE)</f>
        <v>SMB</v>
      </c>
      <c r="N635" s="34">
        <f>VLOOKUP(C635,Customers!$A$2:$F$301,3,FALSE)</f>
        <v>40</v>
      </c>
      <c r="O635" s="34" t="str">
        <f>VLOOKUP(E635,Sales_Reps!$A$2:$E$31,3,FALSE)</f>
        <v>North</v>
      </c>
      <c r="P635" s="13" t="s">
        <v>297</v>
      </c>
      <c r="Q635" s="34">
        <f t="shared" si="22"/>
        <v>980063.65999999968</v>
      </c>
      <c r="R635" s="34" t="str">
        <f>VLOOKUP(E635,Sales_Reps!$A$2:$E$100,3,FALSE)</f>
        <v>North</v>
      </c>
      <c r="S635" s="34" t="str">
        <f t="shared" si="23"/>
        <v>Apparel</v>
      </c>
      <c r="T635" s="38">
        <f>VLOOKUP(D635,Products!$A$2:$F$68,4,FALSE)</f>
        <v>2611</v>
      </c>
    </row>
    <row r="636" spans="1:20" x14ac:dyDescent="0.35">
      <c r="A636" s="13" t="s">
        <v>1093</v>
      </c>
      <c r="B636" s="14">
        <v>45489</v>
      </c>
      <c r="C636" s="13" t="s">
        <v>186</v>
      </c>
      <c r="D636" s="13" t="s">
        <v>91</v>
      </c>
      <c r="E636" s="13" t="s">
        <v>132</v>
      </c>
      <c r="F636" s="15">
        <v>1</v>
      </c>
      <c r="G636" s="15">
        <v>820</v>
      </c>
      <c r="H636" s="15">
        <v>15</v>
      </c>
      <c r="I636" s="15">
        <v>697</v>
      </c>
      <c r="J636" s="13" t="s">
        <v>87</v>
      </c>
      <c r="K636" s="13" t="s">
        <v>94</v>
      </c>
      <c r="L636" s="34" t="str">
        <f>VLOOKUP(D636,Products!$A$2:$F$61,3,FALSE)</f>
        <v>Apparel</v>
      </c>
      <c r="M636" s="34" t="str">
        <f>VLOOKUP(C636,Customers!$A$2:$F$301,5,FALSE)</f>
        <v>SMB</v>
      </c>
      <c r="N636" s="34">
        <f>VLOOKUP(C636,Customers!$A$2:$F$301,3,FALSE)</f>
        <v>52</v>
      </c>
      <c r="O636" s="34" t="str">
        <f>VLOOKUP(E636,Sales_Reps!$A$2:$E$31,3,FALSE)</f>
        <v>South</v>
      </c>
      <c r="P636" s="13" t="s">
        <v>132</v>
      </c>
      <c r="Q636" s="34">
        <f t="shared" si="22"/>
        <v>880345.20000000007</v>
      </c>
      <c r="R636" s="34" t="str">
        <f>VLOOKUP(E636,Sales_Reps!$A$2:$E$100,3,FALSE)</f>
        <v>South</v>
      </c>
      <c r="S636" s="34" t="str">
        <f t="shared" si="23"/>
        <v>Apparel</v>
      </c>
      <c r="T636" s="38">
        <f>VLOOKUP(D636,Products!$A$2:$F$68,4,FALSE)</f>
        <v>391</v>
      </c>
    </row>
    <row r="637" spans="1:20" x14ac:dyDescent="0.35">
      <c r="A637" s="13" t="s">
        <v>1094</v>
      </c>
      <c r="B637" s="14">
        <v>45342</v>
      </c>
      <c r="C637" s="13" t="s">
        <v>163</v>
      </c>
      <c r="D637" s="13" t="s">
        <v>237</v>
      </c>
      <c r="E637" s="13" t="s">
        <v>273</v>
      </c>
      <c r="F637" s="15">
        <v>4</v>
      </c>
      <c r="G637" s="15">
        <v>3640</v>
      </c>
      <c r="H637" s="15">
        <v>17</v>
      </c>
      <c r="I637" s="15">
        <v>12084.8</v>
      </c>
      <c r="J637" s="13" t="s">
        <v>87</v>
      </c>
      <c r="K637" s="13" t="s">
        <v>94</v>
      </c>
      <c r="L637" s="34" t="str">
        <f>VLOOKUP(D637,Products!$A$2:$F$61,3,FALSE)</f>
        <v>Apparel</v>
      </c>
      <c r="M637" s="34" t="str">
        <f>VLOOKUP(C637,Customers!$A$2:$F$301,5,FALSE)</f>
        <v>Retail</v>
      </c>
      <c r="N637" s="34">
        <f>VLOOKUP(C637,Customers!$A$2:$F$301,3,FALSE)</f>
        <v>49</v>
      </c>
      <c r="O637" s="34" t="str">
        <f>VLOOKUP(E637,Sales_Reps!$A$2:$E$31,3,FALSE)</f>
        <v>South</v>
      </c>
      <c r="P637" s="13" t="s">
        <v>273</v>
      </c>
      <c r="Q637" s="34">
        <f t="shared" si="22"/>
        <v>735207.75999999989</v>
      </c>
      <c r="R637" s="34" t="str">
        <f>VLOOKUP(E637,Sales_Reps!$A$2:$E$100,3,FALSE)</f>
        <v>South</v>
      </c>
      <c r="S637" s="34" t="str">
        <f t="shared" si="23"/>
        <v>Apparel</v>
      </c>
      <c r="T637" s="38">
        <f>VLOOKUP(D637,Products!$A$2:$F$68,4,FALSE)</f>
        <v>2611</v>
      </c>
    </row>
    <row r="638" spans="1:20" x14ac:dyDescent="0.35">
      <c r="A638" s="13" t="s">
        <v>1095</v>
      </c>
      <c r="B638" s="14">
        <v>45425</v>
      </c>
      <c r="C638" s="13" t="s">
        <v>1096</v>
      </c>
      <c r="D638" s="13" t="s">
        <v>367</v>
      </c>
      <c r="E638" s="13" t="s">
        <v>297</v>
      </c>
      <c r="F638" s="15">
        <v>7</v>
      </c>
      <c r="G638" s="15">
        <v>2380</v>
      </c>
      <c r="H638" s="15">
        <v>25.5</v>
      </c>
      <c r="I638" s="15">
        <v>12411.7</v>
      </c>
      <c r="J638" s="13" t="s">
        <v>87</v>
      </c>
      <c r="K638" s="13" t="s">
        <v>88</v>
      </c>
      <c r="L638" s="34" t="str">
        <f>VLOOKUP(D638,Products!$A$2:$F$61,3,FALSE)</f>
        <v>Grocery</v>
      </c>
      <c r="M638" s="34" t="str">
        <f>VLOOKUP(C638,Customers!$A$2:$F$301,5,FALSE)</f>
        <v>Corporate</v>
      </c>
      <c r="N638" s="34">
        <f>VLOOKUP(C638,Customers!$A$2:$F$301,3,FALSE)</f>
        <v>42</v>
      </c>
      <c r="O638" s="34" t="str">
        <f>VLOOKUP(E638,Sales_Reps!$A$2:$E$31,3,FALSE)</f>
        <v>North</v>
      </c>
      <c r="P638" s="13" t="s">
        <v>297</v>
      </c>
      <c r="Q638" s="34">
        <f t="shared" si="22"/>
        <v>980063.65999999968</v>
      </c>
      <c r="R638" s="34" t="str">
        <f>VLOOKUP(E638,Sales_Reps!$A$2:$E$100,3,FALSE)</f>
        <v>North</v>
      </c>
      <c r="S638" s="34" t="str">
        <f t="shared" si="23"/>
        <v>Grocery</v>
      </c>
      <c r="T638" s="38">
        <f>VLOOKUP(D638,Products!$A$2:$F$68,4,FALSE)</f>
        <v>1182</v>
      </c>
    </row>
    <row r="639" spans="1:20" x14ac:dyDescent="0.35">
      <c r="A639" s="13" t="s">
        <v>1097</v>
      </c>
      <c r="B639" s="14">
        <v>45598</v>
      </c>
      <c r="C639" s="13" t="s">
        <v>807</v>
      </c>
      <c r="D639" s="13" t="s">
        <v>203</v>
      </c>
      <c r="E639" s="13" t="s">
        <v>107</v>
      </c>
      <c r="F639" s="15">
        <v>1</v>
      </c>
      <c r="G639" s="15">
        <v>660</v>
      </c>
      <c r="H639" s="15">
        <v>2.5</v>
      </c>
      <c r="I639" s="15">
        <v>643.5</v>
      </c>
      <c r="J639" s="13" t="s">
        <v>87</v>
      </c>
      <c r="K639" s="13" t="s">
        <v>88</v>
      </c>
      <c r="L639" s="34" t="str">
        <f>VLOOKUP(D639,Products!$A$2:$F$61,3,FALSE)</f>
        <v>Home</v>
      </c>
      <c r="M639" s="34" t="str">
        <f>VLOOKUP(C639,Customers!$A$2:$F$301,5,FALSE)</f>
        <v>Retail</v>
      </c>
      <c r="N639" s="34">
        <f>VLOOKUP(C639,Customers!$A$2:$F$301,3,FALSE)</f>
        <v>36</v>
      </c>
      <c r="O639" s="34" t="str">
        <f>VLOOKUP(E639,Sales_Reps!$A$2:$E$31,3,FALSE)</f>
        <v>North</v>
      </c>
      <c r="P639" s="13" t="s">
        <v>107</v>
      </c>
      <c r="Q639" s="34">
        <f t="shared" si="22"/>
        <v>861553.33</v>
      </c>
      <c r="R639" s="34" t="str">
        <f>VLOOKUP(E639,Sales_Reps!$A$2:$E$100,3,FALSE)</f>
        <v>North</v>
      </c>
      <c r="S639" s="34" t="str">
        <f t="shared" si="23"/>
        <v>Home</v>
      </c>
      <c r="T639" s="38">
        <f>VLOOKUP(D639,Products!$A$2:$F$68,4,FALSE)</f>
        <v>329</v>
      </c>
    </row>
    <row r="640" spans="1:20" x14ac:dyDescent="0.35">
      <c r="A640" s="13" t="s">
        <v>1098</v>
      </c>
      <c r="B640" s="14">
        <v>45353</v>
      </c>
      <c r="C640" s="13" t="s">
        <v>770</v>
      </c>
      <c r="D640" s="13" t="s">
        <v>248</v>
      </c>
      <c r="E640" s="13" t="s">
        <v>192</v>
      </c>
      <c r="F640" s="15">
        <v>7</v>
      </c>
      <c r="G640" s="15">
        <v>3870</v>
      </c>
      <c r="H640" s="15">
        <v>20.3</v>
      </c>
      <c r="I640" s="15">
        <v>21590.73</v>
      </c>
      <c r="J640" s="13" t="s">
        <v>93</v>
      </c>
      <c r="K640" s="13" t="s">
        <v>88</v>
      </c>
      <c r="L640" s="34" t="str">
        <f>VLOOKUP(D640,Products!$A$2:$F$61,3,FALSE)</f>
        <v>Electronics</v>
      </c>
      <c r="M640" s="34" t="str">
        <f>VLOOKUP(C640,Customers!$A$2:$F$301,5,FALSE)</f>
        <v>Retail</v>
      </c>
      <c r="N640" s="34">
        <f>VLOOKUP(C640,Customers!$A$2:$F$301,3,FALSE)</f>
        <v>35</v>
      </c>
      <c r="O640" s="34" t="str">
        <f>VLOOKUP(E640,Sales_Reps!$A$2:$E$31,3,FALSE)</f>
        <v>East</v>
      </c>
      <c r="P640" s="13" t="s">
        <v>192</v>
      </c>
      <c r="Q640" s="34">
        <f t="shared" si="22"/>
        <v>906107.71000000008</v>
      </c>
      <c r="R640" s="34" t="str">
        <f>VLOOKUP(E640,Sales_Reps!$A$2:$E$100,3,FALSE)</f>
        <v>East</v>
      </c>
      <c r="S640" s="34" t="str">
        <f t="shared" si="23"/>
        <v>Electronics</v>
      </c>
      <c r="T640" s="38">
        <f>VLOOKUP(D640,Products!$A$2:$F$68,4,FALSE)</f>
        <v>1559</v>
      </c>
    </row>
    <row r="641" spans="1:20" x14ac:dyDescent="0.35">
      <c r="A641" s="13" t="s">
        <v>1099</v>
      </c>
      <c r="B641" s="14">
        <v>45542</v>
      </c>
      <c r="C641" s="13" t="s">
        <v>254</v>
      </c>
      <c r="D641" s="13" t="s">
        <v>110</v>
      </c>
      <c r="E641" s="13" t="s">
        <v>346</v>
      </c>
      <c r="F641" s="15">
        <v>10</v>
      </c>
      <c r="G641" s="15">
        <v>370</v>
      </c>
      <c r="H641" s="15">
        <v>1.3</v>
      </c>
      <c r="I641" s="15">
        <v>3651.9</v>
      </c>
      <c r="J641" s="13" t="s">
        <v>144</v>
      </c>
      <c r="K641" s="13" t="s">
        <v>94</v>
      </c>
      <c r="L641" s="34" t="str">
        <f>VLOOKUP(D641,Products!$A$2:$F$61,3,FALSE)</f>
        <v>Home</v>
      </c>
      <c r="M641" s="34" t="str">
        <f>VLOOKUP(C641,Customers!$A$2:$F$301,5,FALSE)</f>
        <v>Retail</v>
      </c>
      <c r="N641" s="34">
        <f>VLOOKUP(C641,Customers!$A$2:$F$301,3,FALSE)</f>
        <v>24</v>
      </c>
      <c r="O641" s="34" t="str">
        <f>VLOOKUP(E641,Sales_Reps!$A$2:$E$31,3,FALSE)</f>
        <v>South</v>
      </c>
      <c r="P641" s="13" t="s">
        <v>346</v>
      </c>
      <c r="Q641" s="34">
        <f t="shared" si="22"/>
        <v>814563.7100000002</v>
      </c>
      <c r="R641" s="34" t="str">
        <f>VLOOKUP(E641,Sales_Reps!$A$2:$E$100,3,FALSE)</f>
        <v>South</v>
      </c>
      <c r="S641" s="34" t="str">
        <f t="shared" si="23"/>
        <v>Home</v>
      </c>
      <c r="T641" s="38">
        <f>VLOOKUP(D641,Products!$A$2:$F$68,4,FALSE)</f>
        <v>288</v>
      </c>
    </row>
    <row r="642" spans="1:20" x14ac:dyDescent="0.35">
      <c r="A642" s="13" t="s">
        <v>1100</v>
      </c>
      <c r="B642" s="14">
        <v>45365</v>
      </c>
      <c r="C642" s="13" t="s">
        <v>206</v>
      </c>
      <c r="D642" s="13" t="s">
        <v>85</v>
      </c>
      <c r="E642" s="13" t="s">
        <v>303</v>
      </c>
      <c r="F642" s="15">
        <v>1</v>
      </c>
      <c r="G642" s="15">
        <v>3620</v>
      </c>
      <c r="H642" s="15">
        <v>1.4</v>
      </c>
      <c r="I642" s="15">
        <v>3569.32</v>
      </c>
      <c r="J642" s="13" t="s">
        <v>87</v>
      </c>
      <c r="K642" s="13" t="s">
        <v>133</v>
      </c>
      <c r="L642" s="34" t="str">
        <f>VLOOKUP(D642,Products!$A$2:$F$61,3,FALSE)</f>
        <v>Apparel</v>
      </c>
      <c r="M642" s="34" t="str">
        <f>VLOOKUP(C642,Customers!$A$2:$F$301,5,FALSE)</f>
        <v>SMB</v>
      </c>
      <c r="N642" s="34">
        <f>VLOOKUP(C642,Customers!$A$2:$F$301,3,FALSE)</f>
        <v>40</v>
      </c>
      <c r="O642" s="34" t="str">
        <f>VLOOKUP(E642,Sales_Reps!$A$2:$E$31,3,FALSE)</f>
        <v>East</v>
      </c>
      <c r="P642" s="13" t="s">
        <v>303</v>
      </c>
      <c r="Q642" s="34">
        <f t="shared" si="22"/>
        <v>1112289.6400000001</v>
      </c>
      <c r="R642" s="34" t="str">
        <f>VLOOKUP(E642,Sales_Reps!$A$2:$E$100,3,FALSE)</f>
        <v>East</v>
      </c>
      <c r="S642" s="34" t="str">
        <f t="shared" si="23"/>
        <v>Apparel</v>
      </c>
      <c r="T642" s="38">
        <f>VLOOKUP(D642,Products!$A$2:$F$68,4,FALSE)</f>
        <v>2509</v>
      </c>
    </row>
    <row r="643" spans="1:20" x14ac:dyDescent="0.35">
      <c r="A643" s="13" t="s">
        <v>1101</v>
      </c>
      <c r="B643" s="14">
        <v>45574</v>
      </c>
      <c r="C643" s="13" t="s">
        <v>429</v>
      </c>
      <c r="D643" s="13" t="s">
        <v>279</v>
      </c>
      <c r="E643" s="13" t="s">
        <v>92</v>
      </c>
      <c r="F643" s="15">
        <v>10</v>
      </c>
      <c r="G643" s="15">
        <v>2660</v>
      </c>
      <c r="H643" s="15">
        <v>20.2</v>
      </c>
      <c r="I643" s="15">
        <v>21226.799999999999</v>
      </c>
      <c r="J643" s="13" t="s">
        <v>87</v>
      </c>
      <c r="K643" s="13" t="s">
        <v>117</v>
      </c>
      <c r="L643" s="34" t="str">
        <f>VLOOKUP(D643,Products!$A$2:$F$61,3,FALSE)</f>
        <v>Electronics</v>
      </c>
      <c r="M643" s="34" t="str">
        <f>VLOOKUP(C643,Customers!$A$2:$F$301,5,FALSE)</f>
        <v>Retail</v>
      </c>
      <c r="N643" s="34">
        <f>VLOOKUP(C643,Customers!$A$2:$F$301,3,FALSE)</f>
        <v>55</v>
      </c>
      <c r="O643" s="34" t="str">
        <f>VLOOKUP(E643,Sales_Reps!$A$2:$E$31,3,FALSE)</f>
        <v>North</v>
      </c>
      <c r="P643" s="13" t="s">
        <v>92</v>
      </c>
      <c r="Q643" s="34">
        <f t="shared" ref="Q643:Q706" si="24">SUMIFS($I:$I,$E:$E,P643)</f>
        <v>782445.33</v>
      </c>
      <c r="R643" s="34" t="str">
        <f>VLOOKUP(E643,Sales_Reps!$A$2:$E$100,3,FALSE)</f>
        <v>North</v>
      </c>
      <c r="S643" s="34" t="str">
        <f t="shared" ref="S643:S706" si="25">L643</f>
        <v>Electronics</v>
      </c>
      <c r="T643" s="38">
        <f>VLOOKUP(D643,Products!$A$2:$F$68,4,FALSE)</f>
        <v>1259</v>
      </c>
    </row>
    <row r="644" spans="1:20" x14ac:dyDescent="0.35">
      <c r="A644" s="13" t="s">
        <v>1102</v>
      </c>
      <c r="B644" s="14">
        <v>45614</v>
      </c>
      <c r="C644" s="13" t="s">
        <v>266</v>
      </c>
      <c r="D644" s="13" t="s">
        <v>161</v>
      </c>
      <c r="E644" s="13" t="s">
        <v>188</v>
      </c>
      <c r="F644" s="15">
        <v>10</v>
      </c>
      <c r="G644" s="15">
        <v>3450</v>
      </c>
      <c r="H644" s="15">
        <v>25.1</v>
      </c>
      <c r="I644" s="15">
        <v>25840.5</v>
      </c>
      <c r="J644" s="13" t="s">
        <v>87</v>
      </c>
      <c r="K644" s="13" t="s">
        <v>99</v>
      </c>
      <c r="L644" s="34" t="str">
        <f>VLOOKUP(D644,Products!$A$2:$F$61,3,FALSE)</f>
        <v>Sports</v>
      </c>
      <c r="M644" s="34" t="str">
        <f>VLOOKUP(C644,Customers!$A$2:$F$301,5,FALSE)</f>
        <v>Corporate</v>
      </c>
      <c r="N644" s="34">
        <f>VLOOKUP(C644,Customers!$A$2:$F$301,3,FALSE)</f>
        <v>55</v>
      </c>
      <c r="O644" s="34" t="str">
        <f>VLOOKUP(E644,Sales_Reps!$A$2:$E$31,3,FALSE)</f>
        <v>South</v>
      </c>
      <c r="P644" s="13" t="s">
        <v>188</v>
      </c>
      <c r="Q644" s="34">
        <f t="shared" si="24"/>
        <v>1091740.1799999997</v>
      </c>
      <c r="R644" s="34" t="str">
        <f>VLOOKUP(E644,Sales_Reps!$A$2:$E$100,3,FALSE)</f>
        <v>South</v>
      </c>
      <c r="S644" s="34" t="str">
        <f t="shared" si="25"/>
        <v>Sports</v>
      </c>
      <c r="T644" s="38">
        <f>VLOOKUP(D644,Products!$A$2:$F$68,4,FALSE)</f>
        <v>2467</v>
      </c>
    </row>
    <row r="645" spans="1:20" x14ac:dyDescent="0.35">
      <c r="A645" s="13" t="s">
        <v>1103</v>
      </c>
      <c r="B645" s="14">
        <v>45629</v>
      </c>
      <c r="C645" s="13" t="s">
        <v>1104</v>
      </c>
      <c r="D645" s="13" t="s">
        <v>351</v>
      </c>
      <c r="E645" s="13" t="s">
        <v>252</v>
      </c>
      <c r="F645" s="15">
        <v>3</v>
      </c>
      <c r="G645" s="15">
        <v>4060</v>
      </c>
      <c r="H645" s="15">
        <v>2.5</v>
      </c>
      <c r="I645" s="15">
        <v>11875.5</v>
      </c>
      <c r="J645" s="13" t="s">
        <v>144</v>
      </c>
      <c r="K645" s="13" t="s">
        <v>117</v>
      </c>
      <c r="L645" s="34" t="str">
        <f>VLOOKUP(D645,Products!$A$2:$F$61,3,FALSE)</f>
        <v>Grocery</v>
      </c>
      <c r="M645" s="34" t="str">
        <f>VLOOKUP(C645,Customers!$A$2:$F$301,5,FALSE)</f>
        <v>Corporate</v>
      </c>
      <c r="N645" s="34">
        <f>VLOOKUP(C645,Customers!$A$2:$F$301,3,FALSE)</f>
        <v>31</v>
      </c>
      <c r="O645" s="34" t="str">
        <f>VLOOKUP(E645,Sales_Reps!$A$2:$E$31,3,FALSE)</f>
        <v>South</v>
      </c>
      <c r="P645" s="13" t="s">
        <v>252</v>
      </c>
      <c r="Q645" s="34">
        <f t="shared" si="24"/>
        <v>811524.37999999989</v>
      </c>
      <c r="R645" s="34" t="str">
        <f>VLOOKUP(E645,Sales_Reps!$A$2:$E$100,3,FALSE)</f>
        <v>South</v>
      </c>
      <c r="S645" s="34" t="str">
        <f t="shared" si="25"/>
        <v>Grocery</v>
      </c>
      <c r="T645" s="38">
        <f>VLOOKUP(D645,Products!$A$2:$F$68,4,FALSE)</f>
        <v>2911</v>
      </c>
    </row>
    <row r="646" spans="1:20" x14ac:dyDescent="0.35">
      <c r="A646" s="13" t="s">
        <v>1105</v>
      </c>
      <c r="B646" s="14">
        <v>45294</v>
      </c>
      <c r="C646" s="13" t="s">
        <v>178</v>
      </c>
      <c r="D646" s="13" t="s">
        <v>115</v>
      </c>
      <c r="E646" s="13" t="s">
        <v>158</v>
      </c>
      <c r="F646" s="15">
        <v>3</v>
      </c>
      <c r="G646" s="15">
        <v>960</v>
      </c>
      <c r="H646" s="15">
        <v>6.6</v>
      </c>
      <c r="I646" s="15">
        <v>2689.92</v>
      </c>
      <c r="J646" s="13" t="s">
        <v>140</v>
      </c>
      <c r="K646" s="13" t="s">
        <v>94</v>
      </c>
      <c r="L646" s="34" t="str">
        <f>VLOOKUP(D646,Products!$A$2:$F$61,3,FALSE)</f>
        <v>Sports</v>
      </c>
      <c r="M646" s="34" t="str">
        <f>VLOOKUP(C646,Customers!$A$2:$F$301,5,FALSE)</f>
        <v>Corporate</v>
      </c>
      <c r="N646" s="34">
        <f>VLOOKUP(C646,Customers!$A$2:$F$301,3,FALSE)</f>
        <v>55</v>
      </c>
      <c r="O646" s="34" t="str">
        <f>VLOOKUP(E646,Sales_Reps!$A$2:$E$31,3,FALSE)</f>
        <v>East</v>
      </c>
      <c r="P646" s="13" t="s">
        <v>158</v>
      </c>
      <c r="Q646" s="34">
        <f t="shared" si="24"/>
        <v>761507.17000000027</v>
      </c>
      <c r="R646" s="34" t="str">
        <f>VLOOKUP(E646,Sales_Reps!$A$2:$E$100,3,FALSE)</f>
        <v>East</v>
      </c>
      <c r="S646" s="34" t="str">
        <f t="shared" si="25"/>
        <v>Sports</v>
      </c>
      <c r="T646" s="38">
        <f>VLOOKUP(D646,Products!$A$2:$F$68,4,FALSE)</f>
        <v>705</v>
      </c>
    </row>
    <row r="647" spans="1:20" x14ac:dyDescent="0.35">
      <c r="A647" s="13" t="s">
        <v>1106</v>
      </c>
      <c r="B647" s="14">
        <v>45418</v>
      </c>
      <c r="C647" s="13" t="s">
        <v>561</v>
      </c>
      <c r="D647" s="13" t="s">
        <v>279</v>
      </c>
      <c r="E647" s="13" t="s">
        <v>107</v>
      </c>
      <c r="F647" s="15">
        <v>4</v>
      </c>
      <c r="G647" s="15">
        <v>2660</v>
      </c>
      <c r="H647" s="15">
        <v>16.899999999999999</v>
      </c>
      <c r="I647" s="15">
        <v>8841.84</v>
      </c>
      <c r="J647" s="13" t="s">
        <v>87</v>
      </c>
      <c r="K647" s="13" t="s">
        <v>133</v>
      </c>
      <c r="L647" s="34" t="str">
        <f>VLOOKUP(D647,Products!$A$2:$F$61,3,FALSE)</f>
        <v>Electronics</v>
      </c>
      <c r="M647" s="34" t="str">
        <f>VLOOKUP(C647,Customers!$A$2:$F$301,5,FALSE)</f>
        <v>SMB</v>
      </c>
      <c r="N647" s="34">
        <f>VLOOKUP(C647,Customers!$A$2:$F$301,3,FALSE)</f>
        <v>43</v>
      </c>
      <c r="O647" s="34" t="str">
        <f>VLOOKUP(E647,Sales_Reps!$A$2:$E$31,3,FALSE)</f>
        <v>North</v>
      </c>
      <c r="P647" s="13" t="s">
        <v>107</v>
      </c>
      <c r="Q647" s="34">
        <f t="shared" si="24"/>
        <v>861553.33</v>
      </c>
      <c r="R647" s="34" t="str">
        <f>VLOOKUP(E647,Sales_Reps!$A$2:$E$100,3,FALSE)</f>
        <v>North</v>
      </c>
      <c r="S647" s="34" t="str">
        <f t="shared" si="25"/>
        <v>Electronics</v>
      </c>
      <c r="T647" s="38">
        <f>VLOOKUP(D647,Products!$A$2:$F$68,4,FALSE)</f>
        <v>1259</v>
      </c>
    </row>
    <row r="648" spans="1:20" x14ac:dyDescent="0.35">
      <c r="A648" s="13" t="s">
        <v>1107</v>
      </c>
      <c r="B648" s="14">
        <v>45369</v>
      </c>
      <c r="C648" s="13" t="s">
        <v>501</v>
      </c>
      <c r="D648" s="13" t="s">
        <v>131</v>
      </c>
      <c r="E648" s="13" t="s">
        <v>303</v>
      </c>
      <c r="F648" s="15">
        <v>6</v>
      </c>
      <c r="G648" s="15">
        <v>2270</v>
      </c>
      <c r="H648" s="15">
        <v>16.7</v>
      </c>
      <c r="I648" s="15">
        <v>11345.46</v>
      </c>
      <c r="J648" s="13" t="s">
        <v>87</v>
      </c>
      <c r="K648" s="13" t="s">
        <v>133</v>
      </c>
      <c r="L648" s="34" t="str">
        <f>VLOOKUP(D648,Products!$A$2:$F$61,3,FALSE)</f>
        <v>Grocery</v>
      </c>
      <c r="M648" s="34" t="str">
        <f>VLOOKUP(C648,Customers!$A$2:$F$301,5,FALSE)</f>
        <v>SMB</v>
      </c>
      <c r="N648" s="34">
        <f>VLOOKUP(C648,Customers!$A$2:$F$301,3,FALSE)</f>
        <v>65</v>
      </c>
      <c r="O648" s="34" t="str">
        <f>VLOOKUP(E648,Sales_Reps!$A$2:$E$31,3,FALSE)</f>
        <v>East</v>
      </c>
      <c r="P648" s="13" t="s">
        <v>303</v>
      </c>
      <c r="Q648" s="34">
        <f t="shared" si="24"/>
        <v>1112289.6400000001</v>
      </c>
      <c r="R648" s="34" t="str">
        <f>VLOOKUP(E648,Sales_Reps!$A$2:$E$100,3,FALSE)</f>
        <v>East</v>
      </c>
      <c r="S648" s="34" t="str">
        <f t="shared" si="25"/>
        <v>Grocery</v>
      </c>
      <c r="T648" s="38">
        <f>VLOOKUP(D648,Products!$A$2:$F$68,4,FALSE)</f>
        <v>1203</v>
      </c>
    </row>
    <row r="649" spans="1:20" x14ac:dyDescent="0.35">
      <c r="A649" s="13" t="s">
        <v>1108</v>
      </c>
      <c r="B649" s="14">
        <v>45549</v>
      </c>
      <c r="C649" s="13" t="s">
        <v>394</v>
      </c>
      <c r="D649" s="13" t="s">
        <v>234</v>
      </c>
      <c r="E649" s="13" t="s">
        <v>111</v>
      </c>
      <c r="F649" s="15">
        <v>5</v>
      </c>
      <c r="G649" s="15">
        <v>3780</v>
      </c>
      <c r="H649" s="15">
        <v>21.5</v>
      </c>
      <c r="I649" s="15">
        <v>14836.5</v>
      </c>
      <c r="J649" s="13" t="s">
        <v>87</v>
      </c>
      <c r="K649" s="13" t="s">
        <v>117</v>
      </c>
      <c r="L649" s="34" t="str">
        <f>VLOOKUP(D649,Products!$A$2:$F$61,3,FALSE)</f>
        <v>Grocery</v>
      </c>
      <c r="M649" s="34" t="str">
        <f>VLOOKUP(C649,Customers!$A$2:$F$301,5,FALSE)</f>
        <v>SMB</v>
      </c>
      <c r="N649" s="34">
        <f>VLOOKUP(C649,Customers!$A$2:$F$301,3,FALSE)</f>
        <v>28</v>
      </c>
      <c r="O649" s="34" t="str">
        <f>VLOOKUP(E649,Sales_Reps!$A$2:$E$31,3,FALSE)</f>
        <v>West</v>
      </c>
      <c r="P649" s="13" t="s">
        <v>111</v>
      </c>
      <c r="Q649" s="34">
        <f t="shared" si="24"/>
        <v>901298.89</v>
      </c>
      <c r="R649" s="34" t="str">
        <f>VLOOKUP(E649,Sales_Reps!$A$2:$E$100,3,FALSE)</f>
        <v>West</v>
      </c>
      <c r="S649" s="34" t="str">
        <f t="shared" si="25"/>
        <v>Grocery</v>
      </c>
      <c r="T649" s="38">
        <f>VLOOKUP(D649,Products!$A$2:$F$68,4,FALSE)</f>
        <v>2436</v>
      </c>
    </row>
    <row r="650" spans="1:20" x14ac:dyDescent="0.35">
      <c r="A650" s="13" t="s">
        <v>1109</v>
      </c>
      <c r="B650" s="14">
        <v>45505</v>
      </c>
      <c r="C650" s="13" t="s">
        <v>910</v>
      </c>
      <c r="D650" s="13" t="s">
        <v>203</v>
      </c>
      <c r="E650" s="13" t="s">
        <v>121</v>
      </c>
      <c r="F650" s="15">
        <v>10</v>
      </c>
      <c r="G650" s="15">
        <v>660</v>
      </c>
      <c r="H650" s="15">
        <v>18.8</v>
      </c>
      <c r="I650" s="15">
        <v>5359.2</v>
      </c>
      <c r="J650" s="13" t="s">
        <v>87</v>
      </c>
      <c r="K650" s="13" t="s">
        <v>99</v>
      </c>
      <c r="L650" s="34" t="str">
        <f>VLOOKUP(D650,Products!$A$2:$F$61,3,FALSE)</f>
        <v>Home</v>
      </c>
      <c r="M650" s="34" t="str">
        <f>VLOOKUP(C650,Customers!$A$2:$F$301,5,FALSE)</f>
        <v>Retail</v>
      </c>
      <c r="N650" s="34">
        <f>VLOOKUP(C650,Customers!$A$2:$F$301,3,FALSE)</f>
        <v>55</v>
      </c>
      <c r="O650" s="34" t="str">
        <f>VLOOKUP(E650,Sales_Reps!$A$2:$E$31,3,FALSE)</f>
        <v>East</v>
      </c>
      <c r="P650" s="13" t="s">
        <v>121</v>
      </c>
      <c r="Q650" s="34">
        <f t="shared" si="24"/>
        <v>971183.52000000014</v>
      </c>
      <c r="R650" s="34" t="str">
        <f>VLOOKUP(E650,Sales_Reps!$A$2:$E$100,3,FALSE)</f>
        <v>East</v>
      </c>
      <c r="S650" s="34" t="str">
        <f t="shared" si="25"/>
        <v>Home</v>
      </c>
      <c r="T650" s="38">
        <f>VLOOKUP(D650,Products!$A$2:$F$68,4,FALSE)</f>
        <v>329</v>
      </c>
    </row>
    <row r="651" spans="1:20" x14ac:dyDescent="0.35">
      <c r="A651" s="13" t="s">
        <v>1110</v>
      </c>
      <c r="B651" s="14">
        <v>45413</v>
      </c>
      <c r="C651" s="13" t="s">
        <v>608</v>
      </c>
      <c r="D651" s="13" t="s">
        <v>226</v>
      </c>
      <c r="E651" s="13" t="s">
        <v>116</v>
      </c>
      <c r="F651" s="15">
        <v>10</v>
      </c>
      <c r="G651" s="15">
        <v>3730</v>
      </c>
      <c r="H651" s="15">
        <v>15.1</v>
      </c>
      <c r="I651" s="15">
        <v>31667.7</v>
      </c>
      <c r="J651" s="13" t="s">
        <v>87</v>
      </c>
      <c r="K651" s="13" t="s">
        <v>88</v>
      </c>
      <c r="L651" s="34" t="str">
        <f>VLOOKUP(D651,Products!$A$2:$F$61,3,FALSE)</f>
        <v>Home</v>
      </c>
      <c r="M651" s="34" t="str">
        <f>VLOOKUP(C651,Customers!$A$2:$F$301,5,FALSE)</f>
        <v>Corporate</v>
      </c>
      <c r="N651" s="34">
        <f>VLOOKUP(C651,Customers!$A$2:$F$301,3,FALSE)</f>
        <v>40</v>
      </c>
      <c r="O651" s="34" t="str">
        <f>VLOOKUP(E651,Sales_Reps!$A$2:$E$31,3,FALSE)</f>
        <v>West</v>
      </c>
      <c r="P651" s="13" t="s">
        <v>116</v>
      </c>
      <c r="Q651" s="34">
        <f t="shared" si="24"/>
        <v>819558.58</v>
      </c>
      <c r="R651" s="34" t="str">
        <f>VLOOKUP(E651,Sales_Reps!$A$2:$E$100,3,FALSE)</f>
        <v>West</v>
      </c>
      <c r="S651" s="34" t="str">
        <f t="shared" si="25"/>
        <v>Home</v>
      </c>
      <c r="T651" s="38">
        <f>VLOOKUP(D651,Products!$A$2:$F$68,4,FALSE)</f>
        <v>2135</v>
      </c>
    </row>
    <row r="652" spans="1:20" x14ac:dyDescent="0.35">
      <c r="A652" s="13" t="s">
        <v>1111</v>
      </c>
      <c r="B652" s="14">
        <v>45559</v>
      </c>
      <c r="C652" s="13" t="s">
        <v>137</v>
      </c>
      <c r="D652" s="13" t="s">
        <v>351</v>
      </c>
      <c r="E652" s="13" t="s">
        <v>158</v>
      </c>
      <c r="F652" s="15">
        <v>6</v>
      </c>
      <c r="G652" s="15">
        <v>4060</v>
      </c>
      <c r="H652" s="15">
        <v>20.100000000000001</v>
      </c>
      <c r="I652" s="15">
        <v>19463.64</v>
      </c>
      <c r="J652" s="13" t="s">
        <v>93</v>
      </c>
      <c r="K652" s="13" t="s">
        <v>1112</v>
      </c>
      <c r="L652" s="34" t="str">
        <f>VLOOKUP(D652,Products!$A$2:$F$61,3,FALSE)</f>
        <v>Grocery</v>
      </c>
      <c r="M652" s="34" t="str">
        <f>VLOOKUP(C652,Customers!$A$2:$F$301,5,FALSE)</f>
        <v>SMB</v>
      </c>
      <c r="N652" s="34">
        <f>VLOOKUP(C652,Customers!$A$2:$F$301,3,FALSE)</f>
        <v>27</v>
      </c>
      <c r="O652" s="34" t="str">
        <f>VLOOKUP(E652,Sales_Reps!$A$2:$E$31,3,FALSE)</f>
        <v>East</v>
      </c>
      <c r="P652" s="13" t="s">
        <v>158</v>
      </c>
      <c r="Q652" s="34">
        <f t="shared" si="24"/>
        <v>761507.17000000027</v>
      </c>
      <c r="R652" s="34" t="str">
        <f>VLOOKUP(E652,Sales_Reps!$A$2:$E$100,3,FALSE)</f>
        <v>East</v>
      </c>
      <c r="S652" s="34" t="str">
        <f t="shared" si="25"/>
        <v>Grocery</v>
      </c>
      <c r="T652" s="38">
        <f>VLOOKUP(D652,Products!$A$2:$F$68,4,FALSE)</f>
        <v>2911</v>
      </c>
    </row>
    <row r="653" spans="1:20" x14ac:dyDescent="0.35">
      <c r="A653" s="13" t="s">
        <v>1113</v>
      </c>
      <c r="B653" s="14">
        <v>45525</v>
      </c>
      <c r="C653" s="13" t="s">
        <v>983</v>
      </c>
      <c r="D653" s="13" t="s">
        <v>131</v>
      </c>
      <c r="E653" s="13" t="s">
        <v>148</v>
      </c>
      <c r="F653" s="15">
        <v>2</v>
      </c>
      <c r="G653" s="15">
        <v>2270</v>
      </c>
      <c r="H653" s="15">
        <v>17.7</v>
      </c>
      <c r="I653" s="15">
        <v>3736.42</v>
      </c>
      <c r="J653" s="13" t="s">
        <v>87</v>
      </c>
      <c r="K653" s="13" t="s">
        <v>117</v>
      </c>
      <c r="L653" s="34" t="str">
        <f>VLOOKUP(D653,Products!$A$2:$F$61,3,FALSE)</f>
        <v>Grocery</v>
      </c>
      <c r="M653" s="34" t="str">
        <f>VLOOKUP(C653,Customers!$A$2:$F$301,5,FALSE)</f>
        <v>SMB</v>
      </c>
      <c r="N653" s="34">
        <f>VLOOKUP(C653,Customers!$A$2:$F$301,3,FALSE)</f>
        <v>36</v>
      </c>
      <c r="O653" s="34" t="str">
        <f>VLOOKUP(E653,Sales_Reps!$A$2:$E$31,3,FALSE)</f>
        <v>North</v>
      </c>
      <c r="P653" s="13" t="s">
        <v>148</v>
      </c>
      <c r="Q653" s="34">
        <f t="shared" si="24"/>
        <v>986692.91</v>
      </c>
      <c r="R653" s="34" t="str">
        <f>VLOOKUP(E653,Sales_Reps!$A$2:$E$100,3,FALSE)</f>
        <v>North</v>
      </c>
      <c r="S653" s="34" t="str">
        <f t="shared" si="25"/>
        <v>Grocery</v>
      </c>
      <c r="T653" s="38">
        <f>VLOOKUP(D653,Products!$A$2:$F$68,4,FALSE)</f>
        <v>1203</v>
      </c>
    </row>
    <row r="654" spans="1:20" x14ac:dyDescent="0.35">
      <c r="A654" s="13" t="s">
        <v>1114</v>
      </c>
      <c r="B654" s="14">
        <v>45610</v>
      </c>
      <c r="C654" s="13" t="s">
        <v>537</v>
      </c>
      <c r="D654" s="13" t="s">
        <v>187</v>
      </c>
      <c r="E654" s="13" t="s">
        <v>128</v>
      </c>
      <c r="F654" s="15">
        <v>9</v>
      </c>
      <c r="G654" s="15">
        <v>3570</v>
      </c>
      <c r="H654" s="15">
        <v>29.9</v>
      </c>
      <c r="I654" s="15">
        <v>22523.13</v>
      </c>
      <c r="J654" s="13" t="s">
        <v>87</v>
      </c>
      <c r="K654" s="13" t="s">
        <v>133</v>
      </c>
      <c r="L654" s="34" t="str">
        <f>VLOOKUP(D654,Products!$A$2:$F$61,3,FALSE)</f>
        <v>Electronics</v>
      </c>
      <c r="M654" s="34" t="str">
        <f>VLOOKUP(C654,Customers!$A$2:$F$301,5,FALSE)</f>
        <v>SMB</v>
      </c>
      <c r="N654" s="34">
        <f>VLOOKUP(C654,Customers!$A$2:$F$301,3,FALSE)</f>
        <v>48</v>
      </c>
      <c r="O654" s="34" t="str">
        <f>VLOOKUP(E654,Sales_Reps!$A$2:$E$31,3,FALSE)</f>
        <v>West</v>
      </c>
      <c r="P654" s="13" t="s">
        <v>128</v>
      </c>
      <c r="Q654" s="34">
        <f t="shared" si="24"/>
        <v>880468.05</v>
      </c>
      <c r="R654" s="34" t="str">
        <f>VLOOKUP(E654,Sales_Reps!$A$2:$E$100,3,FALSE)</f>
        <v>West</v>
      </c>
      <c r="S654" s="34" t="str">
        <f t="shared" si="25"/>
        <v>Electronics</v>
      </c>
      <c r="T654" s="38">
        <f>VLOOKUP(D654,Products!$A$2:$F$68,4,FALSE)</f>
        <v>1665</v>
      </c>
    </row>
    <row r="655" spans="1:20" x14ac:dyDescent="0.35">
      <c r="A655" s="13" t="s">
        <v>1115</v>
      </c>
      <c r="B655" s="14">
        <v>45521</v>
      </c>
      <c r="C655" s="13" t="s">
        <v>828</v>
      </c>
      <c r="D655" s="13" t="s">
        <v>338</v>
      </c>
      <c r="E655" s="13" t="s">
        <v>139</v>
      </c>
      <c r="F655" s="15">
        <v>7</v>
      </c>
      <c r="G655" s="15">
        <v>2210</v>
      </c>
      <c r="H655" s="15">
        <v>25</v>
      </c>
      <c r="I655" s="15">
        <v>11602.5</v>
      </c>
      <c r="J655" s="13" t="s">
        <v>87</v>
      </c>
      <c r="K655" s="13" t="s">
        <v>133</v>
      </c>
      <c r="L655" s="34" t="str">
        <f>VLOOKUP(D655,Products!$A$2:$F$61,3,FALSE)</f>
        <v>Grocery</v>
      </c>
      <c r="M655" s="34" t="str">
        <f>VLOOKUP(C655,Customers!$A$2:$F$301,5,FALSE)</f>
        <v>Retail</v>
      </c>
      <c r="N655" s="34">
        <f>VLOOKUP(C655,Customers!$A$2:$F$301,3,FALSE)</f>
        <v>52</v>
      </c>
      <c r="O655" s="34" t="str">
        <f>VLOOKUP(E655,Sales_Reps!$A$2:$E$31,3,FALSE)</f>
        <v>North</v>
      </c>
      <c r="P655" s="13" t="s">
        <v>139</v>
      </c>
      <c r="Q655" s="34">
        <f t="shared" si="24"/>
        <v>589026.2899999998</v>
      </c>
      <c r="R655" s="34" t="str">
        <f>VLOOKUP(E655,Sales_Reps!$A$2:$E$100,3,FALSE)</f>
        <v>North</v>
      </c>
      <c r="S655" s="34" t="str">
        <f t="shared" si="25"/>
        <v>Grocery</v>
      </c>
      <c r="T655" s="38">
        <f>VLOOKUP(D655,Products!$A$2:$F$68,4,FALSE)</f>
        <v>1010</v>
      </c>
    </row>
    <row r="656" spans="1:20" x14ac:dyDescent="0.35">
      <c r="A656" s="13" t="s">
        <v>1116</v>
      </c>
      <c r="B656" s="14">
        <v>45381</v>
      </c>
      <c r="C656" s="13" t="s">
        <v>905</v>
      </c>
      <c r="D656" s="13" t="s">
        <v>115</v>
      </c>
      <c r="E656" s="13" t="s">
        <v>201</v>
      </c>
      <c r="F656" s="15">
        <v>2</v>
      </c>
      <c r="G656" s="15">
        <v>960</v>
      </c>
      <c r="H656" s="15">
        <v>8.1999999999999993</v>
      </c>
      <c r="I656" s="15">
        <v>1762.56</v>
      </c>
      <c r="J656" s="13" t="s">
        <v>140</v>
      </c>
      <c r="K656" s="13" t="s">
        <v>112</v>
      </c>
      <c r="L656" s="34" t="str">
        <f>VLOOKUP(D656,Products!$A$2:$F$61,3,FALSE)</f>
        <v>Sports</v>
      </c>
      <c r="M656" s="34" t="str">
        <f>VLOOKUP(C656,Customers!$A$2:$F$301,5,FALSE)</f>
        <v>SMB</v>
      </c>
      <c r="N656" s="34">
        <f>VLOOKUP(C656,Customers!$A$2:$F$301,3,FALSE)</f>
        <v>43</v>
      </c>
      <c r="O656" s="34" t="str">
        <f>VLOOKUP(E656,Sales_Reps!$A$2:$E$31,3,FALSE)</f>
        <v>West</v>
      </c>
      <c r="P656" s="13" t="s">
        <v>201</v>
      </c>
      <c r="Q656" s="34">
        <f t="shared" si="24"/>
        <v>576305.08000000019</v>
      </c>
      <c r="R656" s="34" t="str">
        <f>VLOOKUP(E656,Sales_Reps!$A$2:$E$100,3,FALSE)</f>
        <v>West</v>
      </c>
      <c r="S656" s="34" t="str">
        <f t="shared" si="25"/>
        <v>Sports</v>
      </c>
      <c r="T656" s="38">
        <f>VLOOKUP(D656,Products!$A$2:$F$68,4,FALSE)</f>
        <v>705</v>
      </c>
    </row>
    <row r="657" spans="1:20" x14ac:dyDescent="0.35">
      <c r="A657" s="13" t="s">
        <v>1117</v>
      </c>
      <c r="B657" s="14">
        <v>45401</v>
      </c>
      <c r="C657" s="13" t="s">
        <v>628</v>
      </c>
      <c r="D657" s="13" t="s">
        <v>461</v>
      </c>
      <c r="E657" s="13" t="s">
        <v>201</v>
      </c>
      <c r="F657" s="15">
        <v>9</v>
      </c>
      <c r="G657" s="15">
        <v>3780</v>
      </c>
      <c r="H657" s="15">
        <v>28.4</v>
      </c>
      <c r="I657" s="15">
        <v>24358.32</v>
      </c>
      <c r="J657" s="13" t="s">
        <v>93</v>
      </c>
      <c r="K657" s="13" t="s">
        <v>133</v>
      </c>
      <c r="L657" s="34" t="str">
        <f>VLOOKUP(D657,Products!$A$2:$F$61,3,FALSE)</f>
        <v>Sports</v>
      </c>
      <c r="M657" s="34" t="str">
        <f>VLOOKUP(C657,Customers!$A$2:$F$301,5,FALSE)</f>
        <v>Corporate</v>
      </c>
      <c r="N657" s="34">
        <f>VLOOKUP(C657,Customers!$A$2:$F$301,3,FALSE)</f>
        <v>22</v>
      </c>
      <c r="O657" s="34" t="str">
        <f>VLOOKUP(E657,Sales_Reps!$A$2:$E$31,3,FALSE)</f>
        <v>West</v>
      </c>
      <c r="P657" s="13" t="s">
        <v>201</v>
      </c>
      <c r="Q657" s="34">
        <f t="shared" si="24"/>
        <v>576305.08000000019</v>
      </c>
      <c r="R657" s="34" t="str">
        <f>VLOOKUP(E657,Sales_Reps!$A$2:$E$100,3,FALSE)</f>
        <v>West</v>
      </c>
      <c r="S657" s="34" t="str">
        <f t="shared" si="25"/>
        <v>Sports</v>
      </c>
      <c r="T657" s="38">
        <f>VLOOKUP(D657,Products!$A$2:$F$68,4,FALSE)</f>
        <v>1860</v>
      </c>
    </row>
    <row r="658" spans="1:20" x14ac:dyDescent="0.35">
      <c r="A658" s="13" t="s">
        <v>1118</v>
      </c>
      <c r="B658" s="14">
        <v>45581</v>
      </c>
      <c r="C658" s="13" t="s">
        <v>886</v>
      </c>
      <c r="D658" s="13" t="s">
        <v>191</v>
      </c>
      <c r="E658" s="13" t="s">
        <v>98</v>
      </c>
      <c r="F658" s="15">
        <v>2</v>
      </c>
      <c r="G658" s="15">
        <v>5100</v>
      </c>
      <c r="H658" s="15">
        <v>8.6</v>
      </c>
      <c r="I658" s="15">
        <v>9322.7999999999993</v>
      </c>
      <c r="J658" s="13" t="s">
        <v>87</v>
      </c>
      <c r="K658" s="13" t="s">
        <v>94</v>
      </c>
      <c r="L658" s="34" t="str">
        <f>VLOOKUP(D658,Products!$A$2:$F$61,3,FALSE)</f>
        <v>Beauty</v>
      </c>
      <c r="M658" s="34" t="str">
        <f>VLOOKUP(C658,Customers!$A$2:$F$301,5,FALSE)</f>
        <v>Corporate</v>
      </c>
      <c r="N658" s="34">
        <f>VLOOKUP(C658,Customers!$A$2:$F$301,3,FALSE)</f>
        <v>44</v>
      </c>
      <c r="O658" s="34" t="str">
        <f>VLOOKUP(E658,Sales_Reps!$A$2:$E$31,3,FALSE)</f>
        <v>South</v>
      </c>
      <c r="P658" s="13" t="s">
        <v>98</v>
      </c>
      <c r="Q658" s="34">
        <f t="shared" si="24"/>
        <v>995713.54000000015</v>
      </c>
      <c r="R658" s="34" t="str">
        <f>VLOOKUP(E658,Sales_Reps!$A$2:$E$100,3,FALSE)</f>
        <v>South</v>
      </c>
      <c r="S658" s="34" t="str">
        <f t="shared" si="25"/>
        <v>Beauty</v>
      </c>
      <c r="T658" s="38">
        <f>VLOOKUP(D658,Products!$A$2:$F$68,4,FALSE)</f>
        <v>2237</v>
      </c>
    </row>
    <row r="659" spans="1:20" x14ac:dyDescent="0.35">
      <c r="A659" s="13" t="s">
        <v>1119</v>
      </c>
      <c r="B659" s="14">
        <v>45414</v>
      </c>
      <c r="C659" s="13" t="s">
        <v>510</v>
      </c>
      <c r="D659" s="13" t="s">
        <v>167</v>
      </c>
      <c r="E659" s="13" t="s">
        <v>158</v>
      </c>
      <c r="F659" s="15">
        <v>4</v>
      </c>
      <c r="G659" s="15">
        <v>2480</v>
      </c>
      <c r="H659" s="15">
        <v>16.600000000000001</v>
      </c>
      <c r="I659" s="15">
        <v>8273.2800000000007</v>
      </c>
      <c r="J659" s="13" t="s">
        <v>87</v>
      </c>
      <c r="K659" s="13" t="s">
        <v>117</v>
      </c>
      <c r="L659" s="34" t="str">
        <f>VLOOKUP(D659,Products!$A$2:$F$61,3,FALSE)</f>
        <v>Apparel</v>
      </c>
      <c r="M659" s="34" t="str">
        <f>VLOOKUP(C659,Customers!$A$2:$F$301,5,FALSE)</f>
        <v>SMB</v>
      </c>
      <c r="N659" s="34">
        <f>VLOOKUP(C659,Customers!$A$2:$F$301,3,FALSE)</f>
        <v>26</v>
      </c>
      <c r="O659" s="34" t="str">
        <f>VLOOKUP(E659,Sales_Reps!$A$2:$E$31,3,FALSE)</f>
        <v>East</v>
      </c>
      <c r="P659" s="13" t="s">
        <v>158</v>
      </c>
      <c r="Q659" s="34">
        <f t="shared" si="24"/>
        <v>761507.17000000027</v>
      </c>
      <c r="R659" s="34" t="str">
        <f>VLOOKUP(E659,Sales_Reps!$A$2:$E$100,3,FALSE)</f>
        <v>East</v>
      </c>
      <c r="S659" s="34" t="str">
        <f t="shared" si="25"/>
        <v>Apparel</v>
      </c>
      <c r="T659" s="38">
        <f>VLOOKUP(D659,Products!$A$2:$F$68,4,FALSE)</f>
        <v>1173</v>
      </c>
    </row>
    <row r="660" spans="1:20" x14ac:dyDescent="0.35">
      <c r="A660" s="13" t="s">
        <v>1120</v>
      </c>
      <c r="B660" s="14">
        <v>45443</v>
      </c>
      <c r="C660" s="13" t="s">
        <v>1121</v>
      </c>
      <c r="D660" s="13" t="s">
        <v>164</v>
      </c>
      <c r="E660" s="13" t="s">
        <v>303</v>
      </c>
      <c r="F660" s="15">
        <v>10</v>
      </c>
      <c r="G660" s="15">
        <v>1080</v>
      </c>
      <c r="H660" s="15">
        <v>14.5</v>
      </c>
      <c r="I660" s="15">
        <v>9234</v>
      </c>
      <c r="J660" s="13" t="s">
        <v>87</v>
      </c>
      <c r="K660" s="13" t="s">
        <v>112</v>
      </c>
      <c r="L660" s="34" t="str">
        <f>VLOOKUP(D660,Products!$A$2:$F$61,3,FALSE)</f>
        <v>Home</v>
      </c>
      <c r="M660" s="34" t="str">
        <f>VLOOKUP(C660,Customers!$A$2:$F$301,5,FALSE)</f>
        <v>Corporate</v>
      </c>
      <c r="N660" s="34">
        <f>VLOOKUP(C660,Customers!$A$2:$F$301,3,FALSE)</f>
        <v>46</v>
      </c>
      <c r="O660" s="34" t="str">
        <f>VLOOKUP(E660,Sales_Reps!$A$2:$E$31,3,FALSE)</f>
        <v>East</v>
      </c>
      <c r="P660" s="13" t="s">
        <v>303</v>
      </c>
      <c r="Q660" s="34">
        <f t="shared" si="24"/>
        <v>1112289.6400000001</v>
      </c>
      <c r="R660" s="34" t="str">
        <f>VLOOKUP(E660,Sales_Reps!$A$2:$E$100,3,FALSE)</f>
        <v>East</v>
      </c>
      <c r="S660" s="34" t="str">
        <f t="shared" si="25"/>
        <v>Home</v>
      </c>
      <c r="T660" s="38">
        <f>VLOOKUP(D660,Products!$A$2:$F$68,4,FALSE)</f>
        <v>519</v>
      </c>
    </row>
    <row r="661" spans="1:20" x14ac:dyDescent="0.35">
      <c r="A661" s="13" t="s">
        <v>1122</v>
      </c>
      <c r="B661" s="14">
        <v>45377</v>
      </c>
      <c r="C661" s="13" t="s">
        <v>626</v>
      </c>
      <c r="D661" s="13" t="s">
        <v>138</v>
      </c>
      <c r="E661" s="13" t="s">
        <v>229</v>
      </c>
      <c r="F661" s="15">
        <v>7</v>
      </c>
      <c r="G661" s="15">
        <v>2600</v>
      </c>
      <c r="H661" s="15">
        <v>21</v>
      </c>
      <c r="I661" s="15">
        <v>14378</v>
      </c>
      <c r="J661" s="13" t="s">
        <v>87</v>
      </c>
      <c r="K661" s="13" t="s">
        <v>99</v>
      </c>
      <c r="L661" s="34" t="str">
        <f>VLOOKUP(D661,Products!$A$2:$F$61,3,FALSE)</f>
        <v>Electronics</v>
      </c>
      <c r="M661" s="34" t="str">
        <f>VLOOKUP(C661,Customers!$A$2:$F$301,5,FALSE)</f>
        <v>Retail</v>
      </c>
      <c r="N661" s="34">
        <f>VLOOKUP(C661,Customers!$A$2:$F$301,3,FALSE)</f>
        <v>40</v>
      </c>
      <c r="O661" s="34" t="str">
        <f>VLOOKUP(E661,Sales_Reps!$A$2:$E$31,3,FALSE)</f>
        <v>West</v>
      </c>
      <c r="P661" s="13" t="s">
        <v>229</v>
      </c>
      <c r="Q661" s="34">
        <f t="shared" si="24"/>
        <v>1016696.8000000002</v>
      </c>
      <c r="R661" s="34" t="str">
        <f>VLOOKUP(E661,Sales_Reps!$A$2:$E$100,3,FALSE)</f>
        <v>West</v>
      </c>
      <c r="S661" s="34" t="str">
        <f t="shared" si="25"/>
        <v>Electronics</v>
      </c>
      <c r="T661" s="38">
        <f>VLOOKUP(D661,Products!$A$2:$F$68,4,FALSE)</f>
        <v>1052</v>
      </c>
    </row>
    <row r="662" spans="1:20" x14ac:dyDescent="0.35">
      <c r="A662" s="13" t="s">
        <v>1123</v>
      </c>
      <c r="B662" s="14">
        <v>45622</v>
      </c>
      <c r="C662" s="13" t="s">
        <v>105</v>
      </c>
      <c r="D662" s="13" t="s">
        <v>138</v>
      </c>
      <c r="E662" s="13" t="s">
        <v>188</v>
      </c>
      <c r="F662" s="15">
        <v>7</v>
      </c>
      <c r="G662" s="15">
        <v>2600</v>
      </c>
      <c r="H662" s="15">
        <v>6.7</v>
      </c>
      <c r="I662" s="15">
        <v>16980.599999999999</v>
      </c>
      <c r="J662" s="13" t="s">
        <v>93</v>
      </c>
      <c r="K662" s="13" t="s">
        <v>94</v>
      </c>
      <c r="L662" s="34" t="str">
        <f>VLOOKUP(D662,Products!$A$2:$F$61,3,FALSE)</f>
        <v>Electronics</v>
      </c>
      <c r="M662" s="34" t="str">
        <f>VLOOKUP(C662,Customers!$A$2:$F$301,5,FALSE)</f>
        <v>Retail</v>
      </c>
      <c r="N662" s="34">
        <f>VLOOKUP(C662,Customers!$A$2:$F$301,3,FALSE)</f>
        <v>36</v>
      </c>
      <c r="O662" s="34" t="str">
        <f>VLOOKUP(E662,Sales_Reps!$A$2:$E$31,3,FALSE)</f>
        <v>South</v>
      </c>
      <c r="P662" s="13" t="s">
        <v>188</v>
      </c>
      <c r="Q662" s="34">
        <f t="shared" si="24"/>
        <v>1091740.1799999997</v>
      </c>
      <c r="R662" s="34" t="str">
        <f>VLOOKUP(E662,Sales_Reps!$A$2:$E$100,3,FALSE)</f>
        <v>South</v>
      </c>
      <c r="S662" s="34" t="str">
        <f t="shared" si="25"/>
        <v>Electronics</v>
      </c>
      <c r="T662" s="38">
        <f>VLOOKUP(D662,Products!$A$2:$F$68,4,FALSE)</f>
        <v>1052</v>
      </c>
    </row>
    <row r="663" spans="1:20" x14ac:dyDescent="0.35">
      <c r="A663" s="13" t="s">
        <v>1124</v>
      </c>
      <c r="B663" s="14">
        <v>45403</v>
      </c>
      <c r="C663" s="13" t="s">
        <v>219</v>
      </c>
      <c r="D663" s="13" t="s">
        <v>91</v>
      </c>
      <c r="E663" s="13" t="s">
        <v>154</v>
      </c>
      <c r="F663" s="15">
        <v>8</v>
      </c>
      <c r="G663" s="15">
        <v>820</v>
      </c>
      <c r="H663" s="15">
        <v>17.8</v>
      </c>
      <c r="I663" s="15">
        <v>5392.32</v>
      </c>
      <c r="J663" s="13" t="s">
        <v>93</v>
      </c>
      <c r="K663" s="13" t="s">
        <v>99</v>
      </c>
      <c r="L663" s="34" t="str">
        <f>VLOOKUP(D663,Products!$A$2:$F$61,3,FALSE)</f>
        <v>Apparel</v>
      </c>
      <c r="M663" s="34" t="str">
        <f>VLOOKUP(C663,Customers!$A$2:$F$301,5,FALSE)</f>
        <v>SMB</v>
      </c>
      <c r="N663" s="34">
        <f>VLOOKUP(C663,Customers!$A$2:$F$301,3,FALSE)</f>
        <v>50</v>
      </c>
      <c r="O663" s="34" t="str">
        <f>VLOOKUP(E663,Sales_Reps!$A$2:$E$31,3,FALSE)</f>
        <v>East</v>
      </c>
      <c r="P663" s="13" t="s">
        <v>154</v>
      </c>
      <c r="Q663" s="34">
        <f t="shared" si="24"/>
        <v>983787.4800000001</v>
      </c>
      <c r="R663" s="34" t="str">
        <f>VLOOKUP(E663,Sales_Reps!$A$2:$E$100,3,FALSE)</f>
        <v>East</v>
      </c>
      <c r="S663" s="34" t="str">
        <f t="shared" si="25"/>
        <v>Apparel</v>
      </c>
      <c r="T663" s="38">
        <f>VLOOKUP(D663,Products!$A$2:$F$68,4,FALSE)</f>
        <v>391</v>
      </c>
    </row>
    <row r="664" spans="1:20" x14ac:dyDescent="0.35">
      <c r="A664" s="13" t="s">
        <v>1125</v>
      </c>
      <c r="B664" s="14">
        <v>45532</v>
      </c>
      <c r="C664" s="13" t="s">
        <v>518</v>
      </c>
      <c r="D664" s="13" t="s">
        <v>115</v>
      </c>
      <c r="E664" s="13" t="s">
        <v>204</v>
      </c>
      <c r="F664" s="15">
        <v>3</v>
      </c>
      <c r="G664" s="15">
        <v>960</v>
      </c>
      <c r="H664" s="15">
        <v>17.8</v>
      </c>
      <c r="I664" s="15">
        <v>2367.36</v>
      </c>
      <c r="J664" s="13" t="s">
        <v>87</v>
      </c>
      <c r="K664" s="13" t="s">
        <v>88</v>
      </c>
      <c r="L664" s="34" t="str">
        <f>VLOOKUP(D664,Products!$A$2:$F$61,3,FALSE)</f>
        <v>Sports</v>
      </c>
      <c r="M664" s="34" t="str">
        <f>VLOOKUP(C664,Customers!$A$2:$F$301,5,FALSE)</f>
        <v>Retail</v>
      </c>
      <c r="N664" s="34">
        <f>VLOOKUP(C664,Customers!$A$2:$F$301,3,FALSE)</f>
        <v>49</v>
      </c>
      <c r="O664" s="34" t="str">
        <f>VLOOKUP(E664,Sales_Reps!$A$2:$E$31,3,FALSE)</f>
        <v>South</v>
      </c>
      <c r="P664" s="13" t="s">
        <v>204</v>
      </c>
      <c r="Q664" s="34">
        <f t="shared" si="24"/>
        <v>914554.71999999986</v>
      </c>
      <c r="R664" s="34" t="str">
        <f>VLOOKUP(E664,Sales_Reps!$A$2:$E$100,3,FALSE)</f>
        <v>South</v>
      </c>
      <c r="S664" s="34" t="str">
        <f t="shared" si="25"/>
        <v>Sports</v>
      </c>
      <c r="T664" s="38">
        <f>VLOOKUP(D664,Products!$A$2:$F$68,4,FALSE)</f>
        <v>705</v>
      </c>
    </row>
    <row r="665" spans="1:20" x14ac:dyDescent="0.35">
      <c r="A665" s="13" t="s">
        <v>1126</v>
      </c>
      <c r="B665" s="14">
        <v>45301</v>
      </c>
      <c r="C665" s="13" t="s">
        <v>266</v>
      </c>
      <c r="D665" s="13" t="s">
        <v>259</v>
      </c>
      <c r="E665" s="13" t="s">
        <v>154</v>
      </c>
      <c r="F665" s="15">
        <v>2</v>
      </c>
      <c r="G665" s="15">
        <v>1540</v>
      </c>
      <c r="H665" s="15">
        <v>1.8</v>
      </c>
      <c r="I665" s="15">
        <v>3024.56</v>
      </c>
      <c r="J665" s="13" t="s">
        <v>140</v>
      </c>
      <c r="K665" s="13" t="s">
        <v>99</v>
      </c>
      <c r="L665" s="34" t="str">
        <f>VLOOKUP(D665,Products!$A$2:$F$61,3,FALSE)</f>
        <v>Beauty</v>
      </c>
      <c r="M665" s="34" t="str">
        <f>VLOOKUP(C665,Customers!$A$2:$F$301,5,FALSE)</f>
        <v>Corporate</v>
      </c>
      <c r="N665" s="34">
        <f>VLOOKUP(C665,Customers!$A$2:$F$301,3,FALSE)</f>
        <v>55</v>
      </c>
      <c r="O665" s="34" t="str">
        <f>VLOOKUP(E665,Sales_Reps!$A$2:$E$31,3,FALSE)</f>
        <v>East</v>
      </c>
      <c r="P665" s="13" t="s">
        <v>154</v>
      </c>
      <c r="Q665" s="34">
        <f t="shared" si="24"/>
        <v>983787.4800000001</v>
      </c>
      <c r="R665" s="34" t="str">
        <f>VLOOKUP(E665,Sales_Reps!$A$2:$E$100,3,FALSE)</f>
        <v>East</v>
      </c>
      <c r="S665" s="34" t="str">
        <f t="shared" si="25"/>
        <v>Beauty</v>
      </c>
      <c r="T665" s="38">
        <f>VLOOKUP(D665,Products!$A$2:$F$68,4,FALSE)</f>
        <v>647</v>
      </c>
    </row>
    <row r="666" spans="1:20" x14ac:dyDescent="0.35">
      <c r="A666" s="13" t="s">
        <v>1127</v>
      </c>
      <c r="B666" s="14">
        <v>45622</v>
      </c>
      <c r="C666" s="13" t="s">
        <v>1006</v>
      </c>
      <c r="D666" s="13" t="s">
        <v>515</v>
      </c>
      <c r="E666" s="13" t="s">
        <v>170</v>
      </c>
      <c r="F666" s="15">
        <v>5</v>
      </c>
      <c r="G666" s="15">
        <v>6940</v>
      </c>
      <c r="H666" s="15">
        <v>2.9</v>
      </c>
      <c r="I666" s="15">
        <v>33693.699999999997</v>
      </c>
      <c r="J666" s="13" t="s">
        <v>87</v>
      </c>
      <c r="K666" s="13" t="s">
        <v>117</v>
      </c>
      <c r="L666" s="34" t="str">
        <f>VLOOKUP(D666,Products!$A$2:$F$61,3,FALSE)</f>
        <v>Sports</v>
      </c>
      <c r="M666" s="34" t="str">
        <f>VLOOKUP(C666,Customers!$A$2:$F$301,5,FALSE)</f>
        <v>SMB</v>
      </c>
      <c r="N666" s="34">
        <f>VLOOKUP(C666,Customers!$A$2:$F$301,3,FALSE)</f>
        <v>44</v>
      </c>
      <c r="O666" s="34" t="str">
        <f>VLOOKUP(E666,Sales_Reps!$A$2:$E$31,3,FALSE)</f>
        <v>West</v>
      </c>
      <c r="P666" s="13" t="s">
        <v>170</v>
      </c>
      <c r="Q666" s="34">
        <f t="shared" si="24"/>
        <v>747624.36999999988</v>
      </c>
      <c r="R666" s="34" t="str">
        <f>VLOOKUP(E666,Sales_Reps!$A$2:$E$100,3,FALSE)</f>
        <v>West</v>
      </c>
      <c r="S666" s="34" t="str">
        <f t="shared" si="25"/>
        <v>Sports</v>
      </c>
      <c r="T666" s="38">
        <f>VLOOKUP(D666,Products!$A$2:$F$68,4,FALSE)</f>
        <v>2827</v>
      </c>
    </row>
    <row r="667" spans="1:20" x14ac:dyDescent="0.35">
      <c r="A667" s="13" t="s">
        <v>1128</v>
      </c>
      <c r="B667" s="14">
        <v>45531</v>
      </c>
      <c r="C667" s="13" t="s">
        <v>378</v>
      </c>
      <c r="D667" s="13" t="s">
        <v>259</v>
      </c>
      <c r="E667" s="13" t="s">
        <v>252</v>
      </c>
      <c r="F667" s="15">
        <v>5</v>
      </c>
      <c r="G667" s="15">
        <v>1540</v>
      </c>
      <c r="H667" s="15">
        <v>28.8</v>
      </c>
      <c r="I667" s="15">
        <v>5482.4</v>
      </c>
      <c r="J667" s="13" t="s">
        <v>87</v>
      </c>
      <c r="K667" s="13" t="s">
        <v>94</v>
      </c>
      <c r="L667" s="34" t="str">
        <f>VLOOKUP(D667,Products!$A$2:$F$61,3,FALSE)</f>
        <v>Beauty</v>
      </c>
      <c r="M667" s="34" t="str">
        <f>VLOOKUP(C667,Customers!$A$2:$F$301,5,FALSE)</f>
        <v>SMB</v>
      </c>
      <c r="N667" s="34">
        <f>VLOOKUP(C667,Customers!$A$2:$F$301,3,FALSE)</f>
        <v>53</v>
      </c>
      <c r="O667" s="34" t="str">
        <f>VLOOKUP(E667,Sales_Reps!$A$2:$E$31,3,FALSE)</f>
        <v>South</v>
      </c>
      <c r="P667" s="13" t="s">
        <v>252</v>
      </c>
      <c r="Q667" s="34">
        <f t="shared" si="24"/>
        <v>811524.37999999989</v>
      </c>
      <c r="R667" s="34" t="str">
        <f>VLOOKUP(E667,Sales_Reps!$A$2:$E$100,3,FALSE)</f>
        <v>South</v>
      </c>
      <c r="S667" s="34" t="str">
        <f t="shared" si="25"/>
        <v>Beauty</v>
      </c>
      <c r="T667" s="38">
        <f>VLOOKUP(D667,Products!$A$2:$F$68,4,FALSE)</f>
        <v>647</v>
      </c>
    </row>
    <row r="668" spans="1:20" x14ac:dyDescent="0.35">
      <c r="A668" s="13" t="s">
        <v>1129</v>
      </c>
      <c r="B668" s="14">
        <v>45326</v>
      </c>
      <c r="C668" s="13" t="s">
        <v>705</v>
      </c>
      <c r="D668" s="13" t="s">
        <v>226</v>
      </c>
      <c r="E668" s="13" t="s">
        <v>325</v>
      </c>
      <c r="F668" s="15">
        <v>8</v>
      </c>
      <c r="G668" s="15">
        <v>3730</v>
      </c>
      <c r="H668" s="15">
        <v>21.1</v>
      </c>
      <c r="I668" s="15">
        <v>23543.759999999998</v>
      </c>
      <c r="J668" s="13" t="s">
        <v>87</v>
      </c>
      <c r="K668" s="13" t="s">
        <v>99</v>
      </c>
      <c r="L668" s="34" t="str">
        <f>VLOOKUP(D668,Products!$A$2:$F$61,3,FALSE)</f>
        <v>Home</v>
      </c>
      <c r="M668" s="34" t="str">
        <f>VLOOKUP(C668,Customers!$A$2:$F$301,5,FALSE)</f>
        <v>Retail</v>
      </c>
      <c r="N668" s="34">
        <f>VLOOKUP(C668,Customers!$A$2:$F$301,3,FALSE)</f>
        <v>53</v>
      </c>
      <c r="O668" s="34" t="str">
        <f>VLOOKUP(E668,Sales_Reps!$A$2:$E$31,3,FALSE)</f>
        <v>South</v>
      </c>
      <c r="P668" s="13" t="s">
        <v>325</v>
      </c>
      <c r="Q668" s="34">
        <f t="shared" si="24"/>
        <v>901394.32000000007</v>
      </c>
      <c r="R668" s="34" t="str">
        <f>VLOOKUP(E668,Sales_Reps!$A$2:$E$100,3,FALSE)</f>
        <v>South</v>
      </c>
      <c r="S668" s="34" t="str">
        <f t="shared" si="25"/>
        <v>Home</v>
      </c>
      <c r="T668" s="38">
        <f>VLOOKUP(D668,Products!$A$2:$F$68,4,FALSE)</f>
        <v>2135</v>
      </c>
    </row>
    <row r="669" spans="1:20" x14ac:dyDescent="0.35">
      <c r="A669" s="13" t="s">
        <v>1130</v>
      </c>
      <c r="B669" s="14">
        <v>45635</v>
      </c>
      <c r="C669" s="13" t="s">
        <v>247</v>
      </c>
      <c r="D669" s="13" t="s">
        <v>200</v>
      </c>
      <c r="E669" s="13" t="s">
        <v>154</v>
      </c>
      <c r="F669" s="15">
        <v>7</v>
      </c>
      <c r="G669" s="15">
        <v>2760</v>
      </c>
      <c r="H669" s="15">
        <v>1.2</v>
      </c>
      <c r="I669" s="15">
        <v>19088.16</v>
      </c>
      <c r="J669" s="13" t="s">
        <v>140</v>
      </c>
      <c r="K669" s="13" t="s">
        <v>117</v>
      </c>
      <c r="L669" s="34" t="str">
        <f>VLOOKUP(D669,Products!$A$2:$F$61,3,FALSE)</f>
        <v>Grocery</v>
      </c>
      <c r="M669" s="34" t="str">
        <f>VLOOKUP(C669,Customers!$A$2:$F$301,5,FALSE)</f>
        <v>Retail</v>
      </c>
      <c r="N669" s="34">
        <f>VLOOKUP(C669,Customers!$A$2:$F$301,3,FALSE)</f>
        <v>34</v>
      </c>
      <c r="O669" s="34" t="str">
        <f>VLOOKUP(E669,Sales_Reps!$A$2:$E$31,3,FALSE)</f>
        <v>East</v>
      </c>
      <c r="P669" s="13" t="s">
        <v>154</v>
      </c>
      <c r="Q669" s="34">
        <f t="shared" si="24"/>
        <v>983787.4800000001</v>
      </c>
      <c r="R669" s="34" t="str">
        <f>VLOOKUP(E669,Sales_Reps!$A$2:$E$100,3,FALSE)</f>
        <v>East</v>
      </c>
      <c r="S669" s="34" t="str">
        <f t="shared" si="25"/>
        <v>Grocery</v>
      </c>
      <c r="T669" s="38">
        <f>VLOOKUP(D669,Products!$A$2:$F$68,4,FALSE)</f>
        <v>1435</v>
      </c>
    </row>
    <row r="670" spans="1:20" x14ac:dyDescent="0.35">
      <c r="A670" s="13" t="s">
        <v>1131</v>
      </c>
      <c r="B670" s="14">
        <v>45431</v>
      </c>
      <c r="C670" s="13" t="s">
        <v>362</v>
      </c>
      <c r="D670" s="13" t="s">
        <v>408</v>
      </c>
      <c r="E670" s="13" t="s">
        <v>192</v>
      </c>
      <c r="F670" s="15">
        <v>3</v>
      </c>
      <c r="G670" s="15">
        <v>3970</v>
      </c>
      <c r="H670" s="15">
        <v>18.3</v>
      </c>
      <c r="I670" s="15">
        <v>9730.4699999999993</v>
      </c>
      <c r="J670" s="13" t="s">
        <v>87</v>
      </c>
      <c r="K670" s="13" t="s">
        <v>94</v>
      </c>
      <c r="L670" s="34" t="str">
        <f>VLOOKUP(D670,Products!$A$2:$F$61,3,FALSE)</f>
        <v>Electronics</v>
      </c>
      <c r="M670" s="34" t="str">
        <f>VLOOKUP(C670,Customers!$A$2:$F$301,5,FALSE)</f>
        <v>Corporate</v>
      </c>
      <c r="N670" s="34">
        <f>VLOOKUP(C670,Customers!$A$2:$F$301,3,FALSE)</f>
        <v>51</v>
      </c>
      <c r="O670" s="34" t="str">
        <f>VLOOKUP(E670,Sales_Reps!$A$2:$E$31,3,FALSE)</f>
        <v>East</v>
      </c>
      <c r="P670" s="13" t="s">
        <v>192</v>
      </c>
      <c r="Q670" s="34">
        <f t="shared" si="24"/>
        <v>906107.71000000008</v>
      </c>
      <c r="R670" s="34" t="str">
        <f>VLOOKUP(E670,Sales_Reps!$A$2:$E$100,3,FALSE)</f>
        <v>East</v>
      </c>
      <c r="S670" s="34" t="str">
        <f t="shared" si="25"/>
        <v>Electronics</v>
      </c>
      <c r="T670" s="38">
        <f>VLOOKUP(D670,Products!$A$2:$F$68,4,FALSE)</f>
        <v>2865</v>
      </c>
    </row>
    <row r="671" spans="1:20" x14ac:dyDescent="0.35">
      <c r="A671" s="13" t="s">
        <v>1132</v>
      </c>
      <c r="B671" s="14">
        <v>45393</v>
      </c>
      <c r="C671" s="13" t="s">
        <v>394</v>
      </c>
      <c r="D671" s="13" t="s">
        <v>234</v>
      </c>
      <c r="E671" s="13" t="s">
        <v>154</v>
      </c>
      <c r="F671" s="15">
        <v>4</v>
      </c>
      <c r="G671" s="15">
        <v>3780</v>
      </c>
      <c r="H671" s="15">
        <v>24.6</v>
      </c>
      <c r="I671" s="15">
        <v>11400.48</v>
      </c>
      <c r="J671" s="13" t="s">
        <v>87</v>
      </c>
      <c r="K671" s="13" t="s">
        <v>117</v>
      </c>
      <c r="L671" s="34" t="str">
        <f>VLOOKUP(D671,Products!$A$2:$F$61,3,FALSE)</f>
        <v>Grocery</v>
      </c>
      <c r="M671" s="34" t="str">
        <f>VLOOKUP(C671,Customers!$A$2:$F$301,5,FALSE)</f>
        <v>SMB</v>
      </c>
      <c r="N671" s="34">
        <f>VLOOKUP(C671,Customers!$A$2:$F$301,3,FALSE)</f>
        <v>28</v>
      </c>
      <c r="O671" s="34" t="str">
        <f>VLOOKUP(E671,Sales_Reps!$A$2:$E$31,3,FALSE)</f>
        <v>East</v>
      </c>
      <c r="P671" s="13" t="s">
        <v>154</v>
      </c>
      <c r="Q671" s="34">
        <f t="shared" si="24"/>
        <v>983787.4800000001</v>
      </c>
      <c r="R671" s="34" t="str">
        <f>VLOOKUP(E671,Sales_Reps!$A$2:$E$100,3,FALSE)</f>
        <v>East</v>
      </c>
      <c r="S671" s="34" t="str">
        <f t="shared" si="25"/>
        <v>Grocery</v>
      </c>
      <c r="T671" s="38">
        <f>VLOOKUP(D671,Products!$A$2:$F$68,4,FALSE)</f>
        <v>2436</v>
      </c>
    </row>
    <row r="672" spans="1:20" x14ac:dyDescent="0.35">
      <c r="A672" s="13" t="s">
        <v>1133</v>
      </c>
      <c r="B672" s="14">
        <v>45295</v>
      </c>
      <c r="C672" s="13" t="s">
        <v>835</v>
      </c>
      <c r="D672" s="13" t="s">
        <v>173</v>
      </c>
      <c r="E672" s="13" t="s">
        <v>107</v>
      </c>
      <c r="F672" s="15">
        <v>10</v>
      </c>
      <c r="G672" s="15">
        <v>2720</v>
      </c>
      <c r="H672" s="15">
        <v>12.8</v>
      </c>
      <c r="I672" s="15">
        <v>23718.400000000001</v>
      </c>
      <c r="J672" s="13" t="s">
        <v>87</v>
      </c>
      <c r="K672" s="13" t="s">
        <v>117</v>
      </c>
      <c r="L672" s="34" t="str">
        <f>VLOOKUP(D672,Products!$A$2:$F$61,3,FALSE)</f>
        <v>Apparel</v>
      </c>
      <c r="M672" s="34" t="str">
        <f>VLOOKUP(C672,Customers!$A$2:$F$301,5,FALSE)</f>
        <v>Retail</v>
      </c>
      <c r="N672" s="34">
        <f>VLOOKUP(C672,Customers!$A$2:$F$301,3,FALSE)</f>
        <v>52</v>
      </c>
      <c r="O672" s="34" t="str">
        <f>VLOOKUP(E672,Sales_Reps!$A$2:$E$31,3,FALSE)</f>
        <v>North</v>
      </c>
      <c r="P672" s="13" t="s">
        <v>107</v>
      </c>
      <c r="Q672" s="34">
        <f t="shared" si="24"/>
        <v>861553.33</v>
      </c>
      <c r="R672" s="34" t="str">
        <f>VLOOKUP(E672,Sales_Reps!$A$2:$E$100,3,FALSE)</f>
        <v>North</v>
      </c>
      <c r="S672" s="34" t="str">
        <f t="shared" si="25"/>
        <v>Apparel</v>
      </c>
      <c r="T672" s="38">
        <f>VLOOKUP(D672,Products!$A$2:$F$68,4,FALSE)</f>
        <v>1962</v>
      </c>
    </row>
    <row r="673" spans="1:20" x14ac:dyDescent="0.35">
      <c r="A673" s="13" t="s">
        <v>1134</v>
      </c>
      <c r="B673" s="14">
        <v>45371</v>
      </c>
      <c r="C673" s="13" t="s">
        <v>336</v>
      </c>
      <c r="D673" s="13" t="s">
        <v>408</v>
      </c>
      <c r="E673" s="13" t="s">
        <v>238</v>
      </c>
      <c r="F673" s="15">
        <v>5</v>
      </c>
      <c r="G673" s="15">
        <v>3970</v>
      </c>
      <c r="H673" s="15">
        <v>5.9</v>
      </c>
      <c r="I673" s="15">
        <v>18678.849999999999</v>
      </c>
      <c r="J673" s="13" t="s">
        <v>87</v>
      </c>
      <c r="K673" s="13" t="s">
        <v>112</v>
      </c>
      <c r="L673" s="34" t="str">
        <f>VLOOKUP(D673,Products!$A$2:$F$61,3,FALSE)</f>
        <v>Electronics</v>
      </c>
      <c r="M673" s="34" t="str">
        <f>VLOOKUP(C673,Customers!$A$2:$F$301,5,FALSE)</f>
        <v>Retail</v>
      </c>
      <c r="N673" s="34">
        <f>VLOOKUP(C673,Customers!$A$2:$F$301,3,FALSE)</f>
        <v>49</v>
      </c>
      <c r="O673" s="34" t="str">
        <f>VLOOKUP(E673,Sales_Reps!$A$2:$E$31,3,FALSE)</f>
        <v>East</v>
      </c>
      <c r="P673" s="13" t="s">
        <v>238</v>
      </c>
      <c r="Q673" s="34">
        <f t="shared" si="24"/>
        <v>780384.40999999992</v>
      </c>
      <c r="R673" s="34" t="str">
        <f>VLOOKUP(E673,Sales_Reps!$A$2:$E$100,3,FALSE)</f>
        <v>East</v>
      </c>
      <c r="S673" s="34" t="str">
        <f t="shared" si="25"/>
        <v>Electronics</v>
      </c>
      <c r="T673" s="38">
        <f>VLOOKUP(D673,Products!$A$2:$F$68,4,FALSE)</f>
        <v>2865</v>
      </c>
    </row>
    <row r="674" spans="1:20" x14ac:dyDescent="0.35">
      <c r="A674" s="13" t="s">
        <v>1135</v>
      </c>
      <c r="B674" s="14">
        <v>45601</v>
      </c>
      <c r="C674" s="13" t="s">
        <v>142</v>
      </c>
      <c r="D674" s="13" t="s">
        <v>91</v>
      </c>
      <c r="E674" s="13" t="s">
        <v>273</v>
      </c>
      <c r="F674" s="15">
        <v>3</v>
      </c>
      <c r="G674" s="15">
        <v>820</v>
      </c>
      <c r="H674" s="15">
        <v>19.399999999999999</v>
      </c>
      <c r="I674" s="15">
        <v>1982.76</v>
      </c>
      <c r="J674" s="13" t="s">
        <v>87</v>
      </c>
      <c r="K674" s="13" t="s">
        <v>88</v>
      </c>
      <c r="L674" s="34" t="str">
        <f>VLOOKUP(D674,Products!$A$2:$F$61,3,FALSE)</f>
        <v>Apparel</v>
      </c>
      <c r="M674" s="34" t="str">
        <f>VLOOKUP(C674,Customers!$A$2:$F$301,5,FALSE)</f>
        <v>SMB</v>
      </c>
      <c r="N674" s="34">
        <f>VLOOKUP(C674,Customers!$A$2:$F$301,3,FALSE)</f>
        <v>39</v>
      </c>
      <c r="O674" s="34" t="str">
        <f>VLOOKUP(E674,Sales_Reps!$A$2:$E$31,3,FALSE)</f>
        <v>South</v>
      </c>
      <c r="P674" s="13" t="s">
        <v>273</v>
      </c>
      <c r="Q674" s="34">
        <f t="shared" si="24"/>
        <v>735207.75999999989</v>
      </c>
      <c r="R674" s="34" t="str">
        <f>VLOOKUP(E674,Sales_Reps!$A$2:$E$100,3,FALSE)</f>
        <v>South</v>
      </c>
      <c r="S674" s="34" t="str">
        <f t="shared" si="25"/>
        <v>Apparel</v>
      </c>
      <c r="T674" s="38">
        <f>VLOOKUP(D674,Products!$A$2:$F$68,4,FALSE)</f>
        <v>391</v>
      </c>
    </row>
    <row r="675" spans="1:20" x14ac:dyDescent="0.35">
      <c r="A675" s="13" t="s">
        <v>1136</v>
      </c>
      <c r="B675" s="14">
        <v>45471</v>
      </c>
      <c r="C675" s="13" t="s">
        <v>555</v>
      </c>
      <c r="D675" s="13" t="s">
        <v>292</v>
      </c>
      <c r="E675" s="13" t="s">
        <v>132</v>
      </c>
      <c r="F675" s="15">
        <v>7</v>
      </c>
      <c r="G675" s="15">
        <v>620</v>
      </c>
      <c r="H675" s="15">
        <v>9.9</v>
      </c>
      <c r="I675" s="15">
        <v>3910.34</v>
      </c>
      <c r="J675" s="13" t="s">
        <v>87</v>
      </c>
      <c r="K675" s="13" t="s">
        <v>112</v>
      </c>
      <c r="L675" s="34" t="str">
        <f>VLOOKUP(D675,Products!$A$2:$F$61,3,FALSE)</f>
        <v>Apparel</v>
      </c>
      <c r="M675" s="34" t="str">
        <f>VLOOKUP(C675,Customers!$A$2:$F$301,5,FALSE)</f>
        <v>Retail</v>
      </c>
      <c r="N675" s="34">
        <f>VLOOKUP(C675,Customers!$A$2:$F$301,3,FALSE)</f>
        <v>37</v>
      </c>
      <c r="O675" s="34" t="str">
        <f>VLOOKUP(E675,Sales_Reps!$A$2:$E$31,3,FALSE)</f>
        <v>South</v>
      </c>
      <c r="P675" s="13" t="s">
        <v>132</v>
      </c>
      <c r="Q675" s="34">
        <f t="shared" si="24"/>
        <v>880345.20000000007</v>
      </c>
      <c r="R675" s="34" t="str">
        <f>VLOOKUP(E675,Sales_Reps!$A$2:$E$100,3,FALSE)</f>
        <v>South</v>
      </c>
      <c r="S675" s="34" t="str">
        <f t="shared" si="25"/>
        <v>Apparel</v>
      </c>
      <c r="T675" s="38">
        <f>VLOOKUP(D675,Products!$A$2:$F$68,4,FALSE)</f>
        <v>396</v>
      </c>
    </row>
    <row r="676" spans="1:20" x14ac:dyDescent="0.35">
      <c r="A676" s="13" t="s">
        <v>1137</v>
      </c>
      <c r="B676" s="14">
        <v>45318</v>
      </c>
      <c r="C676" s="13" t="s">
        <v>669</v>
      </c>
      <c r="D676" s="13" t="s">
        <v>386</v>
      </c>
      <c r="E676" s="13" t="s">
        <v>343</v>
      </c>
      <c r="F676" s="15">
        <v>8</v>
      </c>
      <c r="G676" s="15">
        <v>2290</v>
      </c>
      <c r="H676" s="15">
        <v>18.3</v>
      </c>
      <c r="I676" s="15">
        <v>14967.44</v>
      </c>
      <c r="J676" s="13" t="s">
        <v>87</v>
      </c>
      <c r="K676" s="13" t="s">
        <v>133</v>
      </c>
      <c r="L676" s="34" t="str">
        <f>VLOOKUP(D676,Products!$A$2:$F$61,3,FALSE)</f>
        <v>Beauty</v>
      </c>
      <c r="M676" s="34" t="str">
        <f>VLOOKUP(C676,Customers!$A$2:$F$301,5,FALSE)</f>
        <v>Retail</v>
      </c>
      <c r="N676" s="34">
        <f>VLOOKUP(C676,Customers!$A$2:$F$301,3,FALSE)</f>
        <v>31</v>
      </c>
      <c r="O676" s="34" t="str">
        <f>VLOOKUP(E676,Sales_Reps!$A$2:$E$31,3,FALSE)</f>
        <v>West</v>
      </c>
      <c r="P676" s="13" t="s">
        <v>343</v>
      </c>
      <c r="Q676" s="34">
        <f t="shared" si="24"/>
        <v>917092.61999999965</v>
      </c>
      <c r="R676" s="34" t="str">
        <f>VLOOKUP(E676,Sales_Reps!$A$2:$E$100,3,FALSE)</f>
        <v>West</v>
      </c>
      <c r="S676" s="34" t="str">
        <f t="shared" si="25"/>
        <v>Beauty</v>
      </c>
      <c r="T676" s="38">
        <f>VLOOKUP(D676,Products!$A$2:$F$68,4,FALSE)</f>
        <v>1219</v>
      </c>
    </row>
    <row r="677" spans="1:20" x14ac:dyDescent="0.35">
      <c r="A677" s="13" t="s">
        <v>1138</v>
      </c>
      <c r="B677" s="14">
        <v>45364</v>
      </c>
      <c r="C677" s="13" t="s">
        <v>567</v>
      </c>
      <c r="D677" s="13" t="s">
        <v>127</v>
      </c>
      <c r="E677" s="13" t="s">
        <v>111</v>
      </c>
      <c r="F677" s="15">
        <v>3</v>
      </c>
      <c r="G677" s="15">
        <v>970</v>
      </c>
      <c r="H677" s="15">
        <v>18.399999999999999</v>
      </c>
      <c r="I677" s="15">
        <v>2374.56</v>
      </c>
      <c r="J677" s="13" t="s">
        <v>87</v>
      </c>
      <c r="K677" s="13" t="s">
        <v>117</v>
      </c>
      <c r="L677" s="34" t="str">
        <f>VLOOKUP(D677,Products!$A$2:$F$61,3,FALSE)</f>
        <v>Grocery</v>
      </c>
      <c r="M677" s="34" t="str">
        <f>VLOOKUP(C677,Customers!$A$2:$F$301,5,FALSE)</f>
        <v>Corporate</v>
      </c>
      <c r="N677" s="34">
        <f>VLOOKUP(C677,Customers!$A$2:$F$301,3,FALSE)</f>
        <v>41</v>
      </c>
      <c r="O677" s="34" t="str">
        <f>VLOOKUP(E677,Sales_Reps!$A$2:$E$31,3,FALSE)</f>
        <v>West</v>
      </c>
      <c r="P677" s="13" t="s">
        <v>111</v>
      </c>
      <c r="Q677" s="34">
        <f t="shared" si="24"/>
        <v>901298.89</v>
      </c>
      <c r="R677" s="34" t="str">
        <f>VLOOKUP(E677,Sales_Reps!$A$2:$E$100,3,FALSE)</f>
        <v>West</v>
      </c>
      <c r="S677" s="34" t="str">
        <f t="shared" si="25"/>
        <v>Grocery</v>
      </c>
      <c r="T677" s="38">
        <f>VLOOKUP(D677,Products!$A$2:$F$68,4,FALSE)</f>
        <v>434</v>
      </c>
    </row>
    <row r="678" spans="1:20" x14ac:dyDescent="0.35">
      <c r="A678" s="13" t="s">
        <v>1139</v>
      </c>
      <c r="B678" s="14">
        <v>45419</v>
      </c>
      <c r="C678" s="13" t="s">
        <v>968</v>
      </c>
      <c r="D678" s="13" t="s">
        <v>110</v>
      </c>
      <c r="E678" s="13" t="s">
        <v>98</v>
      </c>
      <c r="F678" s="15">
        <v>2</v>
      </c>
      <c r="G678" s="15">
        <v>370</v>
      </c>
      <c r="H678" s="15">
        <v>8.9</v>
      </c>
      <c r="I678" s="15">
        <v>674.14</v>
      </c>
      <c r="J678" s="13" t="s">
        <v>87</v>
      </c>
      <c r="K678" s="13" t="s">
        <v>99</v>
      </c>
      <c r="L678" s="34" t="str">
        <f>VLOOKUP(D678,Products!$A$2:$F$61,3,FALSE)</f>
        <v>Home</v>
      </c>
      <c r="M678" s="34" t="str">
        <f>VLOOKUP(C678,Customers!$A$2:$F$301,5,FALSE)</f>
        <v>Retail</v>
      </c>
      <c r="N678" s="34">
        <f>VLOOKUP(C678,Customers!$A$2:$F$301,3,FALSE)</f>
        <v>47</v>
      </c>
      <c r="O678" s="34" t="str">
        <f>VLOOKUP(E678,Sales_Reps!$A$2:$E$31,3,FALSE)</f>
        <v>South</v>
      </c>
      <c r="P678" s="13" t="s">
        <v>98</v>
      </c>
      <c r="Q678" s="34">
        <f t="shared" si="24"/>
        <v>995713.54000000015</v>
      </c>
      <c r="R678" s="34" t="str">
        <f>VLOOKUP(E678,Sales_Reps!$A$2:$E$100,3,FALSE)</f>
        <v>South</v>
      </c>
      <c r="S678" s="34" t="str">
        <f t="shared" si="25"/>
        <v>Home</v>
      </c>
      <c r="T678" s="38">
        <f>VLOOKUP(D678,Products!$A$2:$F$68,4,FALSE)</f>
        <v>288</v>
      </c>
    </row>
    <row r="679" spans="1:20" x14ac:dyDescent="0.35">
      <c r="A679" s="13" t="s">
        <v>1140</v>
      </c>
      <c r="B679" s="14">
        <v>45632</v>
      </c>
      <c r="C679" s="13" t="s">
        <v>725</v>
      </c>
      <c r="D679" s="13" t="s">
        <v>120</v>
      </c>
      <c r="E679" s="13" t="s">
        <v>86</v>
      </c>
      <c r="F679" s="15">
        <v>1</v>
      </c>
      <c r="G679" s="15">
        <v>1430</v>
      </c>
      <c r="H679" s="15">
        <v>5.9</v>
      </c>
      <c r="I679" s="15">
        <v>1345.63</v>
      </c>
      <c r="J679" s="13" t="s">
        <v>140</v>
      </c>
      <c r="K679" s="13" t="s">
        <v>99</v>
      </c>
      <c r="L679" s="34" t="str">
        <f>VLOOKUP(D679,Products!$A$2:$F$61,3,FALSE)</f>
        <v>Electronics</v>
      </c>
      <c r="M679" s="34" t="str">
        <f>VLOOKUP(C679,Customers!$A$2:$F$301,5,FALSE)</f>
        <v>SMB</v>
      </c>
      <c r="N679" s="34">
        <f>VLOOKUP(C679,Customers!$A$2:$F$301,3,FALSE)</f>
        <v>26</v>
      </c>
      <c r="O679" s="34" t="str">
        <f>VLOOKUP(E679,Sales_Reps!$A$2:$E$31,3,FALSE)</f>
        <v>North</v>
      </c>
      <c r="P679" s="13" t="s">
        <v>86</v>
      </c>
      <c r="Q679" s="34">
        <f t="shared" si="24"/>
        <v>855749.67999999982</v>
      </c>
      <c r="R679" s="34" t="str">
        <f>VLOOKUP(E679,Sales_Reps!$A$2:$E$100,3,FALSE)</f>
        <v>North</v>
      </c>
      <c r="S679" s="34" t="str">
        <f t="shared" si="25"/>
        <v>Electronics</v>
      </c>
      <c r="T679" s="38">
        <f>VLOOKUP(D679,Products!$A$2:$F$68,4,FALSE)</f>
        <v>861</v>
      </c>
    </row>
    <row r="680" spans="1:20" x14ac:dyDescent="0.35">
      <c r="A680" s="13" t="s">
        <v>1141</v>
      </c>
      <c r="B680" s="14">
        <v>45494</v>
      </c>
      <c r="C680" s="13" t="s">
        <v>837</v>
      </c>
      <c r="D680" s="13" t="s">
        <v>151</v>
      </c>
      <c r="E680" s="13" t="s">
        <v>170</v>
      </c>
      <c r="F680" s="15">
        <v>2</v>
      </c>
      <c r="G680" s="15">
        <v>2400</v>
      </c>
      <c r="H680" s="15">
        <v>29.1</v>
      </c>
      <c r="I680" s="15">
        <v>3403.2</v>
      </c>
      <c r="J680" s="13" t="s">
        <v>87</v>
      </c>
      <c r="K680" s="13" t="s">
        <v>117</v>
      </c>
      <c r="L680" s="34" t="str">
        <f>VLOOKUP(D680,Products!$A$2:$F$61,3,FALSE)</f>
        <v>Sports</v>
      </c>
      <c r="M680" s="34" t="str">
        <f>VLOOKUP(C680,Customers!$A$2:$F$301,5,FALSE)</f>
        <v>Retail</v>
      </c>
      <c r="N680" s="34">
        <f>VLOOKUP(C680,Customers!$A$2:$F$301,3,FALSE)</f>
        <v>37</v>
      </c>
      <c r="O680" s="34" t="str">
        <f>VLOOKUP(E680,Sales_Reps!$A$2:$E$31,3,FALSE)</f>
        <v>West</v>
      </c>
      <c r="P680" s="13" t="s">
        <v>170</v>
      </c>
      <c r="Q680" s="34">
        <f t="shared" si="24"/>
        <v>747624.36999999988</v>
      </c>
      <c r="R680" s="34" t="str">
        <f>VLOOKUP(E680,Sales_Reps!$A$2:$E$100,3,FALSE)</f>
        <v>West</v>
      </c>
      <c r="S680" s="34" t="str">
        <f t="shared" si="25"/>
        <v>Sports</v>
      </c>
      <c r="T680" s="38">
        <f>VLOOKUP(D680,Products!$A$2:$F$68,4,FALSE)</f>
        <v>974</v>
      </c>
    </row>
    <row r="681" spans="1:20" x14ac:dyDescent="0.35">
      <c r="A681" s="13" t="s">
        <v>1142</v>
      </c>
      <c r="B681" s="14">
        <v>45337</v>
      </c>
      <c r="C681" s="13" t="s">
        <v>399</v>
      </c>
      <c r="D681" s="13" t="s">
        <v>120</v>
      </c>
      <c r="E681" s="13" t="s">
        <v>273</v>
      </c>
      <c r="F681" s="15">
        <v>9</v>
      </c>
      <c r="G681" s="15">
        <v>1430</v>
      </c>
      <c r="H681" s="15">
        <v>6</v>
      </c>
      <c r="I681" s="15">
        <v>12097.8</v>
      </c>
      <c r="J681" s="13" t="s">
        <v>87</v>
      </c>
      <c r="K681" s="13" t="s">
        <v>99</v>
      </c>
      <c r="L681" s="34" t="str">
        <f>VLOOKUP(D681,Products!$A$2:$F$61,3,FALSE)</f>
        <v>Electronics</v>
      </c>
      <c r="M681" s="34" t="str">
        <f>VLOOKUP(C681,Customers!$A$2:$F$301,5,FALSE)</f>
        <v>SMB</v>
      </c>
      <c r="N681" s="34">
        <f>VLOOKUP(C681,Customers!$A$2:$F$301,3,FALSE)</f>
        <v>53</v>
      </c>
      <c r="O681" s="34" t="str">
        <f>VLOOKUP(E681,Sales_Reps!$A$2:$E$31,3,FALSE)</f>
        <v>South</v>
      </c>
      <c r="P681" s="13" t="s">
        <v>273</v>
      </c>
      <c r="Q681" s="34">
        <f t="shared" si="24"/>
        <v>735207.75999999989</v>
      </c>
      <c r="R681" s="34" t="str">
        <f>VLOOKUP(E681,Sales_Reps!$A$2:$E$100,3,FALSE)</f>
        <v>South</v>
      </c>
      <c r="S681" s="34" t="str">
        <f t="shared" si="25"/>
        <v>Electronics</v>
      </c>
      <c r="T681" s="38">
        <f>VLOOKUP(D681,Products!$A$2:$F$68,4,FALSE)</f>
        <v>861</v>
      </c>
    </row>
    <row r="682" spans="1:20" x14ac:dyDescent="0.35">
      <c r="A682" s="13" t="s">
        <v>1143</v>
      </c>
      <c r="B682" s="14">
        <v>45510</v>
      </c>
      <c r="C682" s="13" t="s">
        <v>595</v>
      </c>
      <c r="D682" s="13" t="s">
        <v>173</v>
      </c>
      <c r="E682" s="13" t="s">
        <v>86</v>
      </c>
      <c r="F682" s="15">
        <v>8</v>
      </c>
      <c r="G682" s="15">
        <v>2720</v>
      </c>
      <c r="H682" s="15">
        <v>25.7</v>
      </c>
      <c r="I682" s="15">
        <v>16167.68</v>
      </c>
      <c r="J682" s="13" t="s">
        <v>87</v>
      </c>
      <c r="K682" s="13" t="s">
        <v>99</v>
      </c>
      <c r="L682" s="34" t="str">
        <f>VLOOKUP(D682,Products!$A$2:$F$61,3,FALSE)</f>
        <v>Apparel</v>
      </c>
      <c r="M682" s="34" t="str">
        <f>VLOOKUP(C682,Customers!$A$2:$F$301,5,FALSE)</f>
        <v>SMB</v>
      </c>
      <c r="N682" s="34">
        <f>VLOOKUP(C682,Customers!$A$2:$F$301,3,FALSE)</f>
        <v>48</v>
      </c>
      <c r="O682" s="34" t="str">
        <f>VLOOKUP(E682,Sales_Reps!$A$2:$E$31,3,FALSE)</f>
        <v>North</v>
      </c>
      <c r="P682" s="13" t="s">
        <v>86</v>
      </c>
      <c r="Q682" s="34">
        <f t="shared" si="24"/>
        <v>855749.67999999982</v>
      </c>
      <c r="R682" s="34" t="str">
        <f>VLOOKUP(E682,Sales_Reps!$A$2:$E$100,3,FALSE)</f>
        <v>North</v>
      </c>
      <c r="S682" s="34" t="str">
        <f t="shared" si="25"/>
        <v>Apparel</v>
      </c>
      <c r="T682" s="38">
        <f>VLOOKUP(D682,Products!$A$2:$F$68,4,FALSE)</f>
        <v>1962</v>
      </c>
    </row>
    <row r="683" spans="1:20" x14ac:dyDescent="0.35">
      <c r="A683" s="13" t="s">
        <v>1144</v>
      </c>
      <c r="B683" s="14">
        <v>45572</v>
      </c>
      <c r="C683" s="13" t="s">
        <v>717</v>
      </c>
      <c r="D683" s="13" t="s">
        <v>515</v>
      </c>
      <c r="E683" s="13" t="s">
        <v>343</v>
      </c>
      <c r="F683" s="15">
        <v>6</v>
      </c>
      <c r="G683" s="15">
        <v>6940</v>
      </c>
      <c r="H683" s="15">
        <v>25.7</v>
      </c>
      <c r="I683" s="15">
        <v>30938.52</v>
      </c>
      <c r="J683" s="13" t="s">
        <v>87</v>
      </c>
      <c r="K683" s="13" t="s">
        <v>94</v>
      </c>
      <c r="L683" s="34" t="str">
        <f>VLOOKUP(D683,Products!$A$2:$F$61,3,FALSE)</f>
        <v>Sports</v>
      </c>
      <c r="M683" s="34" t="str">
        <f>VLOOKUP(C683,Customers!$A$2:$F$301,5,FALSE)</f>
        <v>Retail</v>
      </c>
      <c r="N683" s="34">
        <f>VLOOKUP(C683,Customers!$A$2:$F$301,3,FALSE)</f>
        <v>24</v>
      </c>
      <c r="O683" s="34" t="str">
        <f>VLOOKUP(E683,Sales_Reps!$A$2:$E$31,3,FALSE)</f>
        <v>West</v>
      </c>
      <c r="P683" s="13" t="s">
        <v>343</v>
      </c>
      <c r="Q683" s="34">
        <f t="shared" si="24"/>
        <v>917092.61999999965</v>
      </c>
      <c r="R683" s="34" t="str">
        <f>VLOOKUP(E683,Sales_Reps!$A$2:$E$100,3,FALSE)</f>
        <v>West</v>
      </c>
      <c r="S683" s="34" t="str">
        <f t="shared" si="25"/>
        <v>Sports</v>
      </c>
      <c r="T683" s="38">
        <f>VLOOKUP(D683,Products!$A$2:$F$68,4,FALSE)</f>
        <v>2827</v>
      </c>
    </row>
    <row r="684" spans="1:20" x14ac:dyDescent="0.35">
      <c r="A684" s="13" t="s">
        <v>1145</v>
      </c>
      <c r="B684" s="14">
        <v>45472</v>
      </c>
      <c r="C684" s="13" t="s">
        <v>768</v>
      </c>
      <c r="D684" s="13" t="s">
        <v>85</v>
      </c>
      <c r="E684" s="13" t="s">
        <v>86</v>
      </c>
      <c r="F684" s="15">
        <v>3</v>
      </c>
      <c r="G684" s="15">
        <v>3620</v>
      </c>
      <c r="H684" s="15">
        <v>29.7</v>
      </c>
      <c r="I684" s="15">
        <v>7634.58</v>
      </c>
      <c r="J684" s="13" t="s">
        <v>87</v>
      </c>
      <c r="K684" s="13" t="s">
        <v>88</v>
      </c>
      <c r="L684" s="34" t="str">
        <f>VLOOKUP(D684,Products!$A$2:$F$61,3,FALSE)</f>
        <v>Apparel</v>
      </c>
      <c r="M684" s="34" t="str">
        <f>VLOOKUP(C684,Customers!$A$2:$F$301,5,FALSE)</f>
        <v>Corporate</v>
      </c>
      <c r="N684" s="34">
        <f>VLOOKUP(C684,Customers!$A$2:$F$301,3,FALSE)</f>
        <v>42</v>
      </c>
      <c r="O684" s="34" t="str">
        <f>VLOOKUP(E684,Sales_Reps!$A$2:$E$31,3,FALSE)</f>
        <v>North</v>
      </c>
      <c r="P684" s="13" t="s">
        <v>86</v>
      </c>
      <c r="Q684" s="34">
        <f t="shared" si="24"/>
        <v>855749.67999999982</v>
      </c>
      <c r="R684" s="34" t="str">
        <f>VLOOKUP(E684,Sales_Reps!$A$2:$E$100,3,FALSE)</f>
        <v>North</v>
      </c>
      <c r="S684" s="34" t="str">
        <f t="shared" si="25"/>
        <v>Apparel</v>
      </c>
      <c r="T684" s="38">
        <f>VLOOKUP(D684,Products!$A$2:$F$68,4,FALSE)</f>
        <v>2509</v>
      </c>
    </row>
    <row r="685" spans="1:20" x14ac:dyDescent="0.35">
      <c r="A685" s="13" t="s">
        <v>1146</v>
      </c>
      <c r="B685" s="14">
        <v>45615</v>
      </c>
      <c r="C685" s="13" t="s">
        <v>378</v>
      </c>
      <c r="D685" s="13" t="s">
        <v>135</v>
      </c>
      <c r="E685" s="13" t="s">
        <v>111</v>
      </c>
      <c r="F685" s="15">
        <v>8</v>
      </c>
      <c r="G685" s="15">
        <v>2640</v>
      </c>
      <c r="H685" s="15">
        <v>24.4</v>
      </c>
      <c r="I685" s="15">
        <v>15966.72</v>
      </c>
      <c r="J685" s="13" t="s">
        <v>87</v>
      </c>
      <c r="K685" s="13" t="s">
        <v>94</v>
      </c>
      <c r="L685" s="34" t="str">
        <f>VLOOKUP(D685,Products!$A$2:$F$61,3,FALSE)</f>
        <v>Electronics</v>
      </c>
      <c r="M685" s="34" t="str">
        <f>VLOOKUP(C685,Customers!$A$2:$F$301,5,FALSE)</f>
        <v>SMB</v>
      </c>
      <c r="N685" s="34">
        <f>VLOOKUP(C685,Customers!$A$2:$F$301,3,FALSE)</f>
        <v>53</v>
      </c>
      <c r="O685" s="34" t="str">
        <f>VLOOKUP(E685,Sales_Reps!$A$2:$E$31,3,FALSE)</f>
        <v>West</v>
      </c>
      <c r="P685" s="13" t="s">
        <v>111</v>
      </c>
      <c r="Q685" s="34">
        <f t="shared" si="24"/>
        <v>901298.89</v>
      </c>
      <c r="R685" s="34" t="str">
        <f>VLOOKUP(E685,Sales_Reps!$A$2:$E$100,3,FALSE)</f>
        <v>West</v>
      </c>
      <c r="S685" s="34" t="str">
        <f t="shared" si="25"/>
        <v>Electronics</v>
      </c>
      <c r="T685" s="38">
        <f>VLOOKUP(D685,Products!$A$2:$F$68,4,FALSE)</f>
        <v>1149</v>
      </c>
    </row>
    <row r="686" spans="1:20" x14ac:dyDescent="0.35">
      <c r="A686" s="13" t="s">
        <v>1147</v>
      </c>
      <c r="B686" s="14">
        <v>45349</v>
      </c>
      <c r="C686" s="13" t="s">
        <v>729</v>
      </c>
      <c r="D686" s="13" t="s">
        <v>124</v>
      </c>
      <c r="E686" s="13" t="s">
        <v>103</v>
      </c>
      <c r="F686" s="15">
        <v>3</v>
      </c>
      <c r="G686" s="15">
        <v>5490</v>
      </c>
      <c r="H686" s="15">
        <v>13.5</v>
      </c>
      <c r="I686" s="15">
        <v>14246.55</v>
      </c>
      <c r="J686" s="13" t="s">
        <v>87</v>
      </c>
      <c r="K686" s="13" t="s">
        <v>112</v>
      </c>
      <c r="L686" s="34" t="str">
        <f>VLOOKUP(D686,Products!$A$2:$F$61,3,FALSE)</f>
        <v>Home</v>
      </c>
      <c r="M686" s="34" t="str">
        <f>VLOOKUP(C686,Customers!$A$2:$F$301,5,FALSE)</f>
        <v>Retail</v>
      </c>
      <c r="N686" s="34">
        <f>VLOOKUP(C686,Customers!$A$2:$F$301,3,FALSE)</f>
        <v>56</v>
      </c>
      <c r="O686" s="34" t="str">
        <f>VLOOKUP(E686,Sales_Reps!$A$2:$E$31,3,FALSE)</f>
        <v>North</v>
      </c>
      <c r="P686" s="13" t="s">
        <v>103</v>
      </c>
      <c r="Q686" s="34">
        <f t="shared" si="24"/>
        <v>1138648.73</v>
      </c>
      <c r="R686" s="34" t="str">
        <f>VLOOKUP(E686,Sales_Reps!$A$2:$E$100,3,FALSE)</f>
        <v>North</v>
      </c>
      <c r="S686" s="34" t="str">
        <f t="shared" si="25"/>
        <v>Home</v>
      </c>
      <c r="T686" s="38">
        <f>VLOOKUP(D686,Products!$A$2:$F$68,4,FALSE)</f>
        <v>2549</v>
      </c>
    </row>
    <row r="687" spans="1:20" x14ac:dyDescent="0.35">
      <c r="A687" s="13" t="s">
        <v>1148</v>
      </c>
      <c r="B687" s="14">
        <v>45413</v>
      </c>
      <c r="C687" s="13" t="s">
        <v>142</v>
      </c>
      <c r="D687" s="13" t="s">
        <v>443</v>
      </c>
      <c r="E687" s="13" t="s">
        <v>238</v>
      </c>
      <c r="F687" s="15">
        <v>3</v>
      </c>
      <c r="G687" s="15">
        <v>5080</v>
      </c>
      <c r="H687" s="15">
        <v>9.3000000000000007</v>
      </c>
      <c r="I687" s="15">
        <v>13822.68</v>
      </c>
      <c r="J687" s="13" t="s">
        <v>87</v>
      </c>
      <c r="K687" s="13" t="s">
        <v>88</v>
      </c>
      <c r="L687" s="34" t="str">
        <f>VLOOKUP(D687,Products!$A$2:$F$61,3,FALSE)</f>
        <v>Home</v>
      </c>
      <c r="M687" s="34" t="str">
        <f>VLOOKUP(C687,Customers!$A$2:$F$301,5,FALSE)</f>
        <v>SMB</v>
      </c>
      <c r="N687" s="34">
        <f>VLOOKUP(C687,Customers!$A$2:$F$301,3,FALSE)</f>
        <v>39</v>
      </c>
      <c r="O687" s="34" t="str">
        <f>VLOOKUP(E687,Sales_Reps!$A$2:$E$31,3,FALSE)</f>
        <v>East</v>
      </c>
      <c r="P687" s="13" t="s">
        <v>238</v>
      </c>
      <c r="Q687" s="34">
        <f t="shared" si="24"/>
        <v>780384.40999999992</v>
      </c>
      <c r="R687" s="34" t="str">
        <f>VLOOKUP(E687,Sales_Reps!$A$2:$E$100,3,FALSE)</f>
        <v>East</v>
      </c>
      <c r="S687" s="34" t="str">
        <f t="shared" si="25"/>
        <v>Home</v>
      </c>
      <c r="T687" s="38">
        <f>VLOOKUP(D687,Products!$A$2:$F$68,4,FALSE)</f>
        <v>2459</v>
      </c>
    </row>
    <row r="688" spans="1:20" x14ac:dyDescent="0.35">
      <c r="A688" s="13" t="s">
        <v>1149</v>
      </c>
      <c r="B688" s="14">
        <v>45515</v>
      </c>
      <c r="C688" s="13" t="s">
        <v>394</v>
      </c>
      <c r="D688" s="13" t="s">
        <v>386</v>
      </c>
      <c r="E688" s="13" t="s">
        <v>170</v>
      </c>
      <c r="F688" s="15">
        <v>4</v>
      </c>
      <c r="G688" s="15">
        <v>2290</v>
      </c>
      <c r="H688" s="15">
        <v>24.4</v>
      </c>
      <c r="I688" s="15">
        <v>6924.96</v>
      </c>
      <c r="J688" s="13" t="s">
        <v>87</v>
      </c>
      <c r="K688" s="13" t="s">
        <v>117</v>
      </c>
      <c r="L688" s="34" t="str">
        <f>VLOOKUP(D688,Products!$A$2:$F$61,3,FALSE)</f>
        <v>Beauty</v>
      </c>
      <c r="M688" s="34" t="str">
        <f>VLOOKUP(C688,Customers!$A$2:$F$301,5,FALSE)</f>
        <v>SMB</v>
      </c>
      <c r="N688" s="34">
        <f>VLOOKUP(C688,Customers!$A$2:$F$301,3,FALSE)</f>
        <v>28</v>
      </c>
      <c r="O688" s="34" t="str">
        <f>VLOOKUP(E688,Sales_Reps!$A$2:$E$31,3,FALSE)</f>
        <v>West</v>
      </c>
      <c r="P688" s="13" t="s">
        <v>170</v>
      </c>
      <c r="Q688" s="34">
        <f t="shared" si="24"/>
        <v>747624.36999999988</v>
      </c>
      <c r="R688" s="34" t="str">
        <f>VLOOKUP(E688,Sales_Reps!$A$2:$E$100,3,FALSE)</f>
        <v>West</v>
      </c>
      <c r="S688" s="34" t="str">
        <f t="shared" si="25"/>
        <v>Beauty</v>
      </c>
      <c r="T688" s="38">
        <f>VLOOKUP(D688,Products!$A$2:$F$68,4,FALSE)</f>
        <v>1219</v>
      </c>
    </row>
    <row r="689" spans="1:20" x14ac:dyDescent="0.35">
      <c r="A689" s="13" t="s">
        <v>1150</v>
      </c>
      <c r="B689" s="14">
        <v>45463</v>
      </c>
      <c r="C689" s="13" t="s">
        <v>413</v>
      </c>
      <c r="D689" s="13" t="s">
        <v>295</v>
      </c>
      <c r="E689" s="13" t="s">
        <v>273</v>
      </c>
      <c r="F689" s="15">
        <v>10</v>
      </c>
      <c r="G689" s="15">
        <v>2030</v>
      </c>
      <c r="H689" s="15">
        <v>13.6</v>
      </c>
      <c r="I689" s="15">
        <v>17539.2</v>
      </c>
      <c r="J689" s="13" t="s">
        <v>93</v>
      </c>
      <c r="K689" s="13" t="s">
        <v>88</v>
      </c>
      <c r="L689" s="34" t="str">
        <f>VLOOKUP(D689,Products!$A$2:$F$61,3,FALSE)</f>
        <v>Home</v>
      </c>
      <c r="M689" s="34" t="str">
        <f>VLOOKUP(C689,Customers!$A$2:$F$301,5,FALSE)</f>
        <v>Retail</v>
      </c>
      <c r="N689" s="34">
        <f>VLOOKUP(C689,Customers!$A$2:$F$301,3,FALSE)</f>
        <v>22</v>
      </c>
      <c r="O689" s="34" t="str">
        <f>VLOOKUP(E689,Sales_Reps!$A$2:$E$31,3,FALSE)</f>
        <v>South</v>
      </c>
      <c r="P689" s="13" t="s">
        <v>273</v>
      </c>
      <c r="Q689" s="34">
        <f t="shared" si="24"/>
        <v>735207.75999999989</v>
      </c>
      <c r="R689" s="34" t="str">
        <f>VLOOKUP(E689,Sales_Reps!$A$2:$E$100,3,FALSE)</f>
        <v>South</v>
      </c>
      <c r="S689" s="34" t="str">
        <f t="shared" si="25"/>
        <v>Home</v>
      </c>
      <c r="T689" s="38">
        <f>VLOOKUP(D689,Products!$A$2:$F$68,4,FALSE)</f>
        <v>1143</v>
      </c>
    </row>
    <row r="690" spans="1:20" x14ac:dyDescent="0.35">
      <c r="A690" s="13" t="s">
        <v>1151</v>
      </c>
      <c r="B690" s="14">
        <v>45607</v>
      </c>
      <c r="C690" s="13" t="s">
        <v>565</v>
      </c>
      <c r="D690" s="13" t="s">
        <v>120</v>
      </c>
      <c r="E690" s="13" t="s">
        <v>325</v>
      </c>
      <c r="F690" s="15">
        <v>10</v>
      </c>
      <c r="G690" s="15">
        <v>1430</v>
      </c>
      <c r="H690" s="15">
        <v>16.100000000000001</v>
      </c>
      <c r="I690" s="15">
        <v>11997.7</v>
      </c>
      <c r="J690" s="13" t="s">
        <v>140</v>
      </c>
      <c r="K690" s="13" t="s">
        <v>112</v>
      </c>
      <c r="L690" s="34" t="str">
        <f>VLOOKUP(D690,Products!$A$2:$F$61,3,FALSE)</f>
        <v>Electronics</v>
      </c>
      <c r="M690" s="34" t="str">
        <f>VLOOKUP(C690,Customers!$A$2:$F$301,5,FALSE)</f>
        <v>SMB</v>
      </c>
      <c r="N690" s="34">
        <f>VLOOKUP(C690,Customers!$A$2:$F$301,3,FALSE)</f>
        <v>61</v>
      </c>
      <c r="O690" s="34" t="str">
        <f>VLOOKUP(E690,Sales_Reps!$A$2:$E$31,3,FALSE)</f>
        <v>South</v>
      </c>
      <c r="P690" s="13" t="s">
        <v>325</v>
      </c>
      <c r="Q690" s="34">
        <f t="shared" si="24"/>
        <v>901394.32000000007</v>
      </c>
      <c r="R690" s="34" t="str">
        <f>VLOOKUP(E690,Sales_Reps!$A$2:$E$100,3,FALSE)</f>
        <v>South</v>
      </c>
      <c r="S690" s="34" t="str">
        <f t="shared" si="25"/>
        <v>Electronics</v>
      </c>
      <c r="T690" s="38">
        <f>VLOOKUP(D690,Products!$A$2:$F$68,4,FALSE)</f>
        <v>861</v>
      </c>
    </row>
    <row r="691" spans="1:20" x14ac:dyDescent="0.35">
      <c r="A691" s="13" t="s">
        <v>1152</v>
      </c>
      <c r="B691" s="14">
        <v>45357</v>
      </c>
      <c r="C691" s="13" t="s">
        <v>1062</v>
      </c>
      <c r="D691" s="13" t="s">
        <v>234</v>
      </c>
      <c r="E691" s="13" t="s">
        <v>204</v>
      </c>
      <c r="F691" s="15">
        <v>1</v>
      </c>
      <c r="G691" s="15">
        <v>3780</v>
      </c>
      <c r="H691" s="15">
        <v>22.7</v>
      </c>
      <c r="I691" s="15">
        <v>2921.94</v>
      </c>
      <c r="J691" s="13" t="s">
        <v>87</v>
      </c>
      <c r="K691" s="13" t="s">
        <v>112</v>
      </c>
      <c r="L691" s="34" t="str">
        <f>VLOOKUP(D691,Products!$A$2:$F$61,3,FALSE)</f>
        <v>Grocery</v>
      </c>
      <c r="M691" s="34" t="str">
        <f>VLOOKUP(C691,Customers!$A$2:$F$301,5,FALSE)</f>
        <v>SMB</v>
      </c>
      <c r="N691" s="34">
        <f>VLOOKUP(C691,Customers!$A$2:$F$301,3,FALSE)</f>
        <v>54</v>
      </c>
      <c r="O691" s="34" t="str">
        <f>VLOOKUP(E691,Sales_Reps!$A$2:$E$31,3,FALSE)</f>
        <v>South</v>
      </c>
      <c r="P691" s="13" t="s">
        <v>204</v>
      </c>
      <c r="Q691" s="34">
        <f t="shared" si="24"/>
        <v>914554.71999999986</v>
      </c>
      <c r="R691" s="34" t="str">
        <f>VLOOKUP(E691,Sales_Reps!$A$2:$E$100,3,FALSE)</f>
        <v>South</v>
      </c>
      <c r="S691" s="34" t="str">
        <f t="shared" si="25"/>
        <v>Grocery</v>
      </c>
      <c r="T691" s="38">
        <f>VLOOKUP(D691,Products!$A$2:$F$68,4,FALSE)</f>
        <v>2436</v>
      </c>
    </row>
    <row r="692" spans="1:20" x14ac:dyDescent="0.35">
      <c r="A692" s="13" t="s">
        <v>1153</v>
      </c>
      <c r="B692" s="14">
        <v>45443</v>
      </c>
      <c r="C692" s="13" t="s">
        <v>392</v>
      </c>
      <c r="D692" s="13" t="s">
        <v>106</v>
      </c>
      <c r="E692" s="13" t="s">
        <v>158</v>
      </c>
      <c r="F692" s="15">
        <v>10</v>
      </c>
      <c r="G692" s="15">
        <v>3160</v>
      </c>
      <c r="H692" s="15">
        <v>13.4</v>
      </c>
      <c r="I692" s="15">
        <v>27365.599999999999</v>
      </c>
      <c r="J692" s="13" t="s">
        <v>87</v>
      </c>
      <c r="K692" s="13" t="s">
        <v>112</v>
      </c>
      <c r="L692" s="34" t="str">
        <f>VLOOKUP(D692,Products!$A$2:$F$61,3,FALSE)</f>
        <v>Apparel</v>
      </c>
      <c r="M692" s="34" t="str">
        <f>VLOOKUP(C692,Customers!$A$2:$F$301,5,FALSE)</f>
        <v>Retail</v>
      </c>
      <c r="N692" s="34">
        <f>VLOOKUP(C692,Customers!$A$2:$F$301,3,FALSE)</f>
        <v>50</v>
      </c>
      <c r="O692" s="34" t="str">
        <f>VLOOKUP(E692,Sales_Reps!$A$2:$E$31,3,FALSE)</f>
        <v>East</v>
      </c>
      <c r="P692" s="13" t="s">
        <v>158</v>
      </c>
      <c r="Q692" s="34">
        <f t="shared" si="24"/>
        <v>761507.17000000027</v>
      </c>
      <c r="R692" s="34" t="str">
        <f>VLOOKUP(E692,Sales_Reps!$A$2:$E$100,3,FALSE)</f>
        <v>East</v>
      </c>
      <c r="S692" s="34" t="str">
        <f t="shared" si="25"/>
        <v>Apparel</v>
      </c>
      <c r="T692" s="38">
        <f>VLOOKUP(D692,Products!$A$2:$F$68,4,FALSE)</f>
        <v>1886</v>
      </c>
    </row>
    <row r="693" spans="1:20" x14ac:dyDescent="0.35">
      <c r="A693" s="13" t="s">
        <v>1154</v>
      </c>
      <c r="B693" s="14">
        <v>45422</v>
      </c>
      <c r="C693" s="13" t="s">
        <v>442</v>
      </c>
      <c r="D693" s="13" t="s">
        <v>120</v>
      </c>
      <c r="E693" s="13" t="s">
        <v>148</v>
      </c>
      <c r="F693" s="15">
        <v>2</v>
      </c>
      <c r="G693" s="15">
        <v>1430</v>
      </c>
      <c r="H693" s="15">
        <v>7.4</v>
      </c>
      <c r="I693" s="15">
        <v>2648.36</v>
      </c>
      <c r="J693" s="13" t="s">
        <v>87</v>
      </c>
      <c r="K693" s="13" t="s">
        <v>88</v>
      </c>
      <c r="L693" s="34" t="str">
        <f>VLOOKUP(D693,Products!$A$2:$F$61,3,FALSE)</f>
        <v>Electronics</v>
      </c>
      <c r="M693" s="34" t="str">
        <f>VLOOKUP(C693,Customers!$A$2:$F$301,5,FALSE)</f>
        <v>Retail</v>
      </c>
      <c r="N693" s="34">
        <f>VLOOKUP(C693,Customers!$A$2:$F$301,3,FALSE)</f>
        <v>65</v>
      </c>
      <c r="O693" s="34" t="str">
        <f>VLOOKUP(E693,Sales_Reps!$A$2:$E$31,3,FALSE)</f>
        <v>North</v>
      </c>
      <c r="P693" s="13" t="s">
        <v>148</v>
      </c>
      <c r="Q693" s="34">
        <f t="shared" si="24"/>
        <v>986692.91</v>
      </c>
      <c r="R693" s="34" t="str">
        <f>VLOOKUP(E693,Sales_Reps!$A$2:$E$100,3,FALSE)</f>
        <v>North</v>
      </c>
      <c r="S693" s="34" t="str">
        <f t="shared" si="25"/>
        <v>Electronics</v>
      </c>
      <c r="T693" s="38">
        <f>VLOOKUP(D693,Products!$A$2:$F$68,4,FALSE)</f>
        <v>861</v>
      </c>
    </row>
    <row r="694" spans="1:20" x14ac:dyDescent="0.35">
      <c r="A694" s="13" t="s">
        <v>1155</v>
      </c>
      <c r="B694" s="14">
        <v>45640</v>
      </c>
      <c r="C694" s="13" t="s">
        <v>231</v>
      </c>
      <c r="D694" s="13" t="s">
        <v>106</v>
      </c>
      <c r="E694" s="13" t="s">
        <v>103</v>
      </c>
      <c r="F694" s="15">
        <v>5</v>
      </c>
      <c r="G694" s="15">
        <v>3160</v>
      </c>
      <c r="H694" s="15">
        <v>3.6</v>
      </c>
      <c r="I694" s="15">
        <v>15231.2</v>
      </c>
      <c r="J694" s="13" t="s">
        <v>93</v>
      </c>
      <c r="K694" s="13" t="s">
        <v>117</v>
      </c>
      <c r="L694" s="34" t="str">
        <f>VLOOKUP(D694,Products!$A$2:$F$61,3,FALSE)</f>
        <v>Apparel</v>
      </c>
      <c r="M694" s="34" t="str">
        <f>VLOOKUP(C694,Customers!$A$2:$F$301,5,FALSE)</f>
        <v>SMB</v>
      </c>
      <c r="N694" s="34">
        <f>VLOOKUP(C694,Customers!$A$2:$F$301,3,FALSE)</f>
        <v>64</v>
      </c>
      <c r="O694" s="34" t="str">
        <f>VLOOKUP(E694,Sales_Reps!$A$2:$E$31,3,FALSE)</f>
        <v>North</v>
      </c>
      <c r="P694" s="13" t="s">
        <v>103</v>
      </c>
      <c r="Q694" s="34">
        <f t="shared" si="24"/>
        <v>1138648.73</v>
      </c>
      <c r="R694" s="34" t="str">
        <f>VLOOKUP(E694,Sales_Reps!$A$2:$E$100,3,FALSE)</f>
        <v>North</v>
      </c>
      <c r="S694" s="34" t="str">
        <f t="shared" si="25"/>
        <v>Apparel</v>
      </c>
      <c r="T694" s="38">
        <f>VLOOKUP(D694,Products!$A$2:$F$68,4,FALSE)</f>
        <v>1886</v>
      </c>
    </row>
    <row r="695" spans="1:20" x14ac:dyDescent="0.35">
      <c r="A695" s="13" t="s">
        <v>1156</v>
      </c>
      <c r="B695" s="14">
        <v>45521</v>
      </c>
      <c r="C695" s="13" t="s">
        <v>807</v>
      </c>
      <c r="D695" s="13" t="s">
        <v>386</v>
      </c>
      <c r="E695" s="13" t="s">
        <v>139</v>
      </c>
      <c r="F695" s="15">
        <v>2</v>
      </c>
      <c r="G695" s="15">
        <v>2290</v>
      </c>
      <c r="H695" s="15">
        <v>28.2</v>
      </c>
      <c r="I695" s="15">
        <v>3288.44</v>
      </c>
      <c r="J695" s="13" t="s">
        <v>87</v>
      </c>
      <c r="K695" s="13" t="s">
        <v>88</v>
      </c>
      <c r="L695" s="34" t="str">
        <f>VLOOKUP(D695,Products!$A$2:$F$61,3,FALSE)</f>
        <v>Beauty</v>
      </c>
      <c r="M695" s="34" t="str">
        <f>VLOOKUP(C695,Customers!$A$2:$F$301,5,FALSE)</f>
        <v>Retail</v>
      </c>
      <c r="N695" s="34">
        <f>VLOOKUP(C695,Customers!$A$2:$F$301,3,FALSE)</f>
        <v>36</v>
      </c>
      <c r="O695" s="34" t="str">
        <f>VLOOKUP(E695,Sales_Reps!$A$2:$E$31,3,FALSE)</f>
        <v>North</v>
      </c>
      <c r="P695" s="13" t="s">
        <v>139</v>
      </c>
      <c r="Q695" s="34">
        <f t="shared" si="24"/>
        <v>589026.2899999998</v>
      </c>
      <c r="R695" s="34" t="str">
        <f>VLOOKUP(E695,Sales_Reps!$A$2:$E$100,3,FALSE)</f>
        <v>North</v>
      </c>
      <c r="S695" s="34" t="str">
        <f t="shared" si="25"/>
        <v>Beauty</v>
      </c>
      <c r="T695" s="38">
        <f>VLOOKUP(D695,Products!$A$2:$F$68,4,FALSE)</f>
        <v>1219</v>
      </c>
    </row>
    <row r="696" spans="1:20" x14ac:dyDescent="0.35">
      <c r="A696" s="13" t="s">
        <v>1157</v>
      </c>
      <c r="B696" s="14">
        <v>45366</v>
      </c>
      <c r="C696" s="13" t="s">
        <v>738</v>
      </c>
      <c r="D696" s="13" t="s">
        <v>452</v>
      </c>
      <c r="E696" s="13" t="s">
        <v>188</v>
      </c>
      <c r="F696" s="15">
        <v>5</v>
      </c>
      <c r="G696" s="15">
        <v>3450</v>
      </c>
      <c r="H696" s="15">
        <v>18.100000000000001</v>
      </c>
      <c r="I696" s="15">
        <v>14127.75</v>
      </c>
      <c r="J696" s="13" t="s">
        <v>140</v>
      </c>
      <c r="K696" s="13" t="s">
        <v>88</v>
      </c>
      <c r="L696" s="34" t="str">
        <f>VLOOKUP(D696,Products!$A$2:$F$61,3,FALSE)</f>
        <v>Apparel</v>
      </c>
      <c r="M696" s="34" t="str">
        <f>VLOOKUP(C696,Customers!$A$2:$F$301,5,FALSE)</f>
        <v>Retail</v>
      </c>
      <c r="N696" s="34">
        <f>VLOOKUP(C696,Customers!$A$2:$F$301,3,FALSE)</f>
        <v>36</v>
      </c>
      <c r="O696" s="34" t="str">
        <f>VLOOKUP(E696,Sales_Reps!$A$2:$E$31,3,FALSE)</f>
        <v>South</v>
      </c>
      <c r="P696" s="13" t="s">
        <v>188</v>
      </c>
      <c r="Q696" s="34">
        <f t="shared" si="24"/>
        <v>1091740.1799999997</v>
      </c>
      <c r="R696" s="34" t="str">
        <f>VLOOKUP(E696,Sales_Reps!$A$2:$E$100,3,FALSE)</f>
        <v>South</v>
      </c>
      <c r="S696" s="34" t="str">
        <f t="shared" si="25"/>
        <v>Apparel</v>
      </c>
      <c r="T696" s="38">
        <f>VLOOKUP(D696,Products!$A$2:$F$68,4,FALSE)</f>
        <v>1748</v>
      </c>
    </row>
    <row r="697" spans="1:20" x14ac:dyDescent="0.35">
      <c r="A697" s="13" t="s">
        <v>1158</v>
      </c>
      <c r="B697" s="14">
        <v>45439</v>
      </c>
      <c r="C697" s="13" t="s">
        <v>217</v>
      </c>
      <c r="D697" s="13" t="s">
        <v>659</v>
      </c>
      <c r="E697" s="13" t="s">
        <v>215</v>
      </c>
      <c r="F697" s="15">
        <v>1</v>
      </c>
      <c r="G697" s="15">
        <v>3560</v>
      </c>
      <c r="H697" s="15">
        <v>18.7</v>
      </c>
      <c r="I697" s="15">
        <v>2894.28</v>
      </c>
      <c r="J697" s="13" t="s">
        <v>87</v>
      </c>
      <c r="K697" s="13" t="s">
        <v>94</v>
      </c>
      <c r="L697" s="34" t="str">
        <f>VLOOKUP(D697,Products!$A$2:$F$61,3,FALSE)</f>
        <v>Apparel</v>
      </c>
      <c r="M697" s="34" t="str">
        <f>VLOOKUP(C697,Customers!$A$2:$F$301,5,FALSE)</f>
        <v>Retail</v>
      </c>
      <c r="N697" s="34">
        <f>VLOOKUP(C697,Customers!$A$2:$F$301,3,FALSE)</f>
        <v>51</v>
      </c>
      <c r="O697" s="34" t="str">
        <f>VLOOKUP(E697,Sales_Reps!$A$2:$E$31,3,FALSE)</f>
        <v>North</v>
      </c>
      <c r="P697" s="13" t="s">
        <v>215</v>
      </c>
      <c r="Q697" s="34">
        <f t="shared" si="24"/>
        <v>789849.60000000009</v>
      </c>
      <c r="R697" s="34" t="str">
        <f>VLOOKUP(E697,Sales_Reps!$A$2:$E$100,3,FALSE)</f>
        <v>North</v>
      </c>
      <c r="S697" s="34" t="str">
        <f t="shared" si="25"/>
        <v>Apparel</v>
      </c>
      <c r="T697" s="38">
        <f>VLOOKUP(D697,Products!$A$2:$F$68,4,FALSE)</f>
        <v>2629</v>
      </c>
    </row>
    <row r="698" spans="1:20" x14ac:dyDescent="0.35">
      <c r="A698" s="13" t="s">
        <v>1159</v>
      </c>
      <c r="B698" s="14">
        <v>45426</v>
      </c>
      <c r="C698" s="13" t="s">
        <v>305</v>
      </c>
      <c r="D698" s="13" t="s">
        <v>151</v>
      </c>
      <c r="E698" s="13" t="s">
        <v>204</v>
      </c>
      <c r="F698" s="15">
        <v>9</v>
      </c>
      <c r="G698" s="15">
        <v>2400</v>
      </c>
      <c r="H698" s="15">
        <v>18.5</v>
      </c>
      <c r="I698" s="15">
        <v>17604</v>
      </c>
      <c r="J698" s="13" t="s">
        <v>87</v>
      </c>
      <c r="K698" s="13" t="s">
        <v>133</v>
      </c>
      <c r="L698" s="34" t="str">
        <f>VLOOKUP(D698,Products!$A$2:$F$61,3,FALSE)</f>
        <v>Sports</v>
      </c>
      <c r="M698" s="34" t="str">
        <f>VLOOKUP(C698,Customers!$A$2:$F$301,5,FALSE)</f>
        <v>Corporate</v>
      </c>
      <c r="N698" s="34">
        <f>VLOOKUP(C698,Customers!$A$2:$F$301,3,FALSE)</f>
        <v>46</v>
      </c>
      <c r="O698" s="34" t="str">
        <f>VLOOKUP(E698,Sales_Reps!$A$2:$E$31,3,FALSE)</f>
        <v>South</v>
      </c>
      <c r="P698" s="13" t="s">
        <v>204</v>
      </c>
      <c r="Q698" s="34">
        <f t="shared" si="24"/>
        <v>914554.71999999986</v>
      </c>
      <c r="R698" s="34" t="str">
        <f>VLOOKUP(E698,Sales_Reps!$A$2:$E$100,3,FALSE)</f>
        <v>South</v>
      </c>
      <c r="S698" s="34" t="str">
        <f t="shared" si="25"/>
        <v>Sports</v>
      </c>
      <c r="T698" s="38">
        <f>VLOOKUP(D698,Products!$A$2:$F$68,4,FALSE)</f>
        <v>974</v>
      </c>
    </row>
    <row r="699" spans="1:20" x14ac:dyDescent="0.35">
      <c r="A699" s="13" t="s">
        <v>1160</v>
      </c>
      <c r="B699" s="14">
        <v>45415</v>
      </c>
      <c r="C699" s="13" t="s">
        <v>353</v>
      </c>
      <c r="D699" s="13" t="s">
        <v>248</v>
      </c>
      <c r="E699" s="13" t="s">
        <v>154</v>
      </c>
      <c r="F699" s="15">
        <v>9</v>
      </c>
      <c r="G699" s="15">
        <v>3870</v>
      </c>
      <c r="H699" s="15">
        <v>6.9</v>
      </c>
      <c r="I699" s="15">
        <v>32426.73</v>
      </c>
      <c r="J699" s="13" t="s">
        <v>144</v>
      </c>
      <c r="K699" s="13" t="s">
        <v>94</v>
      </c>
      <c r="L699" s="34" t="str">
        <f>VLOOKUP(D699,Products!$A$2:$F$61,3,FALSE)</f>
        <v>Electronics</v>
      </c>
      <c r="M699" s="34" t="str">
        <f>VLOOKUP(C699,Customers!$A$2:$F$301,5,FALSE)</f>
        <v>Retail</v>
      </c>
      <c r="N699" s="34">
        <f>VLOOKUP(C699,Customers!$A$2:$F$301,3,FALSE)</f>
        <v>60</v>
      </c>
      <c r="O699" s="34" t="str">
        <f>VLOOKUP(E699,Sales_Reps!$A$2:$E$31,3,FALSE)</f>
        <v>East</v>
      </c>
      <c r="P699" s="13" t="s">
        <v>154</v>
      </c>
      <c r="Q699" s="34">
        <f t="shared" si="24"/>
        <v>983787.4800000001</v>
      </c>
      <c r="R699" s="34" t="str">
        <f>VLOOKUP(E699,Sales_Reps!$A$2:$E$100,3,FALSE)</f>
        <v>East</v>
      </c>
      <c r="S699" s="34" t="str">
        <f t="shared" si="25"/>
        <v>Electronics</v>
      </c>
      <c r="T699" s="38">
        <f>VLOOKUP(D699,Products!$A$2:$F$68,4,FALSE)</f>
        <v>1559</v>
      </c>
    </row>
    <row r="700" spans="1:20" x14ac:dyDescent="0.35">
      <c r="A700" s="13" t="s">
        <v>1161</v>
      </c>
      <c r="B700" s="14">
        <v>45620</v>
      </c>
      <c r="C700" s="13" t="s">
        <v>705</v>
      </c>
      <c r="D700" s="13" t="s">
        <v>102</v>
      </c>
      <c r="E700" s="13" t="s">
        <v>285</v>
      </c>
      <c r="F700" s="15">
        <v>5</v>
      </c>
      <c r="G700" s="15">
        <v>3660</v>
      </c>
      <c r="H700" s="15">
        <v>11.7</v>
      </c>
      <c r="I700" s="15">
        <v>16158.9</v>
      </c>
      <c r="J700" s="13" t="s">
        <v>87</v>
      </c>
      <c r="K700" s="13" t="s">
        <v>99</v>
      </c>
      <c r="L700" s="34" t="str">
        <f>VLOOKUP(D700,Products!$A$2:$F$61,3,FALSE)</f>
        <v>Grocery</v>
      </c>
      <c r="M700" s="34" t="str">
        <f>VLOOKUP(C700,Customers!$A$2:$F$301,5,FALSE)</f>
        <v>Retail</v>
      </c>
      <c r="N700" s="34">
        <f>VLOOKUP(C700,Customers!$A$2:$F$301,3,FALSE)</f>
        <v>53</v>
      </c>
      <c r="O700" s="34" t="str">
        <f>VLOOKUP(E700,Sales_Reps!$A$2:$E$31,3,FALSE)</f>
        <v>East</v>
      </c>
      <c r="P700" s="13" t="s">
        <v>285</v>
      </c>
      <c r="Q700" s="34">
        <f t="shared" si="24"/>
        <v>1069570.5400000003</v>
      </c>
      <c r="R700" s="34" t="str">
        <f>VLOOKUP(E700,Sales_Reps!$A$2:$E$100,3,FALSE)</f>
        <v>East</v>
      </c>
      <c r="S700" s="34" t="str">
        <f t="shared" si="25"/>
        <v>Grocery</v>
      </c>
      <c r="T700" s="38">
        <f>VLOOKUP(D700,Products!$A$2:$F$68,4,FALSE)</f>
        <v>2214</v>
      </c>
    </row>
    <row r="701" spans="1:20" x14ac:dyDescent="0.35">
      <c r="A701" s="13" t="s">
        <v>1162</v>
      </c>
      <c r="B701" s="14">
        <v>45346</v>
      </c>
      <c r="C701" s="13" t="s">
        <v>405</v>
      </c>
      <c r="D701" s="13" t="s">
        <v>164</v>
      </c>
      <c r="E701" s="13" t="s">
        <v>170</v>
      </c>
      <c r="F701" s="15">
        <v>4</v>
      </c>
      <c r="G701" s="15">
        <v>1080</v>
      </c>
      <c r="H701" s="15">
        <v>17.5</v>
      </c>
      <c r="I701" s="15">
        <v>3564</v>
      </c>
      <c r="J701" s="13" t="s">
        <v>87</v>
      </c>
      <c r="K701" s="13" t="s">
        <v>94</v>
      </c>
      <c r="L701" s="34" t="str">
        <f>VLOOKUP(D701,Products!$A$2:$F$61,3,FALSE)</f>
        <v>Home</v>
      </c>
      <c r="M701" s="34" t="str">
        <f>VLOOKUP(C701,Customers!$A$2:$F$301,5,FALSE)</f>
        <v>Corporate</v>
      </c>
      <c r="N701" s="34">
        <f>VLOOKUP(C701,Customers!$A$2:$F$301,3,FALSE)</f>
        <v>24</v>
      </c>
      <c r="O701" s="34" t="str">
        <f>VLOOKUP(E701,Sales_Reps!$A$2:$E$31,3,FALSE)</f>
        <v>West</v>
      </c>
      <c r="P701" s="13" t="s">
        <v>170</v>
      </c>
      <c r="Q701" s="34">
        <f t="shared" si="24"/>
        <v>747624.36999999988</v>
      </c>
      <c r="R701" s="34" t="str">
        <f>VLOOKUP(E701,Sales_Reps!$A$2:$E$100,3,FALSE)</f>
        <v>West</v>
      </c>
      <c r="S701" s="34" t="str">
        <f t="shared" si="25"/>
        <v>Home</v>
      </c>
      <c r="T701" s="38">
        <f>VLOOKUP(D701,Products!$A$2:$F$68,4,FALSE)</f>
        <v>519</v>
      </c>
    </row>
    <row r="702" spans="1:20" x14ac:dyDescent="0.35">
      <c r="A702" s="13" t="s">
        <v>1163</v>
      </c>
      <c r="B702" s="14">
        <v>45297</v>
      </c>
      <c r="C702" s="13" t="s">
        <v>835</v>
      </c>
      <c r="D702" s="13" t="s">
        <v>461</v>
      </c>
      <c r="E702" s="13" t="s">
        <v>103</v>
      </c>
      <c r="F702" s="15">
        <v>6</v>
      </c>
      <c r="G702" s="15">
        <v>3780</v>
      </c>
      <c r="H702" s="15">
        <v>27.8</v>
      </c>
      <c r="I702" s="15">
        <v>16374.96</v>
      </c>
      <c r="J702" s="13" t="s">
        <v>87</v>
      </c>
      <c r="K702" s="13" t="s">
        <v>117</v>
      </c>
      <c r="L702" s="34" t="str">
        <f>VLOOKUP(D702,Products!$A$2:$F$61,3,FALSE)</f>
        <v>Sports</v>
      </c>
      <c r="M702" s="34" t="str">
        <f>VLOOKUP(C702,Customers!$A$2:$F$301,5,FALSE)</f>
        <v>Retail</v>
      </c>
      <c r="N702" s="34">
        <f>VLOOKUP(C702,Customers!$A$2:$F$301,3,FALSE)</f>
        <v>52</v>
      </c>
      <c r="O702" s="34" t="str">
        <f>VLOOKUP(E702,Sales_Reps!$A$2:$E$31,3,FALSE)</f>
        <v>North</v>
      </c>
      <c r="P702" s="13" t="s">
        <v>103</v>
      </c>
      <c r="Q702" s="34">
        <f t="shared" si="24"/>
        <v>1138648.73</v>
      </c>
      <c r="R702" s="34" t="str">
        <f>VLOOKUP(E702,Sales_Reps!$A$2:$E$100,3,FALSE)</f>
        <v>North</v>
      </c>
      <c r="S702" s="34" t="str">
        <f t="shared" si="25"/>
        <v>Sports</v>
      </c>
      <c r="T702" s="38">
        <f>VLOOKUP(D702,Products!$A$2:$F$68,4,FALSE)</f>
        <v>1860</v>
      </c>
    </row>
    <row r="703" spans="1:20" x14ac:dyDescent="0.35">
      <c r="A703" s="13" t="s">
        <v>1164</v>
      </c>
      <c r="B703" s="14">
        <v>45521</v>
      </c>
      <c r="C703" s="13" t="s">
        <v>1062</v>
      </c>
      <c r="D703" s="13" t="s">
        <v>167</v>
      </c>
      <c r="E703" s="13" t="s">
        <v>285</v>
      </c>
      <c r="F703" s="15">
        <v>8</v>
      </c>
      <c r="G703" s="15">
        <v>2480</v>
      </c>
      <c r="H703" s="15">
        <v>15.7</v>
      </c>
      <c r="I703" s="15">
        <v>16725.12</v>
      </c>
      <c r="J703" s="13" t="s">
        <v>93</v>
      </c>
      <c r="K703" s="13" t="s">
        <v>112</v>
      </c>
      <c r="L703" s="34" t="str">
        <f>VLOOKUP(D703,Products!$A$2:$F$61,3,FALSE)</f>
        <v>Apparel</v>
      </c>
      <c r="M703" s="34" t="str">
        <f>VLOOKUP(C703,Customers!$A$2:$F$301,5,FALSE)</f>
        <v>SMB</v>
      </c>
      <c r="N703" s="34">
        <f>VLOOKUP(C703,Customers!$A$2:$F$301,3,FALSE)</f>
        <v>54</v>
      </c>
      <c r="O703" s="34" t="str">
        <f>VLOOKUP(E703,Sales_Reps!$A$2:$E$31,3,FALSE)</f>
        <v>East</v>
      </c>
      <c r="P703" s="13" t="s">
        <v>285</v>
      </c>
      <c r="Q703" s="34">
        <f t="shared" si="24"/>
        <v>1069570.5400000003</v>
      </c>
      <c r="R703" s="34" t="str">
        <f>VLOOKUP(E703,Sales_Reps!$A$2:$E$100,3,FALSE)</f>
        <v>East</v>
      </c>
      <c r="S703" s="34" t="str">
        <f t="shared" si="25"/>
        <v>Apparel</v>
      </c>
      <c r="T703" s="38">
        <f>VLOOKUP(D703,Products!$A$2:$F$68,4,FALSE)</f>
        <v>1173</v>
      </c>
    </row>
    <row r="704" spans="1:20" x14ac:dyDescent="0.35">
      <c r="A704" s="13" t="s">
        <v>1165</v>
      </c>
      <c r="B704" s="14">
        <v>45409</v>
      </c>
      <c r="C704" s="13" t="s">
        <v>390</v>
      </c>
      <c r="D704" s="13" t="s">
        <v>182</v>
      </c>
      <c r="E704" s="13" t="s">
        <v>98</v>
      </c>
      <c r="F704" s="15">
        <v>10</v>
      </c>
      <c r="G704" s="15">
        <v>1010</v>
      </c>
      <c r="H704" s="15">
        <v>0.1</v>
      </c>
      <c r="I704" s="15">
        <v>10089.9</v>
      </c>
      <c r="J704" s="13" t="s">
        <v>93</v>
      </c>
      <c r="K704" s="13" t="s">
        <v>88</v>
      </c>
      <c r="L704" s="34" t="str">
        <f>VLOOKUP(D704,Products!$A$2:$F$61,3,FALSE)</f>
        <v>Sports</v>
      </c>
      <c r="M704" s="34" t="str">
        <f>VLOOKUP(C704,Customers!$A$2:$F$301,5,FALSE)</f>
        <v>SMB</v>
      </c>
      <c r="N704" s="34">
        <f>VLOOKUP(C704,Customers!$A$2:$F$301,3,FALSE)</f>
        <v>54</v>
      </c>
      <c r="O704" s="34" t="str">
        <f>VLOOKUP(E704,Sales_Reps!$A$2:$E$31,3,FALSE)</f>
        <v>South</v>
      </c>
      <c r="P704" s="13" t="s">
        <v>98</v>
      </c>
      <c r="Q704" s="34">
        <f t="shared" si="24"/>
        <v>995713.54000000015</v>
      </c>
      <c r="R704" s="34" t="str">
        <f>VLOOKUP(E704,Sales_Reps!$A$2:$E$100,3,FALSE)</f>
        <v>South</v>
      </c>
      <c r="S704" s="34" t="str">
        <f t="shared" si="25"/>
        <v>Sports</v>
      </c>
      <c r="T704" s="38">
        <f>VLOOKUP(D704,Products!$A$2:$F$68,4,FALSE)</f>
        <v>516</v>
      </c>
    </row>
    <row r="705" spans="1:20" x14ac:dyDescent="0.35">
      <c r="A705" s="13" t="s">
        <v>1166</v>
      </c>
      <c r="B705" s="14">
        <v>45406</v>
      </c>
      <c r="C705" s="13" t="s">
        <v>150</v>
      </c>
      <c r="D705" s="13" t="s">
        <v>97</v>
      </c>
      <c r="E705" s="13" t="s">
        <v>188</v>
      </c>
      <c r="F705" s="15">
        <v>3</v>
      </c>
      <c r="G705" s="15">
        <v>470</v>
      </c>
      <c r="H705" s="15">
        <v>1.1000000000000001</v>
      </c>
      <c r="I705" s="15">
        <v>1394.49</v>
      </c>
      <c r="J705" s="13" t="s">
        <v>87</v>
      </c>
      <c r="K705" s="13" t="s">
        <v>88</v>
      </c>
      <c r="L705" s="34" t="str">
        <f>VLOOKUP(D705,Products!$A$2:$F$61,3,FALSE)</f>
        <v>Sports</v>
      </c>
      <c r="M705" s="34" t="str">
        <f>VLOOKUP(C705,Customers!$A$2:$F$301,5,FALSE)</f>
        <v>Retail</v>
      </c>
      <c r="N705" s="34">
        <f>VLOOKUP(C705,Customers!$A$2:$F$301,3,FALSE)</f>
        <v>63</v>
      </c>
      <c r="O705" s="34" t="str">
        <f>VLOOKUP(E705,Sales_Reps!$A$2:$E$31,3,FALSE)</f>
        <v>South</v>
      </c>
      <c r="P705" s="13" t="s">
        <v>188</v>
      </c>
      <c r="Q705" s="34">
        <f t="shared" si="24"/>
        <v>1091740.1799999997</v>
      </c>
      <c r="R705" s="34" t="str">
        <f>VLOOKUP(E705,Sales_Reps!$A$2:$E$100,3,FALSE)</f>
        <v>South</v>
      </c>
      <c r="S705" s="34" t="str">
        <f t="shared" si="25"/>
        <v>Sports</v>
      </c>
      <c r="T705" s="38">
        <f>VLOOKUP(D705,Products!$A$2:$F$68,4,FALSE)</f>
        <v>302</v>
      </c>
    </row>
    <row r="706" spans="1:20" x14ac:dyDescent="0.35">
      <c r="A706" s="13" t="s">
        <v>1167</v>
      </c>
      <c r="B706" s="14">
        <v>45474</v>
      </c>
      <c r="C706" s="13" t="s">
        <v>714</v>
      </c>
      <c r="D706" s="13" t="s">
        <v>131</v>
      </c>
      <c r="E706" s="13" t="s">
        <v>121</v>
      </c>
      <c r="F706" s="15">
        <v>4</v>
      </c>
      <c r="G706" s="15">
        <v>2270</v>
      </c>
      <c r="H706" s="15">
        <v>17.100000000000001</v>
      </c>
      <c r="I706" s="15">
        <v>7527.32</v>
      </c>
      <c r="J706" s="13" t="s">
        <v>87</v>
      </c>
      <c r="K706" s="13" t="s">
        <v>99</v>
      </c>
      <c r="L706" s="34" t="str">
        <f>VLOOKUP(D706,Products!$A$2:$F$61,3,FALSE)</f>
        <v>Grocery</v>
      </c>
      <c r="M706" s="34" t="str">
        <f>VLOOKUP(C706,Customers!$A$2:$F$301,5,FALSE)</f>
        <v>Retail</v>
      </c>
      <c r="N706" s="34">
        <f>VLOOKUP(C706,Customers!$A$2:$F$301,3,FALSE)</f>
        <v>24</v>
      </c>
      <c r="O706" s="34" t="str">
        <f>VLOOKUP(E706,Sales_Reps!$A$2:$E$31,3,FALSE)</f>
        <v>East</v>
      </c>
      <c r="P706" s="13" t="s">
        <v>121</v>
      </c>
      <c r="Q706" s="34">
        <f t="shared" si="24"/>
        <v>971183.52000000014</v>
      </c>
      <c r="R706" s="34" t="str">
        <f>VLOOKUP(E706,Sales_Reps!$A$2:$E$100,3,FALSE)</f>
        <v>East</v>
      </c>
      <c r="S706" s="34" t="str">
        <f t="shared" si="25"/>
        <v>Grocery</v>
      </c>
      <c r="T706" s="38">
        <f>VLOOKUP(D706,Products!$A$2:$F$68,4,FALSE)</f>
        <v>1203</v>
      </c>
    </row>
    <row r="707" spans="1:20" x14ac:dyDescent="0.35">
      <c r="A707" s="13" t="s">
        <v>1168</v>
      </c>
      <c r="B707" s="14">
        <v>45588</v>
      </c>
      <c r="C707" s="13" t="s">
        <v>223</v>
      </c>
      <c r="D707" s="13" t="s">
        <v>200</v>
      </c>
      <c r="E707" s="13" t="s">
        <v>132</v>
      </c>
      <c r="F707" s="15">
        <v>7</v>
      </c>
      <c r="G707" s="15">
        <v>2760</v>
      </c>
      <c r="H707" s="15">
        <v>17.100000000000001</v>
      </c>
      <c r="I707" s="15">
        <v>16016.28</v>
      </c>
      <c r="J707" s="13" t="s">
        <v>87</v>
      </c>
      <c r="K707" s="13" t="s">
        <v>99</v>
      </c>
      <c r="L707" s="34" t="str">
        <f>VLOOKUP(D707,Products!$A$2:$F$61,3,FALSE)</f>
        <v>Grocery</v>
      </c>
      <c r="M707" s="34" t="str">
        <f>VLOOKUP(C707,Customers!$A$2:$F$301,5,FALSE)</f>
        <v>Retail</v>
      </c>
      <c r="N707" s="34">
        <f>VLOOKUP(C707,Customers!$A$2:$F$301,3,FALSE)</f>
        <v>53</v>
      </c>
      <c r="O707" s="34" t="str">
        <f>VLOOKUP(E707,Sales_Reps!$A$2:$E$31,3,FALSE)</f>
        <v>South</v>
      </c>
      <c r="P707" s="13" t="s">
        <v>132</v>
      </c>
      <c r="Q707" s="34">
        <f t="shared" ref="Q707:Q770" si="26">SUMIFS($I:$I,$E:$E,P707)</f>
        <v>880345.20000000007</v>
      </c>
      <c r="R707" s="34" t="str">
        <f>VLOOKUP(E707,Sales_Reps!$A$2:$E$100,3,FALSE)</f>
        <v>South</v>
      </c>
      <c r="S707" s="34" t="str">
        <f t="shared" ref="S707:S770" si="27">L707</f>
        <v>Grocery</v>
      </c>
      <c r="T707" s="38">
        <f>VLOOKUP(D707,Products!$A$2:$F$68,4,FALSE)</f>
        <v>1435</v>
      </c>
    </row>
    <row r="708" spans="1:20" x14ac:dyDescent="0.35">
      <c r="A708" s="13" t="s">
        <v>1169</v>
      </c>
      <c r="B708" s="14">
        <v>45530</v>
      </c>
      <c r="C708" s="13" t="s">
        <v>1047</v>
      </c>
      <c r="D708" s="13" t="s">
        <v>161</v>
      </c>
      <c r="E708" s="13" t="s">
        <v>107</v>
      </c>
      <c r="F708" s="15">
        <v>6</v>
      </c>
      <c r="G708" s="15">
        <v>3450</v>
      </c>
      <c r="H708" s="15">
        <v>6.6</v>
      </c>
      <c r="I708" s="15">
        <v>19333.8</v>
      </c>
      <c r="J708" s="13" t="s">
        <v>144</v>
      </c>
      <c r="K708" s="13" t="s">
        <v>133</v>
      </c>
      <c r="L708" s="34" t="str">
        <f>VLOOKUP(D708,Products!$A$2:$F$61,3,FALSE)</f>
        <v>Sports</v>
      </c>
      <c r="M708" s="34" t="str">
        <f>VLOOKUP(C708,Customers!$A$2:$F$301,5,FALSE)</f>
        <v>Retail</v>
      </c>
      <c r="N708" s="34">
        <f>VLOOKUP(C708,Customers!$A$2:$F$301,3,FALSE)</f>
        <v>41</v>
      </c>
      <c r="O708" s="34" t="str">
        <f>VLOOKUP(E708,Sales_Reps!$A$2:$E$31,3,FALSE)</f>
        <v>North</v>
      </c>
      <c r="P708" s="13" t="s">
        <v>107</v>
      </c>
      <c r="Q708" s="34">
        <f t="shared" si="26"/>
        <v>861553.33</v>
      </c>
      <c r="R708" s="34" t="str">
        <f>VLOOKUP(E708,Sales_Reps!$A$2:$E$100,3,FALSE)</f>
        <v>North</v>
      </c>
      <c r="S708" s="34" t="str">
        <f t="shared" si="27"/>
        <v>Sports</v>
      </c>
      <c r="T708" s="38">
        <f>VLOOKUP(D708,Products!$A$2:$F$68,4,FALSE)</f>
        <v>2467</v>
      </c>
    </row>
    <row r="709" spans="1:20" x14ac:dyDescent="0.35">
      <c r="A709" s="13" t="s">
        <v>1170</v>
      </c>
      <c r="B709" s="14">
        <v>45630</v>
      </c>
      <c r="C709" s="13" t="s">
        <v>592</v>
      </c>
      <c r="D709" s="13" t="s">
        <v>102</v>
      </c>
      <c r="E709" s="13" t="s">
        <v>86</v>
      </c>
      <c r="F709" s="15">
        <v>8</v>
      </c>
      <c r="G709" s="15">
        <v>3660</v>
      </c>
      <c r="H709" s="15">
        <v>7.2</v>
      </c>
      <c r="I709" s="15">
        <v>27171.84</v>
      </c>
      <c r="J709" s="13" t="s">
        <v>87</v>
      </c>
      <c r="K709" s="13" t="s">
        <v>133</v>
      </c>
      <c r="L709" s="34" t="str">
        <f>VLOOKUP(D709,Products!$A$2:$F$61,3,FALSE)</f>
        <v>Grocery</v>
      </c>
      <c r="M709" s="34" t="str">
        <f>VLOOKUP(C709,Customers!$A$2:$F$301,5,FALSE)</f>
        <v>Retail</v>
      </c>
      <c r="N709" s="34">
        <f>VLOOKUP(C709,Customers!$A$2:$F$301,3,FALSE)</f>
        <v>22</v>
      </c>
      <c r="O709" s="34" t="str">
        <f>VLOOKUP(E709,Sales_Reps!$A$2:$E$31,3,FALSE)</f>
        <v>North</v>
      </c>
      <c r="P709" s="13" t="s">
        <v>86</v>
      </c>
      <c r="Q709" s="34">
        <f t="shared" si="26"/>
        <v>855749.67999999982</v>
      </c>
      <c r="R709" s="34" t="str">
        <f>VLOOKUP(E709,Sales_Reps!$A$2:$E$100,3,FALSE)</f>
        <v>North</v>
      </c>
      <c r="S709" s="34" t="str">
        <f t="shared" si="27"/>
        <v>Grocery</v>
      </c>
      <c r="T709" s="38">
        <f>VLOOKUP(D709,Products!$A$2:$F$68,4,FALSE)</f>
        <v>2214</v>
      </c>
    </row>
    <row r="710" spans="1:20" x14ac:dyDescent="0.35">
      <c r="A710" s="13" t="s">
        <v>1171</v>
      </c>
      <c r="B710" s="14">
        <v>45551</v>
      </c>
      <c r="C710" s="13" t="s">
        <v>1172</v>
      </c>
      <c r="D710" s="13" t="s">
        <v>267</v>
      </c>
      <c r="E710" s="13" t="s">
        <v>170</v>
      </c>
      <c r="F710" s="15">
        <v>4</v>
      </c>
      <c r="G710" s="15">
        <v>1220</v>
      </c>
      <c r="H710" s="15">
        <v>24.3</v>
      </c>
      <c r="I710" s="15">
        <v>3694.16</v>
      </c>
      <c r="J710" s="13" t="s">
        <v>140</v>
      </c>
      <c r="K710" s="13" t="s">
        <v>88</v>
      </c>
      <c r="L710" s="34" t="str">
        <f>VLOOKUP(D710,Products!$A$2:$F$61,3,FALSE)</f>
        <v>Electronics</v>
      </c>
      <c r="M710" s="34" t="str">
        <f>VLOOKUP(C710,Customers!$A$2:$F$301,5,FALSE)</f>
        <v>Retail</v>
      </c>
      <c r="N710" s="34">
        <f>VLOOKUP(C710,Customers!$A$2:$F$301,3,FALSE)</f>
        <v>39</v>
      </c>
      <c r="O710" s="34" t="str">
        <f>VLOOKUP(E710,Sales_Reps!$A$2:$E$31,3,FALSE)</f>
        <v>West</v>
      </c>
      <c r="P710" s="13" t="s">
        <v>170</v>
      </c>
      <c r="Q710" s="34">
        <f t="shared" si="26"/>
        <v>747624.36999999988</v>
      </c>
      <c r="R710" s="34" t="str">
        <f>VLOOKUP(E710,Sales_Reps!$A$2:$E$100,3,FALSE)</f>
        <v>West</v>
      </c>
      <c r="S710" s="34" t="str">
        <f t="shared" si="27"/>
        <v>Electronics</v>
      </c>
      <c r="T710" s="38">
        <f>VLOOKUP(D710,Products!$A$2:$F$68,4,FALSE)</f>
        <v>517</v>
      </c>
    </row>
    <row r="711" spans="1:20" x14ac:dyDescent="0.35">
      <c r="A711" s="13" t="s">
        <v>1173</v>
      </c>
      <c r="B711" s="14">
        <v>45610</v>
      </c>
      <c r="C711" s="13" t="s">
        <v>883</v>
      </c>
      <c r="D711" s="13" t="s">
        <v>360</v>
      </c>
      <c r="E711" s="13" t="s">
        <v>86</v>
      </c>
      <c r="F711" s="15">
        <v>2</v>
      </c>
      <c r="G711" s="15">
        <v>5410</v>
      </c>
      <c r="H711" s="15">
        <v>0.9</v>
      </c>
      <c r="I711" s="15">
        <v>10722.62</v>
      </c>
      <c r="J711" s="13" t="s">
        <v>93</v>
      </c>
      <c r="K711" s="13" t="s">
        <v>133</v>
      </c>
      <c r="L711" s="34" t="str">
        <f>VLOOKUP(D711,Products!$A$2:$F$61,3,FALSE)</f>
        <v>Sports</v>
      </c>
      <c r="M711" s="34" t="str">
        <f>VLOOKUP(C711,Customers!$A$2:$F$301,5,FALSE)</f>
        <v>SMB</v>
      </c>
      <c r="N711" s="34">
        <f>VLOOKUP(C711,Customers!$A$2:$F$301,3,FALSE)</f>
        <v>28</v>
      </c>
      <c r="O711" s="34" t="str">
        <f>VLOOKUP(E711,Sales_Reps!$A$2:$E$31,3,FALSE)</f>
        <v>North</v>
      </c>
      <c r="P711" s="13" t="s">
        <v>86</v>
      </c>
      <c r="Q711" s="34">
        <f t="shared" si="26"/>
        <v>855749.67999999982</v>
      </c>
      <c r="R711" s="34" t="str">
        <f>VLOOKUP(E711,Sales_Reps!$A$2:$E$100,3,FALSE)</f>
        <v>North</v>
      </c>
      <c r="S711" s="34" t="str">
        <f t="shared" si="27"/>
        <v>Sports</v>
      </c>
      <c r="T711" s="38">
        <f>VLOOKUP(D711,Products!$A$2:$F$68,4,FALSE)</f>
        <v>2265</v>
      </c>
    </row>
    <row r="712" spans="1:20" x14ac:dyDescent="0.35">
      <c r="A712" s="13" t="s">
        <v>1174</v>
      </c>
      <c r="B712" s="14">
        <v>45322</v>
      </c>
      <c r="C712" s="13" t="s">
        <v>413</v>
      </c>
      <c r="D712" s="13" t="s">
        <v>295</v>
      </c>
      <c r="E712" s="13" t="s">
        <v>204</v>
      </c>
      <c r="F712" s="15">
        <v>5</v>
      </c>
      <c r="G712" s="15">
        <v>2030</v>
      </c>
      <c r="H712" s="15">
        <v>25.2</v>
      </c>
      <c r="I712" s="15">
        <v>7592.2</v>
      </c>
      <c r="J712" s="13" t="s">
        <v>87</v>
      </c>
      <c r="K712" s="13" t="s">
        <v>88</v>
      </c>
      <c r="L712" s="34" t="str">
        <f>VLOOKUP(D712,Products!$A$2:$F$61,3,FALSE)</f>
        <v>Home</v>
      </c>
      <c r="M712" s="34" t="str">
        <f>VLOOKUP(C712,Customers!$A$2:$F$301,5,FALSE)</f>
        <v>Retail</v>
      </c>
      <c r="N712" s="34">
        <f>VLOOKUP(C712,Customers!$A$2:$F$301,3,FALSE)</f>
        <v>22</v>
      </c>
      <c r="O712" s="34" t="str">
        <f>VLOOKUP(E712,Sales_Reps!$A$2:$E$31,3,FALSE)</f>
        <v>South</v>
      </c>
      <c r="P712" s="13" t="s">
        <v>204</v>
      </c>
      <c r="Q712" s="34">
        <f t="shared" si="26"/>
        <v>914554.71999999986</v>
      </c>
      <c r="R712" s="34" t="str">
        <f>VLOOKUP(E712,Sales_Reps!$A$2:$E$100,3,FALSE)</f>
        <v>South</v>
      </c>
      <c r="S712" s="34" t="str">
        <f t="shared" si="27"/>
        <v>Home</v>
      </c>
      <c r="T712" s="38">
        <f>VLOOKUP(D712,Products!$A$2:$F$68,4,FALSE)</f>
        <v>1143</v>
      </c>
    </row>
    <row r="713" spans="1:20" x14ac:dyDescent="0.35">
      <c r="A713" s="13" t="s">
        <v>1175</v>
      </c>
      <c r="B713" s="14">
        <v>45363</v>
      </c>
      <c r="C713" s="13" t="s">
        <v>585</v>
      </c>
      <c r="D713" s="13" t="s">
        <v>267</v>
      </c>
      <c r="E713" s="13" t="s">
        <v>325</v>
      </c>
      <c r="F713" s="15">
        <v>5</v>
      </c>
      <c r="G713" s="15">
        <v>1220</v>
      </c>
      <c r="H713" s="15">
        <v>2.6</v>
      </c>
      <c r="I713" s="15">
        <v>5941.4</v>
      </c>
      <c r="J713" s="13" t="s">
        <v>87</v>
      </c>
      <c r="K713" s="13" t="s">
        <v>94</v>
      </c>
      <c r="L713" s="34" t="str">
        <f>VLOOKUP(D713,Products!$A$2:$F$61,3,FALSE)</f>
        <v>Electronics</v>
      </c>
      <c r="M713" s="34" t="str">
        <f>VLOOKUP(C713,Customers!$A$2:$F$301,5,FALSE)</f>
        <v>Retail</v>
      </c>
      <c r="N713" s="34">
        <f>VLOOKUP(C713,Customers!$A$2:$F$301,3,FALSE)</f>
        <v>26</v>
      </c>
      <c r="O713" s="34" t="str">
        <f>VLOOKUP(E713,Sales_Reps!$A$2:$E$31,3,FALSE)</f>
        <v>South</v>
      </c>
      <c r="P713" s="13" t="s">
        <v>325</v>
      </c>
      <c r="Q713" s="34">
        <f t="shared" si="26"/>
        <v>901394.32000000007</v>
      </c>
      <c r="R713" s="34" t="str">
        <f>VLOOKUP(E713,Sales_Reps!$A$2:$E$100,3,FALSE)</f>
        <v>South</v>
      </c>
      <c r="S713" s="34" t="str">
        <f t="shared" si="27"/>
        <v>Electronics</v>
      </c>
      <c r="T713" s="38">
        <f>VLOOKUP(D713,Products!$A$2:$F$68,4,FALSE)</f>
        <v>517</v>
      </c>
    </row>
    <row r="714" spans="1:20" x14ac:dyDescent="0.35">
      <c r="A714" s="13" t="s">
        <v>1176</v>
      </c>
      <c r="B714" s="14">
        <v>45600</v>
      </c>
      <c r="C714" s="13" t="s">
        <v>524</v>
      </c>
      <c r="D714" s="13" t="s">
        <v>279</v>
      </c>
      <c r="E714" s="13" t="s">
        <v>103</v>
      </c>
      <c r="F714" s="15">
        <v>4</v>
      </c>
      <c r="G714" s="15">
        <v>2660</v>
      </c>
      <c r="H714" s="15">
        <v>19.100000000000001</v>
      </c>
      <c r="I714" s="15">
        <v>8607.76</v>
      </c>
      <c r="J714" s="13" t="s">
        <v>144</v>
      </c>
      <c r="K714" s="13" t="s">
        <v>112</v>
      </c>
      <c r="L714" s="34" t="str">
        <f>VLOOKUP(D714,Products!$A$2:$F$61,3,FALSE)</f>
        <v>Electronics</v>
      </c>
      <c r="M714" s="34" t="str">
        <f>VLOOKUP(C714,Customers!$A$2:$F$301,5,FALSE)</f>
        <v>Corporate</v>
      </c>
      <c r="N714" s="34">
        <f>VLOOKUP(C714,Customers!$A$2:$F$301,3,FALSE)</f>
        <v>55</v>
      </c>
      <c r="O714" s="34" t="str">
        <f>VLOOKUP(E714,Sales_Reps!$A$2:$E$31,3,FALSE)</f>
        <v>North</v>
      </c>
      <c r="P714" s="13" t="s">
        <v>103</v>
      </c>
      <c r="Q714" s="34">
        <f t="shared" si="26"/>
        <v>1138648.73</v>
      </c>
      <c r="R714" s="34" t="str">
        <f>VLOOKUP(E714,Sales_Reps!$A$2:$E$100,3,FALSE)</f>
        <v>North</v>
      </c>
      <c r="S714" s="34" t="str">
        <f t="shared" si="27"/>
        <v>Electronics</v>
      </c>
      <c r="T714" s="38">
        <f>VLOOKUP(D714,Products!$A$2:$F$68,4,FALSE)</f>
        <v>1259</v>
      </c>
    </row>
    <row r="715" spans="1:20" x14ac:dyDescent="0.35">
      <c r="A715" s="13" t="s">
        <v>1177</v>
      </c>
      <c r="B715" s="14">
        <v>45351</v>
      </c>
      <c r="C715" s="13" t="s">
        <v>610</v>
      </c>
      <c r="D715" s="13" t="s">
        <v>264</v>
      </c>
      <c r="E715" s="13" t="s">
        <v>346</v>
      </c>
      <c r="F715" s="15">
        <v>3</v>
      </c>
      <c r="G715" s="15">
        <v>4070</v>
      </c>
      <c r="H715" s="15">
        <v>25.2</v>
      </c>
      <c r="I715" s="15">
        <v>9133.08</v>
      </c>
      <c r="J715" s="13" t="s">
        <v>87</v>
      </c>
      <c r="K715" s="13" t="s">
        <v>117</v>
      </c>
      <c r="L715" s="34" t="str">
        <f>VLOOKUP(D715,Products!$A$2:$F$61,3,FALSE)</f>
        <v>Grocery</v>
      </c>
      <c r="M715" s="34" t="str">
        <f>VLOOKUP(C715,Customers!$A$2:$F$301,5,FALSE)</f>
        <v>SMB</v>
      </c>
      <c r="N715" s="34">
        <f>VLOOKUP(C715,Customers!$A$2:$F$301,3,FALSE)</f>
        <v>42</v>
      </c>
      <c r="O715" s="34" t="str">
        <f>VLOOKUP(E715,Sales_Reps!$A$2:$E$31,3,FALSE)</f>
        <v>South</v>
      </c>
      <c r="P715" s="13" t="s">
        <v>346</v>
      </c>
      <c r="Q715" s="34">
        <f t="shared" si="26"/>
        <v>814563.7100000002</v>
      </c>
      <c r="R715" s="34" t="str">
        <f>VLOOKUP(E715,Sales_Reps!$A$2:$E$100,3,FALSE)</f>
        <v>South</v>
      </c>
      <c r="S715" s="34" t="str">
        <f t="shared" si="27"/>
        <v>Grocery</v>
      </c>
      <c r="T715" s="38">
        <f>VLOOKUP(D715,Products!$A$2:$F$68,4,FALSE)</f>
        <v>2027</v>
      </c>
    </row>
    <row r="716" spans="1:20" x14ac:dyDescent="0.35">
      <c r="A716" s="13" t="s">
        <v>1178</v>
      </c>
      <c r="B716" s="14">
        <v>45461</v>
      </c>
      <c r="C716" s="13" t="s">
        <v>669</v>
      </c>
      <c r="D716" s="13" t="s">
        <v>380</v>
      </c>
      <c r="E716" s="13" t="s">
        <v>98</v>
      </c>
      <c r="F716" s="15">
        <v>10</v>
      </c>
      <c r="G716" s="15">
        <v>960</v>
      </c>
      <c r="H716" s="15">
        <v>0.3</v>
      </c>
      <c r="I716" s="15">
        <v>9571.2000000000007</v>
      </c>
      <c r="J716" s="13" t="s">
        <v>87</v>
      </c>
      <c r="K716" s="13" t="s">
        <v>133</v>
      </c>
      <c r="L716" s="34" t="str">
        <f>VLOOKUP(D716,Products!$A$2:$F$61,3,FALSE)</f>
        <v>Beauty</v>
      </c>
      <c r="M716" s="34" t="str">
        <f>VLOOKUP(C716,Customers!$A$2:$F$301,5,FALSE)</f>
        <v>Retail</v>
      </c>
      <c r="N716" s="34">
        <f>VLOOKUP(C716,Customers!$A$2:$F$301,3,FALSE)</f>
        <v>31</v>
      </c>
      <c r="O716" s="34" t="str">
        <f>VLOOKUP(E716,Sales_Reps!$A$2:$E$31,3,FALSE)</f>
        <v>South</v>
      </c>
      <c r="P716" s="13" t="s">
        <v>98</v>
      </c>
      <c r="Q716" s="34">
        <f t="shared" si="26"/>
        <v>995713.54000000015</v>
      </c>
      <c r="R716" s="34" t="str">
        <f>VLOOKUP(E716,Sales_Reps!$A$2:$E$100,3,FALSE)</f>
        <v>South</v>
      </c>
      <c r="S716" s="34" t="str">
        <f t="shared" si="27"/>
        <v>Beauty</v>
      </c>
      <c r="T716" s="38">
        <f>VLOOKUP(D716,Products!$A$2:$F$68,4,FALSE)</f>
        <v>675</v>
      </c>
    </row>
    <row r="717" spans="1:20" x14ac:dyDescent="0.35">
      <c r="A717" s="13" t="s">
        <v>1179</v>
      </c>
      <c r="B717" s="14">
        <v>45431</v>
      </c>
      <c r="C717" s="13" t="s">
        <v>1180</v>
      </c>
      <c r="D717" s="13" t="s">
        <v>226</v>
      </c>
      <c r="E717" s="13" t="s">
        <v>229</v>
      </c>
      <c r="F717" s="15">
        <v>2</v>
      </c>
      <c r="G717" s="15">
        <v>3730</v>
      </c>
      <c r="H717" s="15">
        <v>29.9</v>
      </c>
      <c r="I717" s="15">
        <v>5229.46</v>
      </c>
      <c r="J717" s="13" t="s">
        <v>87</v>
      </c>
      <c r="K717" s="13" t="s">
        <v>94</v>
      </c>
      <c r="L717" s="34" t="str">
        <f>VLOOKUP(D717,Products!$A$2:$F$61,3,FALSE)</f>
        <v>Home</v>
      </c>
      <c r="M717" s="34" t="str">
        <f>VLOOKUP(C717,Customers!$A$2:$F$301,5,FALSE)</f>
        <v>Corporate</v>
      </c>
      <c r="N717" s="34">
        <f>VLOOKUP(C717,Customers!$A$2:$F$301,3,FALSE)</f>
        <v>49</v>
      </c>
      <c r="O717" s="34" t="str">
        <f>VLOOKUP(E717,Sales_Reps!$A$2:$E$31,3,FALSE)</f>
        <v>West</v>
      </c>
      <c r="P717" s="13" t="s">
        <v>229</v>
      </c>
      <c r="Q717" s="34">
        <f t="shared" si="26"/>
        <v>1016696.8000000002</v>
      </c>
      <c r="R717" s="34" t="str">
        <f>VLOOKUP(E717,Sales_Reps!$A$2:$E$100,3,FALSE)</f>
        <v>West</v>
      </c>
      <c r="S717" s="34" t="str">
        <f t="shared" si="27"/>
        <v>Home</v>
      </c>
      <c r="T717" s="38">
        <f>VLOOKUP(D717,Products!$A$2:$F$68,4,FALSE)</f>
        <v>2135</v>
      </c>
    </row>
    <row r="718" spans="1:20" x14ac:dyDescent="0.35">
      <c r="A718" s="13" t="s">
        <v>1181</v>
      </c>
      <c r="B718" s="14">
        <v>45592</v>
      </c>
      <c r="C718" s="13" t="s">
        <v>369</v>
      </c>
      <c r="D718" s="13" t="s">
        <v>115</v>
      </c>
      <c r="E718" s="13" t="s">
        <v>139</v>
      </c>
      <c r="F718" s="15">
        <v>9</v>
      </c>
      <c r="G718" s="15">
        <v>960</v>
      </c>
      <c r="H718" s="15">
        <v>1.9</v>
      </c>
      <c r="I718" s="15">
        <v>8475.84</v>
      </c>
      <c r="J718" s="13" t="s">
        <v>87</v>
      </c>
      <c r="K718" s="13" t="s">
        <v>94</v>
      </c>
      <c r="L718" s="34" t="str">
        <f>VLOOKUP(D718,Products!$A$2:$F$61,3,FALSE)</f>
        <v>Sports</v>
      </c>
      <c r="M718" s="34" t="str">
        <f>VLOOKUP(C718,Customers!$A$2:$F$301,5,FALSE)</f>
        <v>SMB</v>
      </c>
      <c r="N718" s="34">
        <f>VLOOKUP(C718,Customers!$A$2:$F$301,3,FALSE)</f>
        <v>62</v>
      </c>
      <c r="O718" s="34" t="str">
        <f>VLOOKUP(E718,Sales_Reps!$A$2:$E$31,3,FALSE)</f>
        <v>North</v>
      </c>
      <c r="P718" s="13" t="s">
        <v>139</v>
      </c>
      <c r="Q718" s="34">
        <f t="shared" si="26"/>
        <v>589026.2899999998</v>
      </c>
      <c r="R718" s="34" t="str">
        <f>VLOOKUP(E718,Sales_Reps!$A$2:$E$100,3,FALSE)</f>
        <v>North</v>
      </c>
      <c r="S718" s="34" t="str">
        <f t="shared" si="27"/>
        <v>Sports</v>
      </c>
      <c r="T718" s="38">
        <f>VLOOKUP(D718,Products!$A$2:$F$68,4,FALSE)</f>
        <v>705</v>
      </c>
    </row>
    <row r="719" spans="1:20" x14ac:dyDescent="0.35">
      <c r="A719" s="13" t="s">
        <v>1182</v>
      </c>
      <c r="B719" s="14">
        <v>45454</v>
      </c>
      <c r="C719" s="13" t="s">
        <v>146</v>
      </c>
      <c r="D719" s="13" t="s">
        <v>452</v>
      </c>
      <c r="E719" s="13" t="s">
        <v>139</v>
      </c>
      <c r="F719" s="15">
        <v>2</v>
      </c>
      <c r="G719" s="15">
        <v>3450</v>
      </c>
      <c r="H719" s="15">
        <v>22.9</v>
      </c>
      <c r="I719" s="15">
        <v>5319.9</v>
      </c>
      <c r="J719" s="13" t="s">
        <v>93</v>
      </c>
      <c r="K719" s="13" t="s">
        <v>88</v>
      </c>
      <c r="L719" s="34" t="str">
        <f>VLOOKUP(D719,Products!$A$2:$F$61,3,FALSE)</f>
        <v>Apparel</v>
      </c>
      <c r="M719" s="34" t="str">
        <f>VLOOKUP(C719,Customers!$A$2:$F$301,5,FALSE)</f>
        <v>Retail</v>
      </c>
      <c r="N719" s="34">
        <f>VLOOKUP(C719,Customers!$A$2:$F$301,3,FALSE)</f>
        <v>38</v>
      </c>
      <c r="O719" s="34" t="str">
        <f>VLOOKUP(E719,Sales_Reps!$A$2:$E$31,3,FALSE)</f>
        <v>North</v>
      </c>
      <c r="P719" s="13" t="s">
        <v>139</v>
      </c>
      <c r="Q719" s="34">
        <f t="shared" si="26"/>
        <v>589026.2899999998</v>
      </c>
      <c r="R719" s="34" t="str">
        <f>VLOOKUP(E719,Sales_Reps!$A$2:$E$100,3,FALSE)</f>
        <v>North</v>
      </c>
      <c r="S719" s="34" t="str">
        <f t="shared" si="27"/>
        <v>Apparel</v>
      </c>
      <c r="T719" s="38">
        <f>VLOOKUP(D719,Products!$A$2:$F$68,4,FALSE)</f>
        <v>1748</v>
      </c>
    </row>
    <row r="720" spans="1:20" x14ac:dyDescent="0.35">
      <c r="A720" s="13" t="s">
        <v>1183</v>
      </c>
      <c r="B720" s="14">
        <v>45616</v>
      </c>
      <c r="C720" s="13" t="s">
        <v>841</v>
      </c>
      <c r="D720" s="13" t="s">
        <v>360</v>
      </c>
      <c r="E720" s="13" t="s">
        <v>132</v>
      </c>
      <c r="F720" s="15">
        <v>3</v>
      </c>
      <c r="G720" s="15">
        <v>5410</v>
      </c>
      <c r="H720" s="15">
        <v>15.5</v>
      </c>
      <c r="I720" s="15">
        <v>13714.35</v>
      </c>
      <c r="J720" s="13" t="s">
        <v>87</v>
      </c>
      <c r="K720" s="13" t="s">
        <v>117</v>
      </c>
      <c r="L720" s="34" t="str">
        <f>VLOOKUP(D720,Products!$A$2:$F$61,3,FALSE)</f>
        <v>Sports</v>
      </c>
      <c r="M720" s="34" t="str">
        <f>VLOOKUP(C720,Customers!$A$2:$F$301,5,FALSE)</f>
        <v>Corporate</v>
      </c>
      <c r="N720" s="34">
        <f>VLOOKUP(C720,Customers!$A$2:$F$301,3,FALSE)</f>
        <v>41</v>
      </c>
      <c r="O720" s="34" t="str">
        <f>VLOOKUP(E720,Sales_Reps!$A$2:$E$31,3,FALSE)</f>
        <v>South</v>
      </c>
      <c r="P720" s="13" t="s">
        <v>132</v>
      </c>
      <c r="Q720" s="34">
        <f t="shared" si="26"/>
        <v>880345.20000000007</v>
      </c>
      <c r="R720" s="34" t="str">
        <f>VLOOKUP(E720,Sales_Reps!$A$2:$E$100,3,FALSE)</f>
        <v>South</v>
      </c>
      <c r="S720" s="34" t="str">
        <f t="shared" si="27"/>
        <v>Sports</v>
      </c>
      <c r="T720" s="38">
        <f>VLOOKUP(D720,Products!$A$2:$F$68,4,FALSE)</f>
        <v>2265</v>
      </c>
    </row>
    <row r="721" spans="1:20" x14ac:dyDescent="0.35">
      <c r="A721" s="13" t="s">
        <v>1184</v>
      </c>
      <c r="B721" s="14">
        <v>45448</v>
      </c>
      <c r="C721" s="13" t="s">
        <v>501</v>
      </c>
      <c r="D721" s="13" t="s">
        <v>179</v>
      </c>
      <c r="E721" s="13" t="s">
        <v>121</v>
      </c>
      <c r="F721" s="15">
        <v>8</v>
      </c>
      <c r="G721" s="15">
        <v>3350</v>
      </c>
      <c r="H721" s="15">
        <v>18.399999999999999</v>
      </c>
      <c r="I721" s="15">
        <v>21868.799999999999</v>
      </c>
      <c r="J721" s="13" t="s">
        <v>87</v>
      </c>
      <c r="K721" s="13" t="s">
        <v>133</v>
      </c>
      <c r="L721" s="34" t="str">
        <f>VLOOKUP(D721,Products!$A$2:$F$61,3,FALSE)</f>
        <v>Beauty</v>
      </c>
      <c r="M721" s="34" t="str">
        <f>VLOOKUP(C721,Customers!$A$2:$F$301,5,FALSE)</f>
        <v>SMB</v>
      </c>
      <c r="N721" s="34">
        <f>VLOOKUP(C721,Customers!$A$2:$F$301,3,FALSE)</f>
        <v>65</v>
      </c>
      <c r="O721" s="34" t="str">
        <f>VLOOKUP(E721,Sales_Reps!$A$2:$E$31,3,FALSE)</f>
        <v>East</v>
      </c>
      <c r="P721" s="13" t="s">
        <v>121</v>
      </c>
      <c r="Q721" s="34">
        <f t="shared" si="26"/>
        <v>971183.52000000014</v>
      </c>
      <c r="R721" s="34" t="str">
        <f>VLOOKUP(E721,Sales_Reps!$A$2:$E$100,3,FALSE)</f>
        <v>East</v>
      </c>
      <c r="S721" s="34" t="str">
        <f t="shared" si="27"/>
        <v>Beauty</v>
      </c>
      <c r="T721" s="38">
        <f>VLOOKUP(D721,Products!$A$2:$F$68,4,FALSE)</f>
        <v>1728</v>
      </c>
    </row>
    <row r="722" spans="1:20" x14ac:dyDescent="0.35">
      <c r="A722" s="13" t="s">
        <v>1185</v>
      </c>
      <c r="B722" s="14">
        <v>45611</v>
      </c>
      <c r="C722" s="13" t="s">
        <v>223</v>
      </c>
      <c r="D722" s="13" t="s">
        <v>173</v>
      </c>
      <c r="E722" s="13" t="s">
        <v>107</v>
      </c>
      <c r="F722" s="15">
        <v>5</v>
      </c>
      <c r="G722" s="15">
        <v>2720</v>
      </c>
      <c r="H722" s="15">
        <v>17.3</v>
      </c>
      <c r="I722" s="15">
        <v>11247.2</v>
      </c>
      <c r="J722" s="13" t="s">
        <v>140</v>
      </c>
      <c r="K722" s="13" t="s">
        <v>99</v>
      </c>
      <c r="L722" s="34" t="str">
        <f>VLOOKUP(D722,Products!$A$2:$F$61,3,FALSE)</f>
        <v>Apparel</v>
      </c>
      <c r="M722" s="34" t="str">
        <f>VLOOKUP(C722,Customers!$A$2:$F$301,5,FALSE)</f>
        <v>Retail</v>
      </c>
      <c r="N722" s="34">
        <f>VLOOKUP(C722,Customers!$A$2:$F$301,3,FALSE)</f>
        <v>53</v>
      </c>
      <c r="O722" s="34" t="str">
        <f>VLOOKUP(E722,Sales_Reps!$A$2:$E$31,3,FALSE)</f>
        <v>North</v>
      </c>
      <c r="P722" s="13" t="s">
        <v>107</v>
      </c>
      <c r="Q722" s="34">
        <f t="shared" si="26"/>
        <v>861553.33</v>
      </c>
      <c r="R722" s="34" t="str">
        <f>VLOOKUP(E722,Sales_Reps!$A$2:$E$100,3,FALSE)</f>
        <v>North</v>
      </c>
      <c r="S722" s="34" t="str">
        <f t="shared" si="27"/>
        <v>Apparel</v>
      </c>
      <c r="T722" s="38">
        <f>VLOOKUP(D722,Products!$A$2:$F$68,4,FALSE)</f>
        <v>1962</v>
      </c>
    </row>
    <row r="723" spans="1:20" x14ac:dyDescent="0.35">
      <c r="A723" s="13" t="s">
        <v>1186</v>
      </c>
      <c r="B723" s="14">
        <v>45403</v>
      </c>
      <c r="C723" s="13" t="s">
        <v>114</v>
      </c>
      <c r="D723" s="13" t="s">
        <v>102</v>
      </c>
      <c r="E723" s="13" t="s">
        <v>238</v>
      </c>
      <c r="F723" s="15">
        <v>8</v>
      </c>
      <c r="G723" s="15">
        <v>3660</v>
      </c>
      <c r="H723" s="15">
        <v>28.8</v>
      </c>
      <c r="I723" s="15">
        <v>20847.36</v>
      </c>
      <c r="J723" s="13" t="s">
        <v>87</v>
      </c>
      <c r="K723" s="13" t="s">
        <v>117</v>
      </c>
      <c r="L723" s="34" t="str">
        <f>VLOOKUP(D723,Products!$A$2:$F$61,3,FALSE)</f>
        <v>Grocery</v>
      </c>
      <c r="M723" s="34" t="str">
        <f>VLOOKUP(C723,Customers!$A$2:$F$301,5,FALSE)</f>
        <v>Retail</v>
      </c>
      <c r="N723" s="34">
        <f>VLOOKUP(C723,Customers!$A$2:$F$301,3,FALSE)</f>
        <v>27</v>
      </c>
      <c r="O723" s="34" t="str">
        <f>VLOOKUP(E723,Sales_Reps!$A$2:$E$31,3,FALSE)</f>
        <v>East</v>
      </c>
      <c r="P723" s="13" t="s">
        <v>238</v>
      </c>
      <c r="Q723" s="34">
        <f t="shared" si="26"/>
        <v>780384.40999999992</v>
      </c>
      <c r="R723" s="34" t="str">
        <f>VLOOKUP(E723,Sales_Reps!$A$2:$E$100,3,FALSE)</f>
        <v>East</v>
      </c>
      <c r="S723" s="34" t="str">
        <f t="shared" si="27"/>
        <v>Grocery</v>
      </c>
      <c r="T723" s="38">
        <f>VLOOKUP(D723,Products!$A$2:$F$68,4,FALSE)</f>
        <v>2214</v>
      </c>
    </row>
    <row r="724" spans="1:20" x14ac:dyDescent="0.35">
      <c r="A724" s="13" t="s">
        <v>1187</v>
      </c>
      <c r="B724" s="14">
        <v>45530</v>
      </c>
      <c r="C724" s="13" t="s">
        <v>582</v>
      </c>
      <c r="D724" s="13" t="s">
        <v>282</v>
      </c>
      <c r="E724" s="13" t="s">
        <v>252</v>
      </c>
      <c r="F724" s="15">
        <v>6</v>
      </c>
      <c r="G724" s="15">
        <v>300</v>
      </c>
      <c r="H724" s="15">
        <v>23.9</v>
      </c>
      <c r="I724" s="15">
        <v>1369.8</v>
      </c>
      <c r="J724" s="13" t="s">
        <v>140</v>
      </c>
      <c r="K724" s="13" t="s">
        <v>94</v>
      </c>
      <c r="L724" s="34" t="str">
        <f>VLOOKUP(D724,Products!$A$2:$F$61,3,FALSE)</f>
        <v>Electronics</v>
      </c>
      <c r="M724" s="34" t="str">
        <f>VLOOKUP(C724,Customers!$A$2:$F$301,5,FALSE)</f>
        <v>SMB</v>
      </c>
      <c r="N724" s="34">
        <f>VLOOKUP(C724,Customers!$A$2:$F$301,3,FALSE)</f>
        <v>59</v>
      </c>
      <c r="O724" s="34" t="str">
        <f>VLOOKUP(E724,Sales_Reps!$A$2:$E$31,3,FALSE)</f>
        <v>South</v>
      </c>
      <c r="P724" s="13" t="s">
        <v>252</v>
      </c>
      <c r="Q724" s="34">
        <f t="shared" si="26"/>
        <v>811524.37999999989</v>
      </c>
      <c r="R724" s="34" t="str">
        <f>VLOOKUP(E724,Sales_Reps!$A$2:$E$100,3,FALSE)</f>
        <v>South</v>
      </c>
      <c r="S724" s="34" t="str">
        <f t="shared" si="27"/>
        <v>Electronics</v>
      </c>
      <c r="T724" s="38">
        <f>VLOOKUP(D724,Products!$A$2:$F$68,4,FALSE)</f>
        <v>128</v>
      </c>
    </row>
    <row r="725" spans="1:20" x14ac:dyDescent="0.35">
      <c r="A725" s="13" t="s">
        <v>1188</v>
      </c>
      <c r="B725" s="14">
        <v>45548</v>
      </c>
      <c r="C725" s="13" t="s">
        <v>244</v>
      </c>
      <c r="D725" s="13" t="s">
        <v>386</v>
      </c>
      <c r="E725" s="13" t="s">
        <v>201</v>
      </c>
      <c r="F725" s="15">
        <v>3</v>
      </c>
      <c r="G725" s="15">
        <v>2290</v>
      </c>
      <c r="H725" s="15">
        <v>2.4</v>
      </c>
      <c r="I725" s="15">
        <v>6705.12</v>
      </c>
      <c r="J725" s="13" t="s">
        <v>87</v>
      </c>
      <c r="K725" s="13" t="s">
        <v>94</v>
      </c>
      <c r="L725" s="34" t="str">
        <f>VLOOKUP(D725,Products!$A$2:$F$61,3,FALSE)</f>
        <v>Beauty</v>
      </c>
      <c r="M725" s="34" t="str">
        <f>VLOOKUP(C725,Customers!$A$2:$F$301,5,FALSE)</f>
        <v>Corporate</v>
      </c>
      <c r="N725" s="34">
        <f>VLOOKUP(C725,Customers!$A$2:$F$301,3,FALSE)</f>
        <v>52</v>
      </c>
      <c r="O725" s="34" t="str">
        <f>VLOOKUP(E725,Sales_Reps!$A$2:$E$31,3,FALSE)</f>
        <v>West</v>
      </c>
      <c r="P725" s="13" t="s">
        <v>201</v>
      </c>
      <c r="Q725" s="34">
        <f t="shared" si="26"/>
        <v>576305.08000000019</v>
      </c>
      <c r="R725" s="34" t="str">
        <f>VLOOKUP(E725,Sales_Reps!$A$2:$E$100,3,FALSE)</f>
        <v>West</v>
      </c>
      <c r="S725" s="34" t="str">
        <f t="shared" si="27"/>
        <v>Beauty</v>
      </c>
      <c r="T725" s="38">
        <f>VLOOKUP(D725,Products!$A$2:$F$68,4,FALSE)</f>
        <v>1219</v>
      </c>
    </row>
    <row r="726" spans="1:20" x14ac:dyDescent="0.35">
      <c r="A726" s="13" t="s">
        <v>1189</v>
      </c>
      <c r="B726" s="14">
        <v>45403</v>
      </c>
      <c r="C726" s="13" t="s">
        <v>986</v>
      </c>
      <c r="D726" s="13" t="s">
        <v>184</v>
      </c>
      <c r="E726" s="13" t="s">
        <v>98</v>
      </c>
      <c r="F726" s="15">
        <v>6</v>
      </c>
      <c r="G726" s="15">
        <v>4880</v>
      </c>
      <c r="H726" s="15">
        <v>11.1</v>
      </c>
      <c r="I726" s="15">
        <v>26029.919999999998</v>
      </c>
      <c r="J726" s="13" t="s">
        <v>93</v>
      </c>
      <c r="K726" s="13" t="s">
        <v>94</v>
      </c>
      <c r="L726" s="34" t="str">
        <f>VLOOKUP(D726,Products!$A$2:$F$61,3,FALSE)</f>
        <v>Beauty</v>
      </c>
      <c r="M726" s="34" t="str">
        <f>VLOOKUP(C726,Customers!$A$2:$F$301,5,FALSE)</f>
        <v>Corporate</v>
      </c>
      <c r="N726" s="34">
        <f>VLOOKUP(C726,Customers!$A$2:$F$301,3,FALSE)</f>
        <v>52</v>
      </c>
      <c r="O726" s="34" t="str">
        <f>VLOOKUP(E726,Sales_Reps!$A$2:$E$31,3,FALSE)</f>
        <v>South</v>
      </c>
      <c r="P726" s="13" t="s">
        <v>98</v>
      </c>
      <c r="Q726" s="34">
        <f t="shared" si="26"/>
        <v>995713.54000000015</v>
      </c>
      <c r="R726" s="34" t="str">
        <f>VLOOKUP(E726,Sales_Reps!$A$2:$E$100,3,FALSE)</f>
        <v>South</v>
      </c>
      <c r="S726" s="34" t="str">
        <f t="shared" si="27"/>
        <v>Beauty</v>
      </c>
      <c r="T726" s="38">
        <f>VLOOKUP(D726,Products!$A$2:$F$68,4,FALSE)</f>
        <v>2768</v>
      </c>
    </row>
    <row r="727" spans="1:20" x14ac:dyDescent="0.35">
      <c r="A727" s="13" t="s">
        <v>1190</v>
      </c>
      <c r="B727" s="14">
        <v>45562</v>
      </c>
      <c r="C727" s="13" t="s">
        <v>1191</v>
      </c>
      <c r="D727" s="13" t="s">
        <v>282</v>
      </c>
      <c r="E727" s="13" t="s">
        <v>86</v>
      </c>
      <c r="F727" s="15">
        <v>5</v>
      </c>
      <c r="G727" s="15">
        <v>300</v>
      </c>
      <c r="H727" s="15">
        <v>19.399999999999999</v>
      </c>
      <c r="I727" s="15">
        <v>1209</v>
      </c>
      <c r="J727" s="13" t="s">
        <v>87</v>
      </c>
      <c r="K727" s="13" t="s">
        <v>117</v>
      </c>
      <c r="L727" s="34" t="str">
        <f>VLOOKUP(D727,Products!$A$2:$F$61,3,FALSE)</f>
        <v>Electronics</v>
      </c>
      <c r="M727" s="34" t="str">
        <f>VLOOKUP(C727,Customers!$A$2:$F$301,5,FALSE)</f>
        <v>Retail</v>
      </c>
      <c r="N727" s="34">
        <f>VLOOKUP(C727,Customers!$A$2:$F$301,3,FALSE)</f>
        <v>36</v>
      </c>
      <c r="O727" s="34" t="str">
        <f>VLOOKUP(E727,Sales_Reps!$A$2:$E$31,3,FALSE)</f>
        <v>North</v>
      </c>
      <c r="P727" s="13" t="s">
        <v>86</v>
      </c>
      <c r="Q727" s="34">
        <f t="shared" si="26"/>
        <v>855749.67999999982</v>
      </c>
      <c r="R727" s="34" t="str">
        <f>VLOOKUP(E727,Sales_Reps!$A$2:$E$100,3,FALSE)</f>
        <v>North</v>
      </c>
      <c r="S727" s="34" t="str">
        <f t="shared" si="27"/>
        <v>Electronics</v>
      </c>
      <c r="T727" s="38">
        <f>VLOOKUP(D727,Products!$A$2:$F$68,4,FALSE)</f>
        <v>128</v>
      </c>
    </row>
    <row r="728" spans="1:20" x14ac:dyDescent="0.35">
      <c r="A728" s="13" t="s">
        <v>1192</v>
      </c>
      <c r="B728" s="14">
        <v>45635</v>
      </c>
      <c r="C728" s="13" t="s">
        <v>1193</v>
      </c>
      <c r="D728" s="13" t="s">
        <v>279</v>
      </c>
      <c r="E728" s="13" t="s">
        <v>170</v>
      </c>
      <c r="F728" s="15">
        <v>3</v>
      </c>
      <c r="G728" s="15">
        <v>2660</v>
      </c>
      <c r="H728" s="15">
        <v>28.5</v>
      </c>
      <c r="I728" s="15">
        <v>5705.7</v>
      </c>
      <c r="J728" s="13" t="s">
        <v>93</v>
      </c>
      <c r="K728" s="13" t="s">
        <v>133</v>
      </c>
      <c r="L728" s="34" t="str">
        <f>VLOOKUP(D728,Products!$A$2:$F$61,3,FALSE)</f>
        <v>Electronics</v>
      </c>
      <c r="M728" s="34" t="str">
        <f>VLOOKUP(C728,Customers!$A$2:$F$301,5,FALSE)</f>
        <v>SMB</v>
      </c>
      <c r="N728" s="34">
        <f>VLOOKUP(C728,Customers!$A$2:$F$301,3,FALSE)</f>
        <v>25</v>
      </c>
      <c r="O728" s="34" t="str">
        <f>VLOOKUP(E728,Sales_Reps!$A$2:$E$31,3,FALSE)</f>
        <v>West</v>
      </c>
      <c r="P728" s="13" t="s">
        <v>170</v>
      </c>
      <c r="Q728" s="34">
        <f t="shared" si="26"/>
        <v>747624.36999999988</v>
      </c>
      <c r="R728" s="34" t="str">
        <f>VLOOKUP(E728,Sales_Reps!$A$2:$E$100,3,FALSE)</f>
        <v>West</v>
      </c>
      <c r="S728" s="34" t="str">
        <f t="shared" si="27"/>
        <v>Electronics</v>
      </c>
      <c r="T728" s="38">
        <f>VLOOKUP(D728,Products!$A$2:$F$68,4,FALSE)</f>
        <v>1259</v>
      </c>
    </row>
    <row r="729" spans="1:20" x14ac:dyDescent="0.35">
      <c r="A729" s="13" t="s">
        <v>1194</v>
      </c>
      <c r="B729" s="14">
        <v>45434</v>
      </c>
      <c r="C729" s="13" t="s">
        <v>835</v>
      </c>
      <c r="D729" s="13" t="s">
        <v>502</v>
      </c>
      <c r="E729" s="13" t="s">
        <v>116</v>
      </c>
      <c r="F729" s="15">
        <v>7</v>
      </c>
      <c r="G729" s="15">
        <v>1090</v>
      </c>
      <c r="H729" s="15">
        <v>10.3</v>
      </c>
      <c r="I729" s="15">
        <v>6844.11</v>
      </c>
      <c r="J729" s="13" t="s">
        <v>87</v>
      </c>
      <c r="K729" s="13" t="s">
        <v>117</v>
      </c>
      <c r="L729" s="34" t="str">
        <f>VLOOKUP(D729,Products!$A$2:$F$61,3,FALSE)</f>
        <v>Home</v>
      </c>
      <c r="M729" s="34" t="str">
        <f>VLOOKUP(C729,Customers!$A$2:$F$301,5,FALSE)</f>
        <v>Retail</v>
      </c>
      <c r="N729" s="34">
        <f>VLOOKUP(C729,Customers!$A$2:$F$301,3,FALSE)</f>
        <v>52</v>
      </c>
      <c r="O729" s="34" t="str">
        <f>VLOOKUP(E729,Sales_Reps!$A$2:$E$31,3,FALSE)</f>
        <v>West</v>
      </c>
      <c r="P729" s="13" t="s">
        <v>116</v>
      </c>
      <c r="Q729" s="34">
        <f t="shared" si="26"/>
        <v>819558.58</v>
      </c>
      <c r="R729" s="34" t="str">
        <f>VLOOKUP(E729,Sales_Reps!$A$2:$E$100,3,FALSE)</f>
        <v>West</v>
      </c>
      <c r="S729" s="34" t="str">
        <f t="shared" si="27"/>
        <v>Home</v>
      </c>
      <c r="T729" s="38">
        <f>VLOOKUP(D729,Products!$A$2:$F$68,4,FALSE)</f>
        <v>464</v>
      </c>
    </row>
    <row r="730" spans="1:20" x14ac:dyDescent="0.35">
      <c r="A730" s="13" t="s">
        <v>1195</v>
      </c>
      <c r="B730" s="14">
        <v>45350</v>
      </c>
      <c r="C730" s="13" t="s">
        <v>487</v>
      </c>
      <c r="D730" s="13" t="s">
        <v>120</v>
      </c>
      <c r="E730" s="13" t="s">
        <v>325</v>
      </c>
      <c r="F730" s="15">
        <v>9</v>
      </c>
      <c r="G730" s="15">
        <v>1430</v>
      </c>
      <c r="H730" s="15">
        <v>12.1</v>
      </c>
      <c r="I730" s="15">
        <v>11312.73</v>
      </c>
      <c r="J730" s="13" t="s">
        <v>140</v>
      </c>
      <c r="K730" s="13" t="s">
        <v>88</v>
      </c>
      <c r="L730" s="34" t="str">
        <f>VLOOKUP(D730,Products!$A$2:$F$61,3,FALSE)</f>
        <v>Electronics</v>
      </c>
      <c r="M730" s="34" t="str">
        <f>VLOOKUP(C730,Customers!$A$2:$F$301,5,FALSE)</f>
        <v>Corporate</v>
      </c>
      <c r="N730" s="34">
        <f>VLOOKUP(C730,Customers!$A$2:$F$301,3,FALSE)</f>
        <v>29</v>
      </c>
      <c r="O730" s="34" t="str">
        <f>VLOOKUP(E730,Sales_Reps!$A$2:$E$31,3,FALSE)</f>
        <v>South</v>
      </c>
      <c r="P730" s="13" t="s">
        <v>325</v>
      </c>
      <c r="Q730" s="34">
        <f t="shared" si="26"/>
        <v>901394.32000000007</v>
      </c>
      <c r="R730" s="34" t="str">
        <f>VLOOKUP(E730,Sales_Reps!$A$2:$E$100,3,FALSE)</f>
        <v>South</v>
      </c>
      <c r="S730" s="34" t="str">
        <f t="shared" si="27"/>
        <v>Electronics</v>
      </c>
      <c r="T730" s="38">
        <f>VLOOKUP(D730,Products!$A$2:$F$68,4,FALSE)</f>
        <v>861</v>
      </c>
    </row>
    <row r="731" spans="1:20" x14ac:dyDescent="0.35">
      <c r="A731" s="13" t="s">
        <v>1196</v>
      </c>
      <c r="B731" s="14">
        <v>45344</v>
      </c>
      <c r="C731" s="13" t="s">
        <v>225</v>
      </c>
      <c r="D731" s="13" t="s">
        <v>135</v>
      </c>
      <c r="E731" s="13" t="s">
        <v>92</v>
      </c>
      <c r="F731" s="15">
        <v>5</v>
      </c>
      <c r="G731" s="15">
        <v>2640</v>
      </c>
      <c r="H731" s="15">
        <v>26.8</v>
      </c>
      <c r="I731" s="15">
        <v>9662.4</v>
      </c>
      <c r="J731" s="13" t="s">
        <v>87</v>
      </c>
      <c r="K731" s="13" t="s">
        <v>94</v>
      </c>
      <c r="L731" s="34" t="str">
        <f>VLOOKUP(D731,Products!$A$2:$F$61,3,FALSE)</f>
        <v>Electronics</v>
      </c>
      <c r="M731" s="34" t="str">
        <f>VLOOKUP(C731,Customers!$A$2:$F$301,5,FALSE)</f>
        <v>Retail</v>
      </c>
      <c r="N731" s="34">
        <f>VLOOKUP(C731,Customers!$A$2:$F$301,3,FALSE)</f>
        <v>37</v>
      </c>
      <c r="O731" s="34" t="str">
        <f>VLOOKUP(E731,Sales_Reps!$A$2:$E$31,3,FALSE)</f>
        <v>North</v>
      </c>
      <c r="P731" s="13" t="s">
        <v>92</v>
      </c>
      <c r="Q731" s="34">
        <f t="shared" si="26"/>
        <v>782445.33</v>
      </c>
      <c r="R731" s="34" t="str">
        <f>VLOOKUP(E731,Sales_Reps!$A$2:$E$100,3,FALSE)</f>
        <v>North</v>
      </c>
      <c r="S731" s="34" t="str">
        <f t="shared" si="27"/>
        <v>Electronics</v>
      </c>
      <c r="T731" s="38">
        <f>VLOOKUP(D731,Products!$A$2:$F$68,4,FALSE)</f>
        <v>1149</v>
      </c>
    </row>
    <row r="732" spans="1:20" x14ac:dyDescent="0.35">
      <c r="A732" s="13" t="s">
        <v>1197</v>
      </c>
      <c r="B732" s="14">
        <v>45498</v>
      </c>
      <c r="C732" s="13" t="s">
        <v>703</v>
      </c>
      <c r="D732" s="13" t="s">
        <v>173</v>
      </c>
      <c r="E732" s="13" t="s">
        <v>215</v>
      </c>
      <c r="F732" s="15">
        <v>8</v>
      </c>
      <c r="G732" s="15">
        <v>2720</v>
      </c>
      <c r="H732" s="15">
        <v>17.5</v>
      </c>
      <c r="I732" s="15">
        <v>17952</v>
      </c>
      <c r="J732" s="13" t="s">
        <v>87</v>
      </c>
      <c r="K732" s="13" t="s">
        <v>88</v>
      </c>
      <c r="L732" s="34" t="str">
        <f>VLOOKUP(D732,Products!$A$2:$F$61,3,FALSE)</f>
        <v>Apparel</v>
      </c>
      <c r="M732" s="34" t="str">
        <f>VLOOKUP(C732,Customers!$A$2:$F$301,5,FALSE)</f>
        <v>Corporate</v>
      </c>
      <c r="N732" s="34">
        <f>VLOOKUP(C732,Customers!$A$2:$F$301,3,FALSE)</f>
        <v>52</v>
      </c>
      <c r="O732" s="34" t="str">
        <f>VLOOKUP(E732,Sales_Reps!$A$2:$E$31,3,FALSE)</f>
        <v>North</v>
      </c>
      <c r="P732" s="13" t="s">
        <v>215</v>
      </c>
      <c r="Q732" s="34">
        <f t="shared" si="26"/>
        <v>789849.60000000009</v>
      </c>
      <c r="R732" s="34" t="str">
        <f>VLOOKUP(E732,Sales_Reps!$A$2:$E$100,3,FALSE)</f>
        <v>North</v>
      </c>
      <c r="S732" s="34" t="str">
        <f t="shared" si="27"/>
        <v>Apparel</v>
      </c>
      <c r="T732" s="38">
        <f>VLOOKUP(D732,Products!$A$2:$F$68,4,FALSE)</f>
        <v>1962</v>
      </c>
    </row>
    <row r="733" spans="1:20" x14ac:dyDescent="0.35">
      <c r="A733" s="13" t="s">
        <v>1198</v>
      </c>
      <c r="B733" s="14">
        <v>45520</v>
      </c>
      <c r="C733" s="13" t="s">
        <v>482</v>
      </c>
      <c r="D733" s="13" t="s">
        <v>237</v>
      </c>
      <c r="E733" s="13" t="s">
        <v>346</v>
      </c>
      <c r="F733" s="15">
        <v>9</v>
      </c>
      <c r="G733" s="15">
        <v>3640</v>
      </c>
      <c r="H733" s="15">
        <v>3.6</v>
      </c>
      <c r="I733" s="15">
        <v>31580.639999999999</v>
      </c>
      <c r="J733" s="13" t="s">
        <v>87</v>
      </c>
      <c r="K733" s="13" t="s">
        <v>133</v>
      </c>
      <c r="L733" s="34" t="str">
        <f>VLOOKUP(D733,Products!$A$2:$F$61,3,FALSE)</f>
        <v>Apparel</v>
      </c>
      <c r="M733" s="34" t="str">
        <f>VLOOKUP(C733,Customers!$A$2:$F$301,5,FALSE)</f>
        <v>Corporate</v>
      </c>
      <c r="N733" s="34">
        <f>VLOOKUP(C733,Customers!$A$2:$F$301,3,FALSE)</f>
        <v>52</v>
      </c>
      <c r="O733" s="34" t="str">
        <f>VLOOKUP(E733,Sales_Reps!$A$2:$E$31,3,FALSE)</f>
        <v>South</v>
      </c>
      <c r="P733" s="13" t="s">
        <v>346</v>
      </c>
      <c r="Q733" s="34">
        <f t="shared" si="26"/>
        <v>814563.7100000002</v>
      </c>
      <c r="R733" s="34" t="str">
        <f>VLOOKUP(E733,Sales_Reps!$A$2:$E$100,3,FALSE)</f>
        <v>South</v>
      </c>
      <c r="S733" s="34" t="str">
        <f t="shared" si="27"/>
        <v>Apparel</v>
      </c>
      <c r="T733" s="38">
        <f>VLOOKUP(D733,Products!$A$2:$F$68,4,FALSE)</f>
        <v>2611</v>
      </c>
    </row>
    <row r="734" spans="1:20" x14ac:dyDescent="0.35">
      <c r="A734" s="13" t="s">
        <v>1199</v>
      </c>
      <c r="B734" s="14">
        <v>45554</v>
      </c>
      <c r="C734" s="13" t="s">
        <v>1200</v>
      </c>
      <c r="D734" s="13" t="s">
        <v>241</v>
      </c>
      <c r="E734" s="13" t="s">
        <v>158</v>
      </c>
      <c r="F734" s="15">
        <v>7</v>
      </c>
      <c r="G734" s="15">
        <v>6080</v>
      </c>
      <c r="H734" s="15">
        <v>23.6</v>
      </c>
      <c r="I734" s="15">
        <v>32515.84</v>
      </c>
      <c r="J734" s="13" t="s">
        <v>87</v>
      </c>
      <c r="K734" s="13" t="s">
        <v>112</v>
      </c>
      <c r="L734" s="34" t="str">
        <f>VLOOKUP(D734,Products!$A$2:$F$61,3,FALSE)</f>
        <v>Beauty</v>
      </c>
      <c r="M734" s="34" t="e">
        <f>VLOOKUP(C734,Customers!$A$2:$F$301,5,FALSE)</f>
        <v>#N/A</v>
      </c>
      <c r="N734" s="34" t="e">
        <f>VLOOKUP(C734,Customers!$A$2:$F$301,3,FALSE)</f>
        <v>#N/A</v>
      </c>
      <c r="O734" s="34" t="str">
        <f>VLOOKUP(E734,Sales_Reps!$A$2:$E$31,3,FALSE)</f>
        <v>East</v>
      </c>
      <c r="P734" s="13" t="s">
        <v>158</v>
      </c>
      <c r="Q734" s="34">
        <f t="shared" si="26"/>
        <v>761507.17000000027</v>
      </c>
      <c r="R734" s="34" t="str">
        <f>VLOOKUP(E734,Sales_Reps!$A$2:$E$100,3,FALSE)</f>
        <v>East</v>
      </c>
      <c r="S734" s="34" t="str">
        <f t="shared" si="27"/>
        <v>Beauty</v>
      </c>
      <c r="T734" s="38">
        <f>VLOOKUP(D734,Products!$A$2:$F$68,4,FALSE)</f>
        <v>2617</v>
      </c>
    </row>
    <row r="735" spans="1:20" x14ac:dyDescent="0.35">
      <c r="A735" s="13" t="s">
        <v>1201</v>
      </c>
      <c r="B735" s="14">
        <v>45584</v>
      </c>
      <c r="C735" s="13" t="s">
        <v>662</v>
      </c>
      <c r="D735" s="13" t="s">
        <v>364</v>
      </c>
      <c r="E735" s="13" t="s">
        <v>188</v>
      </c>
      <c r="F735" s="15">
        <v>7</v>
      </c>
      <c r="G735" s="15">
        <v>5330</v>
      </c>
      <c r="H735" s="15">
        <v>19.7</v>
      </c>
      <c r="I735" s="15">
        <v>29959.93</v>
      </c>
      <c r="J735" s="13" t="s">
        <v>140</v>
      </c>
      <c r="K735" s="13" t="s">
        <v>94</v>
      </c>
      <c r="L735" s="34" t="str">
        <f>VLOOKUP(D735,Products!$A$2:$F$61,3,FALSE)</f>
        <v>Electronics</v>
      </c>
      <c r="M735" s="34" t="str">
        <f>VLOOKUP(C735,Customers!$A$2:$F$301,5,FALSE)</f>
        <v>Corporate</v>
      </c>
      <c r="N735" s="34">
        <f>VLOOKUP(C735,Customers!$A$2:$F$301,3,FALSE)</f>
        <v>41</v>
      </c>
      <c r="O735" s="34" t="str">
        <f>VLOOKUP(E735,Sales_Reps!$A$2:$E$31,3,FALSE)</f>
        <v>South</v>
      </c>
      <c r="P735" s="13" t="s">
        <v>188</v>
      </c>
      <c r="Q735" s="34">
        <f t="shared" si="26"/>
        <v>1091740.1799999997</v>
      </c>
      <c r="R735" s="34" t="str">
        <f>VLOOKUP(E735,Sales_Reps!$A$2:$E$100,3,FALSE)</f>
        <v>South</v>
      </c>
      <c r="S735" s="34" t="str">
        <f t="shared" si="27"/>
        <v>Electronics</v>
      </c>
      <c r="T735" s="38">
        <f>VLOOKUP(D735,Products!$A$2:$F$68,4,FALSE)</f>
        <v>2405</v>
      </c>
    </row>
    <row r="736" spans="1:20" x14ac:dyDescent="0.35">
      <c r="A736" s="13" t="s">
        <v>1202</v>
      </c>
      <c r="B736" s="14">
        <v>45593</v>
      </c>
      <c r="C736" s="13" t="s">
        <v>512</v>
      </c>
      <c r="D736" s="13" t="s">
        <v>270</v>
      </c>
      <c r="E736" s="13" t="s">
        <v>116</v>
      </c>
      <c r="F736" s="15">
        <v>5</v>
      </c>
      <c r="G736" s="15">
        <v>4610</v>
      </c>
      <c r="H736" s="15">
        <v>3.6</v>
      </c>
      <c r="I736" s="15">
        <v>22220.2</v>
      </c>
      <c r="J736" s="13" t="s">
        <v>87</v>
      </c>
      <c r="K736" s="13" t="s">
        <v>133</v>
      </c>
      <c r="L736" s="34" t="str">
        <f>VLOOKUP(D736,Products!$A$2:$F$61,3,FALSE)</f>
        <v>Home</v>
      </c>
      <c r="M736" s="34" t="str">
        <f>VLOOKUP(C736,Customers!$A$2:$F$301,5,FALSE)</f>
        <v>Retail</v>
      </c>
      <c r="N736" s="34">
        <f>VLOOKUP(C736,Customers!$A$2:$F$301,3,FALSE)</f>
        <v>61</v>
      </c>
      <c r="O736" s="34" t="str">
        <f>VLOOKUP(E736,Sales_Reps!$A$2:$E$31,3,FALSE)</f>
        <v>West</v>
      </c>
      <c r="P736" s="13" t="s">
        <v>116</v>
      </c>
      <c r="Q736" s="34">
        <f t="shared" si="26"/>
        <v>819558.58</v>
      </c>
      <c r="R736" s="34" t="str">
        <f>VLOOKUP(E736,Sales_Reps!$A$2:$E$100,3,FALSE)</f>
        <v>West</v>
      </c>
      <c r="S736" s="34" t="str">
        <f t="shared" si="27"/>
        <v>Home</v>
      </c>
      <c r="T736" s="38">
        <f>VLOOKUP(D736,Products!$A$2:$F$68,4,FALSE)</f>
        <v>1850</v>
      </c>
    </row>
    <row r="737" spans="1:20" x14ac:dyDescent="0.35">
      <c r="A737" s="13" t="s">
        <v>1203</v>
      </c>
      <c r="B737" s="14">
        <v>45302</v>
      </c>
      <c r="C737" s="13" t="s">
        <v>807</v>
      </c>
      <c r="D737" s="13" t="s">
        <v>364</v>
      </c>
      <c r="E737" s="13" t="s">
        <v>170</v>
      </c>
      <c r="F737" s="15">
        <v>9</v>
      </c>
      <c r="G737" s="15">
        <v>5330</v>
      </c>
      <c r="H737" s="15">
        <v>22.9</v>
      </c>
      <c r="I737" s="15">
        <v>36984.870000000003</v>
      </c>
      <c r="J737" s="13" t="s">
        <v>87</v>
      </c>
      <c r="K737" s="13" t="s">
        <v>88</v>
      </c>
      <c r="L737" s="34" t="str">
        <f>VLOOKUP(D737,Products!$A$2:$F$61,3,FALSE)</f>
        <v>Electronics</v>
      </c>
      <c r="M737" s="34" t="str">
        <f>VLOOKUP(C737,Customers!$A$2:$F$301,5,FALSE)</f>
        <v>Retail</v>
      </c>
      <c r="N737" s="34">
        <f>VLOOKUP(C737,Customers!$A$2:$F$301,3,FALSE)</f>
        <v>36</v>
      </c>
      <c r="O737" s="34" t="str">
        <f>VLOOKUP(E737,Sales_Reps!$A$2:$E$31,3,FALSE)</f>
        <v>West</v>
      </c>
      <c r="P737" s="13" t="s">
        <v>170</v>
      </c>
      <c r="Q737" s="34">
        <f t="shared" si="26"/>
        <v>747624.36999999988</v>
      </c>
      <c r="R737" s="34" t="str">
        <f>VLOOKUP(E737,Sales_Reps!$A$2:$E$100,3,FALSE)</f>
        <v>West</v>
      </c>
      <c r="S737" s="34" t="str">
        <f t="shared" si="27"/>
        <v>Electronics</v>
      </c>
      <c r="T737" s="38">
        <f>VLOOKUP(D737,Products!$A$2:$F$68,4,FALSE)</f>
        <v>2405</v>
      </c>
    </row>
    <row r="738" spans="1:20" x14ac:dyDescent="0.35">
      <c r="A738" s="13" t="s">
        <v>1204</v>
      </c>
      <c r="B738" s="14">
        <v>45440</v>
      </c>
      <c r="C738" s="13" t="s">
        <v>485</v>
      </c>
      <c r="D738" s="13" t="s">
        <v>241</v>
      </c>
      <c r="E738" s="13" t="s">
        <v>303</v>
      </c>
      <c r="F738" s="15">
        <v>5</v>
      </c>
      <c r="G738" s="15">
        <v>6080</v>
      </c>
      <c r="H738" s="15">
        <v>6</v>
      </c>
      <c r="I738" s="15">
        <v>28576</v>
      </c>
      <c r="J738" s="13" t="s">
        <v>144</v>
      </c>
      <c r="K738" s="13" t="s">
        <v>88</v>
      </c>
      <c r="L738" s="34" t="str">
        <f>VLOOKUP(D738,Products!$A$2:$F$61,3,FALSE)</f>
        <v>Beauty</v>
      </c>
      <c r="M738" s="34" t="str">
        <f>VLOOKUP(C738,Customers!$A$2:$F$301,5,FALSE)</f>
        <v>Retail</v>
      </c>
      <c r="N738" s="34">
        <f>VLOOKUP(C738,Customers!$A$2:$F$301,3,FALSE)</f>
        <v>49</v>
      </c>
      <c r="O738" s="34" t="str">
        <f>VLOOKUP(E738,Sales_Reps!$A$2:$E$31,3,FALSE)</f>
        <v>East</v>
      </c>
      <c r="P738" s="13" t="s">
        <v>303</v>
      </c>
      <c r="Q738" s="34">
        <f t="shared" si="26"/>
        <v>1112289.6400000001</v>
      </c>
      <c r="R738" s="34" t="str">
        <f>VLOOKUP(E738,Sales_Reps!$A$2:$E$100,3,FALSE)</f>
        <v>East</v>
      </c>
      <c r="S738" s="34" t="str">
        <f t="shared" si="27"/>
        <v>Beauty</v>
      </c>
      <c r="T738" s="38">
        <f>VLOOKUP(D738,Products!$A$2:$F$68,4,FALSE)</f>
        <v>2617</v>
      </c>
    </row>
    <row r="739" spans="1:20" x14ac:dyDescent="0.35">
      <c r="A739" s="13" t="s">
        <v>1205</v>
      </c>
      <c r="B739" s="14">
        <v>45299</v>
      </c>
      <c r="C739" s="13" t="s">
        <v>712</v>
      </c>
      <c r="D739" s="13" t="s">
        <v>237</v>
      </c>
      <c r="E739" s="13" t="s">
        <v>238</v>
      </c>
      <c r="F739" s="15">
        <v>7</v>
      </c>
      <c r="G739" s="15">
        <v>3640</v>
      </c>
      <c r="H739" s="15">
        <v>5.5</v>
      </c>
      <c r="I739" s="15">
        <v>24078.6</v>
      </c>
      <c r="J739" s="13" t="s">
        <v>87</v>
      </c>
      <c r="K739" s="13" t="s">
        <v>112</v>
      </c>
      <c r="L739" s="34" t="str">
        <f>VLOOKUP(D739,Products!$A$2:$F$61,3,FALSE)</f>
        <v>Apparel</v>
      </c>
      <c r="M739" s="34" t="str">
        <f>VLOOKUP(C739,Customers!$A$2:$F$301,5,FALSE)</f>
        <v>Corporate</v>
      </c>
      <c r="N739" s="34">
        <f>VLOOKUP(C739,Customers!$A$2:$F$301,3,FALSE)</f>
        <v>51</v>
      </c>
      <c r="O739" s="34" t="str">
        <f>VLOOKUP(E739,Sales_Reps!$A$2:$E$31,3,FALSE)</f>
        <v>East</v>
      </c>
      <c r="P739" s="13" t="s">
        <v>238</v>
      </c>
      <c r="Q739" s="34">
        <f t="shared" si="26"/>
        <v>780384.40999999992</v>
      </c>
      <c r="R739" s="34" t="str">
        <f>VLOOKUP(E739,Sales_Reps!$A$2:$E$100,3,FALSE)</f>
        <v>East</v>
      </c>
      <c r="S739" s="34" t="str">
        <f t="shared" si="27"/>
        <v>Apparel</v>
      </c>
      <c r="T739" s="38">
        <f>VLOOKUP(D739,Products!$A$2:$F$68,4,FALSE)</f>
        <v>2611</v>
      </c>
    </row>
    <row r="740" spans="1:20" x14ac:dyDescent="0.35">
      <c r="A740" s="13" t="s">
        <v>1206</v>
      </c>
      <c r="B740" s="14">
        <v>45336</v>
      </c>
      <c r="C740" s="13" t="s">
        <v>472</v>
      </c>
      <c r="D740" s="13" t="s">
        <v>279</v>
      </c>
      <c r="E740" s="13" t="s">
        <v>252</v>
      </c>
      <c r="F740" s="15">
        <v>1</v>
      </c>
      <c r="G740" s="15">
        <v>2660</v>
      </c>
      <c r="H740" s="15">
        <v>6.1</v>
      </c>
      <c r="I740" s="15">
        <v>2497.7399999999998</v>
      </c>
      <c r="J740" s="13" t="s">
        <v>140</v>
      </c>
      <c r="K740" s="13" t="s">
        <v>94</v>
      </c>
      <c r="L740" s="34" t="str">
        <f>VLOOKUP(D740,Products!$A$2:$F$61,3,FALSE)</f>
        <v>Electronics</v>
      </c>
      <c r="M740" s="34" t="str">
        <f>VLOOKUP(C740,Customers!$A$2:$F$301,5,FALSE)</f>
        <v>Corporate</v>
      </c>
      <c r="N740" s="34">
        <f>VLOOKUP(C740,Customers!$A$2:$F$301,3,FALSE)</f>
        <v>35</v>
      </c>
      <c r="O740" s="34" t="str">
        <f>VLOOKUP(E740,Sales_Reps!$A$2:$E$31,3,FALSE)</f>
        <v>South</v>
      </c>
      <c r="P740" s="13" t="s">
        <v>252</v>
      </c>
      <c r="Q740" s="34">
        <f t="shared" si="26"/>
        <v>811524.37999999989</v>
      </c>
      <c r="R740" s="34" t="str">
        <f>VLOOKUP(E740,Sales_Reps!$A$2:$E$100,3,FALSE)</f>
        <v>South</v>
      </c>
      <c r="S740" s="34" t="str">
        <f t="shared" si="27"/>
        <v>Electronics</v>
      </c>
      <c r="T740" s="38">
        <f>VLOOKUP(D740,Products!$A$2:$F$68,4,FALSE)</f>
        <v>1259</v>
      </c>
    </row>
    <row r="741" spans="1:20" x14ac:dyDescent="0.35">
      <c r="A741" s="13" t="s">
        <v>1207</v>
      </c>
      <c r="B741" s="14">
        <v>45300</v>
      </c>
      <c r="C741" s="13" t="s">
        <v>233</v>
      </c>
      <c r="D741" s="13" t="s">
        <v>179</v>
      </c>
      <c r="E741" s="13" t="s">
        <v>188</v>
      </c>
      <c r="F741" s="15">
        <v>8</v>
      </c>
      <c r="G741" s="15">
        <v>3350</v>
      </c>
      <c r="H741" s="15">
        <v>19.5</v>
      </c>
      <c r="I741" s="15">
        <v>21574</v>
      </c>
      <c r="J741" s="13" t="s">
        <v>87</v>
      </c>
      <c r="K741" s="13" t="s">
        <v>88</v>
      </c>
      <c r="L741" s="34" t="str">
        <f>VLOOKUP(D741,Products!$A$2:$F$61,3,FALSE)</f>
        <v>Beauty</v>
      </c>
      <c r="M741" s="34" t="str">
        <f>VLOOKUP(C741,Customers!$A$2:$F$301,5,FALSE)</f>
        <v>SMB</v>
      </c>
      <c r="N741" s="34">
        <f>VLOOKUP(C741,Customers!$A$2:$F$301,3,FALSE)</f>
        <v>29</v>
      </c>
      <c r="O741" s="34" t="str">
        <f>VLOOKUP(E741,Sales_Reps!$A$2:$E$31,3,FALSE)</f>
        <v>South</v>
      </c>
      <c r="P741" s="13" t="s">
        <v>188</v>
      </c>
      <c r="Q741" s="34">
        <f t="shared" si="26"/>
        <v>1091740.1799999997</v>
      </c>
      <c r="R741" s="34" t="str">
        <f>VLOOKUP(E741,Sales_Reps!$A$2:$E$100,3,FALSE)</f>
        <v>South</v>
      </c>
      <c r="S741" s="34" t="str">
        <f t="shared" si="27"/>
        <v>Beauty</v>
      </c>
      <c r="T741" s="38">
        <f>VLOOKUP(D741,Products!$A$2:$F$68,4,FALSE)</f>
        <v>1728</v>
      </c>
    </row>
    <row r="742" spans="1:20" x14ac:dyDescent="0.35">
      <c r="A742" s="13" t="s">
        <v>1208</v>
      </c>
      <c r="B742" s="14">
        <v>45648</v>
      </c>
      <c r="C742" s="13" t="s">
        <v>84</v>
      </c>
      <c r="D742" s="13" t="s">
        <v>270</v>
      </c>
      <c r="E742" s="13" t="s">
        <v>121</v>
      </c>
      <c r="F742" s="15">
        <v>4</v>
      </c>
      <c r="G742" s="15">
        <v>4610</v>
      </c>
      <c r="H742" s="15">
        <v>24</v>
      </c>
      <c r="I742" s="15">
        <v>14014.4</v>
      </c>
      <c r="J742" s="13" t="s">
        <v>87</v>
      </c>
      <c r="K742" s="13" t="s">
        <v>88</v>
      </c>
      <c r="L742" s="34" t="str">
        <f>VLOOKUP(D742,Products!$A$2:$F$61,3,FALSE)</f>
        <v>Home</v>
      </c>
      <c r="M742" s="34" t="str">
        <f>VLOOKUP(C742,Customers!$A$2:$F$301,5,FALSE)</f>
        <v>SMB</v>
      </c>
      <c r="N742" s="34">
        <f>VLOOKUP(C742,Customers!$A$2:$F$301,3,FALSE)</f>
        <v>44</v>
      </c>
      <c r="O742" s="34" t="str">
        <f>VLOOKUP(E742,Sales_Reps!$A$2:$E$31,3,FALSE)</f>
        <v>East</v>
      </c>
      <c r="P742" s="13" t="s">
        <v>121</v>
      </c>
      <c r="Q742" s="34">
        <f t="shared" si="26"/>
        <v>971183.52000000014</v>
      </c>
      <c r="R742" s="34" t="str">
        <f>VLOOKUP(E742,Sales_Reps!$A$2:$E$100,3,FALSE)</f>
        <v>East</v>
      </c>
      <c r="S742" s="34" t="str">
        <f t="shared" si="27"/>
        <v>Home</v>
      </c>
      <c r="T742" s="38">
        <f>VLOOKUP(D742,Products!$A$2:$F$68,4,FALSE)</f>
        <v>1850</v>
      </c>
    </row>
    <row r="743" spans="1:20" x14ac:dyDescent="0.35">
      <c r="A743" s="13" t="s">
        <v>1209</v>
      </c>
      <c r="B743" s="14">
        <v>45293</v>
      </c>
      <c r="C743" s="13" t="s">
        <v>580</v>
      </c>
      <c r="D743" s="13" t="s">
        <v>195</v>
      </c>
      <c r="E743" s="13" t="s">
        <v>98</v>
      </c>
      <c r="F743" s="15">
        <v>7</v>
      </c>
      <c r="G743" s="15">
        <v>2860</v>
      </c>
      <c r="H743" s="15">
        <v>23.2</v>
      </c>
      <c r="I743" s="15">
        <v>15375.36</v>
      </c>
      <c r="J743" s="13" t="s">
        <v>87</v>
      </c>
      <c r="K743" s="13" t="s">
        <v>88</v>
      </c>
      <c r="L743" s="34" t="str">
        <f>VLOOKUP(D743,Products!$A$2:$F$61,3,FALSE)</f>
        <v>Sports</v>
      </c>
      <c r="M743" s="34" t="str">
        <f>VLOOKUP(C743,Customers!$A$2:$F$301,5,FALSE)</f>
        <v>Corporate</v>
      </c>
      <c r="N743" s="34">
        <f>VLOOKUP(C743,Customers!$A$2:$F$301,3,FALSE)</f>
        <v>40</v>
      </c>
      <c r="O743" s="34" t="str">
        <f>VLOOKUP(E743,Sales_Reps!$A$2:$E$31,3,FALSE)</f>
        <v>South</v>
      </c>
      <c r="P743" s="13" t="s">
        <v>98</v>
      </c>
      <c r="Q743" s="34">
        <f t="shared" si="26"/>
        <v>995713.54000000015</v>
      </c>
      <c r="R743" s="34" t="str">
        <f>VLOOKUP(E743,Sales_Reps!$A$2:$E$100,3,FALSE)</f>
        <v>South</v>
      </c>
      <c r="S743" s="34" t="str">
        <f t="shared" si="27"/>
        <v>Sports</v>
      </c>
      <c r="T743" s="38">
        <f>VLOOKUP(D743,Products!$A$2:$F$68,4,FALSE)</f>
        <v>2028</v>
      </c>
    </row>
    <row r="744" spans="1:20" x14ac:dyDescent="0.35">
      <c r="A744" s="13" t="s">
        <v>1210</v>
      </c>
      <c r="B744" s="14">
        <v>45644</v>
      </c>
      <c r="C744" s="13" t="s">
        <v>807</v>
      </c>
      <c r="D744" s="13" t="s">
        <v>179</v>
      </c>
      <c r="E744" s="13" t="s">
        <v>252</v>
      </c>
      <c r="F744" s="15">
        <v>7</v>
      </c>
      <c r="G744" s="15">
        <v>3350</v>
      </c>
      <c r="H744" s="15">
        <v>10.6</v>
      </c>
      <c r="I744" s="15">
        <v>20964.3</v>
      </c>
      <c r="J744" s="13" t="s">
        <v>93</v>
      </c>
      <c r="K744" s="13" t="s">
        <v>88</v>
      </c>
      <c r="L744" s="34" t="str">
        <f>VLOOKUP(D744,Products!$A$2:$F$61,3,FALSE)</f>
        <v>Beauty</v>
      </c>
      <c r="M744" s="34" t="str">
        <f>VLOOKUP(C744,Customers!$A$2:$F$301,5,FALSE)</f>
        <v>Retail</v>
      </c>
      <c r="N744" s="34">
        <f>VLOOKUP(C744,Customers!$A$2:$F$301,3,FALSE)</f>
        <v>36</v>
      </c>
      <c r="O744" s="34" t="str">
        <f>VLOOKUP(E744,Sales_Reps!$A$2:$E$31,3,FALSE)</f>
        <v>South</v>
      </c>
      <c r="P744" s="13" t="s">
        <v>252</v>
      </c>
      <c r="Q744" s="34">
        <f t="shared" si="26"/>
        <v>811524.37999999989</v>
      </c>
      <c r="R744" s="34" t="str">
        <f>VLOOKUP(E744,Sales_Reps!$A$2:$E$100,3,FALSE)</f>
        <v>South</v>
      </c>
      <c r="S744" s="34" t="str">
        <f t="shared" si="27"/>
        <v>Beauty</v>
      </c>
      <c r="T744" s="38">
        <f>VLOOKUP(D744,Products!$A$2:$F$68,4,FALSE)</f>
        <v>1728</v>
      </c>
    </row>
    <row r="745" spans="1:20" x14ac:dyDescent="0.35">
      <c r="A745" s="13" t="s">
        <v>1211</v>
      </c>
      <c r="B745" s="14">
        <v>45589</v>
      </c>
      <c r="C745" s="13" t="s">
        <v>328</v>
      </c>
      <c r="D745" s="13" t="s">
        <v>338</v>
      </c>
      <c r="E745" s="13" t="s">
        <v>128</v>
      </c>
      <c r="F745" s="15">
        <v>5</v>
      </c>
      <c r="G745" s="15">
        <v>2210</v>
      </c>
      <c r="H745" s="15">
        <v>12.1</v>
      </c>
      <c r="I745" s="15">
        <v>9712.9500000000007</v>
      </c>
      <c r="J745" s="13" t="s">
        <v>87</v>
      </c>
      <c r="K745" s="13" t="s">
        <v>94</v>
      </c>
      <c r="L745" s="34" t="str">
        <f>VLOOKUP(D745,Products!$A$2:$F$61,3,FALSE)</f>
        <v>Grocery</v>
      </c>
      <c r="M745" s="34" t="str">
        <f>VLOOKUP(C745,Customers!$A$2:$F$301,5,FALSE)</f>
        <v>Retail</v>
      </c>
      <c r="N745" s="34">
        <f>VLOOKUP(C745,Customers!$A$2:$F$301,3,FALSE)</f>
        <v>28</v>
      </c>
      <c r="O745" s="34" t="str">
        <f>VLOOKUP(E745,Sales_Reps!$A$2:$E$31,3,FALSE)</f>
        <v>West</v>
      </c>
      <c r="P745" s="13" t="s">
        <v>128</v>
      </c>
      <c r="Q745" s="34">
        <f t="shared" si="26"/>
        <v>880468.05</v>
      </c>
      <c r="R745" s="34" t="str">
        <f>VLOOKUP(E745,Sales_Reps!$A$2:$E$100,3,FALSE)</f>
        <v>West</v>
      </c>
      <c r="S745" s="34" t="str">
        <f t="shared" si="27"/>
        <v>Grocery</v>
      </c>
      <c r="T745" s="38">
        <f>VLOOKUP(D745,Products!$A$2:$F$68,4,FALSE)</f>
        <v>1010</v>
      </c>
    </row>
    <row r="746" spans="1:20" x14ac:dyDescent="0.35">
      <c r="A746" s="13" t="s">
        <v>1212</v>
      </c>
      <c r="B746" s="14">
        <v>45329</v>
      </c>
      <c r="C746" s="13" t="s">
        <v>460</v>
      </c>
      <c r="D746" s="13" t="s">
        <v>157</v>
      </c>
      <c r="E746" s="13" t="s">
        <v>252</v>
      </c>
      <c r="F746" s="15">
        <v>1</v>
      </c>
      <c r="G746" s="15">
        <v>3450</v>
      </c>
      <c r="H746" s="15">
        <v>19.100000000000001</v>
      </c>
      <c r="I746" s="15">
        <v>2791.05</v>
      </c>
      <c r="J746" s="13" t="s">
        <v>93</v>
      </c>
      <c r="K746" s="13" t="s">
        <v>88</v>
      </c>
      <c r="L746" s="34" t="str">
        <f>VLOOKUP(D746,Products!$A$2:$F$61,3,FALSE)</f>
        <v>Beauty</v>
      </c>
      <c r="M746" s="34" t="str">
        <f>VLOOKUP(C746,Customers!$A$2:$F$301,5,FALSE)</f>
        <v>Corporate</v>
      </c>
      <c r="N746" s="34">
        <f>VLOOKUP(C746,Customers!$A$2:$F$301,3,FALSE)</f>
        <v>37</v>
      </c>
      <c r="O746" s="34" t="str">
        <f>VLOOKUP(E746,Sales_Reps!$A$2:$E$31,3,FALSE)</f>
        <v>South</v>
      </c>
      <c r="P746" s="13" t="s">
        <v>252</v>
      </c>
      <c r="Q746" s="34">
        <f t="shared" si="26"/>
        <v>811524.37999999989</v>
      </c>
      <c r="R746" s="34" t="str">
        <f>VLOOKUP(E746,Sales_Reps!$A$2:$E$100,3,FALSE)</f>
        <v>South</v>
      </c>
      <c r="S746" s="34" t="str">
        <f t="shared" si="27"/>
        <v>Beauty</v>
      </c>
      <c r="T746" s="38">
        <f>VLOOKUP(D746,Products!$A$2:$F$68,4,FALSE)</f>
        <v>2420</v>
      </c>
    </row>
    <row r="747" spans="1:20" x14ac:dyDescent="0.35">
      <c r="A747" s="13" t="s">
        <v>1213</v>
      </c>
      <c r="B747" s="14">
        <v>45587</v>
      </c>
      <c r="C747" s="13" t="s">
        <v>539</v>
      </c>
      <c r="D747" s="13" t="s">
        <v>191</v>
      </c>
      <c r="E747" s="13" t="s">
        <v>128</v>
      </c>
      <c r="F747" s="15">
        <v>5</v>
      </c>
      <c r="G747" s="15">
        <v>5100</v>
      </c>
      <c r="H747" s="15">
        <v>2.8</v>
      </c>
      <c r="I747" s="15">
        <v>24786</v>
      </c>
      <c r="J747" s="13" t="s">
        <v>87</v>
      </c>
      <c r="K747" s="13" t="s">
        <v>133</v>
      </c>
      <c r="L747" s="34" t="str">
        <f>VLOOKUP(D747,Products!$A$2:$F$61,3,FALSE)</f>
        <v>Beauty</v>
      </c>
      <c r="M747" s="34" t="str">
        <f>VLOOKUP(C747,Customers!$A$2:$F$301,5,FALSE)</f>
        <v>Retail</v>
      </c>
      <c r="N747" s="34">
        <f>VLOOKUP(C747,Customers!$A$2:$F$301,3,FALSE)</f>
        <v>38</v>
      </c>
      <c r="O747" s="34" t="str">
        <f>VLOOKUP(E747,Sales_Reps!$A$2:$E$31,3,FALSE)</f>
        <v>West</v>
      </c>
      <c r="P747" s="13" t="s">
        <v>128</v>
      </c>
      <c r="Q747" s="34">
        <f t="shared" si="26"/>
        <v>880468.05</v>
      </c>
      <c r="R747" s="34" t="str">
        <f>VLOOKUP(E747,Sales_Reps!$A$2:$E$100,3,FALSE)</f>
        <v>West</v>
      </c>
      <c r="S747" s="34" t="str">
        <f t="shared" si="27"/>
        <v>Beauty</v>
      </c>
      <c r="T747" s="38">
        <f>VLOOKUP(D747,Products!$A$2:$F$68,4,FALSE)</f>
        <v>2237</v>
      </c>
    </row>
    <row r="748" spans="1:20" x14ac:dyDescent="0.35">
      <c r="A748" s="13" t="s">
        <v>1214</v>
      </c>
      <c r="B748" s="14">
        <v>45423</v>
      </c>
      <c r="C748" s="13" t="s">
        <v>299</v>
      </c>
      <c r="D748" s="13" t="s">
        <v>191</v>
      </c>
      <c r="E748" s="13" t="s">
        <v>148</v>
      </c>
      <c r="F748" s="15">
        <v>9</v>
      </c>
      <c r="G748" s="15">
        <v>5100</v>
      </c>
      <c r="H748" s="15">
        <v>24.4</v>
      </c>
      <c r="I748" s="15">
        <v>34700.400000000001</v>
      </c>
      <c r="J748" s="13" t="s">
        <v>87</v>
      </c>
      <c r="K748" s="13" t="s">
        <v>133</v>
      </c>
      <c r="L748" s="34" t="str">
        <f>VLOOKUP(D748,Products!$A$2:$F$61,3,FALSE)</f>
        <v>Beauty</v>
      </c>
      <c r="M748" s="34" t="str">
        <f>VLOOKUP(C748,Customers!$A$2:$F$301,5,FALSE)</f>
        <v>Retail</v>
      </c>
      <c r="N748" s="34">
        <f>VLOOKUP(C748,Customers!$A$2:$F$301,3,FALSE)</f>
        <v>29</v>
      </c>
      <c r="O748" s="34" t="str">
        <f>VLOOKUP(E748,Sales_Reps!$A$2:$E$31,3,FALSE)</f>
        <v>North</v>
      </c>
      <c r="P748" s="13" t="s">
        <v>148</v>
      </c>
      <c r="Q748" s="34">
        <f t="shared" si="26"/>
        <v>986692.91</v>
      </c>
      <c r="R748" s="34" t="str">
        <f>VLOOKUP(E748,Sales_Reps!$A$2:$E$100,3,FALSE)</f>
        <v>North</v>
      </c>
      <c r="S748" s="34" t="str">
        <f t="shared" si="27"/>
        <v>Beauty</v>
      </c>
      <c r="T748" s="38">
        <f>VLOOKUP(D748,Products!$A$2:$F$68,4,FALSE)</f>
        <v>2237</v>
      </c>
    </row>
    <row r="749" spans="1:20" x14ac:dyDescent="0.35">
      <c r="A749" s="13" t="s">
        <v>1215</v>
      </c>
      <c r="B749" s="14">
        <v>45568</v>
      </c>
      <c r="C749" s="13" t="s">
        <v>301</v>
      </c>
      <c r="D749" s="13" t="s">
        <v>203</v>
      </c>
      <c r="E749" s="13" t="s">
        <v>103</v>
      </c>
      <c r="F749" s="15">
        <v>9</v>
      </c>
      <c r="G749" s="15">
        <v>660</v>
      </c>
      <c r="H749" s="15">
        <v>19.8</v>
      </c>
      <c r="I749" s="15">
        <v>4763.88</v>
      </c>
      <c r="J749" s="13" t="s">
        <v>87</v>
      </c>
      <c r="K749" s="13" t="s">
        <v>94</v>
      </c>
      <c r="L749" s="34" t="str">
        <f>VLOOKUP(D749,Products!$A$2:$F$61,3,FALSE)</f>
        <v>Home</v>
      </c>
      <c r="M749" s="34" t="str">
        <f>VLOOKUP(C749,Customers!$A$2:$F$301,5,FALSE)</f>
        <v>Retail</v>
      </c>
      <c r="N749" s="34">
        <f>VLOOKUP(C749,Customers!$A$2:$F$301,3,FALSE)</f>
        <v>41</v>
      </c>
      <c r="O749" s="34" t="str">
        <f>VLOOKUP(E749,Sales_Reps!$A$2:$E$31,3,FALSE)</f>
        <v>North</v>
      </c>
      <c r="P749" s="13" t="s">
        <v>103</v>
      </c>
      <c r="Q749" s="34">
        <f t="shared" si="26"/>
        <v>1138648.73</v>
      </c>
      <c r="R749" s="34" t="str">
        <f>VLOOKUP(E749,Sales_Reps!$A$2:$E$100,3,FALSE)</f>
        <v>North</v>
      </c>
      <c r="S749" s="34" t="str">
        <f t="shared" si="27"/>
        <v>Home</v>
      </c>
      <c r="T749" s="38">
        <f>VLOOKUP(D749,Products!$A$2:$F$68,4,FALSE)</f>
        <v>329</v>
      </c>
    </row>
    <row r="750" spans="1:20" x14ac:dyDescent="0.35">
      <c r="A750" s="13" t="s">
        <v>1216</v>
      </c>
      <c r="B750" s="14">
        <v>45549</v>
      </c>
      <c r="C750" s="13" t="s">
        <v>1217</v>
      </c>
      <c r="D750" s="13" t="s">
        <v>264</v>
      </c>
      <c r="E750" s="13" t="s">
        <v>103</v>
      </c>
      <c r="F750" s="15">
        <v>3</v>
      </c>
      <c r="G750" s="15">
        <v>4070</v>
      </c>
      <c r="H750" s="15">
        <v>27.1</v>
      </c>
      <c r="I750" s="15">
        <v>8901.09</v>
      </c>
      <c r="J750" s="13" t="s">
        <v>87</v>
      </c>
      <c r="K750" s="13" t="s">
        <v>112</v>
      </c>
      <c r="L750" s="34" t="str">
        <f>VLOOKUP(D750,Products!$A$2:$F$61,3,FALSE)</f>
        <v>Grocery</v>
      </c>
      <c r="M750" s="34" t="str">
        <f>VLOOKUP(C750,Customers!$A$2:$F$301,5,FALSE)</f>
        <v>Retail</v>
      </c>
      <c r="N750" s="34">
        <f>VLOOKUP(C750,Customers!$A$2:$F$301,3,FALSE)</f>
        <v>44</v>
      </c>
      <c r="O750" s="34" t="str">
        <f>VLOOKUP(E750,Sales_Reps!$A$2:$E$31,3,FALSE)</f>
        <v>North</v>
      </c>
      <c r="P750" s="13" t="s">
        <v>103</v>
      </c>
      <c r="Q750" s="34">
        <f t="shared" si="26"/>
        <v>1138648.73</v>
      </c>
      <c r="R750" s="34" t="str">
        <f>VLOOKUP(E750,Sales_Reps!$A$2:$E$100,3,FALSE)</f>
        <v>North</v>
      </c>
      <c r="S750" s="34" t="str">
        <f t="shared" si="27"/>
        <v>Grocery</v>
      </c>
      <c r="T750" s="38">
        <f>VLOOKUP(D750,Products!$A$2:$F$68,4,FALSE)</f>
        <v>2027</v>
      </c>
    </row>
    <row r="751" spans="1:20" x14ac:dyDescent="0.35">
      <c r="A751" s="13" t="s">
        <v>1218</v>
      </c>
      <c r="B751" s="14">
        <v>45504</v>
      </c>
      <c r="C751" s="13" t="s">
        <v>350</v>
      </c>
      <c r="D751" s="13" t="s">
        <v>355</v>
      </c>
      <c r="E751" s="13" t="s">
        <v>86</v>
      </c>
      <c r="F751" s="15">
        <v>2</v>
      </c>
      <c r="G751" s="15">
        <v>2510</v>
      </c>
      <c r="H751" s="15">
        <v>29.1</v>
      </c>
      <c r="I751" s="15">
        <v>3559.18</v>
      </c>
      <c r="J751" s="13" t="s">
        <v>87</v>
      </c>
      <c r="K751" s="13" t="s">
        <v>112</v>
      </c>
      <c r="L751" s="34" t="str">
        <f>VLOOKUP(D751,Products!$A$2:$F$61,3,FALSE)</f>
        <v>Apparel</v>
      </c>
      <c r="M751" s="34" t="str">
        <f>VLOOKUP(C751,Customers!$A$2:$F$301,5,FALSE)</f>
        <v>SMB</v>
      </c>
      <c r="N751" s="34">
        <f>VLOOKUP(C751,Customers!$A$2:$F$301,3,FALSE)</f>
        <v>22</v>
      </c>
      <c r="O751" s="34" t="str">
        <f>VLOOKUP(E751,Sales_Reps!$A$2:$E$31,3,FALSE)</f>
        <v>North</v>
      </c>
      <c r="P751" s="13" t="s">
        <v>86</v>
      </c>
      <c r="Q751" s="34">
        <f t="shared" si="26"/>
        <v>855749.67999999982</v>
      </c>
      <c r="R751" s="34" t="str">
        <f>VLOOKUP(E751,Sales_Reps!$A$2:$E$100,3,FALSE)</f>
        <v>North</v>
      </c>
      <c r="S751" s="34" t="str">
        <f t="shared" si="27"/>
        <v>Apparel</v>
      </c>
      <c r="T751" s="38">
        <f>VLOOKUP(D751,Products!$A$2:$F$68,4,FALSE)</f>
        <v>1075</v>
      </c>
    </row>
    <row r="752" spans="1:20" x14ac:dyDescent="0.35">
      <c r="A752" s="13" t="s">
        <v>1219</v>
      </c>
      <c r="B752" s="14">
        <v>45449</v>
      </c>
      <c r="C752" s="13" t="s">
        <v>233</v>
      </c>
      <c r="D752" s="13" t="s">
        <v>143</v>
      </c>
      <c r="E752" s="13" t="s">
        <v>170</v>
      </c>
      <c r="F752" s="15">
        <v>4</v>
      </c>
      <c r="G752" s="15">
        <v>3250</v>
      </c>
      <c r="H752" s="15">
        <v>21.1</v>
      </c>
      <c r="I752" s="15">
        <v>10257</v>
      </c>
      <c r="J752" s="13" t="s">
        <v>87</v>
      </c>
      <c r="K752" s="13" t="s">
        <v>88</v>
      </c>
      <c r="L752" s="34" t="str">
        <f>VLOOKUP(D752,Products!$A$2:$F$61,3,FALSE)</f>
        <v>Home</v>
      </c>
      <c r="M752" s="34" t="str">
        <f>VLOOKUP(C752,Customers!$A$2:$F$301,5,FALSE)</f>
        <v>SMB</v>
      </c>
      <c r="N752" s="34">
        <f>VLOOKUP(C752,Customers!$A$2:$F$301,3,FALSE)</f>
        <v>29</v>
      </c>
      <c r="O752" s="34" t="str">
        <f>VLOOKUP(E752,Sales_Reps!$A$2:$E$31,3,FALSE)</f>
        <v>West</v>
      </c>
      <c r="P752" s="13" t="s">
        <v>170</v>
      </c>
      <c r="Q752" s="34">
        <f t="shared" si="26"/>
        <v>747624.36999999988</v>
      </c>
      <c r="R752" s="34" t="str">
        <f>VLOOKUP(E752,Sales_Reps!$A$2:$E$100,3,FALSE)</f>
        <v>West</v>
      </c>
      <c r="S752" s="34" t="str">
        <f t="shared" si="27"/>
        <v>Home</v>
      </c>
      <c r="T752" s="38">
        <f>VLOOKUP(D752,Products!$A$2:$F$68,4,FALSE)</f>
        <v>1556</v>
      </c>
    </row>
    <row r="753" spans="1:20" x14ac:dyDescent="0.35">
      <c r="A753" s="13" t="s">
        <v>1220</v>
      </c>
      <c r="B753" s="14">
        <v>45600</v>
      </c>
      <c r="C753" s="13" t="s">
        <v>599</v>
      </c>
      <c r="D753" s="13" t="s">
        <v>110</v>
      </c>
      <c r="E753" s="13" t="s">
        <v>92</v>
      </c>
      <c r="F753" s="15">
        <v>3</v>
      </c>
      <c r="G753" s="15">
        <v>370</v>
      </c>
      <c r="H753" s="15">
        <v>7.7</v>
      </c>
      <c r="I753" s="15">
        <v>1024.53</v>
      </c>
      <c r="J753" s="13" t="s">
        <v>87</v>
      </c>
      <c r="K753" s="13" t="s">
        <v>117</v>
      </c>
      <c r="L753" s="34" t="str">
        <f>VLOOKUP(D753,Products!$A$2:$F$61,3,FALSE)</f>
        <v>Home</v>
      </c>
      <c r="M753" s="34" t="str">
        <f>VLOOKUP(C753,Customers!$A$2:$F$301,5,FALSE)</f>
        <v>Corporate</v>
      </c>
      <c r="N753" s="34">
        <f>VLOOKUP(C753,Customers!$A$2:$F$301,3,FALSE)</f>
        <v>26</v>
      </c>
      <c r="O753" s="34" t="str">
        <f>VLOOKUP(E753,Sales_Reps!$A$2:$E$31,3,FALSE)</f>
        <v>North</v>
      </c>
      <c r="P753" s="13" t="s">
        <v>92</v>
      </c>
      <c r="Q753" s="34">
        <f t="shared" si="26"/>
        <v>782445.33</v>
      </c>
      <c r="R753" s="34" t="str">
        <f>VLOOKUP(E753,Sales_Reps!$A$2:$E$100,3,FALSE)</f>
        <v>North</v>
      </c>
      <c r="S753" s="34" t="str">
        <f t="shared" si="27"/>
        <v>Home</v>
      </c>
      <c r="T753" s="38">
        <f>VLOOKUP(D753,Products!$A$2:$F$68,4,FALSE)</f>
        <v>288</v>
      </c>
    </row>
    <row r="754" spans="1:20" x14ac:dyDescent="0.35">
      <c r="A754" s="13" t="s">
        <v>1221</v>
      </c>
      <c r="B754" s="14">
        <v>45479</v>
      </c>
      <c r="C754" s="13" t="s">
        <v>977</v>
      </c>
      <c r="D754" s="13" t="s">
        <v>91</v>
      </c>
      <c r="E754" s="13" t="s">
        <v>103</v>
      </c>
      <c r="F754" s="15">
        <v>10</v>
      </c>
      <c r="G754" s="15">
        <v>820</v>
      </c>
      <c r="H754" s="15">
        <v>3.5</v>
      </c>
      <c r="I754" s="15">
        <v>7913</v>
      </c>
      <c r="J754" s="13" t="s">
        <v>87</v>
      </c>
      <c r="K754" s="13" t="s">
        <v>88</v>
      </c>
      <c r="L754" s="34" t="str">
        <f>VLOOKUP(D754,Products!$A$2:$F$61,3,FALSE)</f>
        <v>Apparel</v>
      </c>
      <c r="M754" s="34" t="str">
        <f>VLOOKUP(C754,Customers!$A$2:$F$301,5,FALSE)</f>
        <v>Corporate</v>
      </c>
      <c r="N754" s="34">
        <f>VLOOKUP(C754,Customers!$A$2:$F$301,3,FALSE)</f>
        <v>29</v>
      </c>
      <c r="O754" s="34" t="str">
        <f>VLOOKUP(E754,Sales_Reps!$A$2:$E$31,3,FALSE)</f>
        <v>North</v>
      </c>
      <c r="P754" s="13" t="s">
        <v>103</v>
      </c>
      <c r="Q754" s="34">
        <f t="shared" si="26"/>
        <v>1138648.73</v>
      </c>
      <c r="R754" s="34" t="str">
        <f>VLOOKUP(E754,Sales_Reps!$A$2:$E$100,3,FALSE)</f>
        <v>North</v>
      </c>
      <c r="S754" s="34" t="str">
        <f t="shared" si="27"/>
        <v>Apparel</v>
      </c>
      <c r="T754" s="38">
        <f>VLOOKUP(D754,Products!$A$2:$F$68,4,FALSE)</f>
        <v>391</v>
      </c>
    </row>
    <row r="755" spans="1:20" x14ac:dyDescent="0.35">
      <c r="A755" s="13" t="s">
        <v>1222</v>
      </c>
      <c r="B755" s="14">
        <v>45531</v>
      </c>
      <c r="C755" s="13" t="s">
        <v>429</v>
      </c>
      <c r="D755" s="13" t="s">
        <v>264</v>
      </c>
      <c r="E755" s="13" t="s">
        <v>229</v>
      </c>
      <c r="F755" s="15">
        <v>4</v>
      </c>
      <c r="G755" s="15">
        <v>4070</v>
      </c>
      <c r="H755" s="15">
        <v>23.8</v>
      </c>
      <c r="I755" s="15">
        <v>12405.36</v>
      </c>
      <c r="J755" s="13" t="s">
        <v>87</v>
      </c>
      <c r="K755" s="13" t="s">
        <v>117</v>
      </c>
      <c r="L755" s="34" t="str">
        <f>VLOOKUP(D755,Products!$A$2:$F$61,3,FALSE)</f>
        <v>Grocery</v>
      </c>
      <c r="M755" s="34" t="str">
        <f>VLOOKUP(C755,Customers!$A$2:$F$301,5,FALSE)</f>
        <v>Retail</v>
      </c>
      <c r="N755" s="34">
        <f>VLOOKUP(C755,Customers!$A$2:$F$301,3,FALSE)</f>
        <v>55</v>
      </c>
      <c r="O755" s="34" t="str">
        <f>VLOOKUP(E755,Sales_Reps!$A$2:$E$31,3,FALSE)</f>
        <v>West</v>
      </c>
      <c r="P755" s="13" t="s">
        <v>229</v>
      </c>
      <c r="Q755" s="34">
        <f t="shared" si="26"/>
        <v>1016696.8000000002</v>
      </c>
      <c r="R755" s="34" t="str">
        <f>VLOOKUP(E755,Sales_Reps!$A$2:$E$100,3,FALSE)</f>
        <v>West</v>
      </c>
      <c r="S755" s="34" t="str">
        <f t="shared" si="27"/>
        <v>Grocery</v>
      </c>
      <c r="T755" s="38">
        <f>VLOOKUP(D755,Products!$A$2:$F$68,4,FALSE)</f>
        <v>2027</v>
      </c>
    </row>
    <row r="756" spans="1:20" x14ac:dyDescent="0.35">
      <c r="A756" s="13" t="s">
        <v>1223</v>
      </c>
      <c r="B756" s="14">
        <v>45356</v>
      </c>
      <c r="C756" s="13" t="s">
        <v>759</v>
      </c>
      <c r="D756" s="13" t="s">
        <v>367</v>
      </c>
      <c r="E756" s="13" t="s">
        <v>273</v>
      </c>
      <c r="F756" s="15">
        <v>1</v>
      </c>
      <c r="G756" s="15">
        <v>2380</v>
      </c>
      <c r="H756" s="15">
        <v>19.600000000000001</v>
      </c>
      <c r="I756" s="15">
        <v>1913.52</v>
      </c>
      <c r="J756" s="13" t="s">
        <v>140</v>
      </c>
      <c r="K756" s="13" t="s">
        <v>117</v>
      </c>
      <c r="L756" s="34" t="str">
        <f>VLOOKUP(D756,Products!$A$2:$F$61,3,FALSE)</f>
        <v>Grocery</v>
      </c>
      <c r="M756" s="34" t="str">
        <f>VLOOKUP(C756,Customers!$A$2:$F$301,5,FALSE)</f>
        <v>Retail</v>
      </c>
      <c r="N756" s="34">
        <f>VLOOKUP(C756,Customers!$A$2:$F$301,3,FALSE)</f>
        <v>29</v>
      </c>
      <c r="O756" s="34" t="str">
        <f>VLOOKUP(E756,Sales_Reps!$A$2:$E$31,3,FALSE)</f>
        <v>South</v>
      </c>
      <c r="P756" s="13" t="s">
        <v>273</v>
      </c>
      <c r="Q756" s="34">
        <f t="shared" si="26"/>
        <v>735207.75999999989</v>
      </c>
      <c r="R756" s="34" t="str">
        <f>VLOOKUP(E756,Sales_Reps!$A$2:$E$100,3,FALSE)</f>
        <v>South</v>
      </c>
      <c r="S756" s="34" t="str">
        <f t="shared" si="27"/>
        <v>Grocery</v>
      </c>
      <c r="T756" s="38">
        <f>VLOOKUP(D756,Products!$A$2:$F$68,4,FALSE)</f>
        <v>1182</v>
      </c>
    </row>
    <row r="757" spans="1:20" x14ac:dyDescent="0.35">
      <c r="A757" s="13" t="s">
        <v>1224</v>
      </c>
      <c r="B757" s="14">
        <v>45553</v>
      </c>
      <c r="C757" s="13" t="s">
        <v>948</v>
      </c>
      <c r="D757" s="13" t="s">
        <v>124</v>
      </c>
      <c r="E757" s="13" t="s">
        <v>170</v>
      </c>
      <c r="F757" s="15">
        <v>3</v>
      </c>
      <c r="G757" s="15">
        <v>5490</v>
      </c>
      <c r="H757" s="15">
        <v>2.5</v>
      </c>
      <c r="I757" s="15">
        <v>16058.25</v>
      </c>
      <c r="J757" s="13" t="s">
        <v>87</v>
      </c>
      <c r="K757" s="13" t="s">
        <v>88</v>
      </c>
      <c r="L757" s="34" t="str">
        <f>VLOOKUP(D757,Products!$A$2:$F$61,3,FALSE)</f>
        <v>Home</v>
      </c>
      <c r="M757" s="34" t="str">
        <f>VLOOKUP(C757,Customers!$A$2:$F$301,5,FALSE)</f>
        <v>Retail</v>
      </c>
      <c r="N757" s="34">
        <f>VLOOKUP(C757,Customers!$A$2:$F$301,3,FALSE)</f>
        <v>65</v>
      </c>
      <c r="O757" s="34" t="str">
        <f>VLOOKUP(E757,Sales_Reps!$A$2:$E$31,3,FALSE)</f>
        <v>West</v>
      </c>
      <c r="P757" s="13" t="s">
        <v>170</v>
      </c>
      <c r="Q757" s="34">
        <f t="shared" si="26"/>
        <v>747624.36999999988</v>
      </c>
      <c r="R757" s="34" t="str">
        <f>VLOOKUP(E757,Sales_Reps!$A$2:$E$100,3,FALSE)</f>
        <v>West</v>
      </c>
      <c r="S757" s="34" t="str">
        <f t="shared" si="27"/>
        <v>Home</v>
      </c>
      <c r="T757" s="38">
        <f>VLOOKUP(D757,Products!$A$2:$F$68,4,FALSE)</f>
        <v>2549</v>
      </c>
    </row>
    <row r="758" spans="1:20" x14ac:dyDescent="0.35">
      <c r="A758" s="13" t="s">
        <v>1225</v>
      </c>
      <c r="B758" s="14">
        <v>45492</v>
      </c>
      <c r="C758" s="13" t="s">
        <v>336</v>
      </c>
      <c r="D758" s="13" t="s">
        <v>237</v>
      </c>
      <c r="E758" s="13" t="s">
        <v>343</v>
      </c>
      <c r="F758" s="15">
        <v>3</v>
      </c>
      <c r="G758" s="15">
        <v>3640</v>
      </c>
      <c r="H758" s="15">
        <v>23.3</v>
      </c>
      <c r="I758" s="15">
        <v>8375.64</v>
      </c>
      <c r="J758" s="13" t="s">
        <v>87</v>
      </c>
      <c r="K758" s="13" t="s">
        <v>112</v>
      </c>
      <c r="L758" s="34" t="str">
        <f>VLOOKUP(D758,Products!$A$2:$F$61,3,FALSE)</f>
        <v>Apparel</v>
      </c>
      <c r="M758" s="34" t="str">
        <f>VLOOKUP(C758,Customers!$A$2:$F$301,5,FALSE)</f>
        <v>Retail</v>
      </c>
      <c r="N758" s="34">
        <f>VLOOKUP(C758,Customers!$A$2:$F$301,3,FALSE)</f>
        <v>49</v>
      </c>
      <c r="O758" s="34" t="str">
        <f>VLOOKUP(E758,Sales_Reps!$A$2:$E$31,3,FALSE)</f>
        <v>West</v>
      </c>
      <c r="P758" s="13" t="s">
        <v>343</v>
      </c>
      <c r="Q758" s="34">
        <f t="shared" si="26"/>
        <v>917092.61999999965</v>
      </c>
      <c r="R758" s="34" t="str">
        <f>VLOOKUP(E758,Sales_Reps!$A$2:$E$100,3,FALSE)</f>
        <v>West</v>
      </c>
      <c r="S758" s="34" t="str">
        <f t="shared" si="27"/>
        <v>Apparel</v>
      </c>
      <c r="T758" s="38">
        <f>VLOOKUP(D758,Products!$A$2:$F$68,4,FALSE)</f>
        <v>2611</v>
      </c>
    </row>
    <row r="759" spans="1:20" x14ac:dyDescent="0.35">
      <c r="A759" s="13" t="s">
        <v>1226</v>
      </c>
      <c r="B759" s="14">
        <v>45388</v>
      </c>
      <c r="C759" s="13" t="s">
        <v>405</v>
      </c>
      <c r="D759" s="13" t="s">
        <v>270</v>
      </c>
      <c r="E759" s="13" t="s">
        <v>303</v>
      </c>
      <c r="F759" s="15">
        <v>2</v>
      </c>
      <c r="G759" s="15">
        <v>4610</v>
      </c>
      <c r="H759" s="15">
        <v>5</v>
      </c>
      <c r="I759" s="15">
        <v>8759</v>
      </c>
      <c r="J759" s="13" t="s">
        <v>93</v>
      </c>
      <c r="K759" s="13" t="s">
        <v>94</v>
      </c>
      <c r="L759" s="34" t="str">
        <f>VLOOKUP(D759,Products!$A$2:$F$61,3,FALSE)</f>
        <v>Home</v>
      </c>
      <c r="M759" s="34" t="str">
        <f>VLOOKUP(C759,Customers!$A$2:$F$301,5,FALSE)</f>
        <v>Corporate</v>
      </c>
      <c r="N759" s="34">
        <f>VLOOKUP(C759,Customers!$A$2:$F$301,3,FALSE)</f>
        <v>24</v>
      </c>
      <c r="O759" s="34" t="str">
        <f>VLOOKUP(E759,Sales_Reps!$A$2:$E$31,3,FALSE)</f>
        <v>East</v>
      </c>
      <c r="P759" s="13" t="s">
        <v>303</v>
      </c>
      <c r="Q759" s="34">
        <f t="shared" si="26"/>
        <v>1112289.6400000001</v>
      </c>
      <c r="R759" s="34" t="str">
        <f>VLOOKUP(E759,Sales_Reps!$A$2:$E$100,3,FALSE)</f>
        <v>East</v>
      </c>
      <c r="S759" s="34" t="str">
        <f t="shared" si="27"/>
        <v>Home</v>
      </c>
      <c r="T759" s="38">
        <f>VLOOKUP(D759,Products!$A$2:$F$68,4,FALSE)</f>
        <v>1850</v>
      </c>
    </row>
    <row r="760" spans="1:20" x14ac:dyDescent="0.35">
      <c r="A760" s="13" t="s">
        <v>1227</v>
      </c>
      <c r="B760" s="14">
        <v>45369</v>
      </c>
      <c r="C760" s="13" t="s">
        <v>507</v>
      </c>
      <c r="D760" s="13" t="s">
        <v>151</v>
      </c>
      <c r="E760" s="13" t="s">
        <v>215</v>
      </c>
      <c r="F760" s="15">
        <v>8</v>
      </c>
      <c r="G760" s="15">
        <v>2400</v>
      </c>
      <c r="H760" s="15">
        <v>10</v>
      </c>
      <c r="I760" s="15">
        <v>17280</v>
      </c>
      <c r="J760" s="13" t="s">
        <v>93</v>
      </c>
      <c r="K760" s="13" t="s">
        <v>88</v>
      </c>
      <c r="L760" s="34" t="str">
        <f>VLOOKUP(D760,Products!$A$2:$F$61,3,FALSE)</f>
        <v>Sports</v>
      </c>
      <c r="M760" s="34" t="str">
        <f>VLOOKUP(C760,Customers!$A$2:$F$301,5,FALSE)</f>
        <v>Retail</v>
      </c>
      <c r="N760" s="34">
        <f>VLOOKUP(C760,Customers!$A$2:$F$301,3,FALSE)</f>
        <v>59</v>
      </c>
      <c r="O760" s="34" t="str">
        <f>VLOOKUP(E760,Sales_Reps!$A$2:$E$31,3,FALSE)</f>
        <v>North</v>
      </c>
      <c r="P760" s="13" t="s">
        <v>215</v>
      </c>
      <c r="Q760" s="34">
        <f t="shared" si="26"/>
        <v>789849.60000000009</v>
      </c>
      <c r="R760" s="34" t="str">
        <f>VLOOKUP(E760,Sales_Reps!$A$2:$E$100,3,FALSE)</f>
        <v>North</v>
      </c>
      <c r="S760" s="34" t="str">
        <f t="shared" si="27"/>
        <v>Sports</v>
      </c>
      <c r="T760" s="38">
        <f>VLOOKUP(D760,Products!$A$2:$F$68,4,FALSE)</f>
        <v>974</v>
      </c>
    </row>
    <row r="761" spans="1:20" x14ac:dyDescent="0.35">
      <c r="A761" s="13" t="s">
        <v>1228</v>
      </c>
      <c r="B761" s="14">
        <v>45597</v>
      </c>
      <c r="C761" s="13" t="s">
        <v>397</v>
      </c>
      <c r="D761" s="13" t="s">
        <v>179</v>
      </c>
      <c r="E761" s="13" t="s">
        <v>297</v>
      </c>
      <c r="F761" s="15">
        <v>7</v>
      </c>
      <c r="G761" s="15">
        <v>3350</v>
      </c>
      <c r="H761" s="15">
        <v>23.7</v>
      </c>
      <c r="I761" s="15">
        <v>17892.349999999999</v>
      </c>
      <c r="J761" s="13" t="s">
        <v>87</v>
      </c>
      <c r="K761" s="13" t="s">
        <v>99</v>
      </c>
      <c r="L761" s="34" t="str">
        <f>VLOOKUP(D761,Products!$A$2:$F$61,3,FALSE)</f>
        <v>Beauty</v>
      </c>
      <c r="M761" s="34" t="str">
        <f>VLOOKUP(C761,Customers!$A$2:$F$301,5,FALSE)</f>
        <v>Retail</v>
      </c>
      <c r="N761" s="34">
        <f>VLOOKUP(C761,Customers!$A$2:$F$301,3,FALSE)</f>
        <v>30</v>
      </c>
      <c r="O761" s="34" t="str">
        <f>VLOOKUP(E761,Sales_Reps!$A$2:$E$31,3,FALSE)</f>
        <v>North</v>
      </c>
      <c r="P761" s="13" t="s">
        <v>297</v>
      </c>
      <c r="Q761" s="34">
        <f t="shared" si="26"/>
        <v>980063.65999999968</v>
      </c>
      <c r="R761" s="34" t="str">
        <f>VLOOKUP(E761,Sales_Reps!$A$2:$E$100,3,FALSE)</f>
        <v>North</v>
      </c>
      <c r="S761" s="34" t="str">
        <f t="shared" si="27"/>
        <v>Beauty</v>
      </c>
      <c r="T761" s="38">
        <f>VLOOKUP(D761,Products!$A$2:$F$68,4,FALSE)</f>
        <v>1728</v>
      </c>
    </row>
    <row r="762" spans="1:20" x14ac:dyDescent="0.35">
      <c r="A762" s="13" t="s">
        <v>1229</v>
      </c>
      <c r="B762" s="14">
        <v>45611</v>
      </c>
      <c r="C762" s="13" t="s">
        <v>655</v>
      </c>
      <c r="D762" s="13" t="s">
        <v>237</v>
      </c>
      <c r="E762" s="13" t="s">
        <v>325</v>
      </c>
      <c r="F762" s="15">
        <v>4</v>
      </c>
      <c r="G762" s="15">
        <v>3640</v>
      </c>
      <c r="H762" s="15">
        <v>9.3000000000000007</v>
      </c>
      <c r="I762" s="15">
        <v>13205.92</v>
      </c>
      <c r="J762" s="13" t="s">
        <v>140</v>
      </c>
      <c r="K762" s="13" t="s">
        <v>133</v>
      </c>
      <c r="L762" s="34" t="str">
        <f>VLOOKUP(D762,Products!$A$2:$F$61,3,FALSE)</f>
        <v>Apparel</v>
      </c>
      <c r="M762" s="34" t="str">
        <f>VLOOKUP(C762,Customers!$A$2:$F$301,5,FALSE)</f>
        <v>Retail</v>
      </c>
      <c r="N762" s="34">
        <f>VLOOKUP(C762,Customers!$A$2:$F$301,3,FALSE)</f>
        <v>27</v>
      </c>
      <c r="O762" s="34" t="str">
        <f>VLOOKUP(E762,Sales_Reps!$A$2:$E$31,3,FALSE)</f>
        <v>South</v>
      </c>
      <c r="P762" s="13" t="s">
        <v>325</v>
      </c>
      <c r="Q762" s="34">
        <f t="shared" si="26"/>
        <v>901394.32000000007</v>
      </c>
      <c r="R762" s="34" t="str">
        <f>VLOOKUP(E762,Sales_Reps!$A$2:$E$100,3,FALSE)</f>
        <v>South</v>
      </c>
      <c r="S762" s="34" t="str">
        <f t="shared" si="27"/>
        <v>Apparel</v>
      </c>
      <c r="T762" s="38">
        <f>VLOOKUP(D762,Products!$A$2:$F$68,4,FALSE)</f>
        <v>2611</v>
      </c>
    </row>
    <row r="763" spans="1:20" x14ac:dyDescent="0.35">
      <c r="A763" s="13" t="s">
        <v>1230</v>
      </c>
      <c r="B763" s="14">
        <v>45579</v>
      </c>
      <c r="C763" s="13" t="s">
        <v>1231</v>
      </c>
      <c r="D763" s="13" t="s">
        <v>237</v>
      </c>
      <c r="E763" s="13" t="s">
        <v>128</v>
      </c>
      <c r="F763" s="15">
        <v>9</v>
      </c>
      <c r="G763" s="15">
        <v>3640</v>
      </c>
      <c r="H763" s="15">
        <v>13.1</v>
      </c>
      <c r="I763" s="15">
        <v>28468.44</v>
      </c>
      <c r="J763" s="13" t="s">
        <v>93</v>
      </c>
      <c r="K763" s="13" t="s">
        <v>88</v>
      </c>
      <c r="L763" s="34" t="str">
        <f>VLOOKUP(D763,Products!$A$2:$F$61,3,FALSE)</f>
        <v>Apparel</v>
      </c>
      <c r="M763" s="34" t="str">
        <f>VLOOKUP(C763,Customers!$A$2:$F$301,5,FALSE)</f>
        <v>Retail</v>
      </c>
      <c r="N763" s="34">
        <f>VLOOKUP(C763,Customers!$A$2:$F$301,3,FALSE)</f>
        <v>42</v>
      </c>
      <c r="O763" s="34" t="str">
        <f>VLOOKUP(E763,Sales_Reps!$A$2:$E$31,3,FALSE)</f>
        <v>West</v>
      </c>
      <c r="P763" s="13" t="s">
        <v>128</v>
      </c>
      <c r="Q763" s="34">
        <f t="shared" si="26"/>
        <v>880468.05</v>
      </c>
      <c r="R763" s="34" t="str">
        <f>VLOOKUP(E763,Sales_Reps!$A$2:$E$100,3,FALSE)</f>
        <v>West</v>
      </c>
      <c r="S763" s="34" t="str">
        <f t="shared" si="27"/>
        <v>Apparel</v>
      </c>
      <c r="T763" s="38">
        <f>VLOOKUP(D763,Products!$A$2:$F$68,4,FALSE)</f>
        <v>2611</v>
      </c>
    </row>
    <row r="764" spans="1:20" x14ac:dyDescent="0.35">
      <c r="A764" s="13" t="s">
        <v>1232</v>
      </c>
      <c r="B764" s="14">
        <v>45634</v>
      </c>
      <c r="C764" s="13" t="s">
        <v>172</v>
      </c>
      <c r="D764" s="13" t="s">
        <v>295</v>
      </c>
      <c r="E764" s="13" t="s">
        <v>98</v>
      </c>
      <c r="F764" s="15">
        <v>2</v>
      </c>
      <c r="G764" s="15">
        <v>2030</v>
      </c>
      <c r="H764" s="15">
        <v>12.2</v>
      </c>
      <c r="I764" s="15">
        <v>3564.68</v>
      </c>
      <c r="J764" s="13" t="s">
        <v>87</v>
      </c>
      <c r="K764" s="13" t="s">
        <v>88</v>
      </c>
      <c r="L764" s="34" t="str">
        <f>VLOOKUP(D764,Products!$A$2:$F$61,3,FALSE)</f>
        <v>Home</v>
      </c>
      <c r="M764" s="34" t="str">
        <f>VLOOKUP(C764,Customers!$A$2:$F$301,5,FALSE)</f>
        <v>Retail</v>
      </c>
      <c r="N764" s="34">
        <f>VLOOKUP(C764,Customers!$A$2:$F$301,3,FALSE)</f>
        <v>50</v>
      </c>
      <c r="O764" s="34" t="str">
        <f>VLOOKUP(E764,Sales_Reps!$A$2:$E$31,3,FALSE)</f>
        <v>South</v>
      </c>
      <c r="P764" s="13" t="s">
        <v>98</v>
      </c>
      <c r="Q764" s="34">
        <f t="shared" si="26"/>
        <v>995713.54000000015</v>
      </c>
      <c r="R764" s="34" t="str">
        <f>VLOOKUP(E764,Sales_Reps!$A$2:$E$100,3,FALSE)</f>
        <v>South</v>
      </c>
      <c r="S764" s="34" t="str">
        <f t="shared" si="27"/>
        <v>Home</v>
      </c>
      <c r="T764" s="38">
        <f>VLOOKUP(D764,Products!$A$2:$F$68,4,FALSE)</f>
        <v>1143</v>
      </c>
    </row>
    <row r="765" spans="1:20" x14ac:dyDescent="0.35">
      <c r="A765" s="13" t="s">
        <v>1233</v>
      </c>
      <c r="B765" s="14">
        <v>45471</v>
      </c>
      <c r="C765" s="13" t="s">
        <v>1234</v>
      </c>
      <c r="D765" s="13" t="s">
        <v>106</v>
      </c>
      <c r="E765" s="13" t="s">
        <v>297</v>
      </c>
      <c r="F765" s="15">
        <v>4</v>
      </c>
      <c r="G765" s="15">
        <v>3160</v>
      </c>
      <c r="H765" s="15">
        <v>7.5</v>
      </c>
      <c r="I765" s="15">
        <v>11692</v>
      </c>
      <c r="J765" s="13" t="s">
        <v>87</v>
      </c>
      <c r="K765" s="13" t="s">
        <v>112</v>
      </c>
      <c r="L765" s="34" t="str">
        <f>VLOOKUP(D765,Products!$A$2:$F$61,3,FALSE)</f>
        <v>Apparel</v>
      </c>
      <c r="M765" s="34" t="str">
        <f>VLOOKUP(C765,Customers!$A$2:$F$301,5,FALSE)</f>
        <v>Retail</v>
      </c>
      <c r="N765" s="34">
        <f>VLOOKUP(C765,Customers!$A$2:$F$301,3,FALSE)</f>
        <v>29</v>
      </c>
      <c r="O765" s="34" t="str">
        <f>VLOOKUP(E765,Sales_Reps!$A$2:$E$31,3,FALSE)</f>
        <v>North</v>
      </c>
      <c r="P765" s="13" t="s">
        <v>297</v>
      </c>
      <c r="Q765" s="34">
        <f t="shared" si="26"/>
        <v>980063.65999999968</v>
      </c>
      <c r="R765" s="34" t="str">
        <f>VLOOKUP(E765,Sales_Reps!$A$2:$E$100,3,FALSE)</f>
        <v>North</v>
      </c>
      <c r="S765" s="34" t="str">
        <f t="shared" si="27"/>
        <v>Apparel</v>
      </c>
      <c r="T765" s="38">
        <f>VLOOKUP(D765,Products!$A$2:$F$68,4,FALSE)</f>
        <v>1886</v>
      </c>
    </row>
    <row r="766" spans="1:20" x14ac:dyDescent="0.35">
      <c r="A766" s="13" t="s">
        <v>1235</v>
      </c>
      <c r="B766" s="14">
        <v>45327</v>
      </c>
      <c r="C766" s="13" t="s">
        <v>764</v>
      </c>
      <c r="D766" s="13" t="s">
        <v>264</v>
      </c>
      <c r="E766" s="13" t="s">
        <v>229</v>
      </c>
      <c r="F766" s="15">
        <v>10</v>
      </c>
      <c r="G766" s="15">
        <v>4070</v>
      </c>
      <c r="H766" s="15">
        <v>8.3000000000000007</v>
      </c>
      <c r="I766" s="15">
        <v>37321.9</v>
      </c>
      <c r="J766" s="13" t="s">
        <v>87</v>
      </c>
      <c r="K766" s="13" t="s">
        <v>94</v>
      </c>
      <c r="L766" s="34" t="str">
        <f>VLOOKUP(D766,Products!$A$2:$F$61,3,FALSE)</f>
        <v>Grocery</v>
      </c>
      <c r="M766" s="34" t="str">
        <f>VLOOKUP(C766,Customers!$A$2:$F$301,5,FALSE)</f>
        <v>SMB</v>
      </c>
      <c r="N766" s="34">
        <f>VLOOKUP(C766,Customers!$A$2:$F$301,3,FALSE)</f>
        <v>26</v>
      </c>
      <c r="O766" s="34" t="str">
        <f>VLOOKUP(E766,Sales_Reps!$A$2:$E$31,3,FALSE)</f>
        <v>West</v>
      </c>
      <c r="P766" s="13" t="s">
        <v>229</v>
      </c>
      <c r="Q766" s="34">
        <f t="shared" si="26"/>
        <v>1016696.8000000002</v>
      </c>
      <c r="R766" s="34" t="str">
        <f>VLOOKUP(E766,Sales_Reps!$A$2:$E$100,3,FALSE)</f>
        <v>West</v>
      </c>
      <c r="S766" s="34" t="str">
        <f t="shared" si="27"/>
        <v>Grocery</v>
      </c>
      <c r="T766" s="38">
        <f>VLOOKUP(D766,Products!$A$2:$F$68,4,FALSE)</f>
        <v>2027</v>
      </c>
    </row>
    <row r="767" spans="1:20" x14ac:dyDescent="0.35">
      <c r="A767" s="13" t="s">
        <v>1236</v>
      </c>
      <c r="B767" s="14">
        <v>45343</v>
      </c>
      <c r="C767" s="13" t="s">
        <v>626</v>
      </c>
      <c r="D767" s="13" t="s">
        <v>351</v>
      </c>
      <c r="E767" s="13" t="s">
        <v>116</v>
      </c>
      <c r="F767" s="15">
        <v>8</v>
      </c>
      <c r="G767" s="15">
        <v>4060</v>
      </c>
      <c r="H767" s="15">
        <v>8.5</v>
      </c>
      <c r="I767" s="15">
        <v>29719.200000000001</v>
      </c>
      <c r="J767" s="13" t="s">
        <v>87</v>
      </c>
      <c r="K767" s="13" t="s">
        <v>99</v>
      </c>
      <c r="L767" s="34" t="str">
        <f>VLOOKUP(D767,Products!$A$2:$F$61,3,FALSE)</f>
        <v>Grocery</v>
      </c>
      <c r="M767" s="34" t="str">
        <f>VLOOKUP(C767,Customers!$A$2:$F$301,5,FALSE)</f>
        <v>Retail</v>
      </c>
      <c r="N767" s="34">
        <f>VLOOKUP(C767,Customers!$A$2:$F$301,3,FALSE)</f>
        <v>40</v>
      </c>
      <c r="O767" s="34" t="str">
        <f>VLOOKUP(E767,Sales_Reps!$A$2:$E$31,3,FALSE)</f>
        <v>West</v>
      </c>
      <c r="P767" s="13" t="s">
        <v>116</v>
      </c>
      <c r="Q767" s="34">
        <f t="shared" si="26"/>
        <v>819558.58</v>
      </c>
      <c r="R767" s="34" t="str">
        <f>VLOOKUP(E767,Sales_Reps!$A$2:$E$100,3,FALSE)</f>
        <v>West</v>
      </c>
      <c r="S767" s="34" t="str">
        <f t="shared" si="27"/>
        <v>Grocery</v>
      </c>
      <c r="T767" s="38">
        <f>VLOOKUP(D767,Products!$A$2:$F$68,4,FALSE)</f>
        <v>2911</v>
      </c>
    </row>
    <row r="768" spans="1:20" x14ac:dyDescent="0.35">
      <c r="A768" s="13" t="s">
        <v>1237</v>
      </c>
      <c r="B768" s="14">
        <v>45334</v>
      </c>
      <c r="C768" s="13" t="s">
        <v>729</v>
      </c>
      <c r="D768" s="13" t="s">
        <v>115</v>
      </c>
      <c r="E768" s="13" t="s">
        <v>303</v>
      </c>
      <c r="F768" s="15">
        <v>8</v>
      </c>
      <c r="G768" s="15">
        <v>960</v>
      </c>
      <c r="H768" s="15">
        <v>8.6999999999999993</v>
      </c>
      <c r="I768" s="15">
        <v>7011.84</v>
      </c>
      <c r="J768" s="13" t="s">
        <v>87</v>
      </c>
      <c r="K768" s="13" t="s">
        <v>112</v>
      </c>
      <c r="L768" s="34" t="str">
        <f>VLOOKUP(D768,Products!$A$2:$F$61,3,FALSE)</f>
        <v>Sports</v>
      </c>
      <c r="M768" s="34" t="str">
        <f>VLOOKUP(C768,Customers!$A$2:$F$301,5,FALSE)</f>
        <v>Retail</v>
      </c>
      <c r="N768" s="34">
        <f>VLOOKUP(C768,Customers!$A$2:$F$301,3,FALSE)</f>
        <v>56</v>
      </c>
      <c r="O768" s="34" t="str">
        <f>VLOOKUP(E768,Sales_Reps!$A$2:$E$31,3,FALSE)</f>
        <v>East</v>
      </c>
      <c r="P768" s="13" t="s">
        <v>303</v>
      </c>
      <c r="Q768" s="34">
        <f t="shared" si="26"/>
        <v>1112289.6400000001</v>
      </c>
      <c r="R768" s="34" t="str">
        <f>VLOOKUP(E768,Sales_Reps!$A$2:$E$100,3,FALSE)</f>
        <v>East</v>
      </c>
      <c r="S768" s="34" t="str">
        <f t="shared" si="27"/>
        <v>Sports</v>
      </c>
      <c r="T768" s="38">
        <f>VLOOKUP(D768,Products!$A$2:$F$68,4,FALSE)</f>
        <v>705</v>
      </c>
    </row>
    <row r="769" spans="1:20" x14ac:dyDescent="0.35">
      <c r="A769" s="13" t="s">
        <v>1238</v>
      </c>
      <c r="B769" s="14">
        <v>45306</v>
      </c>
      <c r="C769" s="13" t="s">
        <v>676</v>
      </c>
      <c r="D769" s="13" t="s">
        <v>245</v>
      </c>
      <c r="E769" s="13" t="s">
        <v>343</v>
      </c>
      <c r="F769" s="15">
        <v>2</v>
      </c>
      <c r="G769" s="15">
        <v>2270</v>
      </c>
      <c r="H769" s="15">
        <v>10.199999999999999</v>
      </c>
      <c r="I769" s="15">
        <v>4076.92</v>
      </c>
      <c r="J769" s="13" t="s">
        <v>87</v>
      </c>
      <c r="K769" s="13" t="s">
        <v>88</v>
      </c>
      <c r="L769" s="34" t="str">
        <f>VLOOKUP(D769,Products!$A$2:$F$61,3,FALSE)</f>
        <v>Grocery</v>
      </c>
      <c r="M769" s="34" t="str">
        <f>VLOOKUP(C769,Customers!$A$2:$F$301,5,FALSE)</f>
        <v>SMB</v>
      </c>
      <c r="N769" s="34">
        <f>VLOOKUP(C769,Customers!$A$2:$F$301,3,FALSE)</f>
        <v>35</v>
      </c>
      <c r="O769" s="34" t="str">
        <f>VLOOKUP(E769,Sales_Reps!$A$2:$E$31,3,FALSE)</f>
        <v>West</v>
      </c>
      <c r="P769" s="13" t="s">
        <v>343</v>
      </c>
      <c r="Q769" s="34">
        <f t="shared" si="26"/>
        <v>917092.61999999965</v>
      </c>
      <c r="R769" s="34" t="str">
        <f>VLOOKUP(E769,Sales_Reps!$A$2:$E$100,3,FALSE)</f>
        <v>West</v>
      </c>
      <c r="S769" s="34" t="str">
        <f t="shared" si="27"/>
        <v>Grocery</v>
      </c>
      <c r="T769" s="38">
        <f>VLOOKUP(D769,Products!$A$2:$F$68,4,FALSE)</f>
        <v>1412</v>
      </c>
    </row>
    <row r="770" spans="1:20" x14ac:dyDescent="0.35">
      <c r="A770" s="13" t="s">
        <v>1239</v>
      </c>
      <c r="B770" s="14">
        <v>45296</v>
      </c>
      <c r="C770" s="13" t="s">
        <v>299</v>
      </c>
      <c r="D770" s="13" t="s">
        <v>234</v>
      </c>
      <c r="E770" s="13" t="s">
        <v>86</v>
      </c>
      <c r="F770" s="15">
        <v>1</v>
      </c>
      <c r="G770" s="15">
        <v>3780</v>
      </c>
      <c r="H770" s="15">
        <v>15.3</v>
      </c>
      <c r="I770" s="15">
        <v>3201.66</v>
      </c>
      <c r="J770" s="13" t="s">
        <v>140</v>
      </c>
      <c r="K770" s="13" t="s">
        <v>133</v>
      </c>
      <c r="L770" s="34" t="str">
        <f>VLOOKUP(D770,Products!$A$2:$F$61,3,FALSE)</f>
        <v>Grocery</v>
      </c>
      <c r="M770" s="34" t="str">
        <f>VLOOKUP(C770,Customers!$A$2:$F$301,5,FALSE)</f>
        <v>Retail</v>
      </c>
      <c r="N770" s="34">
        <f>VLOOKUP(C770,Customers!$A$2:$F$301,3,FALSE)</f>
        <v>29</v>
      </c>
      <c r="O770" s="34" t="str">
        <f>VLOOKUP(E770,Sales_Reps!$A$2:$E$31,3,FALSE)</f>
        <v>North</v>
      </c>
      <c r="P770" s="13" t="s">
        <v>86</v>
      </c>
      <c r="Q770" s="34">
        <f t="shared" si="26"/>
        <v>855749.67999999982</v>
      </c>
      <c r="R770" s="34" t="str">
        <f>VLOOKUP(E770,Sales_Reps!$A$2:$E$100,3,FALSE)</f>
        <v>North</v>
      </c>
      <c r="S770" s="34" t="str">
        <f t="shared" si="27"/>
        <v>Grocery</v>
      </c>
      <c r="T770" s="38">
        <f>VLOOKUP(D770,Products!$A$2:$F$68,4,FALSE)</f>
        <v>2436</v>
      </c>
    </row>
    <row r="771" spans="1:20" x14ac:dyDescent="0.35">
      <c r="A771" s="13" t="s">
        <v>1240</v>
      </c>
      <c r="B771" s="14">
        <v>45489</v>
      </c>
      <c r="C771" s="13" t="s">
        <v>874</v>
      </c>
      <c r="D771" s="13" t="s">
        <v>386</v>
      </c>
      <c r="E771" s="13" t="s">
        <v>128</v>
      </c>
      <c r="F771" s="15">
        <v>10</v>
      </c>
      <c r="G771" s="15">
        <v>2290</v>
      </c>
      <c r="H771" s="15">
        <v>2.4</v>
      </c>
      <c r="I771" s="15">
        <v>22350.400000000001</v>
      </c>
      <c r="J771" s="13" t="s">
        <v>93</v>
      </c>
      <c r="K771" s="13" t="s">
        <v>112</v>
      </c>
      <c r="L771" s="34" t="str">
        <f>VLOOKUP(D771,Products!$A$2:$F$61,3,FALSE)</f>
        <v>Beauty</v>
      </c>
      <c r="M771" s="34" t="str">
        <f>VLOOKUP(C771,Customers!$A$2:$F$301,5,FALSE)</f>
        <v>Retail</v>
      </c>
      <c r="N771" s="34">
        <f>VLOOKUP(C771,Customers!$A$2:$F$301,3,FALSE)</f>
        <v>57</v>
      </c>
      <c r="O771" s="34" t="str">
        <f>VLOOKUP(E771,Sales_Reps!$A$2:$E$31,3,FALSE)</f>
        <v>West</v>
      </c>
      <c r="P771" s="13" t="s">
        <v>128</v>
      </c>
      <c r="Q771" s="34">
        <f t="shared" ref="Q771:Q834" si="28">SUMIFS($I:$I,$E:$E,P771)</f>
        <v>880468.05</v>
      </c>
      <c r="R771" s="34" t="str">
        <f>VLOOKUP(E771,Sales_Reps!$A$2:$E$100,3,FALSE)</f>
        <v>West</v>
      </c>
      <c r="S771" s="34" t="str">
        <f t="shared" ref="S771:S834" si="29">L771</f>
        <v>Beauty</v>
      </c>
      <c r="T771" s="38">
        <f>VLOOKUP(D771,Products!$A$2:$F$68,4,FALSE)</f>
        <v>1219</v>
      </c>
    </row>
    <row r="772" spans="1:20" x14ac:dyDescent="0.35">
      <c r="A772" s="13" t="s">
        <v>1241</v>
      </c>
      <c r="B772" s="14">
        <v>45416</v>
      </c>
      <c r="C772" s="13" t="s">
        <v>1231</v>
      </c>
      <c r="D772" s="13" t="s">
        <v>179</v>
      </c>
      <c r="E772" s="13" t="s">
        <v>238</v>
      </c>
      <c r="F772" s="15">
        <v>5</v>
      </c>
      <c r="G772" s="15">
        <v>3350</v>
      </c>
      <c r="H772" s="15">
        <v>18.5</v>
      </c>
      <c r="I772" s="15">
        <v>13651.25</v>
      </c>
      <c r="J772" s="13" t="s">
        <v>140</v>
      </c>
      <c r="K772" s="13" t="s">
        <v>88</v>
      </c>
      <c r="L772" s="34" t="str">
        <f>VLOOKUP(D772,Products!$A$2:$F$61,3,FALSE)</f>
        <v>Beauty</v>
      </c>
      <c r="M772" s="34" t="str">
        <f>VLOOKUP(C772,Customers!$A$2:$F$301,5,FALSE)</f>
        <v>Retail</v>
      </c>
      <c r="N772" s="34">
        <f>VLOOKUP(C772,Customers!$A$2:$F$301,3,FALSE)</f>
        <v>42</v>
      </c>
      <c r="O772" s="34" t="str">
        <f>VLOOKUP(E772,Sales_Reps!$A$2:$E$31,3,FALSE)</f>
        <v>East</v>
      </c>
      <c r="P772" s="13" t="s">
        <v>238</v>
      </c>
      <c r="Q772" s="34">
        <f t="shared" si="28"/>
        <v>780384.40999999992</v>
      </c>
      <c r="R772" s="34" t="str">
        <f>VLOOKUP(E772,Sales_Reps!$A$2:$E$100,3,FALSE)</f>
        <v>East</v>
      </c>
      <c r="S772" s="34" t="str">
        <f t="shared" si="29"/>
        <v>Beauty</v>
      </c>
      <c r="T772" s="38">
        <f>VLOOKUP(D772,Products!$A$2:$F$68,4,FALSE)</f>
        <v>1728</v>
      </c>
    </row>
    <row r="773" spans="1:20" x14ac:dyDescent="0.35">
      <c r="A773" s="13" t="s">
        <v>1242</v>
      </c>
      <c r="B773" s="14">
        <v>45347</v>
      </c>
      <c r="C773" s="13" t="s">
        <v>308</v>
      </c>
      <c r="D773" s="13" t="s">
        <v>355</v>
      </c>
      <c r="E773" s="13" t="s">
        <v>158</v>
      </c>
      <c r="F773" s="15">
        <v>7</v>
      </c>
      <c r="G773" s="15">
        <v>2510</v>
      </c>
      <c r="H773" s="15">
        <v>4.2</v>
      </c>
      <c r="I773" s="15">
        <v>16832.060000000001</v>
      </c>
      <c r="J773" s="13" t="s">
        <v>140</v>
      </c>
      <c r="K773" s="13" t="s">
        <v>88</v>
      </c>
      <c r="L773" s="34" t="str">
        <f>VLOOKUP(D773,Products!$A$2:$F$61,3,FALSE)</f>
        <v>Apparel</v>
      </c>
      <c r="M773" s="34" t="str">
        <f>VLOOKUP(C773,Customers!$A$2:$F$301,5,FALSE)</f>
        <v>SMB</v>
      </c>
      <c r="N773" s="34">
        <f>VLOOKUP(C773,Customers!$A$2:$F$301,3,FALSE)</f>
        <v>54</v>
      </c>
      <c r="O773" s="34" t="str">
        <f>VLOOKUP(E773,Sales_Reps!$A$2:$E$31,3,FALSE)</f>
        <v>East</v>
      </c>
      <c r="P773" s="13" t="s">
        <v>158</v>
      </c>
      <c r="Q773" s="34">
        <f t="shared" si="28"/>
        <v>761507.17000000027</v>
      </c>
      <c r="R773" s="34" t="str">
        <f>VLOOKUP(E773,Sales_Reps!$A$2:$E$100,3,FALSE)</f>
        <v>East</v>
      </c>
      <c r="S773" s="34" t="str">
        <f t="shared" si="29"/>
        <v>Apparel</v>
      </c>
      <c r="T773" s="38">
        <f>VLOOKUP(D773,Products!$A$2:$F$68,4,FALSE)</f>
        <v>1075</v>
      </c>
    </row>
    <row r="774" spans="1:20" x14ac:dyDescent="0.35">
      <c r="A774" s="13" t="s">
        <v>1243</v>
      </c>
      <c r="B774" s="14">
        <v>45652</v>
      </c>
      <c r="C774" s="13" t="s">
        <v>163</v>
      </c>
      <c r="D774" s="13" t="s">
        <v>138</v>
      </c>
      <c r="E774" s="13" t="s">
        <v>303</v>
      </c>
      <c r="F774" s="15">
        <v>1</v>
      </c>
      <c r="G774" s="15">
        <v>2600</v>
      </c>
      <c r="H774" s="15">
        <v>2.2000000000000002</v>
      </c>
      <c r="I774" s="15">
        <v>2542.8000000000002</v>
      </c>
      <c r="J774" s="13" t="s">
        <v>87</v>
      </c>
      <c r="K774" s="13" t="s">
        <v>94</v>
      </c>
      <c r="L774" s="34" t="str">
        <f>VLOOKUP(D774,Products!$A$2:$F$61,3,FALSE)</f>
        <v>Electronics</v>
      </c>
      <c r="M774" s="34" t="str">
        <f>VLOOKUP(C774,Customers!$A$2:$F$301,5,FALSE)</f>
        <v>Retail</v>
      </c>
      <c r="N774" s="34">
        <f>VLOOKUP(C774,Customers!$A$2:$F$301,3,FALSE)</f>
        <v>49</v>
      </c>
      <c r="O774" s="34" t="str">
        <f>VLOOKUP(E774,Sales_Reps!$A$2:$E$31,3,FALSE)</f>
        <v>East</v>
      </c>
      <c r="P774" s="13" t="s">
        <v>303</v>
      </c>
      <c r="Q774" s="34">
        <f t="shared" si="28"/>
        <v>1112289.6400000001</v>
      </c>
      <c r="R774" s="34" t="str">
        <f>VLOOKUP(E774,Sales_Reps!$A$2:$E$100,3,FALSE)</f>
        <v>East</v>
      </c>
      <c r="S774" s="34" t="str">
        <f t="shared" si="29"/>
        <v>Electronics</v>
      </c>
      <c r="T774" s="38">
        <f>VLOOKUP(D774,Products!$A$2:$F$68,4,FALSE)</f>
        <v>1052</v>
      </c>
    </row>
    <row r="775" spans="1:20" x14ac:dyDescent="0.35">
      <c r="A775" s="13" t="s">
        <v>1244</v>
      </c>
      <c r="B775" s="14">
        <v>45467</v>
      </c>
      <c r="C775" s="13" t="s">
        <v>429</v>
      </c>
      <c r="D775" s="13" t="s">
        <v>97</v>
      </c>
      <c r="E775" s="13" t="s">
        <v>148</v>
      </c>
      <c r="F775" s="15">
        <v>8</v>
      </c>
      <c r="G775" s="15">
        <v>470</v>
      </c>
      <c r="H775" s="15">
        <v>25.2</v>
      </c>
      <c r="I775" s="15">
        <v>2812.48</v>
      </c>
      <c r="J775" s="13" t="s">
        <v>87</v>
      </c>
      <c r="K775" s="13" t="s">
        <v>117</v>
      </c>
      <c r="L775" s="34" t="str">
        <f>VLOOKUP(D775,Products!$A$2:$F$61,3,FALSE)</f>
        <v>Sports</v>
      </c>
      <c r="M775" s="34" t="str">
        <f>VLOOKUP(C775,Customers!$A$2:$F$301,5,FALSE)</f>
        <v>Retail</v>
      </c>
      <c r="N775" s="34">
        <f>VLOOKUP(C775,Customers!$A$2:$F$301,3,FALSE)</f>
        <v>55</v>
      </c>
      <c r="O775" s="34" t="str">
        <f>VLOOKUP(E775,Sales_Reps!$A$2:$E$31,3,FALSE)</f>
        <v>North</v>
      </c>
      <c r="P775" s="13" t="s">
        <v>148</v>
      </c>
      <c r="Q775" s="34">
        <f t="shared" si="28"/>
        <v>986692.91</v>
      </c>
      <c r="R775" s="34" t="str">
        <f>VLOOKUP(E775,Sales_Reps!$A$2:$E$100,3,FALSE)</f>
        <v>North</v>
      </c>
      <c r="S775" s="34" t="str">
        <f t="shared" si="29"/>
        <v>Sports</v>
      </c>
      <c r="T775" s="38">
        <f>VLOOKUP(D775,Products!$A$2:$F$68,4,FALSE)</f>
        <v>302</v>
      </c>
    </row>
    <row r="776" spans="1:20" x14ac:dyDescent="0.35">
      <c r="A776" s="13" t="s">
        <v>1245</v>
      </c>
      <c r="B776" s="14">
        <v>45558</v>
      </c>
      <c r="C776" s="13" t="s">
        <v>197</v>
      </c>
      <c r="D776" s="13" t="s">
        <v>164</v>
      </c>
      <c r="E776" s="13" t="s">
        <v>325</v>
      </c>
      <c r="F776" s="15">
        <v>6</v>
      </c>
      <c r="G776" s="15">
        <v>1080</v>
      </c>
      <c r="H776" s="15">
        <v>25</v>
      </c>
      <c r="I776" s="15">
        <v>4860</v>
      </c>
      <c r="J776" s="13" t="s">
        <v>87</v>
      </c>
      <c r="K776" s="13" t="s">
        <v>88</v>
      </c>
      <c r="L776" s="34" t="str">
        <f>VLOOKUP(D776,Products!$A$2:$F$61,3,FALSE)</f>
        <v>Home</v>
      </c>
      <c r="M776" s="34" t="str">
        <f>VLOOKUP(C776,Customers!$A$2:$F$301,5,FALSE)</f>
        <v>Corporate</v>
      </c>
      <c r="N776" s="34">
        <f>VLOOKUP(C776,Customers!$A$2:$F$301,3,FALSE)</f>
        <v>47</v>
      </c>
      <c r="O776" s="34" t="str">
        <f>VLOOKUP(E776,Sales_Reps!$A$2:$E$31,3,FALSE)</f>
        <v>South</v>
      </c>
      <c r="P776" s="13" t="s">
        <v>325</v>
      </c>
      <c r="Q776" s="34">
        <f t="shared" si="28"/>
        <v>901394.32000000007</v>
      </c>
      <c r="R776" s="34" t="str">
        <f>VLOOKUP(E776,Sales_Reps!$A$2:$E$100,3,FALSE)</f>
        <v>South</v>
      </c>
      <c r="S776" s="34" t="str">
        <f t="shared" si="29"/>
        <v>Home</v>
      </c>
      <c r="T776" s="38">
        <f>VLOOKUP(D776,Products!$A$2:$F$68,4,FALSE)</f>
        <v>519</v>
      </c>
    </row>
    <row r="777" spans="1:20" x14ac:dyDescent="0.35">
      <c r="A777" s="13" t="s">
        <v>1246</v>
      </c>
      <c r="B777" s="14">
        <v>45645</v>
      </c>
      <c r="C777" s="13" t="s">
        <v>84</v>
      </c>
      <c r="D777" s="13" t="s">
        <v>182</v>
      </c>
      <c r="E777" s="13" t="s">
        <v>121</v>
      </c>
      <c r="F777" s="15">
        <v>2</v>
      </c>
      <c r="G777" s="15">
        <v>1010</v>
      </c>
      <c r="H777" s="15">
        <v>16.100000000000001</v>
      </c>
      <c r="I777" s="15">
        <v>1694.78</v>
      </c>
      <c r="J777" s="13" t="s">
        <v>87</v>
      </c>
      <c r="K777" s="13" t="s">
        <v>88</v>
      </c>
      <c r="L777" s="34" t="str">
        <f>VLOOKUP(D777,Products!$A$2:$F$61,3,FALSE)</f>
        <v>Sports</v>
      </c>
      <c r="M777" s="34" t="str">
        <f>VLOOKUP(C777,Customers!$A$2:$F$301,5,FALSE)</f>
        <v>SMB</v>
      </c>
      <c r="N777" s="34">
        <f>VLOOKUP(C777,Customers!$A$2:$F$301,3,FALSE)</f>
        <v>44</v>
      </c>
      <c r="O777" s="34" t="str">
        <f>VLOOKUP(E777,Sales_Reps!$A$2:$E$31,3,FALSE)</f>
        <v>East</v>
      </c>
      <c r="P777" s="13" t="s">
        <v>121</v>
      </c>
      <c r="Q777" s="34">
        <f t="shared" si="28"/>
        <v>971183.52000000014</v>
      </c>
      <c r="R777" s="34" t="str">
        <f>VLOOKUP(E777,Sales_Reps!$A$2:$E$100,3,FALSE)</f>
        <v>East</v>
      </c>
      <c r="S777" s="34" t="str">
        <f t="shared" si="29"/>
        <v>Sports</v>
      </c>
      <c r="T777" s="38">
        <f>VLOOKUP(D777,Products!$A$2:$F$68,4,FALSE)</f>
        <v>516</v>
      </c>
    </row>
    <row r="778" spans="1:20" x14ac:dyDescent="0.35">
      <c r="A778" s="13" t="s">
        <v>1247</v>
      </c>
      <c r="B778" s="14">
        <v>45418</v>
      </c>
      <c r="C778" s="13" t="s">
        <v>725</v>
      </c>
      <c r="D778" s="13" t="s">
        <v>248</v>
      </c>
      <c r="E778" s="13" t="s">
        <v>297</v>
      </c>
      <c r="F778" s="15">
        <v>6</v>
      </c>
      <c r="G778" s="15">
        <v>3870</v>
      </c>
      <c r="H778" s="15">
        <v>22.4</v>
      </c>
      <c r="I778" s="15">
        <v>18018.72</v>
      </c>
      <c r="J778" s="13" t="s">
        <v>140</v>
      </c>
      <c r="K778" s="13" t="s">
        <v>99</v>
      </c>
      <c r="L778" s="34" t="str">
        <f>VLOOKUP(D778,Products!$A$2:$F$61,3,FALSE)</f>
        <v>Electronics</v>
      </c>
      <c r="M778" s="34" t="str">
        <f>VLOOKUP(C778,Customers!$A$2:$F$301,5,FALSE)</f>
        <v>SMB</v>
      </c>
      <c r="N778" s="34">
        <f>VLOOKUP(C778,Customers!$A$2:$F$301,3,FALSE)</f>
        <v>26</v>
      </c>
      <c r="O778" s="34" t="str">
        <f>VLOOKUP(E778,Sales_Reps!$A$2:$E$31,3,FALSE)</f>
        <v>North</v>
      </c>
      <c r="P778" s="13" t="s">
        <v>297</v>
      </c>
      <c r="Q778" s="34">
        <f t="shared" si="28"/>
        <v>980063.65999999968</v>
      </c>
      <c r="R778" s="34" t="str">
        <f>VLOOKUP(E778,Sales_Reps!$A$2:$E$100,3,FALSE)</f>
        <v>North</v>
      </c>
      <c r="S778" s="34" t="str">
        <f t="shared" si="29"/>
        <v>Electronics</v>
      </c>
      <c r="T778" s="38">
        <f>VLOOKUP(D778,Products!$A$2:$F$68,4,FALSE)</f>
        <v>1559</v>
      </c>
    </row>
    <row r="779" spans="1:20" x14ac:dyDescent="0.35">
      <c r="A779" s="13" t="s">
        <v>1248</v>
      </c>
      <c r="B779" s="14">
        <v>45655</v>
      </c>
      <c r="C779" s="13" t="s">
        <v>613</v>
      </c>
      <c r="D779" s="13" t="s">
        <v>295</v>
      </c>
      <c r="E779" s="13" t="s">
        <v>343</v>
      </c>
      <c r="F779" s="15">
        <v>3</v>
      </c>
      <c r="G779" s="15">
        <v>2030</v>
      </c>
      <c r="H779" s="15">
        <v>18.5</v>
      </c>
      <c r="I779" s="15">
        <v>4963.3500000000004</v>
      </c>
      <c r="J779" s="13" t="s">
        <v>87</v>
      </c>
      <c r="K779" s="13" t="s">
        <v>112</v>
      </c>
      <c r="L779" s="34" t="str">
        <f>VLOOKUP(D779,Products!$A$2:$F$61,3,FALSE)</f>
        <v>Home</v>
      </c>
      <c r="M779" s="34" t="str">
        <f>VLOOKUP(C779,Customers!$A$2:$F$301,5,FALSE)</f>
        <v>Retail</v>
      </c>
      <c r="N779" s="34">
        <f>VLOOKUP(C779,Customers!$A$2:$F$301,3,FALSE)</f>
        <v>44</v>
      </c>
      <c r="O779" s="34" t="str">
        <f>VLOOKUP(E779,Sales_Reps!$A$2:$E$31,3,FALSE)</f>
        <v>West</v>
      </c>
      <c r="P779" s="13" t="s">
        <v>343</v>
      </c>
      <c r="Q779" s="34">
        <f t="shared" si="28"/>
        <v>917092.61999999965</v>
      </c>
      <c r="R779" s="34" t="str">
        <f>VLOOKUP(E779,Sales_Reps!$A$2:$E$100,3,FALSE)</f>
        <v>West</v>
      </c>
      <c r="S779" s="34" t="str">
        <f t="shared" si="29"/>
        <v>Home</v>
      </c>
      <c r="T779" s="38">
        <f>VLOOKUP(D779,Products!$A$2:$F$68,4,FALSE)</f>
        <v>1143</v>
      </c>
    </row>
    <row r="780" spans="1:20" x14ac:dyDescent="0.35">
      <c r="A780" s="13" t="s">
        <v>1249</v>
      </c>
      <c r="B780" s="14">
        <v>45540</v>
      </c>
      <c r="C780" s="13" t="s">
        <v>1250</v>
      </c>
      <c r="D780" s="13" t="s">
        <v>164</v>
      </c>
      <c r="E780" s="13" t="s">
        <v>343</v>
      </c>
      <c r="F780" s="15">
        <v>7</v>
      </c>
      <c r="G780" s="15">
        <v>1080</v>
      </c>
      <c r="H780" s="15">
        <v>6.8</v>
      </c>
      <c r="I780" s="15">
        <v>7045.92</v>
      </c>
      <c r="J780" s="13" t="s">
        <v>93</v>
      </c>
      <c r="K780" s="13" t="s">
        <v>88</v>
      </c>
      <c r="L780" s="34" t="str">
        <f>VLOOKUP(D780,Products!$A$2:$F$61,3,FALSE)</f>
        <v>Home</v>
      </c>
      <c r="M780" s="34" t="str">
        <f>VLOOKUP(C780,Customers!$A$2:$F$301,5,FALSE)</f>
        <v>Retail</v>
      </c>
      <c r="N780" s="34">
        <f>VLOOKUP(C780,Customers!$A$2:$F$301,3,FALSE)</f>
        <v>44</v>
      </c>
      <c r="O780" s="34" t="str">
        <f>VLOOKUP(E780,Sales_Reps!$A$2:$E$31,3,FALSE)</f>
        <v>West</v>
      </c>
      <c r="P780" s="13" t="s">
        <v>343</v>
      </c>
      <c r="Q780" s="34">
        <f t="shared" si="28"/>
        <v>917092.61999999965</v>
      </c>
      <c r="R780" s="34" t="str">
        <f>VLOOKUP(E780,Sales_Reps!$A$2:$E$100,3,FALSE)</f>
        <v>West</v>
      </c>
      <c r="S780" s="34" t="str">
        <f t="shared" si="29"/>
        <v>Home</v>
      </c>
      <c r="T780" s="38">
        <f>VLOOKUP(D780,Products!$A$2:$F$68,4,FALSE)</f>
        <v>519</v>
      </c>
    </row>
    <row r="781" spans="1:20" x14ac:dyDescent="0.35">
      <c r="A781" s="13" t="s">
        <v>1251</v>
      </c>
      <c r="B781" s="14">
        <v>45609</v>
      </c>
      <c r="C781" s="13" t="s">
        <v>362</v>
      </c>
      <c r="D781" s="13" t="s">
        <v>502</v>
      </c>
      <c r="E781" s="13" t="s">
        <v>204</v>
      </c>
      <c r="F781" s="15">
        <v>1</v>
      </c>
      <c r="G781" s="15">
        <v>1090</v>
      </c>
      <c r="H781" s="15">
        <v>20.6</v>
      </c>
      <c r="I781" s="15">
        <v>865.46</v>
      </c>
      <c r="J781" s="13" t="s">
        <v>87</v>
      </c>
      <c r="K781" s="13" t="s">
        <v>94</v>
      </c>
      <c r="L781" s="34" t="str">
        <f>VLOOKUP(D781,Products!$A$2:$F$61,3,FALSE)</f>
        <v>Home</v>
      </c>
      <c r="M781" s="34" t="str">
        <f>VLOOKUP(C781,Customers!$A$2:$F$301,5,FALSE)</f>
        <v>Corporate</v>
      </c>
      <c r="N781" s="34">
        <f>VLOOKUP(C781,Customers!$A$2:$F$301,3,FALSE)</f>
        <v>51</v>
      </c>
      <c r="O781" s="34" t="str">
        <f>VLOOKUP(E781,Sales_Reps!$A$2:$E$31,3,FALSE)</f>
        <v>South</v>
      </c>
      <c r="P781" s="13" t="s">
        <v>204</v>
      </c>
      <c r="Q781" s="34">
        <f t="shared" si="28"/>
        <v>914554.71999999986</v>
      </c>
      <c r="R781" s="34" t="str">
        <f>VLOOKUP(E781,Sales_Reps!$A$2:$E$100,3,FALSE)</f>
        <v>South</v>
      </c>
      <c r="S781" s="34" t="str">
        <f t="shared" si="29"/>
        <v>Home</v>
      </c>
      <c r="T781" s="38">
        <f>VLOOKUP(D781,Products!$A$2:$F$68,4,FALSE)</f>
        <v>464</v>
      </c>
    </row>
    <row r="782" spans="1:20" x14ac:dyDescent="0.35">
      <c r="A782" s="13" t="s">
        <v>1252</v>
      </c>
      <c r="B782" s="14">
        <v>45528</v>
      </c>
      <c r="C782" s="13" t="s">
        <v>328</v>
      </c>
      <c r="D782" s="13" t="s">
        <v>110</v>
      </c>
      <c r="E782" s="13" t="s">
        <v>273</v>
      </c>
      <c r="F782" s="15">
        <v>8</v>
      </c>
      <c r="G782" s="15">
        <v>370</v>
      </c>
      <c r="H782" s="15">
        <v>1.7</v>
      </c>
      <c r="I782" s="15">
        <v>2909.68</v>
      </c>
      <c r="J782" s="13" t="s">
        <v>87</v>
      </c>
      <c r="K782" s="13" t="s">
        <v>94</v>
      </c>
      <c r="L782" s="34" t="str">
        <f>VLOOKUP(D782,Products!$A$2:$F$61,3,FALSE)</f>
        <v>Home</v>
      </c>
      <c r="M782" s="34" t="str">
        <f>VLOOKUP(C782,Customers!$A$2:$F$301,5,FALSE)</f>
        <v>Retail</v>
      </c>
      <c r="N782" s="34">
        <f>VLOOKUP(C782,Customers!$A$2:$F$301,3,FALSE)</f>
        <v>28</v>
      </c>
      <c r="O782" s="34" t="str">
        <f>VLOOKUP(E782,Sales_Reps!$A$2:$E$31,3,FALSE)</f>
        <v>South</v>
      </c>
      <c r="P782" s="13" t="s">
        <v>273</v>
      </c>
      <c r="Q782" s="34">
        <f t="shared" si="28"/>
        <v>735207.75999999989</v>
      </c>
      <c r="R782" s="34" t="str">
        <f>VLOOKUP(E782,Sales_Reps!$A$2:$E$100,3,FALSE)</f>
        <v>South</v>
      </c>
      <c r="S782" s="34" t="str">
        <f t="shared" si="29"/>
        <v>Home</v>
      </c>
      <c r="T782" s="38">
        <f>VLOOKUP(D782,Products!$A$2:$F$68,4,FALSE)</f>
        <v>288</v>
      </c>
    </row>
    <row r="783" spans="1:20" x14ac:dyDescent="0.35">
      <c r="A783" s="13" t="s">
        <v>1253</v>
      </c>
      <c r="B783" s="14">
        <v>45625</v>
      </c>
      <c r="C783" s="13" t="s">
        <v>1051</v>
      </c>
      <c r="D783" s="13" t="s">
        <v>659</v>
      </c>
      <c r="E783" s="13" t="s">
        <v>303</v>
      </c>
      <c r="F783" s="15">
        <v>7</v>
      </c>
      <c r="G783" s="15">
        <v>3560</v>
      </c>
      <c r="H783" s="15">
        <v>28.7</v>
      </c>
      <c r="I783" s="15">
        <v>17767.96</v>
      </c>
      <c r="J783" s="13" t="s">
        <v>87</v>
      </c>
      <c r="K783" s="13" t="s">
        <v>112</v>
      </c>
      <c r="L783" s="34" t="str">
        <f>VLOOKUP(D783,Products!$A$2:$F$61,3,FALSE)</f>
        <v>Apparel</v>
      </c>
      <c r="M783" s="34" t="str">
        <f>VLOOKUP(C783,Customers!$A$2:$F$301,5,FALSE)</f>
        <v>Retail</v>
      </c>
      <c r="N783" s="34">
        <f>VLOOKUP(C783,Customers!$A$2:$F$301,3,FALSE)</f>
        <v>54</v>
      </c>
      <c r="O783" s="34" t="str">
        <f>VLOOKUP(E783,Sales_Reps!$A$2:$E$31,3,FALSE)</f>
        <v>East</v>
      </c>
      <c r="P783" s="13" t="s">
        <v>303</v>
      </c>
      <c r="Q783" s="34">
        <f t="shared" si="28"/>
        <v>1112289.6400000001</v>
      </c>
      <c r="R783" s="34" t="str">
        <f>VLOOKUP(E783,Sales_Reps!$A$2:$E$100,3,FALSE)</f>
        <v>East</v>
      </c>
      <c r="S783" s="34" t="str">
        <f t="shared" si="29"/>
        <v>Apparel</v>
      </c>
      <c r="T783" s="38">
        <f>VLOOKUP(D783,Products!$A$2:$F$68,4,FALSE)</f>
        <v>2629</v>
      </c>
    </row>
    <row r="784" spans="1:20" x14ac:dyDescent="0.35">
      <c r="A784" s="13" t="s">
        <v>1254</v>
      </c>
      <c r="B784" s="14">
        <v>45444</v>
      </c>
      <c r="C784" s="13" t="s">
        <v>559</v>
      </c>
      <c r="D784" s="13" t="s">
        <v>241</v>
      </c>
      <c r="E784" s="13" t="s">
        <v>346</v>
      </c>
      <c r="F784" s="15">
        <v>9</v>
      </c>
      <c r="G784" s="15">
        <v>6080</v>
      </c>
      <c r="H784" s="15">
        <v>16.3</v>
      </c>
      <c r="I784" s="15">
        <v>45800.639999999999</v>
      </c>
      <c r="J784" s="13" t="s">
        <v>140</v>
      </c>
      <c r="K784" s="13" t="s">
        <v>88</v>
      </c>
      <c r="L784" s="34" t="str">
        <f>VLOOKUP(D784,Products!$A$2:$F$61,3,FALSE)</f>
        <v>Beauty</v>
      </c>
      <c r="M784" s="34" t="str">
        <f>VLOOKUP(C784,Customers!$A$2:$F$301,5,FALSE)</f>
        <v>Retail</v>
      </c>
      <c r="N784" s="34">
        <f>VLOOKUP(C784,Customers!$A$2:$F$301,3,FALSE)</f>
        <v>62</v>
      </c>
      <c r="O784" s="34" t="str">
        <f>VLOOKUP(E784,Sales_Reps!$A$2:$E$31,3,FALSE)</f>
        <v>South</v>
      </c>
      <c r="P784" s="13" t="s">
        <v>346</v>
      </c>
      <c r="Q784" s="34">
        <f t="shared" si="28"/>
        <v>814563.7100000002</v>
      </c>
      <c r="R784" s="34" t="str">
        <f>VLOOKUP(E784,Sales_Reps!$A$2:$E$100,3,FALSE)</f>
        <v>South</v>
      </c>
      <c r="S784" s="34" t="str">
        <f t="shared" si="29"/>
        <v>Beauty</v>
      </c>
      <c r="T784" s="38">
        <f>VLOOKUP(D784,Products!$A$2:$F$68,4,FALSE)</f>
        <v>2617</v>
      </c>
    </row>
    <row r="785" spans="1:20" x14ac:dyDescent="0.35">
      <c r="A785" s="13" t="s">
        <v>1255</v>
      </c>
      <c r="B785" s="14">
        <v>45505</v>
      </c>
      <c r="C785" s="13" t="s">
        <v>156</v>
      </c>
      <c r="D785" s="13" t="s">
        <v>161</v>
      </c>
      <c r="E785" s="13" t="s">
        <v>188</v>
      </c>
      <c r="F785" s="15">
        <v>2</v>
      </c>
      <c r="G785" s="15">
        <v>3450</v>
      </c>
      <c r="H785" s="15">
        <v>17.600000000000001</v>
      </c>
      <c r="I785" s="15">
        <v>5685.6</v>
      </c>
      <c r="J785" s="13" t="s">
        <v>93</v>
      </c>
      <c r="K785" s="13" t="s">
        <v>133</v>
      </c>
      <c r="L785" s="34" t="str">
        <f>VLOOKUP(D785,Products!$A$2:$F$61,3,FALSE)</f>
        <v>Sports</v>
      </c>
      <c r="M785" s="34" t="str">
        <f>VLOOKUP(C785,Customers!$A$2:$F$301,5,FALSE)</f>
        <v>Corporate</v>
      </c>
      <c r="N785" s="34">
        <f>VLOOKUP(C785,Customers!$A$2:$F$301,3,FALSE)</f>
        <v>32</v>
      </c>
      <c r="O785" s="34" t="str">
        <f>VLOOKUP(E785,Sales_Reps!$A$2:$E$31,3,FALSE)</f>
        <v>South</v>
      </c>
      <c r="P785" s="13" t="s">
        <v>188</v>
      </c>
      <c r="Q785" s="34">
        <f t="shared" si="28"/>
        <v>1091740.1799999997</v>
      </c>
      <c r="R785" s="34" t="str">
        <f>VLOOKUP(E785,Sales_Reps!$A$2:$E$100,3,FALSE)</f>
        <v>South</v>
      </c>
      <c r="S785" s="34" t="str">
        <f t="shared" si="29"/>
        <v>Sports</v>
      </c>
      <c r="T785" s="38">
        <f>VLOOKUP(D785,Products!$A$2:$F$68,4,FALSE)</f>
        <v>2467</v>
      </c>
    </row>
    <row r="786" spans="1:20" x14ac:dyDescent="0.35">
      <c r="A786" s="13" t="s">
        <v>1256</v>
      </c>
      <c r="B786" s="14">
        <v>45401</v>
      </c>
      <c r="C786" s="13" t="s">
        <v>217</v>
      </c>
      <c r="D786" s="13" t="s">
        <v>443</v>
      </c>
      <c r="E786" s="13" t="s">
        <v>204</v>
      </c>
      <c r="F786" s="15">
        <v>1</v>
      </c>
      <c r="G786" s="15">
        <v>5080</v>
      </c>
      <c r="H786" s="15">
        <v>5.9</v>
      </c>
      <c r="I786" s="15">
        <v>4780.28</v>
      </c>
      <c r="J786" s="13" t="s">
        <v>87</v>
      </c>
      <c r="K786" s="13" t="s">
        <v>94</v>
      </c>
      <c r="L786" s="34" t="str">
        <f>VLOOKUP(D786,Products!$A$2:$F$61,3,FALSE)</f>
        <v>Home</v>
      </c>
      <c r="M786" s="34" t="str">
        <f>VLOOKUP(C786,Customers!$A$2:$F$301,5,FALSE)</f>
        <v>Retail</v>
      </c>
      <c r="N786" s="34">
        <f>VLOOKUP(C786,Customers!$A$2:$F$301,3,FALSE)</f>
        <v>51</v>
      </c>
      <c r="O786" s="34" t="str">
        <f>VLOOKUP(E786,Sales_Reps!$A$2:$E$31,3,FALSE)</f>
        <v>South</v>
      </c>
      <c r="P786" s="13" t="s">
        <v>204</v>
      </c>
      <c r="Q786" s="34">
        <f t="shared" si="28"/>
        <v>914554.71999999986</v>
      </c>
      <c r="R786" s="34" t="str">
        <f>VLOOKUP(E786,Sales_Reps!$A$2:$E$100,3,FALSE)</f>
        <v>South</v>
      </c>
      <c r="S786" s="34" t="str">
        <f t="shared" si="29"/>
        <v>Home</v>
      </c>
      <c r="T786" s="38">
        <f>VLOOKUP(D786,Products!$A$2:$F$68,4,FALSE)</f>
        <v>2459</v>
      </c>
    </row>
    <row r="787" spans="1:20" x14ac:dyDescent="0.35">
      <c r="A787" s="13" t="s">
        <v>1257</v>
      </c>
      <c r="B787" s="14">
        <v>45364</v>
      </c>
      <c r="C787" s="13" t="s">
        <v>883</v>
      </c>
      <c r="D787" s="13" t="s">
        <v>452</v>
      </c>
      <c r="E787" s="13" t="s">
        <v>154</v>
      </c>
      <c r="F787" s="15">
        <v>7</v>
      </c>
      <c r="G787" s="15">
        <v>3450</v>
      </c>
      <c r="H787" s="15">
        <v>17.399999999999999</v>
      </c>
      <c r="I787" s="15">
        <v>19947.900000000001</v>
      </c>
      <c r="J787" s="13" t="s">
        <v>87</v>
      </c>
      <c r="K787" s="13" t="s">
        <v>133</v>
      </c>
      <c r="L787" s="34" t="str">
        <f>VLOOKUP(D787,Products!$A$2:$F$61,3,FALSE)</f>
        <v>Apparel</v>
      </c>
      <c r="M787" s="34" t="str">
        <f>VLOOKUP(C787,Customers!$A$2:$F$301,5,FALSE)</f>
        <v>SMB</v>
      </c>
      <c r="N787" s="34">
        <f>VLOOKUP(C787,Customers!$A$2:$F$301,3,FALSE)</f>
        <v>28</v>
      </c>
      <c r="O787" s="34" t="str">
        <f>VLOOKUP(E787,Sales_Reps!$A$2:$E$31,3,FALSE)</f>
        <v>East</v>
      </c>
      <c r="P787" s="13" t="s">
        <v>154</v>
      </c>
      <c r="Q787" s="34">
        <f t="shared" si="28"/>
        <v>983787.4800000001</v>
      </c>
      <c r="R787" s="34" t="str">
        <f>VLOOKUP(E787,Sales_Reps!$A$2:$E$100,3,FALSE)</f>
        <v>East</v>
      </c>
      <c r="S787" s="34" t="str">
        <f t="shared" si="29"/>
        <v>Apparel</v>
      </c>
      <c r="T787" s="38">
        <f>VLOOKUP(D787,Products!$A$2:$F$68,4,FALSE)</f>
        <v>1748</v>
      </c>
    </row>
    <row r="788" spans="1:20" x14ac:dyDescent="0.35">
      <c r="A788" s="13" t="s">
        <v>1258</v>
      </c>
      <c r="B788" s="14">
        <v>45403</v>
      </c>
      <c r="C788" s="13" t="s">
        <v>1172</v>
      </c>
      <c r="D788" s="13" t="s">
        <v>131</v>
      </c>
      <c r="E788" s="13" t="s">
        <v>204</v>
      </c>
      <c r="F788" s="15">
        <v>8</v>
      </c>
      <c r="G788" s="15">
        <v>2270</v>
      </c>
      <c r="H788" s="15">
        <v>24.7</v>
      </c>
      <c r="I788" s="15">
        <v>13674.48</v>
      </c>
      <c r="J788" s="13" t="s">
        <v>87</v>
      </c>
      <c r="K788" s="13" t="s">
        <v>88</v>
      </c>
      <c r="L788" s="34" t="str">
        <f>VLOOKUP(D788,Products!$A$2:$F$61,3,FALSE)</f>
        <v>Grocery</v>
      </c>
      <c r="M788" s="34" t="str">
        <f>VLOOKUP(C788,Customers!$A$2:$F$301,5,FALSE)</f>
        <v>Retail</v>
      </c>
      <c r="N788" s="34">
        <f>VLOOKUP(C788,Customers!$A$2:$F$301,3,FALSE)</f>
        <v>39</v>
      </c>
      <c r="O788" s="34" t="str">
        <f>VLOOKUP(E788,Sales_Reps!$A$2:$E$31,3,FALSE)</f>
        <v>South</v>
      </c>
      <c r="P788" s="13" t="s">
        <v>204</v>
      </c>
      <c r="Q788" s="34">
        <f t="shared" si="28"/>
        <v>914554.71999999986</v>
      </c>
      <c r="R788" s="34" t="str">
        <f>VLOOKUP(E788,Sales_Reps!$A$2:$E$100,3,FALSE)</f>
        <v>South</v>
      </c>
      <c r="S788" s="34" t="str">
        <f t="shared" si="29"/>
        <v>Grocery</v>
      </c>
      <c r="T788" s="38">
        <f>VLOOKUP(D788,Products!$A$2:$F$68,4,FALSE)</f>
        <v>1203</v>
      </c>
    </row>
    <row r="789" spans="1:20" x14ac:dyDescent="0.35">
      <c r="A789" s="13" t="s">
        <v>1259</v>
      </c>
      <c r="B789" s="14">
        <v>45599</v>
      </c>
      <c r="C789" s="13" t="s">
        <v>84</v>
      </c>
      <c r="D789" s="13" t="s">
        <v>106</v>
      </c>
      <c r="E789" s="13" t="s">
        <v>154</v>
      </c>
      <c r="F789" s="15">
        <v>3</v>
      </c>
      <c r="G789" s="15">
        <v>3160</v>
      </c>
      <c r="H789" s="15">
        <v>1.5</v>
      </c>
      <c r="I789" s="15">
        <v>9337.7999999999993</v>
      </c>
      <c r="J789" s="13" t="s">
        <v>93</v>
      </c>
      <c r="K789" s="13" t="s">
        <v>88</v>
      </c>
      <c r="L789" s="34" t="str">
        <f>VLOOKUP(D789,Products!$A$2:$F$61,3,FALSE)</f>
        <v>Apparel</v>
      </c>
      <c r="M789" s="34" t="str">
        <f>VLOOKUP(C789,Customers!$A$2:$F$301,5,FALSE)</f>
        <v>SMB</v>
      </c>
      <c r="N789" s="34">
        <f>VLOOKUP(C789,Customers!$A$2:$F$301,3,FALSE)</f>
        <v>44</v>
      </c>
      <c r="O789" s="34" t="str">
        <f>VLOOKUP(E789,Sales_Reps!$A$2:$E$31,3,FALSE)</f>
        <v>East</v>
      </c>
      <c r="P789" s="13" t="s">
        <v>154</v>
      </c>
      <c r="Q789" s="34">
        <f t="shared" si="28"/>
        <v>983787.4800000001</v>
      </c>
      <c r="R789" s="34" t="str">
        <f>VLOOKUP(E789,Sales_Reps!$A$2:$E$100,3,FALSE)</f>
        <v>East</v>
      </c>
      <c r="S789" s="34" t="str">
        <f t="shared" si="29"/>
        <v>Apparel</v>
      </c>
      <c r="T789" s="38">
        <f>VLOOKUP(D789,Products!$A$2:$F$68,4,FALSE)</f>
        <v>1886</v>
      </c>
    </row>
    <row r="790" spans="1:20" x14ac:dyDescent="0.35">
      <c r="A790" s="13" t="s">
        <v>1260</v>
      </c>
      <c r="B790" s="14">
        <v>45389</v>
      </c>
      <c r="C790" s="13" t="s">
        <v>1261</v>
      </c>
      <c r="D790" s="13" t="s">
        <v>179</v>
      </c>
      <c r="E790" s="13" t="s">
        <v>229</v>
      </c>
      <c r="F790" s="15">
        <v>6</v>
      </c>
      <c r="G790" s="15">
        <v>3350</v>
      </c>
      <c r="H790" s="15">
        <v>0.9</v>
      </c>
      <c r="I790" s="15">
        <v>19919.099999999999</v>
      </c>
      <c r="J790" s="13" t="s">
        <v>93</v>
      </c>
      <c r="K790" s="13" t="s">
        <v>117</v>
      </c>
      <c r="L790" s="34" t="str">
        <f>VLOOKUP(D790,Products!$A$2:$F$61,3,FALSE)</f>
        <v>Beauty</v>
      </c>
      <c r="M790" s="34" t="str">
        <f>VLOOKUP(C790,Customers!$A$2:$F$301,5,FALSE)</f>
        <v>Retail</v>
      </c>
      <c r="N790" s="34">
        <f>VLOOKUP(C790,Customers!$A$2:$F$301,3,FALSE)</f>
        <v>54</v>
      </c>
      <c r="O790" s="34" t="str">
        <f>VLOOKUP(E790,Sales_Reps!$A$2:$E$31,3,FALSE)</f>
        <v>West</v>
      </c>
      <c r="P790" s="13" t="s">
        <v>229</v>
      </c>
      <c r="Q790" s="34">
        <f t="shared" si="28"/>
        <v>1016696.8000000002</v>
      </c>
      <c r="R790" s="34" t="str">
        <f>VLOOKUP(E790,Sales_Reps!$A$2:$E$100,3,FALSE)</f>
        <v>West</v>
      </c>
      <c r="S790" s="34" t="str">
        <f t="shared" si="29"/>
        <v>Beauty</v>
      </c>
      <c r="T790" s="38">
        <f>VLOOKUP(D790,Products!$A$2:$F$68,4,FALSE)</f>
        <v>1728</v>
      </c>
    </row>
    <row r="791" spans="1:20" x14ac:dyDescent="0.35">
      <c r="A791" s="13" t="s">
        <v>1262</v>
      </c>
      <c r="B791" s="14">
        <v>45506</v>
      </c>
      <c r="C791" s="13" t="s">
        <v>945</v>
      </c>
      <c r="D791" s="13" t="s">
        <v>176</v>
      </c>
      <c r="E791" s="13" t="s">
        <v>229</v>
      </c>
      <c r="F791" s="15">
        <v>7</v>
      </c>
      <c r="G791" s="15">
        <v>1650</v>
      </c>
      <c r="H791" s="15">
        <v>5.6</v>
      </c>
      <c r="I791" s="15">
        <v>10903.2</v>
      </c>
      <c r="J791" s="13" t="s">
        <v>144</v>
      </c>
      <c r="K791" s="13" t="s">
        <v>88</v>
      </c>
      <c r="L791" s="34" t="str">
        <f>VLOOKUP(D791,Products!$A$2:$F$61,3,FALSE)</f>
        <v>Beauty</v>
      </c>
      <c r="M791" s="34" t="str">
        <f>VLOOKUP(C791,Customers!$A$2:$F$301,5,FALSE)</f>
        <v>Retail</v>
      </c>
      <c r="N791" s="34">
        <f>VLOOKUP(C791,Customers!$A$2:$F$301,3,FALSE)</f>
        <v>54</v>
      </c>
      <c r="O791" s="34" t="str">
        <f>VLOOKUP(E791,Sales_Reps!$A$2:$E$31,3,FALSE)</f>
        <v>West</v>
      </c>
      <c r="P791" s="13" t="s">
        <v>229</v>
      </c>
      <c r="Q791" s="34">
        <f t="shared" si="28"/>
        <v>1016696.8000000002</v>
      </c>
      <c r="R791" s="34" t="str">
        <f>VLOOKUP(E791,Sales_Reps!$A$2:$E$100,3,FALSE)</f>
        <v>West</v>
      </c>
      <c r="S791" s="34" t="str">
        <f t="shared" si="29"/>
        <v>Beauty</v>
      </c>
      <c r="T791" s="38">
        <f>VLOOKUP(D791,Products!$A$2:$F$68,4,FALSE)</f>
        <v>1222</v>
      </c>
    </row>
    <row r="792" spans="1:20" x14ac:dyDescent="0.35">
      <c r="A792" s="13" t="s">
        <v>1263</v>
      </c>
      <c r="B792" s="14">
        <v>45402</v>
      </c>
      <c r="C792" s="13" t="s">
        <v>725</v>
      </c>
      <c r="D792" s="13" t="s">
        <v>124</v>
      </c>
      <c r="E792" s="13" t="s">
        <v>148</v>
      </c>
      <c r="F792" s="15">
        <v>1</v>
      </c>
      <c r="G792" s="15">
        <v>5490</v>
      </c>
      <c r="H792" s="15">
        <v>5.8</v>
      </c>
      <c r="I792" s="15">
        <v>5171.58</v>
      </c>
      <c r="J792" s="13" t="s">
        <v>87</v>
      </c>
      <c r="K792" s="13" t="s">
        <v>99</v>
      </c>
      <c r="L792" s="34" t="str">
        <f>VLOOKUP(D792,Products!$A$2:$F$61,3,FALSE)</f>
        <v>Home</v>
      </c>
      <c r="M792" s="34" t="str">
        <f>VLOOKUP(C792,Customers!$A$2:$F$301,5,FALSE)</f>
        <v>SMB</v>
      </c>
      <c r="N792" s="34">
        <f>VLOOKUP(C792,Customers!$A$2:$F$301,3,FALSE)</f>
        <v>26</v>
      </c>
      <c r="O792" s="34" t="str">
        <f>VLOOKUP(E792,Sales_Reps!$A$2:$E$31,3,FALSE)</f>
        <v>North</v>
      </c>
      <c r="P792" s="13" t="s">
        <v>148</v>
      </c>
      <c r="Q792" s="34">
        <f t="shared" si="28"/>
        <v>986692.91</v>
      </c>
      <c r="R792" s="34" t="str">
        <f>VLOOKUP(E792,Sales_Reps!$A$2:$E$100,3,FALSE)</f>
        <v>North</v>
      </c>
      <c r="S792" s="34" t="str">
        <f t="shared" si="29"/>
        <v>Home</v>
      </c>
      <c r="T792" s="38">
        <f>VLOOKUP(D792,Products!$A$2:$F$68,4,FALSE)</f>
        <v>2549</v>
      </c>
    </row>
    <row r="793" spans="1:20" x14ac:dyDescent="0.35">
      <c r="A793" s="13" t="s">
        <v>1264</v>
      </c>
      <c r="B793" s="14">
        <v>45405</v>
      </c>
      <c r="C793" s="13" t="s">
        <v>150</v>
      </c>
      <c r="D793" s="13" t="s">
        <v>164</v>
      </c>
      <c r="E793" s="13" t="s">
        <v>116</v>
      </c>
      <c r="F793" s="15">
        <v>3</v>
      </c>
      <c r="G793" s="15">
        <v>1080</v>
      </c>
      <c r="H793" s="15">
        <v>20.9</v>
      </c>
      <c r="I793" s="15">
        <v>2562.84</v>
      </c>
      <c r="J793" s="13" t="s">
        <v>87</v>
      </c>
      <c r="K793" s="13" t="s">
        <v>88</v>
      </c>
      <c r="L793" s="34" t="str">
        <f>VLOOKUP(D793,Products!$A$2:$F$61,3,FALSE)</f>
        <v>Home</v>
      </c>
      <c r="M793" s="34" t="str">
        <f>VLOOKUP(C793,Customers!$A$2:$F$301,5,FALSE)</f>
        <v>Retail</v>
      </c>
      <c r="N793" s="34">
        <f>VLOOKUP(C793,Customers!$A$2:$F$301,3,FALSE)</f>
        <v>63</v>
      </c>
      <c r="O793" s="34" t="str">
        <f>VLOOKUP(E793,Sales_Reps!$A$2:$E$31,3,FALSE)</f>
        <v>West</v>
      </c>
      <c r="P793" s="13" t="s">
        <v>116</v>
      </c>
      <c r="Q793" s="34">
        <f t="shared" si="28"/>
        <v>819558.58</v>
      </c>
      <c r="R793" s="34" t="str">
        <f>VLOOKUP(E793,Sales_Reps!$A$2:$E$100,3,FALSE)</f>
        <v>West</v>
      </c>
      <c r="S793" s="34" t="str">
        <f t="shared" si="29"/>
        <v>Home</v>
      </c>
      <c r="T793" s="38">
        <f>VLOOKUP(D793,Products!$A$2:$F$68,4,FALSE)</f>
        <v>519</v>
      </c>
    </row>
    <row r="794" spans="1:20" x14ac:dyDescent="0.35">
      <c r="A794" s="13" t="s">
        <v>1265</v>
      </c>
      <c r="B794" s="14">
        <v>45434</v>
      </c>
      <c r="C794" s="13" t="s">
        <v>1266</v>
      </c>
      <c r="D794" s="13" t="s">
        <v>234</v>
      </c>
      <c r="E794" s="13" t="s">
        <v>303</v>
      </c>
      <c r="F794" s="15">
        <v>10</v>
      </c>
      <c r="G794" s="15">
        <v>3780</v>
      </c>
      <c r="H794" s="15">
        <v>5.5</v>
      </c>
      <c r="I794" s="15">
        <v>35721</v>
      </c>
      <c r="J794" s="13" t="s">
        <v>87</v>
      </c>
      <c r="K794" s="13" t="s">
        <v>133</v>
      </c>
      <c r="L794" s="34" t="str">
        <f>VLOOKUP(D794,Products!$A$2:$F$61,3,FALSE)</f>
        <v>Grocery</v>
      </c>
      <c r="M794" s="34" t="e">
        <f>VLOOKUP(C794,Customers!$A$2:$F$301,5,FALSE)</f>
        <v>#N/A</v>
      </c>
      <c r="N794" s="34" t="e">
        <f>VLOOKUP(C794,Customers!$A$2:$F$301,3,FALSE)</f>
        <v>#N/A</v>
      </c>
      <c r="O794" s="34" t="str">
        <f>VLOOKUP(E794,Sales_Reps!$A$2:$E$31,3,FALSE)</f>
        <v>East</v>
      </c>
      <c r="P794" s="13" t="s">
        <v>303</v>
      </c>
      <c r="Q794" s="34">
        <f t="shared" si="28"/>
        <v>1112289.6400000001</v>
      </c>
      <c r="R794" s="34" t="str">
        <f>VLOOKUP(E794,Sales_Reps!$A$2:$E$100,3,FALSE)</f>
        <v>East</v>
      </c>
      <c r="S794" s="34" t="str">
        <f t="shared" si="29"/>
        <v>Grocery</v>
      </c>
      <c r="T794" s="38">
        <f>VLOOKUP(D794,Products!$A$2:$F$68,4,FALSE)</f>
        <v>2436</v>
      </c>
    </row>
    <row r="795" spans="1:20" x14ac:dyDescent="0.35">
      <c r="A795" s="13" t="s">
        <v>1267</v>
      </c>
      <c r="B795" s="14">
        <v>45558</v>
      </c>
      <c r="C795" s="13" t="s">
        <v>208</v>
      </c>
      <c r="D795" s="13" t="s">
        <v>295</v>
      </c>
      <c r="E795" s="13" t="s">
        <v>170</v>
      </c>
      <c r="F795" s="15">
        <v>2</v>
      </c>
      <c r="G795" s="15">
        <v>2030</v>
      </c>
      <c r="H795" s="15">
        <v>2</v>
      </c>
      <c r="I795" s="15">
        <v>3978.8</v>
      </c>
      <c r="J795" s="13" t="s">
        <v>93</v>
      </c>
      <c r="K795" s="13" t="s">
        <v>133</v>
      </c>
      <c r="L795" s="34" t="str">
        <f>VLOOKUP(D795,Products!$A$2:$F$61,3,FALSE)</f>
        <v>Home</v>
      </c>
      <c r="M795" s="34" t="str">
        <f>VLOOKUP(C795,Customers!$A$2:$F$301,5,FALSE)</f>
        <v>Retail</v>
      </c>
      <c r="N795" s="34">
        <f>VLOOKUP(C795,Customers!$A$2:$F$301,3,FALSE)</f>
        <v>26</v>
      </c>
      <c r="O795" s="34" t="str">
        <f>VLOOKUP(E795,Sales_Reps!$A$2:$E$31,3,FALSE)</f>
        <v>West</v>
      </c>
      <c r="P795" s="13" t="s">
        <v>170</v>
      </c>
      <c r="Q795" s="34">
        <f t="shared" si="28"/>
        <v>747624.36999999988</v>
      </c>
      <c r="R795" s="34" t="str">
        <f>VLOOKUP(E795,Sales_Reps!$A$2:$E$100,3,FALSE)</f>
        <v>West</v>
      </c>
      <c r="S795" s="34" t="str">
        <f t="shared" si="29"/>
        <v>Home</v>
      </c>
      <c r="T795" s="38">
        <f>VLOOKUP(D795,Products!$A$2:$F$68,4,FALSE)</f>
        <v>1143</v>
      </c>
    </row>
    <row r="796" spans="1:20" x14ac:dyDescent="0.35">
      <c r="A796" s="13" t="s">
        <v>1268</v>
      </c>
      <c r="B796" s="14">
        <v>45582</v>
      </c>
      <c r="C796" s="13" t="s">
        <v>567</v>
      </c>
      <c r="D796" s="13" t="s">
        <v>259</v>
      </c>
      <c r="E796" s="13" t="s">
        <v>121</v>
      </c>
      <c r="F796" s="15">
        <v>8</v>
      </c>
      <c r="G796" s="15">
        <v>1540</v>
      </c>
      <c r="H796" s="15">
        <v>9</v>
      </c>
      <c r="I796" s="15">
        <v>11211.2</v>
      </c>
      <c r="J796" s="13" t="s">
        <v>140</v>
      </c>
      <c r="K796" s="13" t="s">
        <v>117</v>
      </c>
      <c r="L796" s="34" t="str">
        <f>VLOOKUP(D796,Products!$A$2:$F$61,3,FALSE)</f>
        <v>Beauty</v>
      </c>
      <c r="M796" s="34" t="str">
        <f>VLOOKUP(C796,Customers!$A$2:$F$301,5,FALSE)</f>
        <v>Corporate</v>
      </c>
      <c r="N796" s="34">
        <f>VLOOKUP(C796,Customers!$A$2:$F$301,3,FALSE)</f>
        <v>41</v>
      </c>
      <c r="O796" s="34" t="str">
        <f>VLOOKUP(E796,Sales_Reps!$A$2:$E$31,3,FALSE)</f>
        <v>East</v>
      </c>
      <c r="P796" s="13" t="s">
        <v>121</v>
      </c>
      <c r="Q796" s="34">
        <f t="shared" si="28"/>
        <v>971183.52000000014</v>
      </c>
      <c r="R796" s="34" t="str">
        <f>VLOOKUP(E796,Sales_Reps!$A$2:$E$100,3,FALSE)</f>
        <v>East</v>
      </c>
      <c r="S796" s="34" t="str">
        <f t="shared" si="29"/>
        <v>Beauty</v>
      </c>
      <c r="T796" s="38">
        <f>VLOOKUP(D796,Products!$A$2:$F$68,4,FALSE)</f>
        <v>647</v>
      </c>
    </row>
    <row r="797" spans="1:20" x14ac:dyDescent="0.35">
      <c r="A797" s="13" t="s">
        <v>1269</v>
      </c>
      <c r="B797" s="14">
        <v>45601</v>
      </c>
      <c r="C797" s="13" t="s">
        <v>126</v>
      </c>
      <c r="D797" s="13" t="s">
        <v>143</v>
      </c>
      <c r="E797" s="13" t="s">
        <v>188</v>
      </c>
      <c r="F797" s="15">
        <v>9</v>
      </c>
      <c r="G797" s="15">
        <v>3250</v>
      </c>
      <c r="H797" s="15">
        <v>20.5</v>
      </c>
      <c r="I797" s="15">
        <v>23253.75</v>
      </c>
      <c r="J797" s="13" t="s">
        <v>87</v>
      </c>
      <c r="K797" s="13" t="s">
        <v>88</v>
      </c>
      <c r="L797" s="34" t="str">
        <f>VLOOKUP(D797,Products!$A$2:$F$61,3,FALSE)</f>
        <v>Home</v>
      </c>
      <c r="M797" s="34" t="str">
        <f>VLOOKUP(C797,Customers!$A$2:$F$301,5,FALSE)</f>
        <v>Retail</v>
      </c>
      <c r="N797" s="34">
        <f>VLOOKUP(C797,Customers!$A$2:$F$301,3,FALSE)</f>
        <v>56</v>
      </c>
      <c r="O797" s="34" t="str">
        <f>VLOOKUP(E797,Sales_Reps!$A$2:$E$31,3,FALSE)</f>
        <v>South</v>
      </c>
      <c r="P797" s="13" t="s">
        <v>188</v>
      </c>
      <c r="Q797" s="34">
        <f t="shared" si="28"/>
        <v>1091740.1799999997</v>
      </c>
      <c r="R797" s="34" t="str">
        <f>VLOOKUP(E797,Sales_Reps!$A$2:$E$100,3,FALSE)</f>
        <v>South</v>
      </c>
      <c r="S797" s="34" t="str">
        <f t="shared" si="29"/>
        <v>Home</v>
      </c>
      <c r="T797" s="38">
        <f>VLOOKUP(D797,Products!$A$2:$F$68,4,FALSE)</f>
        <v>1556</v>
      </c>
    </row>
    <row r="798" spans="1:20" x14ac:dyDescent="0.35">
      <c r="A798" s="13" t="s">
        <v>1270</v>
      </c>
      <c r="B798" s="14">
        <v>45344</v>
      </c>
      <c r="C798" s="13" t="s">
        <v>399</v>
      </c>
      <c r="D798" s="13" t="s">
        <v>157</v>
      </c>
      <c r="E798" s="13" t="s">
        <v>92</v>
      </c>
      <c r="F798" s="15">
        <v>3</v>
      </c>
      <c r="G798" s="15">
        <v>3450</v>
      </c>
      <c r="H798" s="15">
        <v>17.899999999999999</v>
      </c>
      <c r="I798" s="15">
        <v>8497.35</v>
      </c>
      <c r="J798" s="13" t="s">
        <v>87</v>
      </c>
      <c r="K798" s="13" t="s">
        <v>99</v>
      </c>
      <c r="L798" s="34" t="str">
        <f>VLOOKUP(D798,Products!$A$2:$F$61,3,FALSE)</f>
        <v>Beauty</v>
      </c>
      <c r="M798" s="34" t="str">
        <f>VLOOKUP(C798,Customers!$A$2:$F$301,5,FALSE)</f>
        <v>SMB</v>
      </c>
      <c r="N798" s="34">
        <f>VLOOKUP(C798,Customers!$A$2:$F$301,3,FALSE)</f>
        <v>53</v>
      </c>
      <c r="O798" s="34" t="str">
        <f>VLOOKUP(E798,Sales_Reps!$A$2:$E$31,3,FALSE)</f>
        <v>North</v>
      </c>
      <c r="P798" s="13" t="s">
        <v>92</v>
      </c>
      <c r="Q798" s="34">
        <f t="shared" si="28"/>
        <v>782445.33</v>
      </c>
      <c r="R798" s="34" t="str">
        <f>VLOOKUP(E798,Sales_Reps!$A$2:$E$100,3,FALSE)</f>
        <v>North</v>
      </c>
      <c r="S798" s="34" t="str">
        <f t="shared" si="29"/>
        <v>Beauty</v>
      </c>
      <c r="T798" s="38">
        <f>VLOOKUP(D798,Products!$A$2:$F$68,4,FALSE)</f>
        <v>2420</v>
      </c>
    </row>
    <row r="799" spans="1:20" x14ac:dyDescent="0.35">
      <c r="A799" s="13" t="s">
        <v>1271</v>
      </c>
      <c r="B799" s="14">
        <v>45504</v>
      </c>
      <c r="C799" s="13" t="s">
        <v>405</v>
      </c>
      <c r="D799" s="13" t="s">
        <v>124</v>
      </c>
      <c r="E799" s="13" t="s">
        <v>107</v>
      </c>
      <c r="F799" s="15">
        <v>5</v>
      </c>
      <c r="G799" s="15">
        <v>5490</v>
      </c>
      <c r="H799" s="15">
        <v>7.9</v>
      </c>
      <c r="I799" s="15">
        <v>25281.45</v>
      </c>
      <c r="J799" s="13" t="s">
        <v>87</v>
      </c>
      <c r="K799" s="13" t="s">
        <v>94</v>
      </c>
      <c r="L799" s="34" t="str">
        <f>VLOOKUP(D799,Products!$A$2:$F$61,3,FALSE)</f>
        <v>Home</v>
      </c>
      <c r="M799" s="34" t="str">
        <f>VLOOKUP(C799,Customers!$A$2:$F$301,5,FALSE)</f>
        <v>Corporate</v>
      </c>
      <c r="N799" s="34">
        <f>VLOOKUP(C799,Customers!$A$2:$F$301,3,FALSE)</f>
        <v>24</v>
      </c>
      <c r="O799" s="34" t="str">
        <f>VLOOKUP(E799,Sales_Reps!$A$2:$E$31,3,FALSE)</f>
        <v>North</v>
      </c>
      <c r="P799" s="13" t="s">
        <v>107</v>
      </c>
      <c r="Q799" s="34">
        <f t="shared" si="28"/>
        <v>861553.33</v>
      </c>
      <c r="R799" s="34" t="str">
        <f>VLOOKUP(E799,Sales_Reps!$A$2:$E$100,3,FALSE)</f>
        <v>North</v>
      </c>
      <c r="S799" s="34" t="str">
        <f t="shared" si="29"/>
        <v>Home</v>
      </c>
      <c r="T799" s="38">
        <f>VLOOKUP(D799,Products!$A$2:$F$68,4,FALSE)</f>
        <v>2549</v>
      </c>
    </row>
    <row r="800" spans="1:20" x14ac:dyDescent="0.35">
      <c r="A800" s="13" t="s">
        <v>1272</v>
      </c>
      <c r="B800" s="14">
        <v>45306</v>
      </c>
      <c r="C800" s="13" t="s">
        <v>626</v>
      </c>
      <c r="D800" s="13" t="s">
        <v>110</v>
      </c>
      <c r="E800" s="13" t="s">
        <v>229</v>
      </c>
      <c r="F800" s="15">
        <v>3</v>
      </c>
      <c r="G800" s="15">
        <v>370</v>
      </c>
      <c r="H800" s="15">
        <v>13.4</v>
      </c>
      <c r="I800" s="15">
        <v>961.26</v>
      </c>
      <c r="J800" s="13" t="s">
        <v>87</v>
      </c>
      <c r="K800" s="13" t="s">
        <v>99</v>
      </c>
      <c r="L800" s="34" t="str">
        <f>VLOOKUP(D800,Products!$A$2:$F$61,3,FALSE)</f>
        <v>Home</v>
      </c>
      <c r="M800" s="34" t="str">
        <f>VLOOKUP(C800,Customers!$A$2:$F$301,5,FALSE)</f>
        <v>Retail</v>
      </c>
      <c r="N800" s="34">
        <f>VLOOKUP(C800,Customers!$A$2:$F$301,3,FALSE)</f>
        <v>40</v>
      </c>
      <c r="O800" s="34" t="str">
        <f>VLOOKUP(E800,Sales_Reps!$A$2:$E$31,3,FALSE)</f>
        <v>West</v>
      </c>
      <c r="P800" s="13" t="s">
        <v>229</v>
      </c>
      <c r="Q800" s="34">
        <f t="shared" si="28"/>
        <v>1016696.8000000002</v>
      </c>
      <c r="R800" s="34" t="str">
        <f>VLOOKUP(E800,Sales_Reps!$A$2:$E$100,3,FALSE)</f>
        <v>West</v>
      </c>
      <c r="S800" s="34" t="str">
        <f t="shared" si="29"/>
        <v>Home</v>
      </c>
      <c r="T800" s="38">
        <f>VLOOKUP(D800,Products!$A$2:$F$68,4,FALSE)</f>
        <v>288</v>
      </c>
    </row>
    <row r="801" spans="1:20" x14ac:dyDescent="0.35">
      <c r="A801" s="13" t="s">
        <v>1273</v>
      </c>
      <c r="B801" s="14">
        <v>45413</v>
      </c>
      <c r="C801" s="13" t="s">
        <v>378</v>
      </c>
      <c r="D801" s="13" t="s">
        <v>364</v>
      </c>
      <c r="E801" s="13" t="s">
        <v>204</v>
      </c>
      <c r="F801" s="15">
        <v>7</v>
      </c>
      <c r="G801" s="15">
        <v>5330</v>
      </c>
      <c r="H801" s="15">
        <v>29.7</v>
      </c>
      <c r="I801" s="15">
        <v>26228.93</v>
      </c>
      <c r="J801" s="13" t="s">
        <v>93</v>
      </c>
      <c r="K801" s="13" t="s">
        <v>94</v>
      </c>
      <c r="L801" s="34" t="str">
        <f>VLOOKUP(D801,Products!$A$2:$F$61,3,FALSE)</f>
        <v>Electronics</v>
      </c>
      <c r="M801" s="34" t="str">
        <f>VLOOKUP(C801,Customers!$A$2:$F$301,5,FALSE)</f>
        <v>SMB</v>
      </c>
      <c r="N801" s="34">
        <f>VLOOKUP(C801,Customers!$A$2:$F$301,3,FALSE)</f>
        <v>53</v>
      </c>
      <c r="O801" s="34" t="str">
        <f>VLOOKUP(E801,Sales_Reps!$A$2:$E$31,3,FALSE)</f>
        <v>South</v>
      </c>
      <c r="P801" s="13" t="s">
        <v>204</v>
      </c>
      <c r="Q801" s="34">
        <f t="shared" si="28"/>
        <v>914554.71999999986</v>
      </c>
      <c r="R801" s="34" t="str">
        <f>VLOOKUP(E801,Sales_Reps!$A$2:$E$100,3,FALSE)</f>
        <v>South</v>
      </c>
      <c r="S801" s="34" t="str">
        <f t="shared" si="29"/>
        <v>Electronics</v>
      </c>
      <c r="T801" s="38">
        <f>VLOOKUP(D801,Products!$A$2:$F$68,4,FALSE)</f>
        <v>2405</v>
      </c>
    </row>
    <row r="802" spans="1:20" x14ac:dyDescent="0.35">
      <c r="A802" s="13" t="s">
        <v>1274</v>
      </c>
      <c r="B802" s="14">
        <v>45368</v>
      </c>
      <c r="C802" s="13" t="s">
        <v>1065</v>
      </c>
      <c r="D802" s="13" t="s">
        <v>161</v>
      </c>
      <c r="E802" s="13" t="s">
        <v>346</v>
      </c>
      <c r="F802" s="15">
        <v>8</v>
      </c>
      <c r="G802" s="15">
        <v>3450</v>
      </c>
      <c r="H802" s="15">
        <v>23.7</v>
      </c>
      <c r="I802" s="15">
        <v>21058.799999999999</v>
      </c>
      <c r="J802" s="13" t="s">
        <v>87</v>
      </c>
      <c r="K802" s="13" t="s">
        <v>94</v>
      </c>
      <c r="L802" s="34" t="str">
        <f>VLOOKUP(D802,Products!$A$2:$F$61,3,FALSE)</f>
        <v>Sports</v>
      </c>
      <c r="M802" s="34" t="str">
        <f>VLOOKUP(C802,Customers!$A$2:$F$301,5,FALSE)</f>
        <v>Retail</v>
      </c>
      <c r="N802" s="34">
        <f>VLOOKUP(C802,Customers!$A$2:$F$301,3,FALSE)</f>
        <v>49</v>
      </c>
      <c r="O802" s="34" t="str">
        <f>VLOOKUP(E802,Sales_Reps!$A$2:$E$31,3,FALSE)</f>
        <v>South</v>
      </c>
      <c r="P802" s="13" t="s">
        <v>346</v>
      </c>
      <c r="Q802" s="34">
        <f t="shared" si="28"/>
        <v>814563.7100000002</v>
      </c>
      <c r="R802" s="34" t="str">
        <f>VLOOKUP(E802,Sales_Reps!$A$2:$E$100,3,FALSE)</f>
        <v>South</v>
      </c>
      <c r="S802" s="34" t="str">
        <f t="shared" si="29"/>
        <v>Sports</v>
      </c>
      <c r="T802" s="38">
        <f>VLOOKUP(D802,Products!$A$2:$F$68,4,FALSE)</f>
        <v>2467</v>
      </c>
    </row>
    <row r="803" spans="1:20" x14ac:dyDescent="0.35">
      <c r="A803" s="13" t="s">
        <v>1275</v>
      </c>
      <c r="B803" s="14">
        <v>45316</v>
      </c>
      <c r="C803" s="13" t="s">
        <v>362</v>
      </c>
      <c r="D803" s="13" t="s">
        <v>452</v>
      </c>
      <c r="E803" s="13" t="s">
        <v>343</v>
      </c>
      <c r="F803" s="15">
        <v>8</v>
      </c>
      <c r="G803" s="15">
        <v>3450</v>
      </c>
      <c r="H803" s="15">
        <v>5.4</v>
      </c>
      <c r="I803" s="15">
        <v>26109.599999999999</v>
      </c>
      <c r="J803" s="13" t="s">
        <v>87</v>
      </c>
      <c r="K803" s="13" t="s">
        <v>94</v>
      </c>
      <c r="L803" s="34" t="str">
        <f>VLOOKUP(D803,Products!$A$2:$F$61,3,FALSE)</f>
        <v>Apparel</v>
      </c>
      <c r="M803" s="34" t="str">
        <f>VLOOKUP(C803,Customers!$A$2:$F$301,5,FALSE)</f>
        <v>Corporate</v>
      </c>
      <c r="N803" s="34">
        <f>VLOOKUP(C803,Customers!$A$2:$F$301,3,FALSE)</f>
        <v>51</v>
      </c>
      <c r="O803" s="34" t="str">
        <f>VLOOKUP(E803,Sales_Reps!$A$2:$E$31,3,FALSE)</f>
        <v>West</v>
      </c>
      <c r="P803" s="13" t="s">
        <v>343</v>
      </c>
      <c r="Q803" s="34">
        <f t="shared" si="28"/>
        <v>917092.61999999965</v>
      </c>
      <c r="R803" s="34" t="str">
        <f>VLOOKUP(E803,Sales_Reps!$A$2:$E$100,3,FALSE)</f>
        <v>West</v>
      </c>
      <c r="S803" s="34" t="str">
        <f t="shared" si="29"/>
        <v>Apparel</v>
      </c>
      <c r="T803" s="38">
        <f>VLOOKUP(D803,Products!$A$2:$F$68,4,FALSE)</f>
        <v>1748</v>
      </c>
    </row>
    <row r="804" spans="1:20" x14ac:dyDescent="0.35">
      <c r="A804" s="13" t="s">
        <v>1276</v>
      </c>
      <c r="B804" s="14">
        <v>45652</v>
      </c>
      <c r="C804" s="13" t="s">
        <v>872</v>
      </c>
      <c r="D804" s="13" t="s">
        <v>241</v>
      </c>
      <c r="E804" s="13" t="s">
        <v>229</v>
      </c>
      <c r="F804" s="15">
        <v>1</v>
      </c>
      <c r="G804" s="15">
        <v>6080</v>
      </c>
      <c r="H804" s="15">
        <v>22.3</v>
      </c>
      <c r="I804" s="15">
        <v>4724.16</v>
      </c>
      <c r="J804" s="13" t="s">
        <v>87</v>
      </c>
      <c r="K804" s="13" t="s">
        <v>112</v>
      </c>
      <c r="L804" s="34" t="str">
        <f>VLOOKUP(D804,Products!$A$2:$F$61,3,FALSE)</f>
        <v>Beauty</v>
      </c>
      <c r="M804" s="34" t="str">
        <f>VLOOKUP(C804,Customers!$A$2:$F$301,5,FALSE)</f>
        <v>Corporate</v>
      </c>
      <c r="N804" s="34">
        <f>VLOOKUP(C804,Customers!$A$2:$F$301,3,FALSE)</f>
        <v>62</v>
      </c>
      <c r="O804" s="34" t="str">
        <f>VLOOKUP(E804,Sales_Reps!$A$2:$E$31,3,FALSE)</f>
        <v>West</v>
      </c>
      <c r="P804" s="13" t="s">
        <v>229</v>
      </c>
      <c r="Q804" s="34">
        <f t="shared" si="28"/>
        <v>1016696.8000000002</v>
      </c>
      <c r="R804" s="34" t="str">
        <f>VLOOKUP(E804,Sales_Reps!$A$2:$E$100,3,FALSE)</f>
        <v>West</v>
      </c>
      <c r="S804" s="34" t="str">
        <f t="shared" si="29"/>
        <v>Beauty</v>
      </c>
      <c r="T804" s="38">
        <f>VLOOKUP(D804,Products!$A$2:$F$68,4,FALSE)</f>
        <v>2617</v>
      </c>
    </row>
    <row r="805" spans="1:20" x14ac:dyDescent="0.35">
      <c r="A805" s="13" t="s">
        <v>1277</v>
      </c>
      <c r="B805" s="14">
        <v>45597</v>
      </c>
      <c r="C805" s="13" t="s">
        <v>219</v>
      </c>
      <c r="D805" s="13" t="s">
        <v>355</v>
      </c>
      <c r="E805" s="13" t="s">
        <v>273</v>
      </c>
      <c r="F805" s="15">
        <v>9</v>
      </c>
      <c r="G805" s="15">
        <v>2510</v>
      </c>
      <c r="H805" s="15">
        <v>27.4</v>
      </c>
      <c r="I805" s="15">
        <v>16400.34</v>
      </c>
      <c r="J805" s="13" t="s">
        <v>87</v>
      </c>
      <c r="K805" s="13" t="s">
        <v>99</v>
      </c>
      <c r="L805" s="34" t="str">
        <f>VLOOKUP(D805,Products!$A$2:$F$61,3,FALSE)</f>
        <v>Apparel</v>
      </c>
      <c r="M805" s="34" t="str">
        <f>VLOOKUP(C805,Customers!$A$2:$F$301,5,FALSE)</f>
        <v>SMB</v>
      </c>
      <c r="N805" s="34">
        <f>VLOOKUP(C805,Customers!$A$2:$F$301,3,FALSE)</f>
        <v>50</v>
      </c>
      <c r="O805" s="34" t="str">
        <f>VLOOKUP(E805,Sales_Reps!$A$2:$E$31,3,FALSE)</f>
        <v>South</v>
      </c>
      <c r="P805" s="13" t="s">
        <v>273</v>
      </c>
      <c r="Q805" s="34">
        <f t="shared" si="28"/>
        <v>735207.75999999989</v>
      </c>
      <c r="R805" s="34" t="str">
        <f>VLOOKUP(E805,Sales_Reps!$A$2:$E$100,3,FALSE)</f>
        <v>South</v>
      </c>
      <c r="S805" s="34" t="str">
        <f t="shared" si="29"/>
        <v>Apparel</v>
      </c>
      <c r="T805" s="38">
        <f>VLOOKUP(D805,Products!$A$2:$F$68,4,FALSE)</f>
        <v>1075</v>
      </c>
    </row>
    <row r="806" spans="1:20" x14ac:dyDescent="0.35">
      <c r="A806" s="13" t="s">
        <v>1278</v>
      </c>
      <c r="B806" s="14">
        <v>45392</v>
      </c>
      <c r="C806" s="13" t="s">
        <v>160</v>
      </c>
      <c r="D806" s="13" t="s">
        <v>182</v>
      </c>
      <c r="E806" s="13" t="s">
        <v>325</v>
      </c>
      <c r="F806" s="15">
        <v>10</v>
      </c>
      <c r="G806" s="15">
        <v>1010</v>
      </c>
      <c r="H806" s="15">
        <v>28.4</v>
      </c>
      <c r="I806" s="15">
        <v>7231.6</v>
      </c>
      <c r="J806" s="13" t="s">
        <v>87</v>
      </c>
      <c r="K806" s="13" t="s">
        <v>112</v>
      </c>
      <c r="L806" s="34" t="str">
        <f>VLOOKUP(D806,Products!$A$2:$F$61,3,FALSE)</f>
        <v>Sports</v>
      </c>
      <c r="M806" s="34" t="str">
        <f>VLOOKUP(C806,Customers!$A$2:$F$301,5,FALSE)</f>
        <v>Retail</v>
      </c>
      <c r="N806" s="34">
        <f>VLOOKUP(C806,Customers!$A$2:$F$301,3,FALSE)</f>
        <v>54</v>
      </c>
      <c r="O806" s="34" t="str">
        <f>VLOOKUP(E806,Sales_Reps!$A$2:$E$31,3,FALSE)</f>
        <v>South</v>
      </c>
      <c r="P806" s="13" t="s">
        <v>325</v>
      </c>
      <c r="Q806" s="34">
        <f t="shared" si="28"/>
        <v>901394.32000000007</v>
      </c>
      <c r="R806" s="34" t="str">
        <f>VLOOKUP(E806,Sales_Reps!$A$2:$E$100,3,FALSE)</f>
        <v>South</v>
      </c>
      <c r="S806" s="34" t="str">
        <f t="shared" si="29"/>
        <v>Sports</v>
      </c>
      <c r="T806" s="38">
        <f>VLOOKUP(D806,Products!$A$2:$F$68,4,FALSE)</f>
        <v>516</v>
      </c>
    </row>
    <row r="807" spans="1:20" x14ac:dyDescent="0.35">
      <c r="A807" s="13" t="s">
        <v>1279</v>
      </c>
      <c r="B807" s="14">
        <v>45401</v>
      </c>
      <c r="C807" s="13" t="s">
        <v>1051</v>
      </c>
      <c r="D807" s="13" t="s">
        <v>659</v>
      </c>
      <c r="E807" s="13" t="s">
        <v>154</v>
      </c>
      <c r="F807" s="15">
        <v>1</v>
      </c>
      <c r="G807" s="15">
        <v>3560</v>
      </c>
      <c r="H807" s="15">
        <v>26</v>
      </c>
      <c r="I807" s="15">
        <v>2634.4</v>
      </c>
      <c r="J807" s="13" t="s">
        <v>87</v>
      </c>
      <c r="K807" s="13" t="s">
        <v>112</v>
      </c>
      <c r="L807" s="34" t="str">
        <f>VLOOKUP(D807,Products!$A$2:$F$61,3,FALSE)</f>
        <v>Apparel</v>
      </c>
      <c r="M807" s="34" t="str">
        <f>VLOOKUP(C807,Customers!$A$2:$F$301,5,FALSE)</f>
        <v>Retail</v>
      </c>
      <c r="N807" s="34">
        <f>VLOOKUP(C807,Customers!$A$2:$F$301,3,FALSE)</f>
        <v>54</v>
      </c>
      <c r="O807" s="34" t="str">
        <f>VLOOKUP(E807,Sales_Reps!$A$2:$E$31,3,FALSE)</f>
        <v>East</v>
      </c>
      <c r="P807" s="13" t="s">
        <v>154</v>
      </c>
      <c r="Q807" s="34">
        <f t="shared" si="28"/>
        <v>983787.4800000001</v>
      </c>
      <c r="R807" s="34" t="str">
        <f>VLOOKUP(E807,Sales_Reps!$A$2:$E$100,3,FALSE)</f>
        <v>East</v>
      </c>
      <c r="S807" s="34" t="str">
        <f t="shared" si="29"/>
        <v>Apparel</v>
      </c>
      <c r="T807" s="38">
        <f>VLOOKUP(D807,Products!$A$2:$F$68,4,FALSE)</f>
        <v>2629</v>
      </c>
    </row>
    <row r="808" spans="1:20" x14ac:dyDescent="0.35">
      <c r="A808" s="13" t="s">
        <v>1280</v>
      </c>
      <c r="B808" s="14">
        <v>45397</v>
      </c>
      <c r="C808" s="13" t="s">
        <v>454</v>
      </c>
      <c r="D808" s="13" t="s">
        <v>276</v>
      </c>
      <c r="E808" s="13" t="s">
        <v>103</v>
      </c>
      <c r="F808" s="15">
        <v>8</v>
      </c>
      <c r="G808" s="15">
        <v>3020</v>
      </c>
      <c r="H808" s="15">
        <v>6.9</v>
      </c>
      <c r="I808" s="15">
        <v>22492.959999999999</v>
      </c>
      <c r="J808" s="13" t="s">
        <v>87</v>
      </c>
      <c r="K808" s="13" t="s">
        <v>133</v>
      </c>
      <c r="L808" s="34" t="str">
        <f>VLOOKUP(D808,Products!$A$2:$F$61,3,FALSE)</f>
        <v>Beauty</v>
      </c>
      <c r="M808" s="34" t="str">
        <f>VLOOKUP(C808,Customers!$A$2:$F$301,5,FALSE)</f>
        <v>Corporate</v>
      </c>
      <c r="N808" s="34">
        <f>VLOOKUP(C808,Customers!$A$2:$F$301,3,FALSE)</f>
        <v>43</v>
      </c>
      <c r="O808" s="34" t="str">
        <f>VLOOKUP(E808,Sales_Reps!$A$2:$E$31,3,FALSE)</f>
        <v>North</v>
      </c>
      <c r="P808" s="13" t="s">
        <v>103</v>
      </c>
      <c r="Q808" s="34">
        <f t="shared" si="28"/>
        <v>1138648.73</v>
      </c>
      <c r="R808" s="34" t="str">
        <f>VLOOKUP(E808,Sales_Reps!$A$2:$E$100,3,FALSE)</f>
        <v>North</v>
      </c>
      <c r="S808" s="34" t="str">
        <f t="shared" si="29"/>
        <v>Beauty</v>
      </c>
      <c r="T808" s="38">
        <f>VLOOKUP(D808,Products!$A$2:$F$68,4,FALSE)</f>
        <v>1626</v>
      </c>
    </row>
    <row r="809" spans="1:20" x14ac:dyDescent="0.35">
      <c r="A809" s="13" t="s">
        <v>1281</v>
      </c>
      <c r="B809" s="14">
        <v>45301</v>
      </c>
      <c r="C809" s="13" t="s">
        <v>585</v>
      </c>
      <c r="D809" s="13" t="s">
        <v>264</v>
      </c>
      <c r="E809" s="13" t="s">
        <v>238</v>
      </c>
      <c r="F809" s="15">
        <v>1</v>
      </c>
      <c r="G809" s="15">
        <v>4070</v>
      </c>
      <c r="H809" s="15">
        <v>8.1999999999999993</v>
      </c>
      <c r="I809" s="15">
        <v>3736.26</v>
      </c>
      <c r="J809" s="13" t="s">
        <v>87</v>
      </c>
      <c r="K809" s="13" t="s">
        <v>94</v>
      </c>
      <c r="L809" s="34" t="str">
        <f>VLOOKUP(D809,Products!$A$2:$F$61,3,FALSE)</f>
        <v>Grocery</v>
      </c>
      <c r="M809" s="34" t="str">
        <f>VLOOKUP(C809,Customers!$A$2:$F$301,5,FALSE)</f>
        <v>Retail</v>
      </c>
      <c r="N809" s="34">
        <f>VLOOKUP(C809,Customers!$A$2:$F$301,3,FALSE)</f>
        <v>26</v>
      </c>
      <c r="O809" s="34" t="str">
        <f>VLOOKUP(E809,Sales_Reps!$A$2:$E$31,3,FALSE)</f>
        <v>East</v>
      </c>
      <c r="P809" s="13" t="s">
        <v>238</v>
      </c>
      <c r="Q809" s="34">
        <f t="shared" si="28"/>
        <v>780384.40999999992</v>
      </c>
      <c r="R809" s="34" t="str">
        <f>VLOOKUP(E809,Sales_Reps!$A$2:$E$100,3,FALSE)</f>
        <v>East</v>
      </c>
      <c r="S809" s="34" t="str">
        <f t="shared" si="29"/>
        <v>Grocery</v>
      </c>
      <c r="T809" s="38">
        <f>VLOOKUP(D809,Products!$A$2:$F$68,4,FALSE)</f>
        <v>2027</v>
      </c>
    </row>
    <row r="810" spans="1:20" x14ac:dyDescent="0.35">
      <c r="A810" s="13" t="s">
        <v>1282</v>
      </c>
      <c r="B810" s="14">
        <v>45347</v>
      </c>
      <c r="C810" s="13" t="s">
        <v>1234</v>
      </c>
      <c r="D810" s="13" t="s">
        <v>110</v>
      </c>
      <c r="E810" s="13" t="s">
        <v>192</v>
      </c>
      <c r="F810" s="15">
        <v>9</v>
      </c>
      <c r="G810" s="15">
        <v>370</v>
      </c>
      <c r="H810" s="15">
        <v>19.8</v>
      </c>
      <c r="I810" s="15">
        <v>2670.66</v>
      </c>
      <c r="J810" s="13" t="s">
        <v>87</v>
      </c>
      <c r="K810" s="13" t="s">
        <v>112</v>
      </c>
      <c r="L810" s="34" t="str">
        <f>VLOOKUP(D810,Products!$A$2:$F$61,3,FALSE)</f>
        <v>Home</v>
      </c>
      <c r="M810" s="34" t="str">
        <f>VLOOKUP(C810,Customers!$A$2:$F$301,5,FALSE)</f>
        <v>Retail</v>
      </c>
      <c r="N810" s="34">
        <f>VLOOKUP(C810,Customers!$A$2:$F$301,3,FALSE)</f>
        <v>29</v>
      </c>
      <c r="O810" s="34" t="str">
        <f>VLOOKUP(E810,Sales_Reps!$A$2:$E$31,3,FALSE)</f>
        <v>East</v>
      </c>
      <c r="P810" s="13" t="s">
        <v>192</v>
      </c>
      <c r="Q810" s="34">
        <f t="shared" si="28"/>
        <v>906107.71000000008</v>
      </c>
      <c r="R810" s="34" t="str">
        <f>VLOOKUP(E810,Sales_Reps!$A$2:$E$100,3,FALSE)</f>
        <v>East</v>
      </c>
      <c r="S810" s="34" t="str">
        <f t="shared" si="29"/>
        <v>Home</v>
      </c>
      <c r="T810" s="38">
        <f>VLOOKUP(D810,Products!$A$2:$F$68,4,FALSE)</f>
        <v>288</v>
      </c>
    </row>
    <row r="811" spans="1:20" x14ac:dyDescent="0.35">
      <c r="A811" s="13" t="s">
        <v>1283</v>
      </c>
      <c r="B811" s="14">
        <v>45544</v>
      </c>
      <c r="C811" s="13" t="s">
        <v>883</v>
      </c>
      <c r="D811" s="13" t="s">
        <v>127</v>
      </c>
      <c r="E811" s="13" t="s">
        <v>192</v>
      </c>
      <c r="F811" s="15">
        <v>6</v>
      </c>
      <c r="G811" s="15">
        <v>970</v>
      </c>
      <c r="H811" s="15">
        <v>16.2</v>
      </c>
      <c r="I811" s="15">
        <v>4877.16</v>
      </c>
      <c r="J811" s="13" t="s">
        <v>87</v>
      </c>
      <c r="K811" s="13" t="s">
        <v>133</v>
      </c>
      <c r="L811" s="34" t="str">
        <f>VLOOKUP(D811,Products!$A$2:$F$61,3,FALSE)</f>
        <v>Grocery</v>
      </c>
      <c r="M811" s="34" t="str">
        <f>VLOOKUP(C811,Customers!$A$2:$F$301,5,FALSE)</f>
        <v>SMB</v>
      </c>
      <c r="N811" s="34">
        <f>VLOOKUP(C811,Customers!$A$2:$F$301,3,FALSE)</f>
        <v>28</v>
      </c>
      <c r="O811" s="34" t="str">
        <f>VLOOKUP(E811,Sales_Reps!$A$2:$E$31,3,FALSE)</f>
        <v>East</v>
      </c>
      <c r="P811" s="13" t="s">
        <v>192</v>
      </c>
      <c r="Q811" s="34">
        <f t="shared" si="28"/>
        <v>906107.71000000008</v>
      </c>
      <c r="R811" s="34" t="str">
        <f>VLOOKUP(E811,Sales_Reps!$A$2:$E$100,3,FALSE)</f>
        <v>East</v>
      </c>
      <c r="S811" s="34" t="str">
        <f t="shared" si="29"/>
        <v>Grocery</v>
      </c>
      <c r="T811" s="38">
        <f>VLOOKUP(D811,Products!$A$2:$F$68,4,FALSE)</f>
        <v>434</v>
      </c>
    </row>
    <row r="812" spans="1:20" x14ac:dyDescent="0.35">
      <c r="A812" s="13" t="s">
        <v>1284</v>
      </c>
      <c r="B812" s="14">
        <v>45633</v>
      </c>
      <c r="C812" s="13" t="s">
        <v>316</v>
      </c>
      <c r="D812" s="13" t="s">
        <v>173</v>
      </c>
      <c r="E812" s="13" t="s">
        <v>121</v>
      </c>
      <c r="F812" s="15">
        <v>10</v>
      </c>
      <c r="G812" s="15">
        <v>2720</v>
      </c>
      <c r="H812" s="15">
        <v>3</v>
      </c>
      <c r="I812" s="15">
        <v>26384</v>
      </c>
      <c r="J812" s="13" t="s">
        <v>93</v>
      </c>
      <c r="K812" s="13" t="s">
        <v>88</v>
      </c>
      <c r="L812" s="34" t="str">
        <f>VLOOKUP(D812,Products!$A$2:$F$61,3,FALSE)</f>
        <v>Apparel</v>
      </c>
      <c r="M812" s="34" t="str">
        <f>VLOOKUP(C812,Customers!$A$2:$F$301,5,FALSE)</f>
        <v>SMB</v>
      </c>
      <c r="N812" s="34">
        <f>VLOOKUP(C812,Customers!$A$2:$F$301,3,FALSE)</f>
        <v>60</v>
      </c>
      <c r="O812" s="34" t="str">
        <f>VLOOKUP(E812,Sales_Reps!$A$2:$E$31,3,FALSE)</f>
        <v>East</v>
      </c>
      <c r="P812" s="13" t="s">
        <v>121</v>
      </c>
      <c r="Q812" s="34">
        <f t="shared" si="28"/>
        <v>971183.52000000014</v>
      </c>
      <c r="R812" s="34" t="str">
        <f>VLOOKUP(E812,Sales_Reps!$A$2:$E$100,3,FALSE)</f>
        <v>East</v>
      </c>
      <c r="S812" s="34" t="str">
        <f t="shared" si="29"/>
        <v>Apparel</v>
      </c>
      <c r="T812" s="38">
        <f>VLOOKUP(D812,Products!$A$2:$F$68,4,FALSE)</f>
        <v>1962</v>
      </c>
    </row>
    <row r="813" spans="1:20" x14ac:dyDescent="0.35">
      <c r="A813" s="13" t="s">
        <v>1285</v>
      </c>
      <c r="B813" s="14">
        <v>45293</v>
      </c>
      <c r="C813" s="13" t="s">
        <v>757</v>
      </c>
      <c r="D813" s="13" t="s">
        <v>151</v>
      </c>
      <c r="E813" s="13" t="s">
        <v>98</v>
      </c>
      <c r="F813" s="15">
        <v>7</v>
      </c>
      <c r="G813" s="15">
        <v>2400</v>
      </c>
      <c r="H813" s="15">
        <v>29.4</v>
      </c>
      <c r="I813" s="15">
        <v>11860.8</v>
      </c>
      <c r="J813" s="13" t="s">
        <v>87</v>
      </c>
      <c r="K813" s="13" t="s">
        <v>117</v>
      </c>
      <c r="L813" s="34" t="str">
        <f>VLOOKUP(D813,Products!$A$2:$F$61,3,FALSE)</f>
        <v>Sports</v>
      </c>
      <c r="M813" s="34" t="str">
        <f>VLOOKUP(C813,Customers!$A$2:$F$301,5,FALSE)</f>
        <v>Corporate</v>
      </c>
      <c r="N813" s="34">
        <f>VLOOKUP(C813,Customers!$A$2:$F$301,3,FALSE)</f>
        <v>43</v>
      </c>
      <c r="O813" s="34" t="str">
        <f>VLOOKUP(E813,Sales_Reps!$A$2:$E$31,3,FALSE)</f>
        <v>South</v>
      </c>
      <c r="P813" s="13" t="s">
        <v>98</v>
      </c>
      <c r="Q813" s="34">
        <f t="shared" si="28"/>
        <v>995713.54000000015</v>
      </c>
      <c r="R813" s="34" t="str">
        <f>VLOOKUP(E813,Sales_Reps!$A$2:$E$100,3,FALSE)</f>
        <v>South</v>
      </c>
      <c r="S813" s="34" t="str">
        <f t="shared" si="29"/>
        <v>Sports</v>
      </c>
      <c r="T813" s="38">
        <f>VLOOKUP(D813,Products!$A$2:$F$68,4,FALSE)</f>
        <v>974</v>
      </c>
    </row>
    <row r="814" spans="1:20" x14ac:dyDescent="0.35">
      <c r="A814" s="13" t="s">
        <v>1286</v>
      </c>
      <c r="B814" s="14">
        <v>45564</v>
      </c>
      <c r="C814" s="13" t="s">
        <v>442</v>
      </c>
      <c r="D814" s="13" t="s">
        <v>659</v>
      </c>
      <c r="E814" s="13" t="s">
        <v>325</v>
      </c>
      <c r="F814" s="15">
        <v>8</v>
      </c>
      <c r="G814" s="15">
        <v>3560</v>
      </c>
      <c r="H814" s="15">
        <v>21.7</v>
      </c>
      <c r="I814" s="15">
        <v>22299.84</v>
      </c>
      <c r="J814" s="13" t="s">
        <v>87</v>
      </c>
      <c r="K814" s="13" t="s">
        <v>88</v>
      </c>
      <c r="L814" s="34" t="str">
        <f>VLOOKUP(D814,Products!$A$2:$F$61,3,FALSE)</f>
        <v>Apparel</v>
      </c>
      <c r="M814" s="34" t="str">
        <f>VLOOKUP(C814,Customers!$A$2:$F$301,5,FALSE)</f>
        <v>Retail</v>
      </c>
      <c r="N814" s="34">
        <f>VLOOKUP(C814,Customers!$A$2:$F$301,3,FALSE)</f>
        <v>65</v>
      </c>
      <c r="O814" s="34" t="str">
        <f>VLOOKUP(E814,Sales_Reps!$A$2:$E$31,3,FALSE)</f>
        <v>South</v>
      </c>
      <c r="P814" s="13" t="s">
        <v>325</v>
      </c>
      <c r="Q814" s="34">
        <f t="shared" si="28"/>
        <v>901394.32000000007</v>
      </c>
      <c r="R814" s="34" t="str">
        <f>VLOOKUP(E814,Sales_Reps!$A$2:$E$100,3,FALSE)</f>
        <v>South</v>
      </c>
      <c r="S814" s="34" t="str">
        <f t="shared" si="29"/>
        <v>Apparel</v>
      </c>
      <c r="T814" s="38">
        <f>VLOOKUP(D814,Products!$A$2:$F$68,4,FALSE)</f>
        <v>2629</v>
      </c>
    </row>
    <row r="815" spans="1:20" x14ac:dyDescent="0.35">
      <c r="A815" s="13" t="s">
        <v>1287</v>
      </c>
      <c r="B815" s="14">
        <v>45385</v>
      </c>
      <c r="C815" s="13" t="s">
        <v>781</v>
      </c>
      <c r="D815" s="13" t="s">
        <v>264</v>
      </c>
      <c r="E815" s="13" t="s">
        <v>188</v>
      </c>
      <c r="F815" s="15">
        <v>7</v>
      </c>
      <c r="G815" s="15">
        <v>4070</v>
      </c>
      <c r="H815" s="15">
        <v>10.5</v>
      </c>
      <c r="I815" s="15">
        <v>25498.55</v>
      </c>
      <c r="J815" s="13" t="s">
        <v>87</v>
      </c>
      <c r="K815" s="13" t="s">
        <v>99</v>
      </c>
      <c r="L815" s="34" t="str">
        <f>VLOOKUP(D815,Products!$A$2:$F$61,3,FALSE)</f>
        <v>Grocery</v>
      </c>
      <c r="M815" s="34" t="str">
        <f>VLOOKUP(C815,Customers!$A$2:$F$301,5,FALSE)</f>
        <v>SMB</v>
      </c>
      <c r="N815" s="34">
        <f>VLOOKUP(C815,Customers!$A$2:$F$301,3,FALSE)</f>
        <v>29</v>
      </c>
      <c r="O815" s="34" t="str">
        <f>VLOOKUP(E815,Sales_Reps!$A$2:$E$31,3,FALSE)</f>
        <v>South</v>
      </c>
      <c r="P815" s="13" t="s">
        <v>188</v>
      </c>
      <c r="Q815" s="34">
        <f t="shared" si="28"/>
        <v>1091740.1799999997</v>
      </c>
      <c r="R815" s="34" t="str">
        <f>VLOOKUP(E815,Sales_Reps!$A$2:$E$100,3,FALSE)</f>
        <v>South</v>
      </c>
      <c r="S815" s="34" t="str">
        <f t="shared" si="29"/>
        <v>Grocery</v>
      </c>
      <c r="T815" s="38">
        <f>VLOOKUP(D815,Products!$A$2:$F$68,4,FALSE)</f>
        <v>2027</v>
      </c>
    </row>
    <row r="816" spans="1:20" x14ac:dyDescent="0.35">
      <c r="A816" s="13" t="s">
        <v>1288</v>
      </c>
      <c r="B816" s="14">
        <v>45299</v>
      </c>
      <c r="C816" s="13" t="s">
        <v>615</v>
      </c>
      <c r="D816" s="13" t="s">
        <v>360</v>
      </c>
      <c r="E816" s="13" t="s">
        <v>107</v>
      </c>
      <c r="F816" s="15">
        <v>3</v>
      </c>
      <c r="G816" s="15">
        <v>5410</v>
      </c>
      <c r="H816" s="15">
        <v>0.2</v>
      </c>
      <c r="I816" s="15">
        <v>16197.54</v>
      </c>
      <c r="J816" s="13" t="s">
        <v>87</v>
      </c>
      <c r="K816" s="13" t="s">
        <v>112</v>
      </c>
      <c r="L816" s="34" t="str">
        <f>VLOOKUP(D816,Products!$A$2:$F$61,3,FALSE)</f>
        <v>Sports</v>
      </c>
      <c r="M816" s="34" t="str">
        <f>VLOOKUP(C816,Customers!$A$2:$F$301,5,FALSE)</f>
        <v>Retail</v>
      </c>
      <c r="N816" s="34">
        <f>VLOOKUP(C816,Customers!$A$2:$F$301,3,FALSE)</f>
        <v>53</v>
      </c>
      <c r="O816" s="34" t="str">
        <f>VLOOKUP(E816,Sales_Reps!$A$2:$E$31,3,FALSE)</f>
        <v>North</v>
      </c>
      <c r="P816" s="13" t="s">
        <v>107</v>
      </c>
      <c r="Q816" s="34">
        <f t="shared" si="28"/>
        <v>861553.33</v>
      </c>
      <c r="R816" s="34" t="str">
        <f>VLOOKUP(E816,Sales_Reps!$A$2:$E$100,3,FALSE)</f>
        <v>North</v>
      </c>
      <c r="S816" s="34" t="str">
        <f t="shared" si="29"/>
        <v>Sports</v>
      </c>
      <c r="T816" s="38">
        <f>VLOOKUP(D816,Products!$A$2:$F$68,4,FALSE)</f>
        <v>2265</v>
      </c>
    </row>
    <row r="817" spans="1:20" x14ac:dyDescent="0.35">
      <c r="A817" s="13" t="s">
        <v>1289</v>
      </c>
      <c r="B817" s="14">
        <v>45651</v>
      </c>
      <c r="C817" s="13" t="s">
        <v>533</v>
      </c>
      <c r="D817" s="13" t="s">
        <v>200</v>
      </c>
      <c r="E817" s="13" t="s">
        <v>128</v>
      </c>
      <c r="F817" s="15">
        <v>4</v>
      </c>
      <c r="G817" s="15">
        <v>2760</v>
      </c>
      <c r="H817" s="15">
        <v>27.5</v>
      </c>
      <c r="I817" s="15">
        <v>8004</v>
      </c>
      <c r="J817" s="13" t="s">
        <v>140</v>
      </c>
      <c r="K817" s="13" t="s">
        <v>99</v>
      </c>
      <c r="L817" s="34" t="str">
        <f>VLOOKUP(D817,Products!$A$2:$F$61,3,FALSE)</f>
        <v>Grocery</v>
      </c>
      <c r="M817" s="34" t="str">
        <f>VLOOKUP(C817,Customers!$A$2:$F$301,5,FALSE)</f>
        <v>SMB</v>
      </c>
      <c r="N817" s="34">
        <f>VLOOKUP(C817,Customers!$A$2:$F$301,3,FALSE)</f>
        <v>48</v>
      </c>
      <c r="O817" s="34" t="str">
        <f>VLOOKUP(E817,Sales_Reps!$A$2:$E$31,3,FALSE)</f>
        <v>West</v>
      </c>
      <c r="P817" s="13" t="s">
        <v>128</v>
      </c>
      <c r="Q817" s="34">
        <f t="shared" si="28"/>
        <v>880468.05</v>
      </c>
      <c r="R817" s="34" t="str">
        <f>VLOOKUP(E817,Sales_Reps!$A$2:$E$100,3,FALSE)</f>
        <v>West</v>
      </c>
      <c r="S817" s="34" t="str">
        <f t="shared" si="29"/>
        <v>Grocery</v>
      </c>
      <c r="T817" s="38">
        <f>VLOOKUP(D817,Products!$A$2:$F$68,4,FALSE)</f>
        <v>1435</v>
      </c>
    </row>
    <row r="818" spans="1:20" x14ac:dyDescent="0.35">
      <c r="A818" s="13" t="s">
        <v>1290</v>
      </c>
      <c r="B818" s="14">
        <v>45474</v>
      </c>
      <c r="C818" s="13" t="s">
        <v>457</v>
      </c>
      <c r="D818" s="13" t="s">
        <v>443</v>
      </c>
      <c r="E818" s="13" t="s">
        <v>252</v>
      </c>
      <c r="F818" s="15">
        <v>3</v>
      </c>
      <c r="G818" s="15">
        <v>5080</v>
      </c>
      <c r="H818" s="15">
        <v>27.2</v>
      </c>
      <c r="I818" s="15">
        <v>11094.72</v>
      </c>
      <c r="J818" s="13" t="s">
        <v>87</v>
      </c>
      <c r="K818" s="13" t="s">
        <v>88</v>
      </c>
      <c r="L818" s="34" t="str">
        <f>VLOOKUP(D818,Products!$A$2:$F$61,3,FALSE)</f>
        <v>Home</v>
      </c>
      <c r="M818" s="34" t="str">
        <f>VLOOKUP(C818,Customers!$A$2:$F$301,5,FALSE)</f>
        <v>Retail</v>
      </c>
      <c r="N818" s="34">
        <f>VLOOKUP(C818,Customers!$A$2:$F$301,3,FALSE)</f>
        <v>29</v>
      </c>
      <c r="O818" s="34" t="str">
        <f>VLOOKUP(E818,Sales_Reps!$A$2:$E$31,3,FALSE)</f>
        <v>South</v>
      </c>
      <c r="P818" s="13" t="s">
        <v>252</v>
      </c>
      <c r="Q818" s="34">
        <f t="shared" si="28"/>
        <v>811524.37999999989</v>
      </c>
      <c r="R818" s="34" t="str">
        <f>VLOOKUP(E818,Sales_Reps!$A$2:$E$100,3,FALSE)</f>
        <v>South</v>
      </c>
      <c r="S818" s="34" t="str">
        <f t="shared" si="29"/>
        <v>Home</v>
      </c>
      <c r="T818" s="38">
        <f>VLOOKUP(D818,Products!$A$2:$F$68,4,FALSE)</f>
        <v>2459</v>
      </c>
    </row>
    <row r="819" spans="1:20" x14ac:dyDescent="0.35">
      <c r="A819" s="13" t="s">
        <v>1291</v>
      </c>
      <c r="B819" s="14">
        <v>45391</v>
      </c>
      <c r="C819" s="13" t="s">
        <v>1172</v>
      </c>
      <c r="D819" s="13" t="s">
        <v>502</v>
      </c>
      <c r="E819" s="13" t="s">
        <v>238</v>
      </c>
      <c r="F819" s="15">
        <v>5</v>
      </c>
      <c r="G819" s="15">
        <v>1090</v>
      </c>
      <c r="H819" s="15">
        <v>3.3</v>
      </c>
      <c r="I819" s="15">
        <v>5270.15</v>
      </c>
      <c r="J819" s="13" t="s">
        <v>87</v>
      </c>
      <c r="K819" s="13" t="s">
        <v>88</v>
      </c>
      <c r="L819" s="34" t="str">
        <f>VLOOKUP(D819,Products!$A$2:$F$61,3,FALSE)</f>
        <v>Home</v>
      </c>
      <c r="M819" s="34" t="str">
        <f>VLOOKUP(C819,Customers!$A$2:$F$301,5,FALSE)</f>
        <v>Retail</v>
      </c>
      <c r="N819" s="34">
        <f>VLOOKUP(C819,Customers!$A$2:$F$301,3,FALSE)</f>
        <v>39</v>
      </c>
      <c r="O819" s="34" t="str">
        <f>VLOOKUP(E819,Sales_Reps!$A$2:$E$31,3,FALSE)</f>
        <v>East</v>
      </c>
      <c r="P819" s="13" t="s">
        <v>238</v>
      </c>
      <c r="Q819" s="34">
        <f t="shared" si="28"/>
        <v>780384.40999999992</v>
      </c>
      <c r="R819" s="34" t="str">
        <f>VLOOKUP(E819,Sales_Reps!$A$2:$E$100,3,FALSE)</f>
        <v>East</v>
      </c>
      <c r="S819" s="34" t="str">
        <f t="shared" si="29"/>
        <v>Home</v>
      </c>
      <c r="T819" s="38">
        <f>VLOOKUP(D819,Products!$A$2:$F$68,4,FALSE)</f>
        <v>464</v>
      </c>
    </row>
    <row r="820" spans="1:20" x14ac:dyDescent="0.35">
      <c r="A820" s="13" t="s">
        <v>1292</v>
      </c>
      <c r="B820" s="14">
        <v>45328</v>
      </c>
      <c r="C820" s="13" t="s">
        <v>841</v>
      </c>
      <c r="D820" s="13" t="s">
        <v>367</v>
      </c>
      <c r="E820" s="13" t="s">
        <v>229</v>
      </c>
      <c r="F820" s="15">
        <v>10</v>
      </c>
      <c r="G820" s="15">
        <v>2380</v>
      </c>
      <c r="H820" s="15">
        <v>7</v>
      </c>
      <c r="I820" s="15">
        <v>22134</v>
      </c>
      <c r="J820" s="13" t="s">
        <v>87</v>
      </c>
      <c r="K820" s="13" t="s">
        <v>117</v>
      </c>
      <c r="L820" s="34" t="str">
        <f>VLOOKUP(D820,Products!$A$2:$F$61,3,FALSE)</f>
        <v>Grocery</v>
      </c>
      <c r="M820" s="34" t="str">
        <f>VLOOKUP(C820,Customers!$A$2:$F$301,5,FALSE)</f>
        <v>Corporate</v>
      </c>
      <c r="N820" s="34">
        <f>VLOOKUP(C820,Customers!$A$2:$F$301,3,FALSE)</f>
        <v>41</v>
      </c>
      <c r="O820" s="34" t="str">
        <f>VLOOKUP(E820,Sales_Reps!$A$2:$E$31,3,FALSE)</f>
        <v>West</v>
      </c>
      <c r="P820" s="13" t="s">
        <v>229</v>
      </c>
      <c r="Q820" s="34">
        <f t="shared" si="28"/>
        <v>1016696.8000000002</v>
      </c>
      <c r="R820" s="34" t="str">
        <f>VLOOKUP(E820,Sales_Reps!$A$2:$E$100,3,FALSE)</f>
        <v>West</v>
      </c>
      <c r="S820" s="34" t="str">
        <f t="shared" si="29"/>
        <v>Grocery</v>
      </c>
      <c r="T820" s="38">
        <f>VLOOKUP(D820,Products!$A$2:$F$68,4,FALSE)</f>
        <v>1182</v>
      </c>
    </row>
    <row r="821" spans="1:20" x14ac:dyDescent="0.35">
      <c r="A821" s="13" t="s">
        <v>1293</v>
      </c>
      <c r="B821" s="14">
        <v>45490</v>
      </c>
      <c r="C821" s="13" t="s">
        <v>1294</v>
      </c>
      <c r="D821" s="13" t="s">
        <v>106</v>
      </c>
      <c r="E821" s="13" t="s">
        <v>201</v>
      </c>
      <c r="F821" s="15">
        <v>5</v>
      </c>
      <c r="G821" s="15">
        <v>3160</v>
      </c>
      <c r="H821" s="15">
        <v>25.6</v>
      </c>
      <c r="I821" s="15">
        <v>11755.2</v>
      </c>
      <c r="J821" s="13" t="s">
        <v>87</v>
      </c>
      <c r="K821" s="13" t="s">
        <v>94</v>
      </c>
      <c r="L821" s="34" t="str">
        <f>VLOOKUP(D821,Products!$A$2:$F$61,3,FALSE)</f>
        <v>Apparel</v>
      </c>
      <c r="M821" s="34" t="str">
        <f>VLOOKUP(C821,Customers!$A$2:$F$301,5,FALSE)</f>
        <v>SMB</v>
      </c>
      <c r="N821" s="34">
        <f>VLOOKUP(C821,Customers!$A$2:$F$301,3,FALSE)</f>
        <v>43</v>
      </c>
      <c r="O821" s="34" t="str">
        <f>VLOOKUP(E821,Sales_Reps!$A$2:$E$31,3,FALSE)</f>
        <v>West</v>
      </c>
      <c r="P821" s="13" t="s">
        <v>201</v>
      </c>
      <c r="Q821" s="34">
        <f t="shared" si="28"/>
        <v>576305.08000000019</v>
      </c>
      <c r="R821" s="34" t="str">
        <f>VLOOKUP(E821,Sales_Reps!$A$2:$E$100,3,FALSE)</f>
        <v>West</v>
      </c>
      <c r="S821" s="34" t="str">
        <f t="shared" si="29"/>
        <v>Apparel</v>
      </c>
      <c r="T821" s="38">
        <f>VLOOKUP(D821,Products!$A$2:$F$68,4,FALSE)</f>
        <v>1886</v>
      </c>
    </row>
    <row r="822" spans="1:20" x14ac:dyDescent="0.35">
      <c r="A822" s="13" t="s">
        <v>1295</v>
      </c>
      <c r="B822" s="14">
        <v>45362</v>
      </c>
      <c r="C822" s="13" t="s">
        <v>905</v>
      </c>
      <c r="D822" s="13" t="s">
        <v>151</v>
      </c>
      <c r="E822" s="13" t="s">
        <v>229</v>
      </c>
      <c r="F822" s="15">
        <v>9</v>
      </c>
      <c r="G822" s="15">
        <v>2400</v>
      </c>
      <c r="H822" s="15">
        <v>8.4</v>
      </c>
      <c r="I822" s="15">
        <v>19785.599999999999</v>
      </c>
      <c r="J822" s="13" t="s">
        <v>87</v>
      </c>
      <c r="K822" s="13" t="s">
        <v>112</v>
      </c>
      <c r="L822" s="34" t="str">
        <f>VLOOKUP(D822,Products!$A$2:$F$61,3,FALSE)</f>
        <v>Sports</v>
      </c>
      <c r="M822" s="34" t="str">
        <f>VLOOKUP(C822,Customers!$A$2:$F$301,5,FALSE)</f>
        <v>SMB</v>
      </c>
      <c r="N822" s="34">
        <f>VLOOKUP(C822,Customers!$A$2:$F$301,3,FALSE)</f>
        <v>43</v>
      </c>
      <c r="O822" s="34" t="str">
        <f>VLOOKUP(E822,Sales_Reps!$A$2:$E$31,3,FALSE)</f>
        <v>West</v>
      </c>
      <c r="P822" s="13" t="s">
        <v>229</v>
      </c>
      <c r="Q822" s="34">
        <f t="shared" si="28"/>
        <v>1016696.8000000002</v>
      </c>
      <c r="R822" s="34" t="str">
        <f>VLOOKUP(E822,Sales_Reps!$A$2:$E$100,3,FALSE)</f>
        <v>West</v>
      </c>
      <c r="S822" s="34" t="str">
        <f t="shared" si="29"/>
        <v>Sports</v>
      </c>
      <c r="T822" s="38">
        <f>VLOOKUP(D822,Products!$A$2:$F$68,4,FALSE)</f>
        <v>974</v>
      </c>
    </row>
    <row r="823" spans="1:20" x14ac:dyDescent="0.35">
      <c r="A823" s="13" t="s">
        <v>1296</v>
      </c>
      <c r="B823" s="14">
        <v>45449</v>
      </c>
      <c r="C823" s="13" t="s">
        <v>1297</v>
      </c>
      <c r="D823" s="13" t="s">
        <v>138</v>
      </c>
      <c r="E823" s="13" t="s">
        <v>192</v>
      </c>
      <c r="F823" s="15">
        <v>4</v>
      </c>
      <c r="G823" s="15">
        <v>2600</v>
      </c>
      <c r="H823" s="15">
        <v>4.2</v>
      </c>
      <c r="I823" s="15">
        <v>9963.2000000000007</v>
      </c>
      <c r="J823" s="13" t="s">
        <v>87</v>
      </c>
      <c r="K823" s="13" t="s">
        <v>112</v>
      </c>
      <c r="L823" s="34" t="str">
        <f>VLOOKUP(D823,Products!$A$2:$F$61,3,FALSE)</f>
        <v>Electronics</v>
      </c>
      <c r="M823" s="34" t="str">
        <f>VLOOKUP(C823,Customers!$A$2:$F$301,5,FALSE)</f>
        <v>Retail</v>
      </c>
      <c r="N823" s="34">
        <f>VLOOKUP(C823,Customers!$A$2:$F$301,3,FALSE)</f>
        <v>38</v>
      </c>
      <c r="O823" s="34" t="str">
        <f>VLOOKUP(E823,Sales_Reps!$A$2:$E$31,3,FALSE)</f>
        <v>East</v>
      </c>
      <c r="P823" s="13" t="s">
        <v>192</v>
      </c>
      <c r="Q823" s="34">
        <f t="shared" si="28"/>
        <v>906107.71000000008</v>
      </c>
      <c r="R823" s="34" t="str">
        <f>VLOOKUP(E823,Sales_Reps!$A$2:$E$100,3,FALSE)</f>
        <v>East</v>
      </c>
      <c r="S823" s="34" t="str">
        <f t="shared" si="29"/>
        <v>Electronics</v>
      </c>
      <c r="T823" s="38">
        <f>VLOOKUP(D823,Products!$A$2:$F$68,4,FALSE)</f>
        <v>1052</v>
      </c>
    </row>
    <row r="824" spans="1:20" x14ac:dyDescent="0.35">
      <c r="A824" s="13" t="s">
        <v>1298</v>
      </c>
      <c r="B824" s="14">
        <v>45409</v>
      </c>
      <c r="C824" s="13" t="s">
        <v>1299</v>
      </c>
      <c r="D824" s="13" t="s">
        <v>131</v>
      </c>
      <c r="E824" s="13" t="s">
        <v>154</v>
      </c>
      <c r="F824" s="15">
        <v>5</v>
      </c>
      <c r="G824" s="15">
        <v>2270</v>
      </c>
      <c r="H824" s="15">
        <v>0.1</v>
      </c>
      <c r="I824" s="15">
        <v>11338.65</v>
      </c>
      <c r="J824" s="13" t="s">
        <v>87</v>
      </c>
      <c r="K824" s="13" t="s">
        <v>112</v>
      </c>
      <c r="L824" s="34" t="str">
        <f>VLOOKUP(D824,Products!$A$2:$F$61,3,FALSE)</f>
        <v>Grocery</v>
      </c>
      <c r="M824" s="34" t="e">
        <f>VLOOKUP(C824,Customers!$A$2:$F$301,5,FALSE)</f>
        <v>#N/A</v>
      </c>
      <c r="N824" s="34" t="e">
        <f>VLOOKUP(C824,Customers!$A$2:$F$301,3,FALSE)</f>
        <v>#N/A</v>
      </c>
      <c r="O824" s="34" t="str">
        <f>VLOOKUP(E824,Sales_Reps!$A$2:$E$31,3,FALSE)</f>
        <v>East</v>
      </c>
      <c r="P824" s="13" t="s">
        <v>154</v>
      </c>
      <c r="Q824" s="34">
        <f t="shared" si="28"/>
        <v>983787.4800000001</v>
      </c>
      <c r="R824" s="34" t="str">
        <f>VLOOKUP(E824,Sales_Reps!$A$2:$E$100,3,FALSE)</f>
        <v>East</v>
      </c>
      <c r="S824" s="34" t="str">
        <f t="shared" si="29"/>
        <v>Grocery</v>
      </c>
      <c r="T824" s="38">
        <f>VLOOKUP(D824,Products!$A$2:$F$68,4,FALSE)</f>
        <v>1203</v>
      </c>
    </row>
    <row r="825" spans="1:20" x14ac:dyDescent="0.35">
      <c r="A825" s="13" t="s">
        <v>1300</v>
      </c>
      <c r="B825" s="14">
        <v>45465</v>
      </c>
      <c r="C825" s="13" t="s">
        <v>841</v>
      </c>
      <c r="D825" s="13" t="s">
        <v>124</v>
      </c>
      <c r="E825" s="13" t="s">
        <v>192</v>
      </c>
      <c r="F825" s="15">
        <v>7</v>
      </c>
      <c r="G825" s="15">
        <v>5490</v>
      </c>
      <c r="H825" s="15">
        <v>14.9</v>
      </c>
      <c r="I825" s="15">
        <v>32703.93</v>
      </c>
      <c r="J825" s="13" t="s">
        <v>87</v>
      </c>
      <c r="K825" s="13" t="s">
        <v>117</v>
      </c>
      <c r="L825" s="34" t="str">
        <f>VLOOKUP(D825,Products!$A$2:$F$61,3,FALSE)</f>
        <v>Home</v>
      </c>
      <c r="M825" s="34" t="str">
        <f>VLOOKUP(C825,Customers!$A$2:$F$301,5,FALSE)</f>
        <v>Corporate</v>
      </c>
      <c r="N825" s="34">
        <f>VLOOKUP(C825,Customers!$A$2:$F$301,3,FALSE)</f>
        <v>41</v>
      </c>
      <c r="O825" s="34" t="str">
        <f>VLOOKUP(E825,Sales_Reps!$A$2:$E$31,3,FALSE)</f>
        <v>East</v>
      </c>
      <c r="P825" s="13" t="s">
        <v>192</v>
      </c>
      <c r="Q825" s="34">
        <f t="shared" si="28"/>
        <v>906107.71000000008</v>
      </c>
      <c r="R825" s="34" t="str">
        <f>VLOOKUP(E825,Sales_Reps!$A$2:$E$100,3,FALSE)</f>
        <v>East</v>
      </c>
      <c r="S825" s="34" t="str">
        <f t="shared" si="29"/>
        <v>Home</v>
      </c>
      <c r="T825" s="38">
        <f>VLOOKUP(D825,Products!$A$2:$F$68,4,FALSE)</f>
        <v>2549</v>
      </c>
    </row>
    <row r="826" spans="1:20" x14ac:dyDescent="0.35">
      <c r="A826" s="13" t="s">
        <v>1301</v>
      </c>
      <c r="B826" s="14">
        <v>45415</v>
      </c>
      <c r="C826" s="13" t="s">
        <v>676</v>
      </c>
      <c r="D826" s="13" t="s">
        <v>248</v>
      </c>
      <c r="E826" s="13" t="s">
        <v>204</v>
      </c>
      <c r="F826" s="15">
        <v>5</v>
      </c>
      <c r="G826" s="15">
        <v>3870</v>
      </c>
      <c r="H826" s="15">
        <v>13.3</v>
      </c>
      <c r="I826" s="15">
        <v>16776.45</v>
      </c>
      <c r="J826" s="13" t="s">
        <v>140</v>
      </c>
      <c r="K826" s="13" t="s">
        <v>88</v>
      </c>
      <c r="L826" s="34" t="str">
        <f>VLOOKUP(D826,Products!$A$2:$F$61,3,FALSE)</f>
        <v>Electronics</v>
      </c>
      <c r="M826" s="34" t="str">
        <f>VLOOKUP(C826,Customers!$A$2:$F$301,5,FALSE)</f>
        <v>SMB</v>
      </c>
      <c r="N826" s="34">
        <f>VLOOKUP(C826,Customers!$A$2:$F$301,3,FALSE)</f>
        <v>35</v>
      </c>
      <c r="O826" s="34" t="str">
        <f>VLOOKUP(E826,Sales_Reps!$A$2:$E$31,3,FALSE)</f>
        <v>South</v>
      </c>
      <c r="P826" s="13" t="s">
        <v>204</v>
      </c>
      <c r="Q826" s="34">
        <f t="shared" si="28"/>
        <v>914554.71999999986</v>
      </c>
      <c r="R826" s="34" t="str">
        <f>VLOOKUP(E826,Sales_Reps!$A$2:$E$100,3,FALSE)</f>
        <v>South</v>
      </c>
      <c r="S826" s="34" t="str">
        <f t="shared" si="29"/>
        <v>Electronics</v>
      </c>
      <c r="T826" s="38">
        <f>VLOOKUP(D826,Products!$A$2:$F$68,4,FALSE)</f>
        <v>1559</v>
      </c>
    </row>
    <row r="827" spans="1:20" x14ac:dyDescent="0.35">
      <c r="A827" s="13" t="s">
        <v>1302</v>
      </c>
      <c r="B827" s="14">
        <v>45372</v>
      </c>
      <c r="C827" s="13" t="s">
        <v>689</v>
      </c>
      <c r="D827" s="13" t="s">
        <v>380</v>
      </c>
      <c r="E827" s="13" t="s">
        <v>116</v>
      </c>
      <c r="F827" s="15">
        <v>2</v>
      </c>
      <c r="G827" s="15">
        <v>960</v>
      </c>
      <c r="H827" s="15">
        <v>17.5</v>
      </c>
      <c r="I827" s="15">
        <v>1584</v>
      </c>
      <c r="J827" s="13" t="s">
        <v>87</v>
      </c>
      <c r="K827" s="13" t="s">
        <v>133</v>
      </c>
      <c r="L827" s="34" t="str">
        <f>VLOOKUP(D827,Products!$A$2:$F$61,3,FALSE)</f>
        <v>Beauty</v>
      </c>
      <c r="M827" s="34" t="str">
        <f>VLOOKUP(C827,Customers!$A$2:$F$301,5,FALSE)</f>
        <v>Retail</v>
      </c>
      <c r="N827" s="34">
        <f>VLOOKUP(C827,Customers!$A$2:$F$301,3,FALSE)</f>
        <v>28</v>
      </c>
      <c r="O827" s="34" t="str">
        <f>VLOOKUP(E827,Sales_Reps!$A$2:$E$31,3,FALSE)</f>
        <v>West</v>
      </c>
      <c r="P827" s="13" t="s">
        <v>116</v>
      </c>
      <c r="Q827" s="34">
        <f t="shared" si="28"/>
        <v>819558.58</v>
      </c>
      <c r="R827" s="34" t="str">
        <f>VLOOKUP(E827,Sales_Reps!$A$2:$E$100,3,FALSE)</f>
        <v>West</v>
      </c>
      <c r="S827" s="34" t="str">
        <f t="shared" si="29"/>
        <v>Beauty</v>
      </c>
      <c r="T827" s="38">
        <f>VLOOKUP(D827,Products!$A$2:$F$68,4,FALSE)</f>
        <v>675</v>
      </c>
    </row>
    <row r="828" spans="1:20" x14ac:dyDescent="0.35">
      <c r="A828" s="13" t="s">
        <v>1303</v>
      </c>
      <c r="B828" s="14">
        <v>45405</v>
      </c>
      <c r="C828" s="13" t="s">
        <v>1055</v>
      </c>
      <c r="D828" s="13" t="s">
        <v>184</v>
      </c>
      <c r="E828" s="13" t="s">
        <v>215</v>
      </c>
      <c r="F828" s="15">
        <v>4</v>
      </c>
      <c r="G828" s="15">
        <v>4880</v>
      </c>
      <c r="H828" s="15">
        <v>12.2</v>
      </c>
      <c r="I828" s="15">
        <v>17138.560000000001</v>
      </c>
      <c r="J828" s="13" t="s">
        <v>140</v>
      </c>
      <c r="K828" s="13" t="s">
        <v>112</v>
      </c>
      <c r="L828" s="34" t="str">
        <f>VLOOKUP(D828,Products!$A$2:$F$61,3,FALSE)</f>
        <v>Beauty</v>
      </c>
      <c r="M828" s="34" t="str">
        <f>VLOOKUP(C828,Customers!$A$2:$F$301,5,FALSE)</f>
        <v>Retail</v>
      </c>
      <c r="N828" s="34">
        <f>VLOOKUP(C828,Customers!$A$2:$F$301,3,FALSE)</f>
        <v>37</v>
      </c>
      <c r="O828" s="34" t="str">
        <f>VLOOKUP(E828,Sales_Reps!$A$2:$E$31,3,FALSE)</f>
        <v>North</v>
      </c>
      <c r="P828" s="13" t="s">
        <v>215</v>
      </c>
      <c r="Q828" s="34">
        <f t="shared" si="28"/>
        <v>789849.60000000009</v>
      </c>
      <c r="R828" s="34" t="str">
        <f>VLOOKUP(E828,Sales_Reps!$A$2:$E$100,3,FALSE)</f>
        <v>North</v>
      </c>
      <c r="S828" s="34" t="str">
        <f t="shared" si="29"/>
        <v>Beauty</v>
      </c>
      <c r="T828" s="38">
        <f>VLOOKUP(D828,Products!$A$2:$F$68,4,FALSE)</f>
        <v>2768</v>
      </c>
    </row>
    <row r="829" spans="1:20" x14ac:dyDescent="0.35">
      <c r="A829" s="13" t="s">
        <v>1304</v>
      </c>
      <c r="B829" s="14">
        <v>45419</v>
      </c>
      <c r="C829" s="13" t="s">
        <v>643</v>
      </c>
      <c r="D829" s="13" t="s">
        <v>151</v>
      </c>
      <c r="E829" s="13" t="s">
        <v>107</v>
      </c>
      <c r="F829" s="15">
        <v>5</v>
      </c>
      <c r="G829" s="15">
        <v>2400</v>
      </c>
      <c r="H829" s="15">
        <v>15</v>
      </c>
      <c r="I829" s="15">
        <v>10200</v>
      </c>
      <c r="J829" s="13" t="s">
        <v>87</v>
      </c>
      <c r="K829" s="13" t="s">
        <v>112</v>
      </c>
      <c r="L829" s="34" t="str">
        <f>VLOOKUP(D829,Products!$A$2:$F$61,3,FALSE)</f>
        <v>Sports</v>
      </c>
      <c r="M829" s="34" t="str">
        <f>VLOOKUP(C829,Customers!$A$2:$F$301,5,FALSE)</f>
        <v>SMB</v>
      </c>
      <c r="N829" s="34">
        <f>VLOOKUP(C829,Customers!$A$2:$F$301,3,FALSE)</f>
        <v>27</v>
      </c>
      <c r="O829" s="34" t="str">
        <f>VLOOKUP(E829,Sales_Reps!$A$2:$E$31,3,FALSE)</f>
        <v>North</v>
      </c>
      <c r="P829" s="13" t="s">
        <v>107</v>
      </c>
      <c r="Q829" s="34">
        <f t="shared" si="28"/>
        <v>861553.33</v>
      </c>
      <c r="R829" s="34" t="str">
        <f>VLOOKUP(E829,Sales_Reps!$A$2:$E$100,3,FALSE)</f>
        <v>North</v>
      </c>
      <c r="S829" s="34" t="str">
        <f t="shared" si="29"/>
        <v>Sports</v>
      </c>
      <c r="T829" s="38">
        <f>VLOOKUP(D829,Products!$A$2:$F$68,4,FALSE)</f>
        <v>974</v>
      </c>
    </row>
    <row r="830" spans="1:20" x14ac:dyDescent="0.35">
      <c r="A830" s="13" t="s">
        <v>1305</v>
      </c>
      <c r="B830" s="14">
        <v>45522</v>
      </c>
      <c r="C830" s="13" t="s">
        <v>308</v>
      </c>
      <c r="D830" s="13" t="s">
        <v>292</v>
      </c>
      <c r="E830" s="13" t="s">
        <v>188</v>
      </c>
      <c r="F830" s="15">
        <v>9</v>
      </c>
      <c r="G830" s="15">
        <v>620</v>
      </c>
      <c r="H830" s="15">
        <v>20.399999999999999</v>
      </c>
      <c r="I830" s="15">
        <v>4441.68</v>
      </c>
      <c r="J830" s="13" t="s">
        <v>93</v>
      </c>
      <c r="K830" s="13" t="s">
        <v>88</v>
      </c>
      <c r="L830" s="34" t="str">
        <f>VLOOKUP(D830,Products!$A$2:$F$61,3,FALSE)</f>
        <v>Apparel</v>
      </c>
      <c r="M830" s="34" t="str">
        <f>VLOOKUP(C830,Customers!$A$2:$F$301,5,FALSE)</f>
        <v>SMB</v>
      </c>
      <c r="N830" s="34">
        <f>VLOOKUP(C830,Customers!$A$2:$F$301,3,FALSE)</f>
        <v>54</v>
      </c>
      <c r="O830" s="34" t="str">
        <f>VLOOKUP(E830,Sales_Reps!$A$2:$E$31,3,FALSE)</f>
        <v>South</v>
      </c>
      <c r="P830" s="13" t="s">
        <v>188</v>
      </c>
      <c r="Q830" s="34">
        <f t="shared" si="28"/>
        <v>1091740.1799999997</v>
      </c>
      <c r="R830" s="34" t="str">
        <f>VLOOKUP(E830,Sales_Reps!$A$2:$E$100,3,FALSE)</f>
        <v>South</v>
      </c>
      <c r="S830" s="34" t="str">
        <f t="shared" si="29"/>
        <v>Apparel</v>
      </c>
      <c r="T830" s="38">
        <f>VLOOKUP(D830,Products!$A$2:$F$68,4,FALSE)</f>
        <v>396</v>
      </c>
    </row>
    <row r="831" spans="1:20" x14ac:dyDescent="0.35">
      <c r="A831" s="13" t="s">
        <v>1306</v>
      </c>
      <c r="B831" s="14">
        <v>45513</v>
      </c>
      <c r="C831" s="13" t="s">
        <v>738</v>
      </c>
      <c r="D831" s="13" t="s">
        <v>270</v>
      </c>
      <c r="E831" s="13" t="s">
        <v>252</v>
      </c>
      <c r="F831" s="15">
        <v>1</v>
      </c>
      <c r="G831" s="15">
        <v>4610</v>
      </c>
      <c r="H831" s="15">
        <v>1.8</v>
      </c>
      <c r="I831" s="15">
        <v>4527.0200000000004</v>
      </c>
      <c r="J831" s="13" t="s">
        <v>93</v>
      </c>
      <c r="K831" s="13" t="s">
        <v>88</v>
      </c>
      <c r="L831" s="34" t="str">
        <f>VLOOKUP(D831,Products!$A$2:$F$61,3,FALSE)</f>
        <v>Home</v>
      </c>
      <c r="M831" s="34" t="str">
        <f>VLOOKUP(C831,Customers!$A$2:$F$301,5,FALSE)</f>
        <v>Retail</v>
      </c>
      <c r="N831" s="34">
        <f>VLOOKUP(C831,Customers!$A$2:$F$301,3,FALSE)</f>
        <v>36</v>
      </c>
      <c r="O831" s="34" t="str">
        <f>VLOOKUP(E831,Sales_Reps!$A$2:$E$31,3,FALSE)</f>
        <v>South</v>
      </c>
      <c r="P831" s="13" t="s">
        <v>252</v>
      </c>
      <c r="Q831" s="34">
        <f t="shared" si="28"/>
        <v>811524.37999999989</v>
      </c>
      <c r="R831" s="34" t="str">
        <f>VLOOKUP(E831,Sales_Reps!$A$2:$E$100,3,FALSE)</f>
        <v>South</v>
      </c>
      <c r="S831" s="34" t="str">
        <f t="shared" si="29"/>
        <v>Home</v>
      </c>
      <c r="T831" s="38">
        <f>VLOOKUP(D831,Products!$A$2:$F$68,4,FALSE)</f>
        <v>1850</v>
      </c>
    </row>
    <row r="832" spans="1:20" x14ac:dyDescent="0.35">
      <c r="A832" s="13" t="s">
        <v>1307</v>
      </c>
      <c r="B832" s="14">
        <v>45500</v>
      </c>
      <c r="C832" s="13" t="s">
        <v>1308</v>
      </c>
      <c r="D832" s="13" t="s">
        <v>270</v>
      </c>
      <c r="E832" s="13" t="s">
        <v>98</v>
      </c>
      <c r="F832" s="15">
        <v>7</v>
      </c>
      <c r="G832" s="15">
        <v>4610</v>
      </c>
      <c r="H832" s="15">
        <v>27</v>
      </c>
      <c r="I832" s="15">
        <v>23557.1</v>
      </c>
      <c r="J832" s="13" t="s">
        <v>87</v>
      </c>
      <c r="K832" s="13" t="s">
        <v>94</v>
      </c>
      <c r="L832" s="34" t="str">
        <f>VLOOKUP(D832,Products!$A$2:$F$61,3,FALSE)</f>
        <v>Home</v>
      </c>
      <c r="M832" s="34" t="str">
        <f>VLOOKUP(C832,Customers!$A$2:$F$301,5,FALSE)</f>
        <v>SMB</v>
      </c>
      <c r="N832" s="34">
        <f>VLOOKUP(C832,Customers!$A$2:$F$301,3,FALSE)</f>
        <v>51</v>
      </c>
      <c r="O832" s="34" t="str">
        <f>VLOOKUP(E832,Sales_Reps!$A$2:$E$31,3,FALSE)</f>
        <v>South</v>
      </c>
      <c r="P832" s="13" t="s">
        <v>98</v>
      </c>
      <c r="Q832" s="34">
        <f t="shared" si="28"/>
        <v>995713.54000000015</v>
      </c>
      <c r="R832" s="34" t="str">
        <f>VLOOKUP(E832,Sales_Reps!$A$2:$E$100,3,FALSE)</f>
        <v>South</v>
      </c>
      <c r="S832" s="34" t="str">
        <f t="shared" si="29"/>
        <v>Home</v>
      </c>
      <c r="T832" s="38">
        <f>VLOOKUP(D832,Products!$A$2:$F$68,4,FALSE)</f>
        <v>1850</v>
      </c>
    </row>
    <row r="833" spans="1:20" x14ac:dyDescent="0.35">
      <c r="A833" s="13" t="s">
        <v>1309</v>
      </c>
      <c r="B833" s="14">
        <v>45608</v>
      </c>
      <c r="C833" s="13" t="s">
        <v>966</v>
      </c>
      <c r="D833" s="13" t="s">
        <v>127</v>
      </c>
      <c r="E833" s="13" t="s">
        <v>229</v>
      </c>
      <c r="F833" s="15">
        <v>6</v>
      </c>
      <c r="G833" s="15">
        <v>970</v>
      </c>
      <c r="H833" s="15">
        <v>4.7</v>
      </c>
      <c r="I833" s="15">
        <v>5546.46</v>
      </c>
      <c r="J833" s="13" t="s">
        <v>140</v>
      </c>
      <c r="K833" s="13" t="s">
        <v>133</v>
      </c>
      <c r="L833" s="34" t="str">
        <f>VLOOKUP(D833,Products!$A$2:$F$61,3,FALSE)</f>
        <v>Grocery</v>
      </c>
      <c r="M833" s="34" t="str">
        <f>VLOOKUP(C833,Customers!$A$2:$F$301,5,FALSE)</f>
        <v>SMB</v>
      </c>
      <c r="N833" s="34">
        <f>VLOOKUP(C833,Customers!$A$2:$F$301,3,FALSE)</f>
        <v>31</v>
      </c>
      <c r="O833" s="34" t="str">
        <f>VLOOKUP(E833,Sales_Reps!$A$2:$E$31,3,FALSE)</f>
        <v>West</v>
      </c>
      <c r="P833" s="13" t="s">
        <v>229</v>
      </c>
      <c r="Q833" s="34">
        <f t="shared" si="28"/>
        <v>1016696.8000000002</v>
      </c>
      <c r="R833" s="34" t="str">
        <f>VLOOKUP(E833,Sales_Reps!$A$2:$E$100,3,FALSE)</f>
        <v>West</v>
      </c>
      <c r="S833" s="34" t="str">
        <f t="shared" si="29"/>
        <v>Grocery</v>
      </c>
      <c r="T833" s="38">
        <f>VLOOKUP(D833,Products!$A$2:$F$68,4,FALSE)</f>
        <v>434</v>
      </c>
    </row>
    <row r="834" spans="1:20" x14ac:dyDescent="0.35">
      <c r="A834" s="13" t="s">
        <v>1310</v>
      </c>
      <c r="B834" s="14">
        <v>45362</v>
      </c>
      <c r="C834" s="13" t="s">
        <v>472</v>
      </c>
      <c r="D834" s="13" t="s">
        <v>120</v>
      </c>
      <c r="E834" s="13" t="s">
        <v>201</v>
      </c>
      <c r="F834" s="15">
        <v>8</v>
      </c>
      <c r="G834" s="15">
        <v>1430</v>
      </c>
      <c r="H834" s="15">
        <v>8.6999999999999993</v>
      </c>
      <c r="I834" s="15">
        <v>10444.719999999999</v>
      </c>
      <c r="J834" s="13" t="s">
        <v>87</v>
      </c>
      <c r="K834" s="13" t="s">
        <v>94</v>
      </c>
      <c r="L834" s="34" t="str">
        <f>VLOOKUP(D834,Products!$A$2:$F$61,3,FALSE)</f>
        <v>Electronics</v>
      </c>
      <c r="M834" s="34" t="str">
        <f>VLOOKUP(C834,Customers!$A$2:$F$301,5,FALSE)</f>
        <v>Corporate</v>
      </c>
      <c r="N834" s="34">
        <f>VLOOKUP(C834,Customers!$A$2:$F$301,3,FALSE)</f>
        <v>35</v>
      </c>
      <c r="O834" s="34" t="str">
        <f>VLOOKUP(E834,Sales_Reps!$A$2:$E$31,3,FALSE)</f>
        <v>West</v>
      </c>
      <c r="P834" s="13" t="s">
        <v>201</v>
      </c>
      <c r="Q834" s="34">
        <f t="shared" si="28"/>
        <v>576305.08000000019</v>
      </c>
      <c r="R834" s="34" t="str">
        <f>VLOOKUP(E834,Sales_Reps!$A$2:$E$100,3,FALSE)</f>
        <v>West</v>
      </c>
      <c r="S834" s="34" t="str">
        <f t="shared" si="29"/>
        <v>Electronics</v>
      </c>
      <c r="T834" s="38">
        <f>VLOOKUP(D834,Products!$A$2:$F$68,4,FALSE)</f>
        <v>861</v>
      </c>
    </row>
    <row r="835" spans="1:20" x14ac:dyDescent="0.35">
      <c r="A835" s="13" t="s">
        <v>1311</v>
      </c>
      <c r="B835" s="14">
        <v>45348</v>
      </c>
      <c r="C835" s="13" t="s">
        <v>219</v>
      </c>
      <c r="D835" s="13" t="s">
        <v>234</v>
      </c>
      <c r="E835" s="13" t="s">
        <v>273</v>
      </c>
      <c r="F835" s="15">
        <v>5</v>
      </c>
      <c r="G835" s="15">
        <v>3780</v>
      </c>
      <c r="H835" s="15">
        <v>2.9</v>
      </c>
      <c r="I835" s="15">
        <v>18351.900000000001</v>
      </c>
      <c r="J835" s="13" t="s">
        <v>87</v>
      </c>
      <c r="K835" s="13" t="s">
        <v>99</v>
      </c>
      <c r="L835" s="34" t="str">
        <f>VLOOKUP(D835,Products!$A$2:$F$61,3,FALSE)</f>
        <v>Grocery</v>
      </c>
      <c r="M835" s="34" t="str">
        <f>VLOOKUP(C835,Customers!$A$2:$F$301,5,FALSE)</f>
        <v>SMB</v>
      </c>
      <c r="N835" s="34">
        <f>VLOOKUP(C835,Customers!$A$2:$F$301,3,FALSE)</f>
        <v>50</v>
      </c>
      <c r="O835" s="34" t="str">
        <f>VLOOKUP(E835,Sales_Reps!$A$2:$E$31,3,FALSE)</f>
        <v>South</v>
      </c>
      <c r="P835" s="13" t="s">
        <v>273</v>
      </c>
      <c r="Q835" s="34">
        <f t="shared" ref="Q835:Q898" si="30">SUMIFS($I:$I,$E:$E,P835)</f>
        <v>735207.75999999989</v>
      </c>
      <c r="R835" s="34" t="str">
        <f>VLOOKUP(E835,Sales_Reps!$A$2:$E$100,3,FALSE)</f>
        <v>South</v>
      </c>
      <c r="S835" s="34" t="str">
        <f t="shared" ref="S835:S898" si="31">L835</f>
        <v>Grocery</v>
      </c>
      <c r="T835" s="38">
        <f>VLOOKUP(D835,Products!$A$2:$F$68,4,FALSE)</f>
        <v>2436</v>
      </c>
    </row>
    <row r="836" spans="1:20" x14ac:dyDescent="0.35">
      <c r="A836" s="13" t="s">
        <v>1312</v>
      </c>
      <c r="B836" s="14">
        <v>45532</v>
      </c>
      <c r="C836" s="13" t="s">
        <v>501</v>
      </c>
      <c r="D836" s="13" t="s">
        <v>259</v>
      </c>
      <c r="E836" s="13" t="s">
        <v>154</v>
      </c>
      <c r="F836" s="15">
        <v>2</v>
      </c>
      <c r="G836" s="15">
        <v>1540</v>
      </c>
      <c r="H836" s="15">
        <v>12.7</v>
      </c>
      <c r="I836" s="15">
        <v>2688.84</v>
      </c>
      <c r="J836" s="13" t="s">
        <v>87</v>
      </c>
      <c r="K836" s="13" t="s">
        <v>133</v>
      </c>
      <c r="L836" s="34" t="str">
        <f>VLOOKUP(D836,Products!$A$2:$F$61,3,FALSE)</f>
        <v>Beauty</v>
      </c>
      <c r="M836" s="34" t="str">
        <f>VLOOKUP(C836,Customers!$A$2:$F$301,5,FALSE)</f>
        <v>SMB</v>
      </c>
      <c r="N836" s="34">
        <f>VLOOKUP(C836,Customers!$A$2:$F$301,3,FALSE)</f>
        <v>65</v>
      </c>
      <c r="O836" s="34" t="str">
        <f>VLOOKUP(E836,Sales_Reps!$A$2:$E$31,3,FALSE)</f>
        <v>East</v>
      </c>
      <c r="P836" s="13" t="s">
        <v>154</v>
      </c>
      <c r="Q836" s="34">
        <f t="shared" si="30"/>
        <v>983787.4800000001</v>
      </c>
      <c r="R836" s="34" t="str">
        <f>VLOOKUP(E836,Sales_Reps!$A$2:$E$100,3,FALSE)</f>
        <v>East</v>
      </c>
      <c r="S836" s="34" t="str">
        <f t="shared" si="31"/>
        <v>Beauty</v>
      </c>
      <c r="T836" s="38">
        <f>VLOOKUP(D836,Products!$A$2:$F$68,4,FALSE)</f>
        <v>647</v>
      </c>
    </row>
    <row r="837" spans="1:20" x14ac:dyDescent="0.35">
      <c r="A837" s="13" t="s">
        <v>1313</v>
      </c>
      <c r="B837" s="14">
        <v>45492</v>
      </c>
      <c r="C837" s="13" t="s">
        <v>1172</v>
      </c>
      <c r="D837" s="13" t="s">
        <v>164</v>
      </c>
      <c r="E837" s="13" t="s">
        <v>192</v>
      </c>
      <c r="F837" s="15">
        <v>9</v>
      </c>
      <c r="G837" s="15">
        <v>1080</v>
      </c>
      <c r="H837" s="15">
        <v>11.2</v>
      </c>
      <c r="I837" s="15">
        <v>8631.36</v>
      </c>
      <c r="J837" s="13" t="s">
        <v>140</v>
      </c>
      <c r="K837" s="13" t="s">
        <v>88</v>
      </c>
      <c r="L837" s="34" t="str">
        <f>VLOOKUP(D837,Products!$A$2:$F$61,3,FALSE)</f>
        <v>Home</v>
      </c>
      <c r="M837" s="34" t="str">
        <f>VLOOKUP(C837,Customers!$A$2:$F$301,5,FALSE)</f>
        <v>Retail</v>
      </c>
      <c r="N837" s="34">
        <f>VLOOKUP(C837,Customers!$A$2:$F$301,3,FALSE)</f>
        <v>39</v>
      </c>
      <c r="O837" s="34" t="str">
        <f>VLOOKUP(E837,Sales_Reps!$A$2:$E$31,3,FALSE)</f>
        <v>East</v>
      </c>
      <c r="P837" s="13" t="s">
        <v>192</v>
      </c>
      <c r="Q837" s="34">
        <f t="shared" si="30"/>
        <v>906107.71000000008</v>
      </c>
      <c r="R837" s="34" t="str">
        <f>VLOOKUP(E837,Sales_Reps!$A$2:$E$100,3,FALSE)</f>
        <v>East</v>
      </c>
      <c r="S837" s="34" t="str">
        <f t="shared" si="31"/>
        <v>Home</v>
      </c>
      <c r="T837" s="38">
        <f>VLOOKUP(D837,Products!$A$2:$F$68,4,FALSE)</f>
        <v>519</v>
      </c>
    </row>
    <row r="838" spans="1:20" x14ac:dyDescent="0.35">
      <c r="A838" s="13" t="s">
        <v>1314</v>
      </c>
      <c r="B838" s="14">
        <v>45368</v>
      </c>
      <c r="C838" s="13" t="s">
        <v>948</v>
      </c>
      <c r="D838" s="13" t="s">
        <v>151</v>
      </c>
      <c r="E838" s="13" t="s">
        <v>86</v>
      </c>
      <c r="F838" s="15">
        <v>3</v>
      </c>
      <c r="G838" s="15">
        <v>2400</v>
      </c>
      <c r="H838" s="15">
        <v>28.6</v>
      </c>
      <c r="I838" s="15">
        <v>5140.8</v>
      </c>
      <c r="J838" s="13" t="s">
        <v>87</v>
      </c>
      <c r="K838" s="13" t="s">
        <v>88</v>
      </c>
      <c r="L838" s="34" t="str">
        <f>VLOOKUP(D838,Products!$A$2:$F$61,3,FALSE)</f>
        <v>Sports</v>
      </c>
      <c r="M838" s="34" t="str">
        <f>VLOOKUP(C838,Customers!$A$2:$F$301,5,FALSE)</f>
        <v>Retail</v>
      </c>
      <c r="N838" s="34">
        <f>VLOOKUP(C838,Customers!$A$2:$F$301,3,FALSE)</f>
        <v>65</v>
      </c>
      <c r="O838" s="34" t="str">
        <f>VLOOKUP(E838,Sales_Reps!$A$2:$E$31,3,FALSE)</f>
        <v>North</v>
      </c>
      <c r="P838" s="13" t="s">
        <v>86</v>
      </c>
      <c r="Q838" s="34">
        <f t="shared" si="30"/>
        <v>855749.67999999982</v>
      </c>
      <c r="R838" s="34" t="str">
        <f>VLOOKUP(E838,Sales_Reps!$A$2:$E$100,3,FALSE)</f>
        <v>North</v>
      </c>
      <c r="S838" s="34" t="str">
        <f t="shared" si="31"/>
        <v>Sports</v>
      </c>
      <c r="T838" s="38">
        <f>VLOOKUP(D838,Products!$A$2:$F$68,4,FALSE)</f>
        <v>974</v>
      </c>
    </row>
    <row r="839" spans="1:20" x14ac:dyDescent="0.35">
      <c r="A839" s="13" t="s">
        <v>1315</v>
      </c>
      <c r="B839" s="14">
        <v>45448</v>
      </c>
      <c r="C839" s="13" t="s">
        <v>153</v>
      </c>
      <c r="D839" s="13" t="s">
        <v>164</v>
      </c>
      <c r="E839" s="13" t="s">
        <v>303</v>
      </c>
      <c r="F839" s="15">
        <v>5</v>
      </c>
      <c r="G839" s="15">
        <v>1080</v>
      </c>
      <c r="H839" s="15">
        <v>18.3</v>
      </c>
      <c r="I839" s="15">
        <v>4411.8</v>
      </c>
      <c r="J839" s="13" t="s">
        <v>87</v>
      </c>
      <c r="K839" s="13" t="s">
        <v>117</v>
      </c>
      <c r="L839" s="34" t="str">
        <f>VLOOKUP(D839,Products!$A$2:$F$61,3,FALSE)</f>
        <v>Home</v>
      </c>
      <c r="M839" s="34" t="str">
        <f>VLOOKUP(C839,Customers!$A$2:$F$301,5,FALSE)</f>
        <v>SMB</v>
      </c>
      <c r="N839" s="34">
        <f>VLOOKUP(C839,Customers!$A$2:$F$301,3,FALSE)</f>
        <v>46</v>
      </c>
      <c r="O839" s="34" t="str">
        <f>VLOOKUP(E839,Sales_Reps!$A$2:$E$31,3,FALSE)</f>
        <v>East</v>
      </c>
      <c r="P839" s="13" t="s">
        <v>303</v>
      </c>
      <c r="Q839" s="34">
        <f t="shared" si="30"/>
        <v>1112289.6400000001</v>
      </c>
      <c r="R839" s="34" t="str">
        <f>VLOOKUP(E839,Sales_Reps!$A$2:$E$100,3,FALSE)</f>
        <v>East</v>
      </c>
      <c r="S839" s="34" t="str">
        <f t="shared" si="31"/>
        <v>Home</v>
      </c>
      <c r="T839" s="38">
        <f>VLOOKUP(D839,Products!$A$2:$F$68,4,FALSE)</f>
        <v>519</v>
      </c>
    </row>
    <row r="840" spans="1:20" x14ac:dyDescent="0.35">
      <c r="A840" s="13" t="s">
        <v>1316</v>
      </c>
      <c r="B840" s="14">
        <v>45610</v>
      </c>
      <c r="C840" s="13" t="s">
        <v>401</v>
      </c>
      <c r="D840" s="13" t="s">
        <v>131</v>
      </c>
      <c r="E840" s="13" t="s">
        <v>343</v>
      </c>
      <c r="F840" s="15">
        <v>7</v>
      </c>
      <c r="G840" s="15">
        <v>2270</v>
      </c>
      <c r="H840" s="15">
        <v>1.7</v>
      </c>
      <c r="I840" s="15">
        <v>15619.87</v>
      </c>
      <c r="J840" s="13" t="s">
        <v>140</v>
      </c>
      <c r="K840" s="13" t="s">
        <v>94</v>
      </c>
      <c r="L840" s="34" t="str">
        <f>VLOOKUP(D840,Products!$A$2:$F$61,3,FALSE)</f>
        <v>Grocery</v>
      </c>
      <c r="M840" s="34" t="str">
        <f>VLOOKUP(C840,Customers!$A$2:$F$301,5,FALSE)</f>
        <v>SMB</v>
      </c>
      <c r="N840" s="34">
        <f>VLOOKUP(C840,Customers!$A$2:$F$301,3,FALSE)</f>
        <v>51</v>
      </c>
      <c r="O840" s="34" t="str">
        <f>VLOOKUP(E840,Sales_Reps!$A$2:$E$31,3,FALSE)</f>
        <v>West</v>
      </c>
      <c r="P840" s="13" t="s">
        <v>343</v>
      </c>
      <c r="Q840" s="34">
        <f t="shared" si="30"/>
        <v>917092.61999999965</v>
      </c>
      <c r="R840" s="34" t="str">
        <f>VLOOKUP(E840,Sales_Reps!$A$2:$E$100,3,FALSE)</f>
        <v>West</v>
      </c>
      <c r="S840" s="34" t="str">
        <f t="shared" si="31"/>
        <v>Grocery</v>
      </c>
      <c r="T840" s="38">
        <f>VLOOKUP(D840,Products!$A$2:$F$68,4,FALSE)</f>
        <v>1203</v>
      </c>
    </row>
    <row r="841" spans="1:20" x14ac:dyDescent="0.35">
      <c r="A841" s="13" t="s">
        <v>1317</v>
      </c>
      <c r="B841" s="14">
        <v>45438</v>
      </c>
      <c r="C841" s="13" t="s">
        <v>643</v>
      </c>
      <c r="D841" s="13" t="s">
        <v>102</v>
      </c>
      <c r="E841" s="13" t="s">
        <v>201</v>
      </c>
      <c r="F841" s="15">
        <v>8</v>
      </c>
      <c r="G841" s="15">
        <v>3660</v>
      </c>
      <c r="H841" s="15">
        <v>19.100000000000001</v>
      </c>
      <c r="I841" s="15">
        <v>23687.52</v>
      </c>
      <c r="J841" s="13" t="s">
        <v>140</v>
      </c>
      <c r="K841" s="13" t="s">
        <v>112</v>
      </c>
      <c r="L841" s="34" t="str">
        <f>VLOOKUP(D841,Products!$A$2:$F$61,3,FALSE)</f>
        <v>Grocery</v>
      </c>
      <c r="M841" s="34" t="str">
        <f>VLOOKUP(C841,Customers!$A$2:$F$301,5,FALSE)</f>
        <v>SMB</v>
      </c>
      <c r="N841" s="34">
        <f>VLOOKUP(C841,Customers!$A$2:$F$301,3,FALSE)</f>
        <v>27</v>
      </c>
      <c r="O841" s="34" t="str">
        <f>VLOOKUP(E841,Sales_Reps!$A$2:$E$31,3,FALSE)</f>
        <v>West</v>
      </c>
      <c r="P841" s="13" t="s">
        <v>201</v>
      </c>
      <c r="Q841" s="34">
        <f t="shared" si="30"/>
        <v>576305.08000000019</v>
      </c>
      <c r="R841" s="34" t="str">
        <f>VLOOKUP(E841,Sales_Reps!$A$2:$E$100,3,FALSE)</f>
        <v>West</v>
      </c>
      <c r="S841" s="34" t="str">
        <f t="shared" si="31"/>
        <v>Grocery</v>
      </c>
      <c r="T841" s="38">
        <f>VLOOKUP(D841,Products!$A$2:$F$68,4,FALSE)</f>
        <v>2214</v>
      </c>
    </row>
    <row r="842" spans="1:20" x14ac:dyDescent="0.35">
      <c r="A842" s="13" t="s">
        <v>1318</v>
      </c>
      <c r="B842" s="14">
        <v>45477</v>
      </c>
      <c r="C842" s="13" t="s">
        <v>533</v>
      </c>
      <c r="D842" s="13" t="s">
        <v>143</v>
      </c>
      <c r="E842" s="13" t="s">
        <v>148</v>
      </c>
      <c r="F842" s="15">
        <v>5</v>
      </c>
      <c r="G842" s="15">
        <v>3250</v>
      </c>
      <c r="H842" s="15">
        <v>12.9</v>
      </c>
      <c r="I842" s="15">
        <v>14153.75</v>
      </c>
      <c r="J842" s="13" t="s">
        <v>87</v>
      </c>
      <c r="K842" s="13" t="s">
        <v>99</v>
      </c>
      <c r="L842" s="34" t="str">
        <f>VLOOKUP(D842,Products!$A$2:$F$61,3,FALSE)</f>
        <v>Home</v>
      </c>
      <c r="M842" s="34" t="str">
        <f>VLOOKUP(C842,Customers!$A$2:$F$301,5,FALSE)</f>
        <v>SMB</v>
      </c>
      <c r="N842" s="34">
        <f>VLOOKUP(C842,Customers!$A$2:$F$301,3,FALSE)</f>
        <v>48</v>
      </c>
      <c r="O842" s="34" t="str">
        <f>VLOOKUP(E842,Sales_Reps!$A$2:$E$31,3,FALSE)</f>
        <v>North</v>
      </c>
      <c r="P842" s="13" t="s">
        <v>148</v>
      </c>
      <c r="Q842" s="34">
        <f t="shared" si="30"/>
        <v>986692.91</v>
      </c>
      <c r="R842" s="34" t="str">
        <f>VLOOKUP(E842,Sales_Reps!$A$2:$E$100,3,FALSE)</f>
        <v>North</v>
      </c>
      <c r="S842" s="34" t="str">
        <f t="shared" si="31"/>
        <v>Home</v>
      </c>
      <c r="T842" s="38">
        <f>VLOOKUP(D842,Products!$A$2:$F$68,4,FALSE)</f>
        <v>1556</v>
      </c>
    </row>
    <row r="843" spans="1:20" x14ac:dyDescent="0.35">
      <c r="A843" s="13" t="s">
        <v>1319</v>
      </c>
      <c r="B843" s="14">
        <v>45328</v>
      </c>
      <c r="C843" s="13" t="s">
        <v>563</v>
      </c>
      <c r="D843" s="13" t="s">
        <v>176</v>
      </c>
      <c r="E843" s="13" t="s">
        <v>325</v>
      </c>
      <c r="F843" s="15">
        <v>4</v>
      </c>
      <c r="G843" s="15">
        <v>1650</v>
      </c>
      <c r="H843" s="15">
        <v>4.0999999999999996</v>
      </c>
      <c r="I843" s="15">
        <v>6329.4</v>
      </c>
      <c r="J843" s="13" t="s">
        <v>87</v>
      </c>
      <c r="K843" s="13" t="s">
        <v>88</v>
      </c>
      <c r="L843" s="34" t="str">
        <f>VLOOKUP(D843,Products!$A$2:$F$61,3,FALSE)</f>
        <v>Beauty</v>
      </c>
      <c r="M843" s="34" t="str">
        <f>VLOOKUP(C843,Customers!$A$2:$F$301,5,FALSE)</f>
        <v>SMB</v>
      </c>
      <c r="N843" s="34">
        <f>VLOOKUP(C843,Customers!$A$2:$F$301,3,FALSE)</f>
        <v>24</v>
      </c>
      <c r="O843" s="34" t="str">
        <f>VLOOKUP(E843,Sales_Reps!$A$2:$E$31,3,FALSE)</f>
        <v>South</v>
      </c>
      <c r="P843" s="13" t="s">
        <v>325</v>
      </c>
      <c r="Q843" s="34">
        <f t="shared" si="30"/>
        <v>901394.32000000007</v>
      </c>
      <c r="R843" s="34" t="str">
        <f>VLOOKUP(E843,Sales_Reps!$A$2:$E$100,3,FALSE)</f>
        <v>South</v>
      </c>
      <c r="S843" s="34" t="str">
        <f t="shared" si="31"/>
        <v>Beauty</v>
      </c>
      <c r="T843" s="38">
        <f>VLOOKUP(D843,Products!$A$2:$F$68,4,FALSE)</f>
        <v>1222</v>
      </c>
    </row>
    <row r="844" spans="1:20" x14ac:dyDescent="0.35">
      <c r="A844" s="13" t="s">
        <v>1320</v>
      </c>
      <c r="B844" s="14">
        <v>45624</v>
      </c>
      <c r="C844" s="13" t="s">
        <v>294</v>
      </c>
      <c r="D844" s="13" t="s">
        <v>443</v>
      </c>
      <c r="E844" s="13" t="s">
        <v>148</v>
      </c>
      <c r="F844" s="15">
        <v>6</v>
      </c>
      <c r="G844" s="15">
        <v>5080</v>
      </c>
      <c r="H844" s="15">
        <v>3</v>
      </c>
      <c r="I844" s="15">
        <v>29565.599999999999</v>
      </c>
      <c r="J844" s="13" t="s">
        <v>87</v>
      </c>
      <c r="K844" s="13" t="s">
        <v>133</v>
      </c>
      <c r="L844" s="34" t="str">
        <f>VLOOKUP(D844,Products!$A$2:$F$61,3,FALSE)</f>
        <v>Home</v>
      </c>
      <c r="M844" s="34" t="str">
        <f>VLOOKUP(C844,Customers!$A$2:$F$301,5,FALSE)</f>
        <v>SMB</v>
      </c>
      <c r="N844" s="34">
        <f>VLOOKUP(C844,Customers!$A$2:$F$301,3,FALSE)</f>
        <v>43</v>
      </c>
      <c r="O844" s="34" t="str">
        <f>VLOOKUP(E844,Sales_Reps!$A$2:$E$31,3,FALSE)</f>
        <v>North</v>
      </c>
      <c r="P844" s="13" t="s">
        <v>148</v>
      </c>
      <c r="Q844" s="34">
        <f t="shared" si="30"/>
        <v>986692.91</v>
      </c>
      <c r="R844" s="34" t="str">
        <f>VLOOKUP(E844,Sales_Reps!$A$2:$E$100,3,FALSE)</f>
        <v>North</v>
      </c>
      <c r="S844" s="34" t="str">
        <f t="shared" si="31"/>
        <v>Home</v>
      </c>
      <c r="T844" s="38">
        <f>VLOOKUP(D844,Products!$A$2:$F$68,4,FALSE)</f>
        <v>2459</v>
      </c>
    </row>
    <row r="845" spans="1:20" x14ac:dyDescent="0.35">
      <c r="A845" s="13" t="s">
        <v>1321</v>
      </c>
      <c r="B845" s="14">
        <v>45614</v>
      </c>
      <c r="C845" s="13" t="s">
        <v>990</v>
      </c>
      <c r="D845" s="13" t="s">
        <v>161</v>
      </c>
      <c r="E845" s="13" t="s">
        <v>343</v>
      </c>
      <c r="F845" s="15">
        <v>8</v>
      </c>
      <c r="G845" s="15">
        <v>3450</v>
      </c>
      <c r="H845" s="15">
        <v>20.9</v>
      </c>
      <c r="I845" s="15">
        <v>21831.599999999999</v>
      </c>
      <c r="J845" s="13" t="s">
        <v>87</v>
      </c>
      <c r="K845" s="13" t="s">
        <v>117</v>
      </c>
      <c r="L845" s="34" t="str">
        <f>VLOOKUP(D845,Products!$A$2:$F$61,3,FALSE)</f>
        <v>Sports</v>
      </c>
      <c r="M845" s="34" t="str">
        <f>VLOOKUP(C845,Customers!$A$2:$F$301,5,FALSE)</f>
        <v>Retail</v>
      </c>
      <c r="N845" s="34">
        <f>VLOOKUP(C845,Customers!$A$2:$F$301,3,FALSE)</f>
        <v>61</v>
      </c>
      <c r="O845" s="34" t="str">
        <f>VLOOKUP(E845,Sales_Reps!$A$2:$E$31,3,FALSE)</f>
        <v>West</v>
      </c>
      <c r="P845" s="13" t="s">
        <v>343</v>
      </c>
      <c r="Q845" s="34">
        <f t="shared" si="30"/>
        <v>917092.61999999965</v>
      </c>
      <c r="R845" s="34" t="str">
        <f>VLOOKUP(E845,Sales_Reps!$A$2:$E$100,3,FALSE)</f>
        <v>West</v>
      </c>
      <c r="S845" s="34" t="str">
        <f t="shared" si="31"/>
        <v>Sports</v>
      </c>
      <c r="T845" s="38">
        <f>VLOOKUP(D845,Products!$A$2:$F$68,4,FALSE)</f>
        <v>2467</v>
      </c>
    </row>
    <row r="846" spans="1:20" x14ac:dyDescent="0.35">
      <c r="A846" s="13" t="s">
        <v>1322</v>
      </c>
      <c r="B846" s="14">
        <v>45429</v>
      </c>
      <c r="C846" s="13" t="s">
        <v>301</v>
      </c>
      <c r="D846" s="13" t="s">
        <v>179</v>
      </c>
      <c r="E846" s="13" t="s">
        <v>303</v>
      </c>
      <c r="F846" s="15">
        <v>6</v>
      </c>
      <c r="G846" s="15">
        <v>3350</v>
      </c>
      <c r="H846" s="15">
        <v>24.8</v>
      </c>
      <c r="I846" s="15">
        <v>15115.2</v>
      </c>
      <c r="J846" s="13" t="s">
        <v>87</v>
      </c>
      <c r="K846" s="13" t="s">
        <v>94</v>
      </c>
      <c r="L846" s="34" t="str">
        <f>VLOOKUP(D846,Products!$A$2:$F$61,3,FALSE)</f>
        <v>Beauty</v>
      </c>
      <c r="M846" s="34" t="str">
        <f>VLOOKUP(C846,Customers!$A$2:$F$301,5,FALSE)</f>
        <v>Retail</v>
      </c>
      <c r="N846" s="34">
        <f>VLOOKUP(C846,Customers!$A$2:$F$301,3,FALSE)</f>
        <v>41</v>
      </c>
      <c r="O846" s="34" t="str">
        <f>VLOOKUP(E846,Sales_Reps!$A$2:$E$31,3,FALSE)</f>
        <v>East</v>
      </c>
      <c r="P846" s="13" t="s">
        <v>303</v>
      </c>
      <c r="Q846" s="34">
        <f t="shared" si="30"/>
        <v>1112289.6400000001</v>
      </c>
      <c r="R846" s="34" t="str">
        <f>VLOOKUP(E846,Sales_Reps!$A$2:$E$100,3,FALSE)</f>
        <v>East</v>
      </c>
      <c r="S846" s="34" t="str">
        <f t="shared" si="31"/>
        <v>Beauty</v>
      </c>
      <c r="T846" s="38">
        <f>VLOOKUP(D846,Products!$A$2:$F$68,4,FALSE)</f>
        <v>1728</v>
      </c>
    </row>
    <row r="847" spans="1:20" x14ac:dyDescent="0.35">
      <c r="A847" s="13" t="s">
        <v>1323</v>
      </c>
      <c r="B847" s="14">
        <v>45451</v>
      </c>
      <c r="C847" s="13" t="s">
        <v>669</v>
      </c>
      <c r="D847" s="13" t="s">
        <v>338</v>
      </c>
      <c r="E847" s="13" t="s">
        <v>343</v>
      </c>
      <c r="F847" s="15">
        <v>10</v>
      </c>
      <c r="G847" s="15">
        <v>2210</v>
      </c>
      <c r="H847" s="15">
        <v>4.2</v>
      </c>
      <c r="I847" s="15">
        <v>21171.8</v>
      </c>
      <c r="J847" s="13" t="s">
        <v>87</v>
      </c>
      <c r="K847" s="13" t="s">
        <v>133</v>
      </c>
      <c r="L847" s="34" t="str">
        <f>VLOOKUP(D847,Products!$A$2:$F$61,3,FALSE)</f>
        <v>Grocery</v>
      </c>
      <c r="M847" s="34" t="str">
        <f>VLOOKUP(C847,Customers!$A$2:$F$301,5,FALSE)</f>
        <v>Retail</v>
      </c>
      <c r="N847" s="34">
        <f>VLOOKUP(C847,Customers!$A$2:$F$301,3,FALSE)</f>
        <v>31</v>
      </c>
      <c r="O847" s="34" t="str">
        <f>VLOOKUP(E847,Sales_Reps!$A$2:$E$31,3,FALSE)</f>
        <v>West</v>
      </c>
      <c r="P847" s="13" t="s">
        <v>343</v>
      </c>
      <c r="Q847" s="34">
        <f t="shared" si="30"/>
        <v>917092.61999999965</v>
      </c>
      <c r="R847" s="34" t="str">
        <f>VLOOKUP(E847,Sales_Reps!$A$2:$E$100,3,FALSE)</f>
        <v>West</v>
      </c>
      <c r="S847" s="34" t="str">
        <f t="shared" si="31"/>
        <v>Grocery</v>
      </c>
      <c r="T847" s="38">
        <f>VLOOKUP(D847,Products!$A$2:$F$68,4,FALSE)</f>
        <v>1010</v>
      </c>
    </row>
    <row r="848" spans="1:20" x14ac:dyDescent="0.35">
      <c r="A848" s="13" t="s">
        <v>1324</v>
      </c>
      <c r="B848" s="14">
        <v>45444</v>
      </c>
      <c r="C848" s="13" t="s">
        <v>638</v>
      </c>
      <c r="D848" s="13" t="s">
        <v>184</v>
      </c>
      <c r="E848" s="13" t="s">
        <v>103</v>
      </c>
      <c r="F848" s="15">
        <v>10</v>
      </c>
      <c r="G848" s="15">
        <v>4880</v>
      </c>
      <c r="H848" s="15">
        <v>0.7</v>
      </c>
      <c r="I848" s="15">
        <v>48458.400000000001</v>
      </c>
      <c r="J848" s="13" t="s">
        <v>87</v>
      </c>
      <c r="K848" s="13" t="s">
        <v>99</v>
      </c>
      <c r="L848" s="34" t="str">
        <f>VLOOKUP(D848,Products!$A$2:$F$61,3,FALSE)</f>
        <v>Beauty</v>
      </c>
      <c r="M848" s="34" t="str">
        <f>VLOOKUP(C848,Customers!$A$2:$F$301,5,FALSE)</f>
        <v>Retail</v>
      </c>
      <c r="N848" s="34">
        <f>VLOOKUP(C848,Customers!$A$2:$F$301,3,FALSE)</f>
        <v>43</v>
      </c>
      <c r="O848" s="34" t="str">
        <f>VLOOKUP(E848,Sales_Reps!$A$2:$E$31,3,FALSE)</f>
        <v>North</v>
      </c>
      <c r="P848" s="13" t="s">
        <v>103</v>
      </c>
      <c r="Q848" s="34">
        <f t="shared" si="30"/>
        <v>1138648.73</v>
      </c>
      <c r="R848" s="34" t="str">
        <f>VLOOKUP(E848,Sales_Reps!$A$2:$E$100,3,FALSE)</f>
        <v>North</v>
      </c>
      <c r="S848" s="34" t="str">
        <f t="shared" si="31"/>
        <v>Beauty</v>
      </c>
      <c r="T848" s="38">
        <f>VLOOKUP(D848,Products!$A$2:$F$68,4,FALSE)</f>
        <v>2768</v>
      </c>
    </row>
    <row r="849" spans="1:20" x14ac:dyDescent="0.35">
      <c r="A849" s="13" t="s">
        <v>1325</v>
      </c>
      <c r="B849" s="14">
        <v>45369</v>
      </c>
      <c r="C849" s="13" t="s">
        <v>163</v>
      </c>
      <c r="D849" s="13" t="s">
        <v>195</v>
      </c>
      <c r="E849" s="13" t="s">
        <v>139</v>
      </c>
      <c r="F849" s="15">
        <v>7</v>
      </c>
      <c r="G849" s="15">
        <v>2860</v>
      </c>
      <c r="H849" s="15">
        <v>28.1</v>
      </c>
      <c r="I849" s="15">
        <v>14394.38</v>
      </c>
      <c r="J849" s="13" t="s">
        <v>93</v>
      </c>
      <c r="K849" s="13" t="s">
        <v>94</v>
      </c>
      <c r="L849" s="34" t="str">
        <f>VLOOKUP(D849,Products!$A$2:$F$61,3,FALSE)</f>
        <v>Sports</v>
      </c>
      <c r="M849" s="34" t="str">
        <f>VLOOKUP(C849,Customers!$A$2:$F$301,5,FALSE)</f>
        <v>Retail</v>
      </c>
      <c r="N849" s="34">
        <f>VLOOKUP(C849,Customers!$A$2:$F$301,3,FALSE)</f>
        <v>49</v>
      </c>
      <c r="O849" s="34" t="str">
        <f>VLOOKUP(E849,Sales_Reps!$A$2:$E$31,3,FALSE)</f>
        <v>North</v>
      </c>
      <c r="P849" s="13" t="s">
        <v>139</v>
      </c>
      <c r="Q849" s="34">
        <f t="shared" si="30"/>
        <v>589026.2899999998</v>
      </c>
      <c r="R849" s="34" t="str">
        <f>VLOOKUP(E849,Sales_Reps!$A$2:$E$100,3,FALSE)</f>
        <v>North</v>
      </c>
      <c r="S849" s="34" t="str">
        <f t="shared" si="31"/>
        <v>Sports</v>
      </c>
      <c r="T849" s="38">
        <f>VLOOKUP(D849,Products!$A$2:$F$68,4,FALSE)</f>
        <v>2028</v>
      </c>
    </row>
    <row r="850" spans="1:20" x14ac:dyDescent="0.35">
      <c r="A850" s="13" t="s">
        <v>1326</v>
      </c>
      <c r="B850" s="14">
        <v>45581</v>
      </c>
      <c r="C850" s="13" t="s">
        <v>442</v>
      </c>
      <c r="D850" s="13" t="s">
        <v>127</v>
      </c>
      <c r="E850" s="13" t="s">
        <v>92</v>
      </c>
      <c r="F850" s="15">
        <v>3</v>
      </c>
      <c r="G850" s="15">
        <v>970</v>
      </c>
      <c r="H850" s="15">
        <v>28.3</v>
      </c>
      <c r="I850" s="15">
        <v>2086.4699999999998</v>
      </c>
      <c r="J850" s="13" t="s">
        <v>87</v>
      </c>
      <c r="K850" s="13" t="s">
        <v>88</v>
      </c>
      <c r="L850" s="34" t="str">
        <f>VLOOKUP(D850,Products!$A$2:$F$61,3,FALSE)</f>
        <v>Grocery</v>
      </c>
      <c r="M850" s="34" t="str">
        <f>VLOOKUP(C850,Customers!$A$2:$F$301,5,FALSE)</f>
        <v>Retail</v>
      </c>
      <c r="N850" s="34">
        <f>VLOOKUP(C850,Customers!$A$2:$F$301,3,FALSE)</f>
        <v>65</v>
      </c>
      <c r="O850" s="34" t="str">
        <f>VLOOKUP(E850,Sales_Reps!$A$2:$E$31,3,FALSE)</f>
        <v>North</v>
      </c>
      <c r="P850" s="13" t="s">
        <v>92</v>
      </c>
      <c r="Q850" s="34">
        <f t="shared" si="30"/>
        <v>782445.33</v>
      </c>
      <c r="R850" s="34" t="str">
        <f>VLOOKUP(E850,Sales_Reps!$A$2:$E$100,3,FALSE)</f>
        <v>North</v>
      </c>
      <c r="S850" s="34" t="str">
        <f t="shared" si="31"/>
        <v>Grocery</v>
      </c>
      <c r="T850" s="38">
        <f>VLOOKUP(D850,Products!$A$2:$F$68,4,FALSE)</f>
        <v>434</v>
      </c>
    </row>
    <row r="851" spans="1:20" x14ac:dyDescent="0.35">
      <c r="A851" s="13" t="s">
        <v>1327</v>
      </c>
      <c r="B851" s="14">
        <v>45494</v>
      </c>
      <c r="C851" s="13" t="s">
        <v>977</v>
      </c>
      <c r="D851" s="13" t="s">
        <v>245</v>
      </c>
      <c r="E851" s="13" t="s">
        <v>107</v>
      </c>
      <c r="F851" s="15">
        <v>1</v>
      </c>
      <c r="G851" s="15">
        <v>2270</v>
      </c>
      <c r="H851" s="15">
        <v>15.1</v>
      </c>
      <c r="I851" s="15">
        <v>1927.23</v>
      </c>
      <c r="J851" s="13" t="s">
        <v>87</v>
      </c>
      <c r="K851" s="13" t="s">
        <v>88</v>
      </c>
      <c r="L851" s="34" t="str">
        <f>VLOOKUP(D851,Products!$A$2:$F$61,3,FALSE)</f>
        <v>Grocery</v>
      </c>
      <c r="M851" s="34" t="str">
        <f>VLOOKUP(C851,Customers!$A$2:$F$301,5,FALSE)</f>
        <v>Corporate</v>
      </c>
      <c r="N851" s="34">
        <f>VLOOKUP(C851,Customers!$A$2:$F$301,3,FALSE)</f>
        <v>29</v>
      </c>
      <c r="O851" s="34" t="str">
        <f>VLOOKUP(E851,Sales_Reps!$A$2:$E$31,3,FALSE)</f>
        <v>North</v>
      </c>
      <c r="P851" s="13" t="s">
        <v>107</v>
      </c>
      <c r="Q851" s="34">
        <f t="shared" si="30"/>
        <v>861553.33</v>
      </c>
      <c r="R851" s="34" t="str">
        <f>VLOOKUP(E851,Sales_Reps!$A$2:$E$100,3,FALSE)</f>
        <v>North</v>
      </c>
      <c r="S851" s="34" t="str">
        <f t="shared" si="31"/>
        <v>Grocery</v>
      </c>
      <c r="T851" s="38">
        <f>VLOOKUP(D851,Products!$A$2:$F$68,4,FALSE)</f>
        <v>1412</v>
      </c>
    </row>
    <row r="852" spans="1:20" x14ac:dyDescent="0.35">
      <c r="A852" s="13" t="s">
        <v>1328</v>
      </c>
      <c r="B852" s="14">
        <v>45324</v>
      </c>
      <c r="C852" s="13" t="s">
        <v>369</v>
      </c>
      <c r="D852" s="13" t="s">
        <v>659</v>
      </c>
      <c r="E852" s="13" t="s">
        <v>188</v>
      </c>
      <c r="F852" s="15">
        <v>5</v>
      </c>
      <c r="G852" s="15">
        <v>3560</v>
      </c>
      <c r="H852" s="15">
        <v>11.5</v>
      </c>
      <c r="I852" s="15">
        <v>15753</v>
      </c>
      <c r="J852" s="13" t="s">
        <v>87</v>
      </c>
      <c r="K852" s="13" t="s">
        <v>94</v>
      </c>
      <c r="L852" s="34" t="str">
        <f>VLOOKUP(D852,Products!$A$2:$F$61,3,FALSE)</f>
        <v>Apparel</v>
      </c>
      <c r="M852" s="34" t="str">
        <f>VLOOKUP(C852,Customers!$A$2:$F$301,5,FALSE)</f>
        <v>SMB</v>
      </c>
      <c r="N852" s="34">
        <f>VLOOKUP(C852,Customers!$A$2:$F$301,3,FALSE)</f>
        <v>62</v>
      </c>
      <c r="O852" s="34" t="str">
        <f>VLOOKUP(E852,Sales_Reps!$A$2:$E$31,3,FALSE)</f>
        <v>South</v>
      </c>
      <c r="P852" s="13" t="s">
        <v>188</v>
      </c>
      <c r="Q852" s="34">
        <f t="shared" si="30"/>
        <v>1091740.1799999997</v>
      </c>
      <c r="R852" s="34" t="str">
        <f>VLOOKUP(E852,Sales_Reps!$A$2:$E$100,3,FALSE)</f>
        <v>South</v>
      </c>
      <c r="S852" s="34" t="str">
        <f t="shared" si="31"/>
        <v>Apparel</v>
      </c>
      <c r="T852" s="38">
        <f>VLOOKUP(D852,Products!$A$2:$F$68,4,FALSE)</f>
        <v>2629</v>
      </c>
    </row>
    <row r="853" spans="1:20" x14ac:dyDescent="0.35">
      <c r="A853" s="13" t="s">
        <v>1329</v>
      </c>
      <c r="B853" s="14">
        <v>45419</v>
      </c>
      <c r="C853" s="13" t="s">
        <v>178</v>
      </c>
      <c r="D853" s="13" t="s">
        <v>360</v>
      </c>
      <c r="E853" s="13" t="s">
        <v>132</v>
      </c>
      <c r="F853" s="15">
        <v>2</v>
      </c>
      <c r="G853" s="15">
        <v>5410</v>
      </c>
      <c r="H853" s="15">
        <v>14.8</v>
      </c>
      <c r="I853" s="15">
        <v>9218.64</v>
      </c>
      <c r="J853" s="13" t="s">
        <v>93</v>
      </c>
      <c r="K853" s="13" t="s">
        <v>94</v>
      </c>
      <c r="L853" s="34" t="str">
        <f>VLOOKUP(D853,Products!$A$2:$F$61,3,FALSE)</f>
        <v>Sports</v>
      </c>
      <c r="M853" s="34" t="str">
        <f>VLOOKUP(C853,Customers!$A$2:$F$301,5,FALSE)</f>
        <v>Corporate</v>
      </c>
      <c r="N853" s="34">
        <f>VLOOKUP(C853,Customers!$A$2:$F$301,3,FALSE)</f>
        <v>55</v>
      </c>
      <c r="O853" s="34" t="str">
        <f>VLOOKUP(E853,Sales_Reps!$A$2:$E$31,3,FALSE)</f>
        <v>South</v>
      </c>
      <c r="P853" s="13" t="s">
        <v>132</v>
      </c>
      <c r="Q853" s="34">
        <f t="shared" si="30"/>
        <v>880345.20000000007</v>
      </c>
      <c r="R853" s="34" t="str">
        <f>VLOOKUP(E853,Sales_Reps!$A$2:$E$100,3,FALSE)</f>
        <v>South</v>
      </c>
      <c r="S853" s="34" t="str">
        <f t="shared" si="31"/>
        <v>Sports</v>
      </c>
      <c r="T853" s="38">
        <f>VLOOKUP(D853,Products!$A$2:$F$68,4,FALSE)</f>
        <v>2265</v>
      </c>
    </row>
    <row r="854" spans="1:20" x14ac:dyDescent="0.35">
      <c r="A854" s="13" t="s">
        <v>1330</v>
      </c>
      <c r="B854" s="14">
        <v>45656</v>
      </c>
      <c r="C854" s="13" t="s">
        <v>921</v>
      </c>
      <c r="D854" s="13" t="s">
        <v>167</v>
      </c>
      <c r="E854" s="13" t="s">
        <v>103</v>
      </c>
      <c r="F854" s="15">
        <v>2</v>
      </c>
      <c r="G854" s="15">
        <v>2480</v>
      </c>
      <c r="H854" s="15">
        <v>27.2</v>
      </c>
      <c r="I854" s="15">
        <v>3610.88</v>
      </c>
      <c r="J854" s="13" t="s">
        <v>87</v>
      </c>
      <c r="K854" s="13" t="s">
        <v>117</v>
      </c>
      <c r="L854" s="34" t="str">
        <f>VLOOKUP(D854,Products!$A$2:$F$61,3,FALSE)</f>
        <v>Apparel</v>
      </c>
      <c r="M854" s="34" t="str">
        <f>VLOOKUP(C854,Customers!$A$2:$F$301,5,FALSE)</f>
        <v>Retail</v>
      </c>
      <c r="N854" s="34">
        <f>VLOOKUP(C854,Customers!$A$2:$F$301,3,FALSE)</f>
        <v>28</v>
      </c>
      <c r="O854" s="34" t="str">
        <f>VLOOKUP(E854,Sales_Reps!$A$2:$E$31,3,FALSE)</f>
        <v>North</v>
      </c>
      <c r="P854" s="13" t="s">
        <v>103</v>
      </c>
      <c r="Q854" s="34">
        <f t="shared" si="30"/>
        <v>1138648.73</v>
      </c>
      <c r="R854" s="34" t="str">
        <f>VLOOKUP(E854,Sales_Reps!$A$2:$E$100,3,FALSE)</f>
        <v>North</v>
      </c>
      <c r="S854" s="34" t="str">
        <f t="shared" si="31"/>
        <v>Apparel</v>
      </c>
      <c r="T854" s="38">
        <f>VLOOKUP(D854,Products!$A$2:$F$68,4,FALSE)</f>
        <v>1173</v>
      </c>
    </row>
    <row r="855" spans="1:20" x14ac:dyDescent="0.35">
      <c r="A855" s="13" t="s">
        <v>1331</v>
      </c>
      <c r="B855" s="14">
        <v>45350</v>
      </c>
      <c r="C855" s="13" t="s">
        <v>530</v>
      </c>
      <c r="D855" s="13" t="s">
        <v>91</v>
      </c>
      <c r="E855" s="13" t="s">
        <v>98</v>
      </c>
      <c r="F855" s="15">
        <v>6</v>
      </c>
      <c r="G855" s="15">
        <v>820</v>
      </c>
      <c r="H855" s="15">
        <v>6.6</v>
      </c>
      <c r="I855" s="15">
        <v>4595.28</v>
      </c>
      <c r="J855" s="13" t="s">
        <v>87</v>
      </c>
      <c r="K855" s="13" t="s">
        <v>99</v>
      </c>
      <c r="L855" s="34" t="str">
        <f>VLOOKUP(D855,Products!$A$2:$F$61,3,FALSE)</f>
        <v>Apparel</v>
      </c>
      <c r="M855" s="34" t="str">
        <f>VLOOKUP(C855,Customers!$A$2:$F$301,5,FALSE)</f>
        <v>Retail</v>
      </c>
      <c r="N855" s="34">
        <f>VLOOKUP(C855,Customers!$A$2:$F$301,3,FALSE)</f>
        <v>45</v>
      </c>
      <c r="O855" s="34" t="str">
        <f>VLOOKUP(E855,Sales_Reps!$A$2:$E$31,3,FALSE)</f>
        <v>South</v>
      </c>
      <c r="P855" s="13" t="s">
        <v>98</v>
      </c>
      <c r="Q855" s="34">
        <f t="shared" si="30"/>
        <v>995713.54000000015</v>
      </c>
      <c r="R855" s="34" t="str">
        <f>VLOOKUP(E855,Sales_Reps!$A$2:$E$100,3,FALSE)</f>
        <v>South</v>
      </c>
      <c r="S855" s="34" t="str">
        <f t="shared" si="31"/>
        <v>Apparel</v>
      </c>
      <c r="T855" s="38">
        <f>VLOOKUP(D855,Products!$A$2:$F$68,4,FALSE)</f>
        <v>391</v>
      </c>
    </row>
    <row r="856" spans="1:20" x14ac:dyDescent="0.35">
      <c r="A856" s="13" t="s">
        <v>1332</v>
      </c>
      <c r="B856" s="14">
        <v>45434</v>
      </c>
      <c r="C856" s="13" t="s">
        <v>247</v>
      </c>
      <c r="D856" s="13" t="s">
        <v>364</v>
      </c>
      <c r="E856" s="13" t="s">
        <v>188</v>
      </c>
      <c r="F856" s="15">
        <v>10</v>
      </c>
      <c r="G856" s="15">
        <v>5330</v>
      </c>
      <c r="H856" s="15">
        <v>16.100000000000001</v>
      </c>
      <c r="I856" s="15">
        <v>44718.7</v>
      </c>
      <c r="J856" s="13" t="s">
        <v>87</v>
      </c>
      <c r="K856" s="13" t="s">
        <v>117</v>
      </c>
      <c r="L856" s="34" t="str">
        <f>VLOOKUP(D856,Products!$A$2:$F$61,3,FALSE)</f>
        <v>Electronics</v>
      </c>
      <c r="M856" s="34" t="str">
        <f>VLOOKUP(C856,Customers!$A$2:$F$301,5,FALSE)</f>
        <v>Retail</v>
      </c>
      <c r="N856" s="34">
        <f>VLOOKUP(C856,Customers!$A$2:$F$301,3,FALSE)</f>
        <v>34</v>
      </c>
      <c r="O856" s="34" t="str">
        <f>VLOOKUP(E856,Sales_Reps!$A$2:$E$31,3,FALSE)</f>
        <v>South</v>
      </c>
      <c r="P856" s="13" t="s">
        <v>188</v>
      </c>
      <c r="Q856" s="34">
        <f t="shared" si="30"/>
        <v>1091740.1799999997</v>
      </c>
      <c r="R856" s="34" t="str">
        <f>VLOOKUP(E856,Sales_Reps!$A$2:$E$100,3,FALSE)</f>
        <v>South</v>
      </c>
      <c r="S856" s="34" t="str">
        <f t="shared" si="31"/>
        <v>Electronics</v>
      </c>
      <c r="T856" s="38">
        <f>VLOOKUP(D856,Products!$A$2:$F$68,4,FALSE)</f>
        <v>2405</v>
      </c>
    </row>
    <row r="857" spans="1:20" x14ac:dyDescent="0.35">
      <c r="A857" s="13" t="s">
        <v>1333</v>
      </c>
      <c r="B857" s="14">
        <v>45438</v>
      </c>
      <c r="C857" s="13" t="s">
        <v>744</v>
      </c>
      <c r="D857" s="13" t="s">
        <v>157</v>
      </c>
      <c r="E857" s="13" t="s">
        <v>139</v>
      </c>
      <c r="F857" s="15">
        <v>2</v>
      </c>
      <c r="G857" s="15">
        <v>3450</v>
      </c>
      <c r="H857" s="15">
        <v>11.3</v>
      </c>
      <c r="I857" s="15">
        <v>6120.3</v>
      </c>
      <c r="J857" s="13" t="s">
        <v>93</v>
      </c>
      <c r="K857" s="13" t="s">
        <v>133</v>
      </c>
      <c r="L857" s="34" t="str">
        <f>VLOOKUP(D857,Products!$A$2:$F$61,3,FALSE)</f>
        <v>Beauty</v>
      </c>
      <c r="M857" s="34" t="str">
        <f>VLOOKUP(C857,Customers!$A$2:$F$301,5,FALSE)</f>
        <v>Retail</v>
      </c>
      <c r="N857" s="34">
        <f>VLOOKUP(C857,Customers!$A$2:$F$301,3,FALSE)</f>
        <v>64</v>
      </c>
      <c r="O857" s="34" t="str">
        <f>VLOOKUP(E857,Sales_Reps!$A$2:$E$31,3,FALSE)</f>
        <v>North</v>
      </c>
      <c r="P857" s="13" t="s">
        <v>139</v>
      </c>
      <c r="Q857" s="34">
        <f t="shared" si="30"/>
        <v>589026.2899999998</v>
      </c>
      <c r="R857" s="34" t="str">
        <f>VLOOKUP(E857,Sales_Reps!$A$2:$E$100,3,FALSE)</f>
        <v>North</v>
      </c>
      <c r="S857" s="34" t="str">
        <f t="shared" si="31"/>
        <v>Beauty</v>
      </c>
      <c r="T857" s="38">
        <f>VLOOKUP(D857,Products!$A$2:$F$68,4,FALSE)</f>
        <v>2420</v>
      </c>
    </row>
    <row r="858" spans="1:20" x14ac:dyDescent="0.35">
      <c r="A858" s="13" t="s">
        <v>1334</v>
      </c>
      <c r="B858" s="14">
        <v>45486</v>
      </c>
      <c r="C858" s="13" t="s">
        <v>301</v>
      </c>
      <c r="D858" s="13" t="s">
        <v>380</v>
      </c>
      <c r="E858" s="13" t="s">
        <v>154</v>
      </c>
      <c r="F858" s="15">
        <v>7</v>
      </c>
      <c r="G858" s="15">
        <v>960</v>
      </c>
      <c r="H858" s="15">
        <v>17.100000000000001</v>
      </c>
      <c r="I858" s="15">
        <v>5570.88</v>
      </c>
      <c r="J858" s="13" t="s">
        <v>87</v>
      </c>
      <c r="K858" s="13" t="s">
        <v>94</v>
      </c>
      <c r="L858" s="34" t="str">
        <f>VLOOKUP(D858,Products!$A$2:$F$61,3,FALSE)</f>
        <v>Beauty</v>
      </c>
      <c r="M858" s="34" t="str">
        <f>VLOOKUP(C858,Customers!$A$2:$F$301,5,FALSE)</f>
        <v>Retail</v>
      </c>
      <c r="N858" s="34">
        <f>VLOOKUP(C858,Customers!$A$2:$F$301,3,FALSE)</f>
        <v>41</v>
      </c>
      <c r="O858" s="34" t="str">
        <f>VLOOKUP(E858,Sales_Reps!$A$2:$E$31,3,FALSE)</f>
        <v>East</v>
      </c>
      <c r="P858" s="13" t="s">
        <v>154</v>
      </c>
      <c r="Q858" s="34">
        <f t="shared" si="30"/>
        <v>983787.4800000001</v>
      </c>
      <c r="R858" s="34" t="str">
        <f>VLOOKUP(E858,Sales_Reps!$A$2:$E$100,3,FALSE)</f>
        <v>East</v>
      </c>
      <c r="S858" s="34" t="str">
        <f t="shared" si="31"/>
        <v>Beauty</v>
      </c>
      <c r="T858" s="38">
        <f>VLOOKUP(D858,Products!$A$2:$F$68,4,FALSE)</f>
        <v>675</v>
      </c>
    </row>
    <row r="859" spans="1:20" x14ac:dyDescent="0.35">
      <c r="A859" s="13" t="s">
        <v>1335</v>
      </c>
      <c r="B859" s="14">
        <v>45623</v>
      </c>
      <c r="C859" s="13" t="s">
        <v>294</v>
      </c>
      <c r="D859" s="13" t="s">
        <v>452</v>
      </c>
      <c r="E859" s="13" t="s">
        <v>148</v>
      </c>
      <c r="F859" s="15">
        <v>5</v>
      </c>
      <c r="G859" s="15">
        <v>3450</v>
      </c>
      <c r="H859" s="15">
        <v>22.9</v>
      </c>
      <c r="I859" s="15">
        <v>13299.75</v>
      </c>
      <c r="J859" s="13" t="s">
        <v>87</v>
      </c>
      <c r="K859" s="13" t="s">
        <v>133</v>
      </c>
      <c r="L859" s="34" t="str">
        <f>VLOOKUP(D859,Products!$A$2:$F$61,3,FALSE)</f>
        <v>Apparel</v>
      </c>
      <c r="M859" s="34" t="str">
        <f>VLOOKUP(C859,Customers!$A$2:$F$301,5,FALSE)</f>
        <v>SMB</v>
      </c>
      <c r="N859" s="34">
        <f>VLOOKUP(C859,Customers!$A$2:$F$301,3,FALSE)</f>
        <v>43</v>
      </c>
      <c r="O859" s="34" t="str">
        <f>VLOOKUP(E859,Sales_Reps!$A$2:$E$31,3,FALSE)</f>
        <v>North</v>
      </c>
      <c r="P859" s="13" t="s">
        <v>148</v>
      </c>
      <c r="Q859" s="34">
        <f t="shared" si="30"/>
        <v>986692.91</v>
      </c>
      <c r="R859" s="34" t="str">
        <f>VLOOKUP(E859,Sales_Reps!$A$2:$E$100,3,FALSE)</f>
        <v>North</v>
      </c>
      <c r="S859" s="34" t="str">
        <f t="shared" si="31"/>
        <v>Apparel</v>
      </c>
      <c r="T859" s="38">
        <f>VLOOKUP(D859,Products!$A$2:$F$68,4,FALSE)</f>
        <v>1748</v>
      </c>
    </row>
    <row r="860" spans="1:20" x14ac:dyDescent="0.35">
      <c r="A860" s="13" t="s">
        <v>1336</v>
      </c>
      <c r="B860" s="14">
        <v>45634</v>
      </c>
      <c r="C860" s="13" t="s">
        <v>856</v>
      </c>
      <c r="D860" s="13" t="s">
        <v>267</v>
      </c>
      <c r="E860" s="13" t="s">
        <v>107</v>
      </c>
      <c r="F860" s="15">
        <v>5</v>
      </c>
      <c r="G860" s="15">
        <v>1220</v>
      </c>
      <c r="H860" s="15">
        <v>0.3</v>
      </c>
      <c r="I860" s="15">
        <v>6081.7</v>
      </c>
      <c r="J860" s="13" t="s">
        <v>87</v>
      </c>
      <c r="K860" s="13" t="s">
        <v>88</v>
      </c>
      <c r="L860" s="34" t="str">
        <f>VLOOKUP(D860,Products!$A$2:$F$61,3,FALSE)</f>
        <v>Electronics</v>
      </c>
      <c r="M860" s="34" t="str">
        <f>VLOOKUP(C860,Customers!$A$2:$F$301,5,FALSE)</f>
        <v>SMB</v>
      </c>
      <c r="N860" s="34">
        <f>VLOOKUP(C860,Customers!$A$2:$F$301,3,FALSE)</f>
        <v>59</v>
      </c>
      <c r="O860" s="34" t="str">
        <f>VLOOKUP(E860,Sales_Reps!$A$2:$E$31,3,FALSE)</f>
        <v>North</v>
      </c>
      <c r="P860" s="13" t="s">
        <v>107</v>
      </c>
      <c r="Q860" s="34">
        <f t="shared" si="30"/>
        <v>861553.33</v>
      </c>
      <c r="R860" s="34" t="str">
        <f>VLOOKUP(E860,Sales_Reps!$A$2:$E$100,3,FALSE)</f>
        <v>North</v>
      </c>
      <c r="S860" s="34" t="str">
        <f t="shared" si="31"/>
        <v>Electronics</v>
      </c>
      <c r="T860" s="38">
        <f>VLOOKUP(D860,Products!$A$2:$F$68,4,FALSE)</f>
        <v>517</v>
      </c>
    </row>
    <row r="861" spans="1:20" x14ac:dyDescent="0.35">
      <c r="A861" s="13" t="s">
        <v>1337</v>
      </c>
      <c r="B861" s="14">
        <v>45308</v>
      </c>
      <c r="C861" s="13" t="s">
        <v>1172</v>
      </c>
      <c r="D861" s="13" t="s">
        <v>364</v>
      </c>
      <c r="E861" s="13" t="s">
        <v>86</v>
      </c>
      <c r="F861" s="15">
        <v>5</v>
      </c>
      <c r="G861" s="15">
        <v>5330</v>
      </c>
      <c r="H861" s="15">
        <v>29</v>
      </c>
      <c r="I861" s="15">
        <v>18921.5</v>
      </c>
      <c r="J861" s="13" t="s">
        <v>87</v>
      </c>
      <c r="K861" s="13" t="s">
        <v>88</v>
      </c>
      <c r="L861" s="34" t="str">
        <f>VLOOKUP(D861,Products!$A$2:$F$61,3,FALSE)</f>
        <v>Electronics</v>
      </c>
      <c r="M861" s="34" t="str">
        <f>VLOOKUP(C861,Customers!$A$2:$F$301,5,FALSE)</f>
        <v>Retail</v>
      </c>
      <c r="N861" s="34">
        <f>VLOOKUP(C861,Customers!$A$2:$F$301,3,FALSE)</f>
        <v>39</v>
      </c>
      <c r="O861" s="34" t="str">
        <f>VLOOKUP(E861,Sales_Reps!$A$2:$E$31,3,FALSE)</f>
        <v>North</v>
      </c>
      <c r="P861" s="13" t="s">
        <v>86</v>
      </c>
      <c r="Q861" s="34">
        <f t="shared" si="30"/>
        <v>855749.67999999982</v>
      </c>
      <c r="R861" s="34" t="str">
        <f>VLOOKUP(E861,Sales_Reps!$A$2:$E$100,3,FALSE)</f>
        <v>North</v>
      </c>
      <c r="S861" s="34" t="str">
        <f t="shared" si="31"/>
        <v>Electronics</v>
      </c>
      <c r="T861" s="38">
        <f>VLOOKUP(D861,Products!$A$2:$F$68,4,FALSE)</f>
        <v>2405</v>
      </c>
    </row>
    <row r="862" spans="1:20" x14ac:dyDescent="0.35">
      <c r="A862" s="13" t="s">
        <v>1338</v>
      </c>
      <c r="B862" s="14">
        <v>45641</v>
      </c>
      <c r="C862" s="13" t="s">
        <v>759</v>
      </c>
      <c r="D862" s="13" t="s">
        <v>187</v>
      </c>
      <c r="E862" s="13" t="s">
        <v>128</v>
      </c>
      <c r="F862" s="15">
        <v>3</v>
      </c>
      <c r="G862" s="15">
        <v>3570</v>
      </c>
      <c r="H862" s="15">
        <v>20</v>
      </c>
      <c r="I862" s="15">
        <v>8568</v>
      </c>
      <c r="J862" s="13" t="s">
        <v>140</v>
      </c>
      <c r="K862" s="13" t="s">
        <v>117</v>
      </c>
      <c r="L862" s="34" t="str">
        <f>VLOOKUP(D862,Products!$A$2:$F$61,3,FALSE)</f>
        <v>Electronics</v>
      </c>
      <c r="M862" s="34" t="str">
        <f>VLOOKUP(C862,Customers!$A$2:$F$301,5,FALSE)</f>
        <v>Retail</v>
      </c>
      <c r="N862" s="34">
        <f>VLOOKUP(C862,Customers!$A$2:$F$301,3,FALSE)</f>
        <v>29</v>
      </c>
      <c r="O862" s="34" t="str">
        <f>VLOOKUP(E862,Sales_Reps!$A$2:$E$31,3,FALSE)</f>
        <v>West</v>
      </c>
      <c r="P862" s="13" t="s">
        <v>128</v>
      </c>
      <c r="Q862" s="34">
        <f t="shared" si="30"/>
        <v>880468.05</v>
      </c>
      <c r="R862" s="34" t="str">
        <f>VLOOKUP(E862,Sales_Reps!$A$2:$E$100,3,FALSE)</f>
        <v>West</v>
      </c>
      <c r="S862" s="34" t="str">
        <f t="shared" si="31"/>
        <v>Electronics</v>
      </c>
      <c r="T862" s="38">
        <f>VLOOKUP(D862,Products!$A$2:$F$68,4,FALSE)</f>
        <v>1665</v>
      </c>
    </row>
    <row r="863" spans="1:20" x14ac:dyDescent="0.35">
      <c r="A863" s="13" t="s">
        <v>1339</v>
      </c>
      <c r="B863" s="14">
        <v>45396</v>
      </c>
      <c r="C863" s="13" t="s">
        <v>729</v>
      </c>
      <c r="D863" s="13" t="s">
        <v>338</v>
      </c>
      <c r="E863" s="13" t="s">
        <v>201</v>
      </c>
      <c r="F863" s="15">
        <v>9</v>
      </c>
      <c r="G863" s="15">
        <v>2210</v>
      </c>
      <c r="H863" s="15">
        <v>12.4</v>
      </c>
      <c r="I863" s="15">
        <v>17423.64</v>
      </c>
      <c r="J863" s="13" t="s">
        <v>87</v>
      </c>
      <c r="K863" s="13" t="s">
        <v>112</v>
      </c>
      <c r="L863" s="34" t="str">
        <f>VLOOKUP(D863,Products!$A$2:$F$61,3,FALSE)</f>
        <v>Grocery</v>
      </c>
      <c r="M863" s="34" t="str">
        <f>VLOOKUP(C863,Customers!$A$2:$F$301,5,FALSE)</f>
        <v>Retail</v>
      </c>
      <c r="N863" s="34">
        <f>VLOOKUP(C863,Customers!$A$2:$F$301,3,FALSE)</f>
        <v>56</v>
      </c>
      <c r="O863" s="34" t="str">
        <f>VLOOKUP(E863,Sales_Reps!$A$2:$E$31,3,FALSE)</f>
        <v>West</v>
      </c>
      <c r="P863" s="13" t="s">
        <v>201</v>
      </c>
      <c r="Q863" s="34">
        <f t="shared" si="30"/>
        <v>576305.08000000019</v>
      </c>
      <c r="R863" s="34" t="str">
        <f>VLOOKUP(E863,Sales_Reps!$A$2:$E$100,3,FALSE)</f>
        <v>West</v>
      </c>
      <c r="S863" s="34" t="str">
        <f t="shared" si="31"/>
        <v>Grocery</v>
      </c>
      <c r="T863" s="38">
        <f>VLOOKUP(D863,Products!$A$2:$F$68,4,FALSE)</f>
        <v>1010</v>
      </c>
    </row>
    <row r="864" spans="1:20" x14ac:dyDescent="0.35">
      <c r="A864" s="13" t="s">
        <v>1340</v>
      </c>
      <c r="B864" s="14">
        <v>45302</v>
      </c>
      <c r="C864" s="13" t="s">
        <v>142</v>
      </c>
      <c r="D864" s="13" t="s">
        <v>461</v>
      </c>
      <c r="E864" s="13" t="s">
        <v>229</v>
      </c>
      <c r="F864" s="15">
        <v>5</v>
      </c>
      <c r="G864" s="15">
        <v>3780</v>
      </c>
      <c r="H864" s="15">
        <v>3.9</v>
      </c>
      <c r="I864" s="15">
        <v>18162.900000000001</v>
      </c>
      <c r="J864" s="13" t="s">
        <v>87</v>
      </c>
      <c r="K864" s="13" t="s">
        <v>88</v>
      </c>
      <c r="L864" s="34" t="str">
        <f>VLOOKUP(D864,Products!$A$2:$F$61,3,FALSE)</f>
        <v>Sports</v>
      </c>
      <c r="M864" s="34" t="str">
        <f>VLOOKUP(C864,Customers!$A$2:$F$301,5,FALSE)</f>
        <v>SMB</v>
      </c>
      <c r="N864" s="34">
        <f>VLOOKUP(C864,Customers!$A$2:$F$301,3,FALSE)</f>
        <v>39</v>
      </c>
      <c r="O864" s="34" t="str">
        <f>VLOOKUP(E864,Sales_Reps!$A$2:$E$31,3,FALSE)</f>
        <v>West</v>
      </c>
      <c r="P864" s="13" t="s">
        <v>229</v>
      </c>
      <c r="Q864" s="34">
        <f t="shared" si="30"/>
        <v>1016696.8000000002</v>
      </c>
      <c r="R864" s="34" t="str">
        <f>VLOOKUP(E864,Sales_Reps!$A$2:$E$100,3,FALSE)</f>
        <v>West</v>
      </c>
      <c r="S864" s="34" t="str">
        <f t="shared" si="31"/>
        <v>Sports</v>
      </c>
      <c r="T864" s="38">
        <f>VLOOKUP(D864,Products!$A$2:$F$68,4,FALSE)</f>
        <v>1860</v>
      </c>
    </row>
    <row r="865" spans="1:20" x14ac:dyDescent="0.35">
      <c r="A865" s="13" t="s">
        <v>1341</v>
      </c>
      <c r="B865" s="14">
        <v>45626</v>
      </c>
      <c r="C865" s="13" t="s">
        <v>169</v>
      </c>
      <c r="D865" s="13" t="s">
        <v>135</v>
      </c>
      <c r="E865" s="13" t="s">
        <v>107</v>
      </c>
      <c r="F865" s="15">
        <v>10</v>
      </c>
      <c r="G865" s="15">
        <v>2640</v>
      </c>
      <c r="H865" s="15">
        <v>17.8</v>
      </c>
      <c r="I865" s="15">
        <v>21700.799999999999</v>
      </c>
      <c r="J865" s="13" t="s">
        <v>144</v>
      </c>
      <c r="K865" s="13" t="s">
        <v>112</v>
      </c>
      <c r="L865" s="34" t="str">
        <f>VLOOKUP(D865,Products!$A$2:$F$61,3,FALSE)</f>
        <v>Electronics</v>
      </c>
      <c r="M865" s="34" t="str">
        <f>VLOOKUP(C865,Customers!$A$2:$F$301,5,FALSE)</f>
        <v>Retail</v>
      </c>
      <c r="N865" s="34">
        <f>VLOOKUP(C865,Customers!$A$2:$F$301,3,FALSE)</f>
        <v>34</v>
      </c>
      <c r="O865" s="34" t="str">
        <f>VLOOKUP(E865,Sales_Reps!$A$2:$E$31,3,FALSE)</f>
        <v>North</v>
      </c>
      <c r="P865" s="13" t="s">
        <v>107</v>
      </c>
      <c r="Q865" s="34">
        <f t="shared" si="30"/>
        <v>861553.33</v>
      </c>
      <c r="R865" s="34" t="str">
        <f>VLOOKUP(E865,Sales_Reps!$A$2:$E$100,3,FALSE)</f>
        <v>North</v>
      </c>
      <c r="S865" s="34" t="str">
        <f t="shared" si="31"/>
        <v>Electronics</v>
      </c>
      <c r="T865" s="38">
        <f>VLOOKUP(D865,Products!$A$2:$F$68,4,FALSE)</f>
        <v>1149</v>
      </c>
    </row>
    <row r="866" spans="1:20" x14ac:dyDescent="0.35">
      <c r="A866" s="13" t="s">
        <v>1342</v>
      </c>
      <c r="B866" s="14">
        <v>45352</v>
      </c>
      <c r="C866" s="13" t="s">
        <v>610</v>
      </c>
      <c r="D866" s="13" t="s">
        <v>282</v>
      </c>
      <c r="E866" s="13" t="s">
        <v>116</v>
      </c>
      <c r="F866" s="15">
        <v>5</v>
      </c>
      <c r="G866" s="15">
        <v>300</v>
      </c>
      <c r="H866" s="15">
        <v>12.9</v>
      </c>
      <c r="I866" s="15">
        <v>1306.5</v>
      </c>
      <c r="J866" s="13" t="s">
        <v>87</v>
      </c>
      <c r="K866" s="13" t="s">
        <v>117</v>
      </c>
      <c r="L866" s="34" t="str">
        <f>VLOOKUP(D866,Products!$A$2:$F$61,3,FALSE)</f>
        <v>Electronics</v>
      </c>
      <c r="M866" s="34" t="str">
        <f>VLOOKUP(C866,Customers!$A$2:$F$301,5,FALSE)</f>
        <v>SMB</v>
      </c>
      <c r="N866" s="34">
        <f>VLOOKUP(C866,Customers!$A$2:$F$301,3,FALSE)</f>
        <v>42</v>
      </c>
      <c r="O866" s="34" t="str">
        <f>VLOOKUP(E866,Sales_Reps!$A$2:$E$31,3,FALSE)</f>
        <v>West</v>
      </c>
      <c r="P866" s="13" t="s">
        <v>116</v>
      </c>
      <c r="Q866" s="34">
        <f t="shared" si="30"/>
        <v>819558.58</v>
      </c>
      <c r="R866" s="34" t="str">
        <f>VLOOKUP(E866,Sales_Reps!$A$2:$E$100,3,FALSE)</f>
        <v>West</v>
      </c>
      <c r="S866" s="34" t="str">
        <f t="shared" si="31"/>
        <v>Electronics</v>
      </c>
      <c r="T866" s="38">
        <f>VLOOKUP(D866,Products!$A$2:$F$68,4,FALSE)</f>
        <v>128</v>
      </c>
    </row>
    <row r="867" spans="1:20" x14ac:dyDescent="0.35">
      <c r="A867" s="13" t="s">
        <v>1343</v>
      </c>
      <c r="B867" s="14">
        <v>45588</v>
      </c>
      <c r="C867" s="13" t="s">
        <v>294</v>
      </c>
      <c r="D867" s="13" t="s">
        <v>151</v>
      </c>
      <c r="E867" s="13" t="s">
        <v>252</v>
      </c>
      <c r="F867" s="15">
        <v>2</v>
      </c>
      <c r="G867" s="15">
        <v>2400</v>
      </c>
      <c r="H867" s="15">
        <v>17.100000000000001</v>
      </c>
      <c r="I867" s="15">
        <v>3979.2</v>
      </c>
      <c r="J867" s="13" t="s">
        <v>93</v>
      </c>
      <c r="K867" s="13" t="s">
        <v>133</v>
      </c>
      <c r="L867" s="34" t="str">
        <f>VLOOKUP(D867,Products!$A$2:$F$61,3,FALSE)</f>
        <v>Sports</v>
      </c>
      <c r="M867" s="34" t="str">
        <f>VLOOKUP(C867,Customers!$A$2:$F$301,5,FALSE)</f>
        <v>SMB</v>
      </c>
      <c r="N867" s="34">
        <f>VLOOKUP(C867,Customers!$A$2:$F$301,3,FALSE)</f>
        <v>43</v>
      </c>
      <c r="O867" s="34" t="str">
        <f>VLOOKUP(E867,Sales_Reps!$A$2:$E$31,3,FALSE)</f>
        <v>South</v>
      </c>
      <c r="P867" s="13" t="s">
        <v>252</v>
      </c>
      <c r="Q867" s="34">
        <f t="shared" si="30"/>
        <v>811524.37999999989</v>
      </c>
      <c r="R867" s="34" t="str">
        <f>VLOOKUP(E867,Sales_Reps!$A$2:$E$100,3,FALSE)</f>
        <v>South</v>
      </c>
      <c r="S867" s="34" t="str">
        <f t="shared" si="31"/>
        <v>Sports</v>
      </c>
      <c r="T867" s="38">
        <f>VLOOKUP(D867,Products!$A$2:$F$68,4,FALSE)</f>
        <v>974</v>
      </c>
    </row>
    <row r="868" spans="1:20" x14ac:dyDescent="0.35">
      <c r="A868" s="13" t="s">
        <v>1344</v>
      </c>
      <c r="B868" s="14">
        <v>45583</v>
      </c>
      <c r="C868" s="13" t="s">
        <v>299</v>
      </c>
      <c r="D868" s="13" t="s">
        <v>164</v>
      </c>
      <c r="E868" s="13" t="s">
        <v>201</v>
      </c>
      <c r="F868" s="15">
        <v>5</v>
      </c>
      <c r="G868" s="15">
        <v>1080</v>
      </c>
      <c r="H868" s="15">
        <v>15.7</v>
      </c>
      <c r="I868" s="15">
        <v>4552.2</v>
      </c>
      <c r="J868" s="13" t="s">
        <v>93</v>
      </c>
      <c r="K868" s="13" t="s">
        <v>133</v>
      </c>
      <c r="L868" s="34" t="str">
        <f>VLOOKUP(D868,Products!$A$2:$F$61,3,FALSE)</f>
        <v>Home</v>
      </c>
      <c r="M868" s="34" t="str">
        <f>VLOOKUP(C868,Customers!$A$2:$F$301,5,FALSE)</f>
        <v>Retail</v>
      </c>
      <c r="N868" s="34">
        <f>VLOOKUP(C868,Customers!$A$2:$F$301,3,FALSE)</f>
        <v>29</v>
      </c>
      <c r="O868" s="34" t="str">
        <f>VLOOKUP(E868,Sales_Reps!$A$2:$E$31,3,FALSE)</f>
        <v>West</v>
      </c>
      <c r="P868" s="13" t="s">
        <v>201</v>
      </c>
      <c r="Q868" s="34">
        <f t="shared" si="30"/>
        <v>576305.08000000019</v>
      </c>
      <c r="R868" s="34" t="str">
        <f>VLOOKUP(E868,Sales_Reps!$A$2:$E$100,3,FALSE)</f>
        <v>West</v>
      </c>
      <c r="S868" s="34" t="str">
        <f t="shared" si="31"/>
        <v>Home</v>
      </c>
      <c r="T868" s="38">
        <f>VLOOKUP(D868,Products!$A$2:$F$68,4,FALSE)</f>
        <v>519</v>
      </c>
    </row>
    <row r="869" spans="1:20" x14ac:dyDescent="0.35">
      <c r="A869" s="13" t="s">
        <v>1345</v>
      </c>
      <c r="B869" s="14">
        <v>45528</v>
      </c>
      <c r="C869" s="13" t="s">
        <v>714</v>
      </c>
      <c r="D869" s="13" t="s">
        <v>143</v>
      </c>
      <c r="E869" s="13" t="s">
        <v>148</v>
      </c>
      <c r="F869" s="15">
        <v>1</v>
      </c>
      <c r="G869" s="15">
        <v>3250</v>
      </c>
      <c r="H869" s="15">
        <v>14.7</v>
      </c>
      <c r="I869" s="15">
        <v>2772.25</v>
      </c>
      <c r="J869" s="13" t="s">
        <v>87</v>
      </c>
      <c r="K869" s="13" t="s">
        <v>99</v>
      </c>
      <c r="L869" s="34" t="str">
        <f>VLOOKUP(D869,Products!$A$2:$F$61,3,FALSE)</f>
        <v>Home</v>
      </c>
      <c r="M869" s="34" t="str">
        <f>VLOOKUP(C869,Customers!$A$2:$F$301,5,FALSE)</f>
        <v>Retail</v>
      </c>
      <c r="N869" s="34">
        <f>VLOOKUP(C869,Customers!$A$2:$F$301,3,FALSE)</f>
        <v>24</v>
      </c>
      <c r="O869" s="34" t="str">
        <f>VLOOKUP(E869,Sales_Reps!$A$2:$E$31,3,FALSE)</f>
        <v>North</v>
      </c>
      <c r="P869" s="13" t="s">
        <v>148</v>
      </c>
      <c r="Q869" s="34">
        <f t="shared" si="30"/>
        <v>986692.91</v>
      </c>
      <c r="R869" s="34" t="str">
        <f>VLOOKUP(E869,Sales_Reps!$A$2:$E$100,3,FALSE)</f>
        <v>North</v>
      </c>
      <c r="S869" s="34" t="str">
        <f t="shared" si="31"/>
        <v>Home</v>
      </c>
      <c r="T869" s="38">
        <f>VLOOKUP(D869,Products!$A$2:$F$68,4,FALSE)</f>
        <v>1556</v>
      </c>
    </row>
    <row r="870" spans="1:20" x14ac:dyDescent="0.35">
      <c r="A870" s="13" t="s">
        <v>1346</v>
      </c>
      <c r="B870" s="14">
        <v>45400</v>
      </c>
      <c r="C870" s="13" t="s">
        <v>416</v>
      </c>
      <c r="D870" s="13" t="s">
        <v>110</v>
      </c>
      <c r="E870" s="13" t="s">
        <v>158</v>
      </c>
      <c r="F870" s="15">
        <v>7</v>
      </c>
      <c r="G870" s="15">
        <v>370</v>
      </c>
      <c r="H870" s="15">
        <v>6</v>
      </c>
      <c r="I870" s="15">
        <v>2434.6</v>
      </c>
      <c r="J870" s="13" t="s">
        <v>140</v>
      </c>
      <c r="K870" s="13" t="s">
        <v>117</v>
      </c>
      <c r="L870" s="34" t="str">
        <f>VLOOKUP(D870,Products!$A$2:$F$61,3,FALSE)</f>
        <v>Home</v>
      </c>
      <c r="M870" s="34" t="str">
        <f>VLOOKUP(C870,Customers!$A$2:$F$301,5,FALSE)</f>
        <v>Corporate</v>
      </c>
      <c r="N870" s="34">
        <f>VLOOKUP(C870,Customers!$A$2:$F$301,3,FALSE)</f>
        <v>42</v>
      </c>
      <c r="O870" s="34" t="str">
        <f>VLOOKUP(E870,Sales_Reps!$A$2:$E$31,3,FALSE)</f>
        <v>East</v>
      </c>
      <c r="P870" s="13" t="s">
        <v>158</v>
      </c>
      <c r="Q870" s="34">
        <f t="shared" si="30"/>
        <v>761507.17000000027</v>
      </c>
      <c r="R870" s="34" t="str">
        <f>VLOOKUP(E870,Sales_Reps!$A$2:$E$100,3,FALSE)</f>
        <v>East</v>
      </c>
      <c r="S870" s="34" t="str">
        <f t="shared" si="31"/>
        <v>Home</v>
      </c>
      <c r="T870" s="38">
        <f>VLOOKUP(D870,Products!$A$2:$F$68,4,FALSE)</f>
        <v>288</v>
      </c>
    </row>
    <row r="871" spans="1:20" x14ac:dyDescent="0.35">
      <c r="A871" s="13" t="s">
        <v>1347</v>
      </c>
      <c r="B871" s="14">
        <v>45337</v>
      </c>
      <c r="C871" s="13" t="s">
        <v>1348</v>
      </c>
      <c r="D871" s="13" t="s">
        <v>124</v>
      </c>
      <c r="E871" s="13" t="s">
        <v>229</v>
      </c>
      <c r="F871" s="15">
        <v>7</v>
      </c>
      <c r="G871" s="15">
        <v>5490</v>
      </c>
      <c r="H871" s="15">
        <v>10.199999999999999</v>
      </c>
      <c r="I871" s="15">
        <v>34510.14</v>
      </c>
      <c r="J871" s="13" t="s">
        <v>87</v>
      </c>
      <c r="K871" s="13" t="s">
        <v>88</v>
      </c>
      <c r="L871" s="34" t="str">
        <f>VLOOKUP(D871,Products!$A$2:$F$61,3,FALSE)</f>
        <v>Home</v>
      </c>
      <c r="M871" s="34" t="e">
        <f>VLOOKUP(C871,Customers!$A$2:$F$301,5,FALSE)</f>
        <v>#N/A</v>
      </c>
      <c r="N871" s="34" t="e">
        <f>VLOOKUP(C871,Customers!$A$2:$F$301,3,FALSE)</f>
        <v>#N/A</v>
      </c>
      <c r="O871" s="34" t="str">
        <f>VLOOKUP(E871,Sales_Reps!$A$2:$E$31,3,FALSE)</f>
        <v>West</v>
      </c>
      <c r="P871" s="13" t="s">
        <v>229</v>
      </c>
      <c r="Q871" s="34">
        <f t="shared" si="30"/>
        <v>1016696.8000000002</v>
      </c>
      <c r="R871" s="34" t="str">
        <f>VLOOKUP(E871,Sales_Reps!$A$2:$E$100,3,FALSE)</f>
        <v>West</v>
      </c>
      <c r="S871" s="34" t="str">
        <f t="shared" si="31"/>
        <v>Home</v>
      </c>
      <c r="T871" s="38">
        <f>VLOOKUP(D871,Products!$A$2:$F$68,4,FALSE)</f>
        <v>2549</v>
      </c>
    </row>
    <row r="872" spans="1:20" x14ac:dyDescent="0.35">
      <c r="A872" s="13" t="s">
        <v>1349</v>
      </c>
      <c r="B872" s="14">
        <v>45482</v>
      </c>
      <c r="C872" s="13" t="s">
        <v>1350</v>
      </c>
      <c r="D872" s="13" t="s">
        <v>408</v>
      </c>
      <c r="E872" s="13" t="s">
        <v>128</v>
      </c>
      <c r="F872" s="15">
        <v>3</v>
      </c>
      <c r="G872" s="15">
        <v>3970</v>
      </c>
      <c r="H872" s="15">
        <v>2.4</v>
      </c>
      <c r="I872" s="15">
        <v>11624.16</v>
      </c>
      <c r="J872" s="13" t="s">
        <v>87</v>
      </c>
      <c r="K872" s="13" t="s">
        <v>112</v>
      </c>
      <c r="L872" s="34" t="str">
        <f>VLOOKUP(D872,Products!$A$2:$F$61,3,FALSE)</f>
        <v>Electronics</v>
      </c>
      <c r="M872" s="34" t="str">
        <f>VLOOKUP(C872,Customers!$A$2:$F$301,5,FALSE)</f>
        <v>Retail</v>
      </c>
      <c r="N872" s="34">
        <f>VLOOKUP(C872,Customers!$A$2:$F$301,3,FALSE)</f>
        <v>38</v>
      </c>
      <c r="O872" s="34" t="str">
        <f>VLOOKUP(E872,Sales_Reps!$A$2:$E$31,3,FALSE)</f>
        <v>West</v>
      </c>
      <c r="P872" s="13" t="s">
        <v>128</v>
      </c>
      <c r="Q872" s="34">
        <f t="shared" si="30"/>
        <v>880468.05</v>
      </c>
      <c r="R872" s="34" t="str">
        <f>VLOOKUP(E872,Sales_Reps!$A$2:$E$100,3,FALSE)</f>
        <v>West</v>
      </c>
      <c r="S872" s="34" t="str">
        <f t="shared" si="31"/>
        <v>Electronics</v>
      </c>
      <c r="T872" s="38">
        <f>VLOOKUP(D872,Products!$A$2:$F$68,4,FALSE)</f>
        <v>2865</v>
      </c>
    </row>
    <row r="873" spans="1:20" x14ac:dyDescent="0.35">
      <c r="A873" s="13" t="s">
        <v>1351</v>
      </c>
      <c r="B873" s="14">
        <v>45583</v>
      </c>
      <c r="C873" s="13" t="s">
        <v>762</v>
      </c>
      <c r="D873" s="13" t="s">
        <v>267</v>
      </c>
      <c r="E873" s="13" t="s">
        <v>86</v>
      </c>
      <c r="F873" s="15">
        <v>4</v>
      </c>
      <c r="G873" s="15">
        <v>1220</v>
      </c>
      <c r="H873" s="15">
        <v>25.3</v>
      </c>
      <c r="I873" s="15">
        <v>3645.36</v>
      </c>
      <c r="J873" s="13" t="s">
        <v>87</v>
      </c>
      <c r="K873" s="13" t="s">
        <v>133</v>
      </c>
      <c r="L873" s="34" t="str">
        <f>VLOOKUP(D873,Products!$A$2:$F$61,3,FALSE)</f>
        <v>Electronics</v>
      </c>
      <c r="M873" s="34" t="str">
        <f>VLOOKUP(C873,Customers!$A$2:$F$301,5,FALSE)</f>
        <v>Retail</v>
      </c>
      <c r="N873" s="34">
        <f>VLOOKUP(C873,Customers!$A$2:$F$301,3,FALSE)</f>
        <v>52</v>
      </c>
      <c r="O873" s="34" t="str">
        <f>VLOOKUP(E873,Sales_Reps!$A$2:$E$31,3,FALSE)</f>
        <v>North</v>
      </c>
      <c r="P873" s="13" t="s">
        <v>86</v>
      </c>
      <c r="Q873" s="34">
        <f t="shared" si="30"/>
        <v>855749.67999999982</v>
      </c>
      <c r="R873" s="34" t="str">
        <f>VLOOKUP(E873,Sales_Reps!$A$2:$E$100,3,FALSE)</f>
        <v>North</v>
      </c>
      <c r="S873" s="34" t="str">
        <f t="shared" si="31"/>
        <v>Electronics</v>
      </c>
      <c r="T873" s="38">
        <f>VLOOKUP(D873,Products!$A$2:$F$68,4,FALSE)</f>
        <v>517</v>
      </c>
    </row>
    <row r="874" spans="1:20" x14ac:dyDescent="0.35">
      <c r="A874" s="13" t="s">
        <v>1352</v>
      </c>
      <c r="B874" s="14">
        <v>45409</v>
      </c>
      <c r="C874" s="13" t="s">
        <v>744</v>
      </c>
      <c r="D874" s="13" t="s">
        <v>106</v>
      </c>
      <c r="E874" s="13" t="s">
        <v>201</v>
      </c>
      <c r="F874" s="15">
        <v>3</v>
      </c>
      <c r="G874" s="15">
        <v>3160</v>
      </c>
      <c r="H874" s="15">
        <v>19.8</v>
      </c>
      <c r="I874" s="15">
        <v>7602.96</v>
      </c>
      <c r="J874" s="13" t="s">
        <v>87</v>
      </c>
      <c r="K874" s="13" t="s">
        <v>133</v>
      </c>
      <c r="L874" s="34" t="str">
        <f>VLOOKUP(D874,Products!$A$2:$F$61,3,FALSE)</f>
        <v>Apparel</v>
      </c>
      <c r="M874" s="34" t="str">
        <f>VLOOKUP(C874,Customers!$A$2:$F$301,5,FALSE)</f>
        <v>Retail</v>
      </c>
      <c r="N874" s="34">
        <f>VLOOKUP(C874,Customers!$A$2:$F$301,3,FALSE)</f>
        <v>64</v>
      </c>
      <c r="O874" s="34" t="str">
        <f>VLOOKUP(E874,Sales_Reps!$A$2:$E$31,3,FALSE)</f>
        <v>West</v>
      </c>
      <c r="P874" s="13" t="s">
        <v>201</v>
      </c>
      <c r="Q874" s="34">
        <f t="shared" si="30"/>
        <v>576305.08000000019</v>
      </c>
      <c r="R874" s="34" t="str">
        <f>VLOOKUP(E874,Sales_Reps!$A$2:$E$100,3,FALSE)</f>
        <v>West</v>
      </c>
      <c r="S874" s="34" t="str">
        <f t="shared" si="31"/>
        <v>Apparel</v>
      </c>
      <c r="T874" s="38">
        <f>VLOOKUP(D874,Products!$A$2:$F$68,4,FALSE)</f>
        <v>1886</v>
      </c>
    </row>
    <row r="875" spans="1:20" x14ac:dyDescent="0.35">
      <c r="A875" s="13" t="s">
        <v>1353</v>
      </c>
      <c r="B875" s="14">
        <v>45430</v>
      </c>
      <c r="C875" s="13" t="s">
        <v>613</v>
      </c>
      <c r="D875" s="13" t="s">
        <v>282</v>
      </c>
      <c r="E875" s="13" t="s">
        <v>107</v>
      </c>
      <c r="F875" s="15">
        <v>1</v>
      </c>
      <c r="G875" s="15">
        <v>300</v>
      </c>
      <c r="H875" s="15">
        <v>24.5</v>
      </c>
      <c r="I875" s="15">
        <v>226.5</v>
      </c>
      <c r="J875" s="13" t="s">
        <v>87</v>
      </c>
      <c r="K875" s="13" t="s">
        <v>112</v>
      </c>
      <c r="L875" s="34" t="str">
        <f>VLOOKUP(D875,Products!$A$2:$F$61,3,FALSE)</f>
        <v>Electronics</v>
      </c>
      <c r="M875" s="34" t="str">
        <f>VLOOKUP(C875,Customers!$A$2:$F$301,5,FALSE)</f>
        <v>Retail</v>
      </c>
      <c r="N875" s="34">
        <f>VLOOKUP(C875,Customers!$A$2:$F$301,3,FALSE)</f>
        <v>44</v>
      </c>
      <c r="O875" s="34" t="str">
        <f>VLOOKUP(E875,Sales_Reps!$A$2:$E$31,3,FALSE)</f>
        <v>North</v>
      </c>
      <c r="P875" s="13" t="s">
        <v>107</v>
      </c>
      <c r="Q875" s="34">
        <f t="shared" si="30"/>
        <v>861553.33</v>
      </c>
      <c r="R875" s="34" t="str">
        <f>VLOOKUP(E875,Sales_Reps!$A$2:$E$100,3,FALSE)</f>
        <v>North</v>
      </c>
      <c r="S875" s="34" t="str">
        <f t="shared" si="31"/>
        <v>Electronics</v>
      </c>
      <c r="T875" s="38">
        <f>VLOOKUP(D875,Products!$A$2:$F$68,4,FALSE)</f>
        <v>128</v>
      </c>
    </row>
    <row r="876" spans="1:20" x14ac:dyDescent="0.35">
      <c r="A876" s="13" t="s">
        <v>1354</v>
      </c>
      <c r="B876" s="14">
        <v>45654</v>
      </c>
      <c r="C876" s="13" t="s">
        <v>1308</v>
      </c>
      <c r="D876" s="13" t="s">
        <v>157</v>
      </c>
      <c r="E876" s="13" t="s">
        <v>229</v>
      </c>
      <c r="F876" s="15">
        <v>5</v>
      </c>
      <c r="G876" s="15">
        <v>3450</v>
      </c>
      <c r="H876" s="15">
        <v>13.4</v>
      </c>
      <c r="I876" s="15">
        <v>14938.5</v>
      </c>
      <c r="J876" s="13" t="s">
        <v>93</v>
      </c>
      <c r="K876" s="13" t="s">
        <v>94</v>
      </c>
      <c r="L876" s="34" t="str">
        <f>VLOOKUP(D876,Products!$A$2:$F$61,3,FALSE)</f>
        <v>Beauty</v>
      </c>
      <c r="M876" s="34" t="str">
        <f>VLOOKUP(C876,Customers!$A$2:$F$301,5,FALSE)</f>
        <v>SMB</v>
      </c>
      <c r="N876" s="34">
        <f>VLOOKUP(C876,Customers!$A$2:$F$301,3,FALSE)</f>
        <v>51</v>
      </c>
      <c r="O876" s="34" t="str">
        <f>VLOOKUP(E876,Sales_Reps!$A$2:$E$31,3,FALSE)</f>
        <v>West</v>
      </c>
      <c r="P876" s="13" t="s">
        <v>229</v>
      </c>
      <c r="Q876" s="34">
        <f t="shared" si="30"/>
        <v>1016696.8000000002</v>
      </c>
      <c r="R876" s="34" t="str">
        <f>VLOOKUP(E876,Sales_Reps!$A$2:$E$100,3,FALSE)</f>
        <v>West</v>
      </c>
      <c r="S876" s="34" t="str">
        <f t="shared" si="31"/>
        <v>Beauty</v>
      </c>
      <c r="T876" s="38">
        <f>VLOOKUP(D876,Products!$A$2:$F$68,4,FALSE)</f>
        <v>2420</v>
      </c>
    </row>
    <row r="877" spans="1:20" x14ac:dyDescent="0.35">
      <c r="A877" s="13" t="s">
        <v>1355</v>
      </c>
      <c r="B877" s="14">
        <v>45397</v>
      </c>
      <c r="C877" s="13" t="s">
        <v>289</v>
      </c>
      <c r="D877" s="13" t="s">
        <v>85</v>
      </c>
      <c r="E877" s="13" t="s">
        <v>343</v>
      </c>
      <c r="F877" s="15">
        <v>7</v>
      </c>
      <c r="G877" s="15">
        <v>3620</v>
      </c>
      <c r="H877" s="15">
        <v>19.2</v>
      </c>
      <c r="I877" s="15">
        <v>20474.72</v>
      </c>
      <c r="J877" s="13" t="s">
        <v>87</v>
      </c>
      <c r="K877" s="13" t="s">
        <v>94</v>
      </c>
      <c r="L877" s="34" t="str">
        <f>VLOOKUP(D877,Products!$A$2:$F$61,3,FALSE)</f>
        <v>Apparel</v>
      </c>
      <c r="M877" s="34" t="str">
        <f>VLOOKUP(C877,Customers!$A$2:$F$301,5,FALSE)</f>
        <v>Retail</v>
      </c>
      <c r="N877" s="34">
        <f>VLOOKUP(C877,Customers!$A$2:$F$301,3,FALSE)</f>
        <v>38</v>
      </c>
      <c r="O877" s="34" t="str">
        <f>VLOOKUP(E877,Sales_Reps!$A$2:$E$31,3,FALSE)</f>
        <v>West</v>
      </c>
      <c r="P877" s="13" t="s">
        <v>343</v>
      </c>
      <c r="Q877" s="34">
        <f t="shared" si="30"/>
        <v>917092.61999999965</v>
      </c>
      <c r="R877" s="34" t="str">
        <f>VLOOKUP(E877,Sales_Reps!$A$2:$E$100,3,FALSE)</f>
        <v>West</v>
      </c>
      <c r="S877" s="34" t="str">
        <f t="shared" si="31"/>
        <v>Apparel</v>
      </c>
      <c r="T877" s="38">
        <f>VLOOKUP(D877,Products!$A$2:$F$68,4,FALSE)</f>
        <v>2509</v>
      </c>
    </row>
    <row r="878" spans="1:20" x14ac:dyDescent="0.35">
      <c r="A878" s="13" t="s">
        <v>1356</v>
      </c>
      <c r="B878" s="14">
        <v>45505</v>
      </c>
      <c r="C878" s="13" t="s">
        <v>109</v>
      </c>
      <c r="D878" s="13" t="s">
        <v>131</v>
      </c>
      <c r="E878" s="13" t="s">
        <v>132</v>
      </c>
      <c r="F878" s="15">
        <v>10</v>
      </c>
      <c r="G878" s="15">
        <v>2270</v>
      </c>
      <c r="H878" s="15">
        <v>20.5</v>
      </c>
      <c r="I878" s="15">
        <v>18046.5</v>
      </c>
      <c r="J878" s="13" t="s">
        <v>87</v>
      </c>
      <c r="K878" s="13" t="s">
        <v>112</v>
      </c>
      <c r="L878" s="34" t="str">
        <f>VLOOKUP(D878,Products!$A$2:$F$61,3,FALSE)</f>
        <v>Grocery</v>
      </c>
      <c r="M878" s="34" t="str">
        <f>VLOOKUP(C878,Customers!$A$2:$F$301,5,FALSE)</f>
        <v>Retail</v>
      </c>
      <c r="N878" s="34">
        <f>VLOOKUP(C878,Customers!$A$2:$F$301,3,FALSE)</f>
        <v>36</v>
      </c>
      <c r="O878" s="34" t="str">
        <f>VLOOKUP(E878,Sales_Reps!$A$2:$E$31,3,FALSE)</f>
        <v>South</v>
      </c>
      <c r="P878" s="13" t="s">
        <v>132</v>
      </c>
      <c r="Q878" s="34">
        <f t="shared" si="30"/>
        <v>880345.20000000007</v>
      </c>
      <c r="R878" s="34" t="str">
        <f>VLOOKUP(E878,Sales_Reps!$A$2:$E$100,3,FALSE)</f>
        <v>South</v>
      </c>
      <c r="S878" s="34" t="str">
        <f t="shared" si="31"/>
        <v>Grocery</v>
      </c>
      <c r="T878" s="38">
        <f>VLOOKUP(D878,Products!$A$2:$F$68,4,FALSE)</f>
        <v>1203</v>
      </c>
    </row>
    <row r="879" spans="1:20" x14ac:dyDescent="0.35">
      <c r="A879" s="13" t="s">
        <v>1357</v>
      </c>
      <c r="B879" s="14">
        <v>45386</v>
      </c>
      <c r="C879" s="13" t="s">
        <v>1358</v>
      </c>
      <c r="D879" s="13" t="s">
        <v>173</v>
      </c>
      <c r="E879" s="13" t="s">
        <v>116</v>
      </c>
      <c r="F879" s="15">
        <v>5</v>
      </c>
      <c r="G879" s="15">
        <v>2720</v>
      </c>
      <c r="H879" s="15">
        <v>29.3</v>
      </c>
      <c r="I879" s="15">
        <v>9615.2000000000007</v>
      </c>
      <c r="J879" s="13" t="s">
        <v>87</v>
      </c>
      <c r="K879" s="13" t="s">
        <v>112</v>
      </c>
      <c r="L879" s="34" t="str">
        <f>VLOOKUP(D879,Products!$A$2:$F$61,3,FALSE)</f>
        <v>Apparel</v>
      </c>
      <c r="M879" s="34" t="str">
        <f>VLOOKUP(C879,Customers!$A$2:$F$301,5,FALSE)</f>
        <v>Corporate</v>
      </c>
      <c r="N879" s="34">
        <f>VLOOKUP(C879,Customers!$A$2:$F$301,3,FALSE)</f>
        <v>42</v>
      </c>
      <c r="O879" s="34" t="str">
        <f>VLOOKUP(E879,Sales_Reps!$A$2:$E$31,3,FALSE)</f>
        <v>West</v>
      </c>
      <c r="P879" s="13" t="s">
        <v>116</v>
      </c>
      <c r="Q879" s="34">
        <f t="shared" si="30"/>
        <v>819558.58</v>
      </c>
      <c r="R879" s="34" t="str">
        <f>VLOOKUP(E879,Sales_Reps!$A$2:$E$100,3,FALSE)</f>
        <v>West</v>
      </c>
      <c r="S879" s="34" t="str">
        <f t="shared" si="31"/>
        <v>Apparel</v>
      </c>
      <c r="T879" s="38">
        <f>VLOOKUP(D879,Products!$A$2:$F$68,4,FALSE)</f>
        <v>1962</v>
      </c>
    </row>
    <row r="880" spans="1:20" x14ac:dyDescent="0.35">
      <c r="A880" s="13" t="s">
        <v>1359</v>
      </c>
      <c r="B880" s="14">
        <v>45499</v>
      </c>
      <c r="C880" s="13" t="s">
        <v>963</v>
      </c>
      <c r="D880" s="13" t="s">
        <v>234</v>
      </c>
      <c r="E880" s="13" t="s">
        <v>285</v>
      </c>
      <c r="F880" s="15">
        <v>9</v>
      </c>
      <c r="G880" s="15">
        <v>3780</v>
      </c>
      <c r="H880" s="15">
        <v>2.2999999999999998</v>
      </c>
      <c r="I880" s="15">
        <v>33237.54</v>
      </c>
      <c r="J880" s="13" t="s">
        <v>87</v>
      </c>
      <c r="K880" s="13" t="s">
        <v>94</v>
      </c>
      <c r="L880" s="34" t="str">
        <f>VLOOKUP(D880,Products!$A$2:$F$61,3,FALSE)</f>
        <v>Grocery</v>
      </c>
      <c r="M880" s="34" t="str">
        <f>VLOOKUP(C880,Customers!$A$2:$F$301,5,FALSE)</f>
        <v>Retail</v>
      </c>
      <c r="N880" s="34">
        <f>VLOOKUP(C880,Customers!$A$2:$F$301,3,FALSE)</f>
        <v>31</v>
      </c>
      <c r="O880" s="34" t="str">
        <f>VLOOKUP(E880,Sales_Reps!$A$2:$E$31,3,FALSE)</f>
        <v>East</v>
      </c>
      <c r="P880" s="13" t="s">
        <v>285</v>
      </c>
      <c r="Q880" s="34">
        <f t="shared" si="30"/>
        <v>1069570.5400000003</v>
      </c>
      <c r="R880" s="34" t="str">
        <f>VLOOKUP(E880,Sales_Reps!$A$2:$E$100,3,FALSE)</f>
        <v>East</v>
      </c>
      <c r="S880" s="34" t="str">
        <f t="shared" si="31"/>
        <v>Grocery</v>
      </c>
      <c r="T880" s="38">
        <f>VLOOKUP(D880,Products!$A$2:$F$68,4,FALSE)</f>
        <v>2436</v>
      </c>
    </row>
    <row r="881" spans="1:20" x14ac:dyDescent="0.35">
      <c r="A881" s="13" t="s">
        <v>1360</v>
      </c>
      <c r="B881" s="14">
        <v>45636</v>
      </c>
      <c r="C881" s="13" t="s">
        <v>1361</v>
      </c>
      <c r="D881" s="13" t="s">
        <v>351</v>
      </c>
      <c r="E881" s="13" t="s">
        <v>98</v>
      </c>
      <c r="F881" s="15">
        <v>9</v>
      </c>
      <c r="G881" s="15">
        <v>4060</v>
      </c>
      <c r="H881" s="15">
        <v>11.5</v>
      </c>
      <c r="I881" s="15">
        <v>32337.9</v>
      </c>
      <c r="J881" s="13" t="s">
        <v>87</v>
      </c>
      <c r="K881" s="13" t="s">
        <v>94</v>
      </c>
      <c r="L881" s="34" t="str">
        <f>VLOOKUP(D881,Products!$A$2:$F$61,3,FALSE)</f>
        <v>Grocery</v>
      </c>
      <c r="M881" s="34" t="str">
        <f>VLOOKUP(C881,Customers!$A$2:$F$301,5,FALSE)</f>
        <v>Retail</v>
      </c>
      <c r="N881" s="34">
        <f>VLOOKUP(C881,Customers!$A$2:$F$301,3,FALSE)</f>
        <v>34</v>
      </c>
      <c r="O881" s="34" t="str">
        <f>VLOOKUP(E881,Sales_Reps!$A$2:$E$31,3,FALSE)</f>
        <v>South</v>
      </c>
      <c r="P881" s="13" t="s">
        <v>98</v>
      </c>
      <c r="Q881" s="34">
        <f t="shared" si="30"/>
        <v>995713.54000000015</v>
      </c>
      <c r="R881" s="34" t="str">
        <f>VLOOKUP(E881,Sales_Reps!$A$2:$E$100,3,FALSE)</f>
        <v>South</v>
      </c>
      <c r="S881" s="34" t="str">
        <f t="shared" si="31"/>
        <v>Grocery</v>
      </c>
      <c r="T881" s="38">
        <f>VLOOKUP(D881,Products!$A$2:$F$68,4,FALSE)</f>
        <v>2911</v>
      </c>
    </row>
    <row r="882" spans="1:20" x14ac:dyDescent="0.35">
      <c r="A882" s="13" t="s">
        <v>677</v>
      </c>
      <c r="B882" s="14">
        <v>45517</v>
      </c>
      <c r="C882" s="13" t="s">
        <v>420</v>
      </c>
      <c r="D882" s="13" t="s">
        <v>200</v>
      </c>
      <c r="E882" s="13" t="s">
        <v>325</v>
      </c>
      <c r="F882" s="15">
        <v>10</v>
      </c>
      <c r="G882" s="15">
        <v>2760</v>
      </c>
      <c r="H882" s="15">
        <v>3.9</v>
      </c>
      <c r="I882" s="15">
        <v>26523.599999999999</v>
      </c>
      <c r="J882" s="13" t="s">
        <v>144</v>
      </c>
      <c r="K882" s="13" t="s">
        <v>99</v>
      </c>
      <c r="L882" s="34" t="str">
        <f>VLOOKUP(D882,Products!$A$2:$F$61,3,FALSE)</f>
        <v>Grocery</v>
      </c>
      <c r="M882" s="34" t="str">
        <f>VLOOKUP(C882,Customers!$A$2:$F$301,5,FALSE)</f>
        <v>Retail</v>
      </c>
      <c r="N882" s="34">
        <f>VLOOKUP(C882,Customers!$A$2:$F$301,3,FALSE)</f>
        <v>44</v>
      </c>
      <c r="O882" s="34" t="str">
        <f>VLOOKUP(E882,Sales_Reps!$A$2:$E$31,3,FALSE)</f>
        <v>South</v>
      </c>
      <c r="P882" s="13" t="s">
        <v>325</v>
      </c>
      <c r="Q882" s="34">
        <f t="shared" si="30"/>
        <v>901394.32000000007</v>
      </c>
      <c r="R882" s="34" t="str">
        <f>VLOOKUP(E882,Sales_Reps!$A$2:$E$100,3,FALSE)</f>
        <v>South</v>
      </c>
      <c r="S882" s="34" t="str">
        <f t="shared" si="31"/>
        <v>Grocery</v>
      </c>
      <c r="T882" s="38">
        <f>VLOOKUP(D882,Products!$A$2:$F$68,4,FALSE)</f>
        <v>1435</v>
      </c>
    </row>
    <row r="883" spans="1:20" x14ac:dyDescent="0.35">
      <c r="A883" s="13" t="s">
        <v>1362</v>
      </c>
      <c r="B883" s="14">
        <v>45593</v>
      </c>
      <c r="C883" s="13" t="s">
        <v>225</v>
      </c>
      <c r="D883" s="13" t="s">
        <v>164</v>
      </c>
      <c r="E883" s="13" t="s">
        <v>158</v>
      </c>
      <c r="F883" s="15">
        <v>10</v>
      </c>
      <c r="G883" s="15">
        <v>1080</v>
      </c>
      <c r="H883" s="15">
        <v>21.4</v>
      </c>
      <c r="I883" s="15">
        <v>8488.7999999999993</v>
      </c>
      <c r="J883" s="13" t="s">
        <v>87</v>
      </c>
      <c r="K883" s="13" t="s">
        <v>94</v>
      </c>
      <c r="L883" s="34" t="str">
        <f>VLOOKUP(D883,Products!$A$2:$F$61,3,FALSE)</f>
        <v>Home</v>
      </c>
      <c r="M883" s="34" t="str">
        <f>VLOOKUP(C883,Customers!$A$2:$F$301,5,FALSE)</f>
        <v>Retail</v>
      </c>
      <c r="N883" s="34">
        <f>VLOOKUP(C883,Customers!$A$2:$F$301,3,FALSE)</f>
        <v>37</v>
      </c>
      <c r="O883" s="34" t="str">
        <f>VLOOKUP(E883,Sales_Reps!$A$2:$E$31,3,FALSE)</f>
        <v>East</v>
      </c>
      <c r="P883" s="13" t="s">
        <v>158</v>
      </c>
      <c r="Q883" s="34">
        <f t="shared" si="30"/>
        <v>761507.17000000027</v>
      </c>
      <c r="R883" s="34" t="str">
        <f>VLOOKUP(E883,Sales_Reps!$A$2:$E$100,3,FALSE)</f>
        <v>East</v>
      </c>
      <c r="S883" s="34" t="str">
        <f t="shared" si="31"/>
        <v>Home</v>
      </c>
      <c r="T883" s="38">
        <f>VLOOKUP(D883,Products!$A$2:$F$68,4,FALSE)</f>
        <v>519</v>
      </c>
    </row>
    <row r="884" spans="1:20" x14ac:dyDescent="0.35">
      <c r="A884" s="13" t="s">
        <v>1363</v>
      </c>
      <c r="B884" s="14">
        <v>45497</v>
      </c>
      <c r="C884" s="13" t="s">
        <v>1358</v>
      </c>
      <c r="D884" s="13" t="s">
        <v>443</v>
      </c>
      <c r="E884" s="13" t="s">
        <v>154</v>
      </c>
      <c r="F884" s="15">
        <v>6</v>
      </c>
      <c r="G884" s="15">
        <v>5080</v>
      </c>
      <c r="H884" s="15">
        <v>29.8</v>
      </c>
      <c r="I884" s="15">
        <v>21396.959999999999</v>
      </c>
      <c r="J884" s="13" t="s">
        <v>93</v>
      </c>
      <c r="K884" s="13" t="s">
        <v>112</v>
      </c>
      <c r="L884" s="34" t="str">
        <f>VLOOKUP(D884,Products!$A$2:$F$61,3,FALSE)</f>
        <v>Home</v>
      </c>
      <c r="M884" s="34" t="str">
        <f>VLOOKUP(C884,Customers!$A$2:$F$301,5,FALSE)</f>
        <v>Corporate</v>
      </c>
      <c r="N884" s="34">
        <f>VLOOKUP(C884,Customers!$A$2:$F$301,3,FALSE)</f>
        <v>42</v>
      </c>
      <c r="O884" s="34" t="str">
        <f>VLOOKUP(E884,Sales_Reps!$A$2:$E$31,3,FALSE)</f>
        <v>East</v>
      </c>
      <c r="P884" s="13" t="s">
        <v>154</v>
      </c>
      <c r="Q884" s="34">
        <f t="shared" si="30"/>
        <v>983787.4800000001</v>
      </c>
      <c r="R884" s="34" t="str">
        <f>VLOOKUP(E884,Sales_Reps!$A$2:$E$100,3,FALSE)</f>
        <v>East</v>
      </c>
      <c r="S884" s="34" t="str">
        <f t="shared" si="31"/>
        <v>Home</v>
      </c>
      <c r="T884" s="38">
        <f>VLOOKUP(D884,Products!$A$2:$F$68,4,FALSE)</f>
        <v>2459</v>
      </c>
    </row>
    <row r="885" spans="1:20" x14ac:dyDescent="0.35">
      <c r="A885" s="13" t="s">
        <v>1364</v>
      </c>
      <c r="B885" s="14">
        <v>45293</v>
      </c>
      <c r="C885" s="13" t="s">
        <v>126</v>
      </c>
      <c r="D885" s="13" t="s">
        <v>184</v>
      </c>
      <c r="E885" s="13" t="s">
        <v>170</v>
      </c>
      <c r="F885" s="15">
        <v>1</v>
      </c>
      <c r="G885" s="15">
        <v>4880</v>
      </c>
      <c r="H885" s="15">
        <v>28.2</v>
      </c>
      <c r="I885" s="15">
        <v>3503.84</v>
      </c>
      <c r="J885" s="13" t="s">
        <v>87</v>
      </c>
      <c r="K885" s="13" t="s">
        <v>88</v>
      </c>
      <c r="L885" s="34" t="str">
        <f>VLOOKUP(D885,Products!$A$2:$F$61,3,FALSE)</f>
        <v>Beauty</v>
      </c>
      <c r="M885" s="34" t="str">
        <f>VLOOKUP(C885,Customers!$A$2:$F$301,5,FALSE)</f>
        <v>Retail</v>
      </c>
      <c r="N885" s="34">
        <f>VLOOKUP(C885,Customers!$A$2:$F$301,3,FALSE)</f>
        <v>56</v>
      </c>
      <c r="O885" s="34" t="str">
        <f>VLOOKUP(E885,Sales_Reps!$A$2:$E$31,3,FALSE)</f>
        <v>West</v>
      </c>
      <c r="P885" s="13" t="s">
        <v>170</v>
      </c>
      <c r="Q885" s="34">
        <f t="shared" si="30"/>
        <v>747624.36999999988</v>
      </c>
      <c r="R885" s="34" t="str">
        <f>VLOOKUP(E885,Sales_Reps!$A$2:$E$100,3,FALSE)</f>
        <v>West</v>
      </c>
      <c r="S885" s="34" t="str">
        <f t="shared" si="31"/>
        <v>Beauty</v>
      </c>
      <c r="T885" s="38">
        <f>VLOOKUP(D885,Products!$A$2:$F$68,4,FALSE)</f>
        <v>2768</v>
      </c>
    </row>
    <row r="886" spans="1:20" x14ac:dyDescent="0.35">
      <c r="A886" s="13" t="s">
        <v>1365</v>
      </c>
      <c r="B886" s="14">
        <v>45562</v>
      </c>
      <c r="C886" s="13" t="s">
        <v>212</v>
      </c>
      <c r="D886" s="13" t="s">
        <v>245</v>
      </c>
      <c r="E886" s="13" t="s">
        <v>343</v>
      </c>
      <c r="F886" s="15">
        <v>1</v>
      </c>
      <c r="G886" s="15">
        <v>2270</v>
      </c>
      <c r="H886" s="15">
        <v>27.8</v>
      </c>
      <c r="I886" s="15">
        <v>1638.94</v>
      </c>
      <c r="J886" s="13" t="s">
        <v>87</v>
      </c>
      <c r="K886" s="13" t="s">
        <v>112</v>
      </c>
      <c r="L886" s="34" t="str">
        <f>VLOOKUP(D886,Products!$A$2:$F$61,3,FALSE)</f>
        <v>Grocery</v>
      </c>
      <c r="M886" s="34" t="str">
        <f>VLOOKUP(C886,Customers!$A$2:$F$301,5,FALSE)</f>
        <v>SMB</v>
      </c>
      <c r="N886" s="34">
        <f>VLOOKUP(C886,Customers!$A$2:$F$301,3,FALSE)</f>
        <v>36</v>
      </c>
      <c r="O886" s="34" t="str">
        <f>VLOOKUP(E886,Sales_Reps!$A$2:$E$31,3,FALSE)</f>
        <v>West</v>
      </c>
      <c r="P886" s="13" t="s">
        <v>343</v>
      </c>
      <c r="Q886" s="34">
        <f t="shared" si="30"/>
        <v>917092.61999999965</v>
      </c>
      <c r="R886" s="34" t="str">
        <f>VLOOKUP(E886,Sales_Reps!$A$2:$E$100,3,FALSE)</f>
        <v>West</v>
      </c>
      <c r="S886" s="34" t="str">
        <f t="shared" si="31"/>
        <v>Grocery</v>
      </c>
      <c r="T886" s="38">
        <f>VLOOKUP(D886,Products!$A$2:$F$68,4,FALSE)</f>
        <v>1412</v>
      </c>
    </row>
    <row r="887" spans="1:20" x14ac:dyDescent="0.35">
      <c r="A887" s="13" t="s">
        <v>1366</v>
      </c>
      <c r="B887" s="14">
        <v>45638</v>
      </c>
      <c r="C887" s="13" t="s">
        <v>522</v>
      </c>
      <c r="D887" s="13" t="s">
        <v>408</v>
      </c>
      <c r="E887" s="13" t="s">
        <v>121</v>
      </c>
      <c r="F887" s="15">
        <v>9</v>
      </c>
      <c r="G887" s="15">
        <v>3970</v>
      </c>
      <c r="H887" s="15">
        <v>7</v>
      </c>
      <c r="I887" s="15">
        <v>33228.9</v>
      </c>
      <c r="J887" s="13" t="s">
        <v>87</v>
      </c>
      <c r="K887" s="13" t="s">
        <v>99</v>
      </c>
      <c r="L887" s="34" t="str">
        <f>VLOOKUP(D887,Products!$A$2:$F$61,3,FALSE)</f>
        <v>Electronics</v>
      </c>
      <c r="M887" s="34" t="str">
        <f>VLOOKUP(C887,Customers!$A$2:$F$301,5,FALSE)</f>
        <v>SMB</v>
      </c>
      <c r="N887" s="34">
        <f>VLOOKUP(C887,Customers!$A$2:$F$301,3,FALSE)</f>
        <v>55</v>
      </c>
      <c r="O887" s="34" t="str">
        <f>VLOOKUP(E887,Sales_Reps!$A$2:$E$31,3,FALSE)</f>
        <v>East</v>
      </c>
      <c r="P887" s="13" t="s">
        <v>121</v>
      </c>
      <c r="Q887" s="34">
        <f t="shared" si="30"/>
        <v>971183.52000000014</v>
      </c>
      <c r="R887" s="34" t="str">
        <f>VLOOKUP(E887,Sales_Reps!$A$2:$E$100,3,FALSE)</f>
        <v>East</v>
      </c>
      <c r="S887" s="34" t="str">
        <f t="shared" si="31"/>
        <v>Electronics</v>
      </c>
      <c r="T887" s="38">
        <f>VLOOKUP(D887,Products!$A$2:$F$68,4,FALSE)</f>
        <v>2865</v>
      </c>
    </row>
    <row r="888" spans="1:20" x14ac:dyDescent="0.35">
      <c r="A888" s="13" t="s">
        <v>1367</v>
      </c>
      <c r="B888" s="14">
        <v>45408</v>
      </c>
      <c r="C888" s="13" t="s">
        <v>606</v>
      </c>
      <c r="D888" s="13" t="s">
        <v>191</v>
      </c>
      <c r="E888" s="13" t="s">
        <v>148</v>
      </c>
      <c r="F888" s="15">
        <v>9</v>
      </c>
      <c r="G888" s="15">
        <v>5100</v>
      </c>
      <c r="H888" s="15">
        <v>9.6999999999999993</v>
      </c>
      <c r="I888" s="15">
        <v>41447.699999999997</v>
      </c>
      <c r="J888" s="13" t="s">
        <v>87</v>
      </c>
      <c r="K888" s="13" t="s">
        <v>112</v>
      </c>
      <c r="L888" s="34" t="str">
        <f>VLOOKUP(D888,Products!$A$2:$F$61,3,FALSE)</f>
        <v>Beauty</v>
      </c>
      <c r="M888" s="34" t="str">
        <f>VLOOKUP(C888,Customers!$A$2:$F$301,5,FALSE)</f>
        <v>Retail</v>
      </c>
      <c r="N888" s="34">
        <f>VLOOKUP(C888,Customers!$A$2:$F$301,3,FALSE)</f>
        <v>52</v>
      </c>
      <c r="O888" s="34" t="str">
        <f>VLOOKUP(E888,Sales_Reps!$A$2:$E$31,3,FALSE)</f>
        <v>North</v>
      </c>
      <c r="P888" s="13" t="s">
        <v>148</v>
      </c>
      <c r="Q888" s="34">
        <f t="shared" si="30"/>
        <v>986692.91</v>
      </c>
      <c r="R888" s="34" t="str">
        <f>VLOOKUP(E888,Sales_Reps!$A$2:$E$100,3,FALSE)</f>
        <v>North</v>
      </c>
      <c r="S888" s="34" t="str">
        <f t="shared" si="31"/>
        <v>Beauty</v>
      </c>
      <c r="T888" s="38">
        <f>VLOOKUP(D888,Products!$A$2:$F$68,4,FALSE)</f>
        <v>2237</v>
      </c>
    </row>
    <row r="889" spans="1:20" x14ac:dyDescent="0.35">
      <c r="A889" s="13" t="s">
        <v>1368</v>
      </c>
      <c r="B889" s="14">
        <v>45498</v>
      </c>
      <c r="C889" s="13" t="s">
        <v>546</v>
      </c>
      <c r="D889" s="13" t="s">
        <v>147</v>
      </c>
      <c r="E889" s="13" t="s">
        <v>92</v>
      </c>
      <c r="F889" s="15">
        <v>8</v>
      </c>
      <c r="G889" s="15">
        <v>190</v>
      </c>
      <c r="H889" s="15">
        <v>10.199999999999999</v>
      </c>
      <c r="I889" s="15">
        <v>1364.96</v>
      </c>
      <c r="J889" s="13" t="s">
        <v>87</v>
      </c>
      <c r="K889" s="13" t="s">
        <v>99</v>
      </c>
      <c r="L889" s="34" t="str">
        <f>VLOOKUP(D889,Products!$A$2:$F$61,3,FALSE)</f>
        <v>Sports</v>
      </c>
      <c r="M889" s="34" t="str">
        <f>VLOOKUP(C889,Customers!$A$2:$F$301,5,FALSE)</f>
        <v>SMB</v>
      </c>
      <c r="N889" s="34">
        <f>VLOOKUP(C889,Customers!$A$2:$F$301,3,FALSE)</f>
        <v>29</v>
      </c>
      <c r="O889" s="34" t="str">
        <f>VLOOKUP(E889,Sales_Reps!$A$2:$E$31,3,FALSE)</f>
        <v>North</v>
      </c>
      <c r="P889" s="13" t="s">
        <v>92</v>
      </c>
      <c r="Q889" s="34">
        <f t="shared" si="30"/>
        <v>782445.33</v>
      </c>
      <c r="R889" s="34" t="str">
        <f>VLOOKUP(E889,Sales_Reps!$A$2:$E$100,3,FALSE)</f>
        <v>North</v>
      </c>
      <c r="S889" s="34" t="str">
        <f t="shared" si="31"/>
        <v>Sports</v>
      </c>
      <c r="T889" s="38">
        <f>VLOOKUP(D889,Products!$A$2:$F$68,4,FALSE)</f>
        <v>147</v>
      </c>
    </row>
    <row r="890" spans="1:20" x14ac:dyDescent="0.35">
      <c r="A890" s="13" t="s">
        <v>1369</v>
      </c>
      <c r="B890" s="14">
        <v>45649</v>
      </c>
      <c r="C890" s="13" t="s">
        <v>371</v>
      </c>
      <c r="D890" s="13" t="s">
        <v>241</v>
      </c>
      <c r="E890" s="13" t="s">
        <v>201</v>
      </c>
      <c r="F890" s="15">
        <v>1</v>
      </c>
      <c r="G890" s="15">
        <v>6080</v>
      </c>
      <c r="H890" s="15">
        <v>5.6</v>
      </c>
      <c r="I890" s="15">
        <v>5739.52</v>
      </c>
      <c r="J890" s="13" t="s">
        <v>87</v>
      </c>
      <c r="K890" s="13" t="s">
        <v>112</v>
      </c>
      <c r="L890" s="34" t="str">
        <f>VLOOKUP(D890,Products!$A$2:$F$61,3,FALSE)</f>
        <v>Beauty</v>
      </c>
      <c r="M890" s="34" t="str">
        <f>VLOOKUP(C890,Customers!$A$2:$F$301,5,FALSE)</f>
        <v>Retail</v>
      </c>
      <c r="N890" s="34">
        <f>VLOOKUP(C890,Customers!$A$2:$F$301,3,FALSE)</f>
        <v>42</v>
      </c>
      <c r="O890" s="34" t="str">
        <f>VLOOKUP(E890,Sales_Reps!$A$2:$E$31,3,FALSE)</f>
        <v>West</v>
      </c>
      <c r="P890" s="13" t="s">
        <v>201</v>
      </c>
      <c r="Q890" s="34">
        <f t="shared" si="30"/>
        <v>576305.08000000019</v>
      </c>
      <c r="R890" s="34" t="str">
        <f>VLOOKUP(E890,Sales_Reps!$A$2:$E$100,3,FALSE)</f>
        <v>West</v>
      </c>
      <c r="S890" s="34" t="str">
        <f t="shared" si="31"/>
        <v>Beauty</v>
      </c>
      <c r="T890" s="38">
        <f>VLOOKUP(D890,Products!$A$2:$F$68,4,FALSE)</f>
        <v>2617</v>
      </c>
    </row>
    <row r="891" spans="1:20" x14ac:dyDescent="0.35">
      <c r="A891" s="13" t="s">
        <v>1370</v>
      </c>
      <c r="B891" s="14">
        <v>45484</v>
      </c>
      <c r="C891" s="13" t="s">
        <v>597</v>
      </c>
      <c r="D891" s="13" t="s">
        <v>115</v>
      </c>
      <c r="E891" s="13" t="s">
        <v>192</v>
      </c>
      <c r="F891" s="15">
        <v>6</v>
      </c>
      <c r="G891" s="15">
        <v>960</v>
      </c>
      <c r="H891" s="15">
        <v>1.9</v>
      </c>
      <c r="I891" s="15">
        <v>5650.56</v>
      </c>
      <c r="J891" s="13" t="s">
        <v>87</v>
      </c>
      <c r="K891" s="13" t="s">
        <v>112</v>
      </c>
      <c r="L891" s="34" t="str">
        <f>VLOOKUP(D891,Products!$A$2:$F$61,3,FALSE)</f>
        <v>Sports</v>
      </c>
      <c r="M891" s="34" t="str">
        <f>VLOOKUP(C891,Customers!$A$2:$F$301,5,FALSE)</f>
        <v>Retail</v>
      </c>
      <c r="N891" s="34">
        <f>VLOOKUP(C891,Customers!$A$2:$F$301,3,FALSE)</f>
        <v>39</v>
      </c>
      <c r="O891" s="34" t="str">
        <f>VLOOKUP(E891,Sales_Reps!$A$2:$E$31,3,FALSE)</f>
        <v>East</v>
      </c>
      <c r="P891" s="13" t="s">
        <v>192</v>
      </c>
      <c r="Q891" s="34">
        <f t="shared" si="30"/>
        <v>906107.71000000008</v>
      </c>
      <c r="R891" s="34" t="str">
        <f>VLOOKUP(E891,Sales_Reps!$A$2:$E$100,3,FALSE)</f>
        <v>East</v>
      </c>
      <c r="S891" s="34" t="str">
        <f t="shared" si="31"/>
        <v>Sports</v>
      </c>
      <c r="T891" s="38">
        <f>VLOOKUP(D891,Products!$A$2:$F$68,4,FALSE)</f>
        <v>705</v>
      </c>
    </row>
    <row r="892" spans="1:20" x14ac:dyDescent="0.35">
      <c r="A892" s="13" t="s">
        <v>1371</v>
      </c>
      <c r="B892" s="14">
        <v>45316</v>
      </c>
      <c r="C892" s="13" t="s">
        <v>533</v>
      </c>
      <c r="D892" s="13" t="s">
        <v>259</v>
      </c>
      <c r="E892" s="13" t="s">
        <v>139</v>
      </c>
      <c r="F892" s="15">
        <v>7</v>
      </c>
      <c r="G892" s="15">
        <v>1540</v>
      </c>
      <c r="H892" s="15">
        <v>7.1</v>
      </c>
      <c r="I892" s="15">
        <v>10014.620000000001</v>
      </c>
      <c r="J892" s="13" t="s">
        <v>87</v>
      </c>
      <c r="K892" s="13" t="s">
        <v>99</v>
      </c>
      <c r="L892" s="34" t="str">
        <f>VLOOKUP(D892,Products!$A$2:$F$61,3,FALSE)</f>
        <v>Beauty</v>
      </c>
      <c r="M892" s="34" t="str">
        <f>VLOOKUP(C892,Customers!$A$2:$F$301,5,FALSE)</f>
        <v>SMB</v>
      </c>
      <c r="N892" s="34">
        <f>VLOOKUP(C892,Customers!$A$2:$F$301,3,FALSE)</f>
        <v>48</v>
      </c>
      <c r="O892" s="34" t="str">
        <f>VLOOKUP(E892,Sales_Reps!$A$2:$E$31,3,FALSE)</f>
        <v>North</v>
      </c>
      <c r="P892" s="13" t="s">
        <v>139</v>
      </c>
      <c r="Q892" s="34">
        <f t="shared" si="30"/>
        <v>589026.2899999998</v>
      </c>
      <c r="R892" s="34" t="str">
        <f>VLOOKUP(E892,Sales_Reps!$A$2:$E$100,3,FALSE)</f>
        <v>North</v>
      </c>
      <c r="S892" s="34" t="str">
        <f t="shared" si="31"/>
        <v>Beauty</v>
      </c>
      <c r="T892" s="38">
        <f>VLOOKUP(D892,Products!$A$2:$F$68,4,FALSE)</f>
        <v>647</v>
      </c>
    </row>
    <row r="893" spans="1:20" x14ac:dyDescent="0.35">
      <c r="A893" s="13" t="s">
        <v>1372</v>
      </c>
      <c r="B893" s="14">
        <v>45328</v>
      </c>
      <c r="C893" s="13" t="s">
        <v>261</v>
      </c>
      <c r="D893" s="13" t="s">
        <v>282</v>
      </c>
      <c r="E893" s="13" t="s">
        <v>273</v>
      </c>
      <c r="F893" s="15">
        <v>10</v>
      </c>
      <c r="G893" s="15">
        <v>300</v>
      </c>
      <c r="H893" s="15">
        <v>12.8</v>
      </c>
      <c r="I893" s="15">
        <v>2616</v>
      </c>
      <c r="J893" s="13" t="s">
        <v>140</v>
      </c>
      <c r="K893" s="13" t="s">
        <v>99</v>
      </c>
      <c r="L893" s="34" t="str">
        <f>VLOOKUP(D893,Products!$A$2:$F$61,3,FALSE)</f>
        <v>Electronics</v>
      </c>
      <c r="M893" s="34" t="str">
        <f>VLOOKUP(C893,Customers!$A$2:$F$301,5,FALSE)</f>
        <v>Retail</v>
      </c>
      <c r="N893" s="34">
        <f>VLOOKUP(C893,Customers!$A$2:$F$301,3,FALSE)</f>
        <v>54</v>
      </c>
      <c r="O893" s="34" t="str">
        <f>VLOOKUP(E893,Sales_Reps!$A$2:$E$31,3,FALSE)</f>
        <v>South</v>
      </c>
      <c r="P893" s="13" t="s">
        <v>273</v>
      </c>
      <c r="Q893" s="34">
        <f t="shared" si="30"/>
        <v>735207.75999999989</v>
      </c>
      <c r="R893" s="34" t="str">
        <f>VLOOKUP(E893,Sales_Reps!$A$2:$E$100,3,FALSE)</f>
        <v>South</v>
      </c>
      <c r="S893" s="34" t="str">
        <f t="shared" si="31"/>
        <v>Electronics</v>
      </c>
      <c r="T893" s="38">
        <f>VLOOKUP(D893,Products!$A$2:$F$68,4,FALSE)</f>
        <v>128</v>
      </c>
    </row>
    <row r="894" spans="1:20" x14ac:dyDescent="0.35">
      <c r="A894" s="13" t="s">
        <v>1373</v>
      </c>
      <c r="B894" s="14">
        <v>45456</v>
      </c>
      <c r="C894" s="13" t="s">
        <v>537</v>
      </c>
      <c r="D894" s="13" t="s">
        <v>184</v>
      </c>
      <c r="E894" s="13" t="s">
        <v>273</v>
      </c>
      <c r="F894" s="15">
        <v>4</v>
      </c>
      <c r="G894" s="15">
        <v>4880</v>
      </c>
      <c r="H894" s="15">
        <v>26.5</v>
      </c>
      <c r="I894" s="15">
        <v>14347.2</v>
      </c>
      <c r="J894" s="13" t="s">
        <v>87</v>
      </c>
      <c r="K894" s="13" t="s">
        <v>133</v>
      </c>
      <c r="L894" s="34" t="str">
        <f>VLOOKUP(D894,Products!$A$2:$F$61,3,FALSE)</f>
        <v>Beauty</v>
      </c>
      <c r="M894" s="34" t="str">
        <f>VLOOKUP(C894,Customers!$A$2:$F$301,5,FALSE)</f>
        <v>SMB</v>
      </c>
      <c r="N894" s="34">
        <f>VLOOKUP(C894,Customers!$A$2:$F$301,3,FALSE)</f>
        <v>48</v>
      </c>
      <c r="O894" s="34" t="str">
        <f>VLOOKUP(E894,Sales_Reps!$A$2:$E$31,3,FALSE)</f>
        <v>South</v>
      </c>
      <c r="P894" s="13" t="s">
        <v>273</v>
      </c>
      <c r="Q894" s="34">
        <f t="shared" si="30"/>
        <v>735207.75999999989</v>
      </c>
      <c r="R894" s="34" t="str">
        <f>VLOOKUP(E894,Sales_Reps!$A$2:$E$100,3,FALSE)</f>
        <v>South</v>
      </c>
      <c r="S894" s="34" t="str">
        <f t="shared" si="31"/>
        <v>Beauty</v>
      </c>
      <c r="T894" s="38">
        <f>VLOOKUP(D894,Products!$A$2:$F$68,4,FALSE)</f>
        <v>2768</v>
      </c>
    </row>
    <row r="895" spans="1:20" x14ac:dyDescent="0.35">
      <c r="A895" s="13" t="s">
        <v>1374</v>
      </c>
      <c r="B895" s="14">
        <v>45589</v>
      </c>
      <c r="C895" s="13" t="s">
        <v>1261</v>
      </c>
      <c r="D895" s="13" t="s">
        <v>110</v>
      </c>
      <c r="E895" s="13" t="s">
        <v>148</v>
      </c>
      <c r="F895" s="15">
        <v>2</v>
      </c>
      <c r="G895" s="15">
        <v>370</v>
      </c>
      <c r="H895" s="15">
        <v>26.5</v>
      </c>
      <c r="I895" s="15">
        <v>543.9</v>
      </c>
      <c r="J895" s="13" t="s">
        <v>87</v>
      </c>
      <c r="K895" s="13" t="s">
        <v>117</v>
      </c>
      <c r="L895" s="34" t="str">
        <f>VLOOKUP(D895,Products!$A$2:$F$61,3,FALSE)</f>
        <v>Home</v>
      </c>
      <c r="M895" s="34" t="str">
        <f>VLOOKUP(C895,Customers!$A$2:$F$301,5,FALSE)</f>
        <v>Retail</v>
      </c>
      <c r="N895" s="34">
        <f>VLOOKUP(C895,Customers!$A$2:$F$301,3,FALSE)</f>
        <v>54</v>
      </c>
      <c r="O895" s="34" t="str">
        <f>VLOOKUP(E895,Sales_Reps!$A$2:$E$31,3,FALSE)</f>
        <v>North</v>
      </c>
      <c r="P895" s="13" t="s">
        <v>148</v>
      </c>
      <c r="Q895" s="34">
        <f t="shared" si="30"/>
        <v>986692.91</v>
      </c>
      <c r="R895" s="34" t="str">
        <f>VLOOKUP(E895,Sales_Reps!$A$2:$E$100,3,FALSE)</f>
        <v>North</v>
      </c>
      <c r="S895" s="34" t="str">
        <f t="shared" si="31"/>
        <v>Home</v>
      </c>
      <c r="T895" s="38">
        <f>VLOOKUP(D895,Products!$A$2:$F$68,4,FALSE)</f>
        <v>288</v>
      </c>
    </row>
    <row r="896" spans="1:20" x14ac:dyDescent="0.35">
      <c r="A896" s="13" t="s">
        <v>1375</v>
      </c>
      <c r="B896" s="14">
        <v>45593</v>
      </c>
      <c r="C896" s="13" t="s">
        <v>376</v>
      </c>
      <c r="D896" s="13" t="s">
        <v>270</v>
      </c>
      <c r="E896" s="13" t="s">
        <v>297</v>
      </c>
      <c r="F896" s="15">
        <v>3</v>
      </c>
      <c r="G896" s="15">
        <v>4610</v>
      </c>
      <c r="H896" s="15">
        <v>29.7</v>
      </c>
      <c r="I896" s="15">
        <v>9722.49</v>
      </c>
      <c r="J896" s="13" t="s">
        <v>87</v>
      </c>
      <c r="K896" s="13" t="s">
        <v>117</v>
      </c>
      <c r="L896" s="34" t="str">
        <f>VLOOKUP(D896,Products!$A$2:$F$61,3,FALSE)</f>
        <v>Home</v>
      </c>
      <c r="M896" s="34" t="str">
        <f>VLOOKUP(C896,Customers!$A$2:$F$301,5,FALSE)</f>
        <v>SMB</v>
      </c>
      <c r="N896" s="34">
        <f>VLOOKUP(C896,Customers!$A$2:$F$301,3,FALSE)</f>
        <v>44</v>
      </c>
      <c r="O896" s="34" t="str">
        <f>VLOOKUP(E896,Sales_Reps!$A$2:$E$31,3,FALSE)</f>
        <v>North</v>
      </c>
      <c r="P896" s="13" t="s">
        <v>297</v>
      </c>
      <c r="Q896" s="34">
        <f t="shared" si="30"/>
        <v>980063.65999999968</v>
      </c>
      <c r="R896" s="34" t="str">
        <f>VLOOKUP(E896,Sales_Reps!$A$2:$E$100,3,FALSE)</f>
        <v>North</v>
      </c>
      <c r="S896" s="34" t="str">
        <f t="shared" si="31"/>
        <v>Home</v>
      </c>
      <c r="T896" s="38">
        <f>VLOOKUP(D896,Products!$A$2:$F$68,4,FALSE)</f>
        <v>1850</v>
      </c>
    </row>
    <row r="897" spans="1:20" x14ac:dyDescent="0.35">
      <c r="A897" s="13" t="s">
        <v>1376</v>
      </c>
      <c r="B897" s="14">
        <v>45539</v>
      </c>
      <c r="C897" s="13" t="s">
        <v>673</v>
      </c>
      <c r="D897" s="13" t="s">
        <v>138</v>
      </c>
      <c r="E897" s="13" t="s">
        <v>252</v>
      </c>
      <c r="F897" s="15">
        <v>5</v>
      </c>
      <c r="G897" s="15">
        <v>2600</v>
      </c>
      <c r="H897" s="15">
        <v>21.4</v>
      </c>
      <c r="I897" s="15">
        <v>10218</v>
      </c>
      <c r="J897" s="13" t="s">
        <v>87</v>
      </c>
      <c r="K897" s="13" t="s">
        <v>112</v>
      </c>
      <c r="L897" s="34" t="str">
        <f>VLOOKUP(D897,Products!$A$2:$F$61,3,FALSE)</f>
        <v>Electronics</v>
      </c>
      <c r="M897" s="34" t="str">
        <f>VLOOKUP(C897,Customers!$A$2:$F$301,5,FALSE)</f>
        <v>Retail</v>
      </c>
      <c r="N897" s="34">
        <f>VLOOKUP(C897,Customers!$A$2:$F$301,3,FALSE)</f>
        <v>35</v>
      </c>
      <c r="O897" s="34" t="str">
        <f>VLOOKUP(E897,Sales_Reps!$A$2:$E$31,3,FALSE)</f>
        <v>South</v>
      </c>
      <c r="P897" s="13" t="s">
        <v>252</v>
      </c>
      <c r="Q897" s="34">
        <f t="shared" si="30"/>
        <v>811524.37999999989</v>
      </c>
      <c r="R897" s="34" t="str">
        <f>VLOOKUP(E897,Sales_Reps!$A$2:$E$100,3,FALSE)</f>
        <v>South</v>
      </c>
      <c r="S897" s="34" t="str">
        <f t="shared" si="31"/>
        <v>Electronics</v>
      </c>
      <c r="T897" s="38">
        <f>VLOOKUP(D897,Products!$A$2:$F$68,4,FALSE)</f>
        <v>1052</v>
      </c>
    </row>
    <row r="898" spans="1:20" x14ac:dyDescent="0.35">
      <c r="A898" s="13" t="s">
        <v>1054</v>
      </c>
      <c r="B898" s="14">
        <v>45436</v>
      </c>
      <c r="C898" s="13" t="s">
        <v>720</v>
      </c>
      <c r="D898" s="13" t="s">
        <v>267</v>
      </c>
      <c r="E898" s="13" t="s">
        <v>111</v>
      </c>
      <c r="F898" s="15">
        <v>10</v>
      </c>
      <c r="G898" s="15">
        <v>1220</v>
      </c>
      <c r="H898" s="15">
        <v>24.3</v>
      </c>
      <c r="I898" s="15">
        <v>9235.4</v>
      </c>
      <c r="J898" s="13" t="s">
        <v>87</v>
      </c>
      <c r="K898" s="13" t="s">
        <v>88</v>
      </c>
      <c r="L898" s="34" t="str">
        <f>VLOOKUP(D898,Products!$A$2:$F$61,3,FALSE)</f>
        <v>Electronics</v>
      </c>
      <c r="M898" s="34" t="str">
        <f>VLOOKUP(C898,Customers!$A$2:$F$301,5,FALSE)</f>
        <v>Retail</v>
      </c>
      <c r="N898" s="34">
        <f>VLOOKUP(C898,Customers!$A$2:$F$301,3,FALSE)</f>
        <v>48</v>
      </c>
      <c r="O898" s="34" t="str">
        <f>VLOOKUP(E898,Sales_Reps!$A$2:$E$31,3,FALSE)</f>
        <v>West</v>
      </c>
      <c r="P898" s="13" t="s">
        <v>111</v>
      </c>
      <c r="Q898" s="34">
        <f t="shared" si="30"/>
        <v>901298.89</v>
      </c>
      <c r="R898" s="34" t="str">
        <f>VLOOKUP(E898,Sales_Reps!$A$2:$E$100,3,FALSE)</f>
        <v>West</v>
      </c>
      <c r="S898" s="34" t="str">
        <f t="shared" si="31"/>
        <v>Electronics</v>
      </c>
      <c r="T898" s="38">
        <f>VLOOKUP(D898,Products!$A$2:$F$68,4,FALSE)</f>
        <v>517</v>
      </c>
    </row>
    <row r="899" spans="1:20" x14ac:dyDescent="0.35">
      <c r="A899" s="13" t="s">
        <v>1377</v>
      </c>
      <c r="B899" s="14">
        <v>45646</v>
      </c>
      <c r="C899" s="13" t="s">
        <v>1378</v>
      </c>
      <c r="D899" s="13" t="s">
        <v>120</v>
      </c>
      <c r="E899" s="13" t="s">
        <v>188</v>
      </c>
      <c r="F899" s="15">
        <v>10</v>
      </c>
      <c r="G899" s="15">
        <v>1430</v>
      </c>
      <c r="H899" s="15">
        <v>5.0999999999999996</v>
      </c>
      <c r="I899" s="15">
        <v>13570.7</v>
      </c>
      <c r="J899" s="13" t="s">
        <v>140</v>
      </c>
      <c r="K899" s="13" t="s">
        <v>94</v>
      </c>
      <c r="L899" s="34" t="str">
        <f>VLOOKUP(D899,Products!$A$2:$F$61,3,FALSE)</f>
        <v>Electronics</v>
      </c>
      <c r="M899" s="34" t="e">
        <f>VLOOKUP(C899,Customers!$A$2:$F$301,5,FALSE)</f>
        <v>#N/A</v>
      </c>
      <c r="N899" s="34" t="e">
        <f>VLOOKUP(C899,Customers!$A$2:$F$301,3,FALSE)</f>
        <v>#N/A</v>
      </c>
      <c r="O899" s="34" t="str">
        <f>VLOOKUP(E899,Sales_Reps!$A$2:$E$31,3,FALSE)</f>
        <v>South</v>
      </c>
      <c r="P899" s="13" t="s">
        <v>188</v>
      </c>
      <c r="Q899" s="34">
        <f t="shared" ref="Q899:Q962" si="32">SUMIFS($I:$I,$E:$E,P899)</f>
        <v>1091740.1799999997</v>
      </c>
      <c r="R899" s="34" t="str">
        <f>VLOOKUP(E899,Sales_Reps!$A$2:$E$100,3,FALSE)</f>
        <v>South</v>
      </c>
      <c r="S899" s="34" t="str">
        <f t="shared" ref="S899:S962" si="33">L899</f>
        <v>Electronics</v>
      </c>
      <c r="T899" s="38">
        <f>VLOOKUP(D899,Products!$A$2:$F$68,4,FALSE)</f>
        <v>861</v>
      </c>
    </row>
    <row r="900" spans="1:20" x14ac:dyDescent="0.35">
      <c r="A900" s="13" t="s">
        <v>1379</v>
      </c>
      <c r="B900" s="14">
        <v>45478</v>
      </c>
      <c r="C900" s="13" t="s">
        <v>301</v>
      </c>
      <c r="D900" s="13" t="s">
        <v>184</v>
      </c>
      <c r="E900" s="13" t="s">
        <v>170</v>
      </c>
      <c r="F900" s="15">
        <v>10</v>
      </c>
      <c r="G900" s="15">
        <v>4880</v>
      </c>
      <c r="H900" s="15">
        <v>25.5</v>
      </c>
      <c r="I900" s="15">
        <v>36356</v>
      </c>
      <c r="J900" s="13" t="s">
        <v>140</v>
      </c>
      <c r="K900" s="13" t="s">
        <v>94</v>
      </c>
      <c r="L900" s="34" t="str">
        <f>VLOOKUP(D900,Products!$A$2:$F$61,3,FALSE)</f>
        <v>Beauty</v>
      </c>
      <c r="M900" s="34" t="str">
        <f>VLOOKUP(C900,Customers!$A$2:$F$301,5,FALSE)</f>
        <v>Retail</v>
      </c>
      <c r="N900" s="34">
        <f>VLOOKUP(C900,Customers!$A$2:$F$301,3,FALSE)</f>
        <v>41</v>
      </c>
      <c r="O900" s="34" t="str">
        <f>VLOOKUP(E900,Sales_Reps!$A$2:$E$31,3,FALSE)</f>
        <v>West</v>
      </c>
      <c r="P900" s="13" t="s">
        <v>170</v>
      </c>
      <c r="Q900" s="34">
        <f t="shared" si="32"/>
        <v>747624.36999999988</v>
      </c>
      <c r="R900" s="34" t="str">
        <f>VLOOKUP(E900,Sales_Reps!$A$2:$E$100,3,FALSE)</f>
        <v>West</v>
      </c>
      <c r="S900" s="34" t="str">
        <f t="shared" si="33"/>
        <v>Beauty</v>
      </c>
      <c r="T900" s="38">
        <f>VLOOKUP(D900,Products!$A$2:$F$68,4,FALSE)</f>
        <v>2768</v>
      </c>
    </row>
    <row r="901" spans="1:20" x14ac:dyDescent="0.35">
      <c r="A901" s="13" t="s">
        <v>1380</v>
      </c>
      <c r="B901" s="14">
        <v>45518</v>
      </c>
      <c r="C901" s="13" t="s">
        <v>966</v>
      </c>
      <c r="D901" s="13" t="s">
        <v>241</v>
      </c>
      <c r="E901" s="13" t="s">
        <v>128</v>
      </c>
      <c r="F901" s="15">
        <v>6</v>
      </c>
      <c r="G901" s="15">
        <v>6080</v>
      </c>
      <c r="H901" s="15">
        <v>21.6</v>
      </c>
      <c r="I901" s="15">
        <v>28600.32</v>
      </c>
      <c r="J901" s="13" t="s">
        <v>87</v>
      </c>
      <c r="K901" s="13" t="s">
        <v>133</v>
      </c>
      <c r="L901" s="34" t="str">
        <f>VLOOKUP(D901,Products!$A$2:$F$61,3,FALSE)</f>
        <v>Beauty</v>
      </c>
      <c r="M901" s="34" t="str">
        <f>VLOOKUP(C901,Customers!$A$2:$F$301,5,FALSE)</f>
        <v>SMB</v>
      </c>
      <c r="N901" s="34">
        <f>VLOOKUP(C901,Customers!$A$2:$F$301,3,FALSE)</f>
        <v>31</v>
      </c>
      <c r="O901" s="34" t="str">
        <f>VLOOKUP(E901,Sales_Reps!$A$2:$E$31,3,FALSE)</f>
        <v>West</v>
      </c>
      <c r="P901" s="13" t="s">
        <v>128</v>
      </c>
      <c r="Q901" s="34">
        <f t="shared" si="32"/>
        <v>880468.05</v>
      </c>
      <c r="R901" s="34" t="str">
        <f>VLOOKUP(E901,Sales_Reps!$A$2:$E$100,3,FALSE)</f>
        <v>West</v>
      </c>
      <c r="S901" s="34" t="str">
        <f t="shared" si="33"/>
        <v>Beauty</v>
      </c>
      <c r="T901" s="38">
        <f>VLOOKUP(D901,Products!$A$2:$F$68,4,FALSE)</f>
        <v>2617</v>
      </c>
    </row>
    <row r="902" spans="1:20" x14ac:dyDescent="0.35">
      <c r="A902" s="13" t="s">
        <v>1381</v>
      </c>
      <c r="B902" s="14">
        <v>45319</v>
      </c>
      <c r="C902" s="13" t="s">
        <v>541</v>
      </c>
      <c r="D902" s="13" t="s">
        <v>276</v>
      </c>
      <c r="E902" s="13" t="s">
        <v>252</v>
      </c>
      <c r="F902" s="15">
        <v>3</v>
      </c>
      <c r="G902" s="15">
        <v>3020</v>
      </c>
      <c r="H902" s="15">
        <v>20.7</v>
      </c>
      <c r="I902" s="15">
        <v>7184.58</v>
      </c>
      <c r="J902" s="13" t="s">
        <v>87</v>
      </c>
      <c r="K902" s="13" t="s">
        <v>94</v>
      </c>
      <c r="L902" s="34" t="str">
        <f>VLOOKUP(D902,Products!$A$2:$F$61,3,FALSE)</f>
        <v>Beauty</v>
      </c>
      <c r="M902" s="34" t="str">
        <f>VLOOKUP(C902,Customers!$A$2:$F$301,5,FALSE)</f>
        <v>Corporate</v>
      </c>
      <c r="N902" s="34">
        <f>VLOOKUP(C902,Customers!$A$2:$F$301,3,FALSE)</f>
        <v>34</v>
      </c>
      <c r="O902" s="34" t="str">
        <f>VLOOKUP(E902,Sales_Reps!$A$2:$E$31,3,FALSE)</f>
        <v>South</v>
      </c>
      <c r="P902" s="13" t="s">
        <v>252</v>
      </c>
      <c r="Q902" s="34">
        <f t="shared" si="32"/>
        <v>811524.37999999989</v>
      </c>
      <c r="R902" s="34" t="str">
        <f>VLOOKUP(E902,Sales_Reps!$A$2:$E$100,3,FALSE)</f>
        <v>South</v>
      </c>
      <c r="S902" s="34" t="str">
        <f t="shared" si="33"/>
        <v>Beauty</v>
      </c>
      <c r="T902" s="38">
        <f>VLOOKUP(D902,Products!$A$2:$F$68,4,FALSE)</f>
        <v>1626</v>
      </c>
    </row>
    <row r="903" spans="1:20" x14ac:dyDescent="0.35">
      <c r="A903" s="13" t="s">
        <v>1382</v>
      </c>
      <c r="B903" s="14">
        <v>45445</v>
      </c>
      <c r="C903" s="13" t="s">
        <v>331</v>
      </c>
      <c r="D903" s="13" t="s">
        <v>173</v>
      </c>
      <c r="E903" s="13" t="s">
        <v>252</v>
      </c>
      <c r="F903" s="15">
        <v>9</v>
      </c>
      <c r="G903" s="15">
        <v>2720</v>
      </c>
      <c r="H903" s="15">
        <v>21.4</v>
      </c>
      <c r="I903" s="15">
        <v>19241.28</v>
      </c>
      <c r="J903" s="13" t="s">
        <v>87</v>
      </c>
      <c r="K903" s="13" t="s">
        <v>117</v>
      </c>
      <c r="L903" s="34" t="str">
        <f>VLOOKUP(D903,Products!$A$2:$F$61,3,FALSE)</f>
        <v>Apparel</v>
      </c>
      <c r="M903" s="34" t="str">
        <f>VLOOKUP(C903,Customers!$A$2:$F$301,5,FALSE)</f>
        <v>Corporate</v>
      </c>
      <c r="N903" s="34">
        <f>VLOOKUP(C903,Customers!$A$2:$F$301,3,FALSE)</f>
        <v>59</v>
      </c>
      <c r="O903" s="34" t="str">
        <f>VLOOKUP(E903,Sales_Reps!$A$2:$E$31,3,FALSE)</f>
        <v>South</v>
      </c>
      <c r="P903" s="13" t="s">
        <v>252</v>
      </c>
      <c r="Q903" s="34">
        <f t="shared" si="32"/>
        <v>811524.37999999989</v>
      </c>
      <c r="R903" s="34" t="str">
        <f>VLOOKUP(E903,Sales_Reps!$A$2:$E$100,3,FALSE)</f>
        <v>South</v>
      </c>
      <c r="S903" s="34" t="str">
        <f t="shared" si="33"/>
        <v>Apparel</v>
      </c>
      <c r="T903" s="38">
        <f>VLOOKUP(D903,Products!$A$2:$F$68,4,FALSE)</f>
        <v>1962</v>
      </c>
    </row>
    <row r="904" spans="1:20" x14ac:dyDescent="0.35">
      <c r="A904" s="13" t="s">
        <v>1383</v>
      </c>
      <c r="B904" s="14">
        <v>45417</v>
      </c>
      <c r="C904" s="13" t="s">
        <v>272</v>
      </c>
      <c r="D904" s="13" t="s">
        <v>187</v>
      </c>
      <c r="E904" s="13" t="s">
        <v>111</v>
      </c>
      <c r="F904" s="15">
        <v>10</v>
      </c>
      <c r="G904" s="15">
        <v>3570</v>
      </c>
      <c r="H904" s="15">
        <v>4.4000000000000004</v>
      </c>
      <c r="I904" s="15">
        <v>34129.199999999997</v>
      </c>
      <c r="J904" s="13" t="s">
        <v>87</v>
      </c>
      <c r="K904" s="13" t="s">
        <v>94</v>
      </c>
      <c r="L904" s="34" t="str">
        <f>VLOOKUP(D904,Products!$A$2:$F$61,3,FALSE)</f>
        <v>Electronics</v>
      </c>
      <c r="M904" s="34" t="str">
        <f>VLOOKUP(C904,Customers!$A$2:$F$301,5,FALSE)</f>
        <v>SMB</v>
      </c>
      <c r="N904" s="34">
        <f>VLOOKUP(C904,Customers!$A$2:$F$301,3,FALSE)</f>
        <v>55</v>
      </c>
      <c r="O904" s="34" t="str">
        <f>VLOOKUP(E904,Sales_Reps!$A$2:$E$31,3,FALSE)</f>
        <v>West</v>
      </c>
      <c r="P904" s="13" t="s">
        <v>111</v>
      </c>
      <c r="Q904" s="34">
        <f t="shared" si="32"/>
        <v>901298.89</v>
      </c>
      <c r="R904" s="34" t="str">
        <f>VLOOKUP(E904,Sales_Reps!$A$2:$E$100,3,FALSE)</f>
        <v>West</v>
      </c>
      <c r="S904" s="34" t="str">
        <f t="shared" si="33"/>
        <v>Electronics</v>
      </c>
      <c r="T904" s="38">
        <f>VLOOKUP(D904,Products!$A$2:$F$68,4,FALSE)</f>
        <v>1665</v>
      </c>
    </row>
    <row r="905" spans="1:20" x14ac:dyDescent="0.35">
      <c r="A905" s="13" t="s">
        <v>1384</v>
      </c>
      <c r="B905" s="14">
        <v>45309</v>
      </c>
      <c r="C905" s="13" t="s">
        <v>1027</v>
      </c>
      <c r="D905" s="13" t="s">
        <v>164</v>
      </c>
      <c r="E905" s="13" t="s">
        <v>98</v>
      </c>
      <c r="F905" s="15">
        <v>8</v>
      </c>
      <c r="G905" s="15">
        <v>1080</v>
      </c>
      <c r="H905" s="15">
        <v>23.8</v>
      </c>
      <c r="I905" s="15">
        <v>6583.68</v>
      </c>
      <c r="J905" s="13" t="s">
        <v>87</v>
      </c>
      <c r="K905" s="13" t="s">
        <v>112</v>
      </c>
      <c r="L905" s="34" t="str">
        <f>VLOOKUP(D905,Products!$A$2:$F$61,3,FALSE)</f>
        <v>Home</v>
      </c>
      <c r="M905" s="34" t="str">
        <f>VLOOKUP(C905,Customers!$A$2:$F$301,5,FALSE)</f>
        <v>SMB</v>
      </c>
      <c r="N905" s="34">
        <f>VLOOKUP(C905,Customers!$A$2:$F$301,3,FALSE)</f>
        <v>47</v>
      </c>
      <c r="O905" s="34" t="str">
        <f>VLOOKUP(E905,Sales_Reps!$A$2:$E$31,3,FALSE)</f>
        <v>South</v>
      </c>
      <c r="P905" s="13" t="s">
        <v>98</v>
      </c>
      <c r="Q905" s="34">
        <f t="shared" si="32"/>
        <v>995713.54000000015</v>
      </c>
      <c r="R905" s="34" t="str">
        <f>VLOOKUP(E905,Sales_Reps!$A$2:$E$100,3,FALSE)</f>
        <v>South</v>
      </c>
      <c r="S905" s="34" t="str">
        <f t="shared" si="33"/>
        <v>Home</v>
      </c>
      <c r="T905" s="38">
        <f>VLOOKUP(D905,Products!$A$2:$F$68,4,FALSE)</f>
        <v>519</v>
      </c>
    </row>
    <row r="906" spans="1:20" x14ac:dyDescent="0.35">
      <c r="A906" s="13" t="s">
        <v>1385</v>
      </c>
      <c r="B906" s="14">
        <v>45367</v>
      </c>
      <c r="C906" s="13" t="s">
        <v>837</v>
      </c>
      <c r="D906" s="13" t="s">
        <v>502</v>
      </c>
      <c r="E906" s="13" t="s">
        <v>273</v>
      </c>
      <c r="F906" s="15">
        <v>8</v>
      </c>
      <c r="G906" s="15">
        <v>1090</v>
      </c>
      <c r="H906" s="15">
        <v>17.5</v>
      </c>
      <c r="I906" s="15">
        <v>7194</v>
      </c>
      <c r="J906" s="13" t="s">
        <v>87</v>
      </c>
      <c r="K906" s="13" t="s">
        <v>117</v>
      </c>
      <c r="L906" s="34" t="str">
        <f>VLOOKUP(D906,Products!$A$2:$F$61,3,FALSE)</f>
        <v>Home</v>
      </c>
      <c r="M906" s="34" t="str">
        <f>VLOOKUP(C906,Customers!$A$2:$F$301,5,FALSE)</f>
        <v>Retail</v>
      </c>
      <c r="N906" s="34">
        <f>VLOOKUP(C906,Customers!$A$2:$F$301,3,FALSE)</f>
        <v>37</v>
      </c>
      <c r="O906" s="34" t="str">
        <f>VLOOKUP(E906,Sales_Reps!$A$2:$E$31,3,FALSE)</f>
        <v>South</v>
      </c>
      <c r="P906" s="13" t="s">
        <v>273</v>
      </c>
      <c r="Q906" s="34">
        <f t="shared" si="32"/>
        <v>735207.75999999989</v>
      </c>
      <c r="R906" s="34" t="str">
        <f>VLOOKUP(E906,Sales_Reps!$A$2:$E$100,3,FALSE)</f>
        <v>South</v>
      </c>
      <c r="S906" s="34" t="str">
        <f t="shared" si="33"/>
        <v>Home</v>
      </c>
      <c r="T906" s="38">
        <f>VLOOKUP(D906,Products!$A$2:$F$68,4,FALSE)</f>
        <v>464</v>
      </c>
    </row>
    <row r="907" spans="1:20" x14ac:dyDescent="0.35">
      <c r="A907" s="13" t="s">
        <v>1386</v>
      </c>
      <c r="B907" s="14">
        <v>45615</v>
      </c>
      <c r="C907" s="13" t="s">
        <v>1308</v>
      </c>
      <c r="D907" s="13" t="s">
        <v>659</v>
      </c>
      <c r="E907" s="13" t="s">
        <v>343</v>
      </c>
      <c r="F907" s="15">
        <v>7</v>
      </c>
      <c r="G907" s="15">
        <v>3560</v>
      </c>
      <c r="H907" s="15">
        <v>11.1</v>
      </c>
      <c r="I907" s="15">
        <v>22153.88</v>
      </c>
      <c r="J907" s="13" t="s">
        <v>87</v>
      </c>
      <c r="K907" s="13" t="s">
        <v>94</v>
      </c>
      <c r="L907" s="34" t="str">
        <f>VLOOKUP(D907,Products!$A$2:$F$61,3,FALSE)</f>
        <v>Apparel</v>
      </c>
      <c r="M907" s="34" t="str">
        <f>VLOOKUP(C907,Customers!$A$2:$F$301,5,FALSE)</f>
        <v>SMB</v>
      </c>
      <c r="N907" s="34">
        <f>VLOOKUP(C907,Customers!$A$2:$F$301,3,FALSE)</f>
        <v>51</v>
      </c>
      <c r="O907" s="34" t="str">
        <f>VLOOKUP(E907,Sales_Reps!$A$2:$E$31,3,FALSE)</f>
        <v>West</v>
      </c>
      <c r="P907" s="13" t="s">
        <v>343</v>
      </c>
      <c r="Q907" s="34">
        <f t="shared" si="32"/>
        <v>917092.61999999965</v>
      </c>
      <c r="R907" s="34" t="str">
        <f>VLOOKUP(E907,Sales_Reps!$A$2:$E$100,3,FALSE)</f>
        <v>West</v>
      </c>
      <c r="S907" s="34" t="str">
        <f t="shared" si="33"/>
        <v>Apparel</v>
      </c>
      <c r="T907" s="38">
        <f>VLOOKUP(D907,Products!$A$2:$F$68,4,FALSE)</f>
        <v>2629</v>
      </c>
    </row>
    <row r="908" spans="1:20" x14ac:dyDescent="0.35">
      <c r="A908" s="13" t="s">
        <v>1387</v>
      </c>
      <c r="B908" s="14">
        <v>45499</v>
      </c>
      <c r="C908" s="13" t="s">
        <v>228</v>
      </c>
      <c r="D908" s="13" t="s">
        <v>147</v>
      </c>
      <c r="E908" s="13" t="s">
        <v>285</v>
      </c>
      <c r="F908" s="15">
        <v>6</v>
      </c>
      <c r="G908" s="15">
        <v>190</v>
      </c>
      <c r="H908" s="15">
        <v>17.100000000000001</v>
      </c>
      <c r="I908" s="15">
        <v>945.06</v>
      </c>
      <c r="J908" s="13" t="s">
        <v>140</v>
      </c>
      <c r="K908" s="13" t="s">
        <v>112</v>
      </c>
      <c r="L908" s="34" t="str">
        <f>VLOOKUP(D908,Products!$A$2:$F$61,3,FALSE)</f>
        <v>Sports</v>
      </c>
      <c r="M908" s="34" t="str">
        <f>VLOOKUP(C908,Customers!$A$2:$F$301,5,FALSE)</f>
        <v>SMB</v>
      </c>
      <c r="N908" s="34">
        <f>VLOOKUP(C908,Customers!$A$2:$F$301,3,FALSE)</f>
        <v>54</v>
      </c>
      <c r="O908" s="34" t="str">
        <f>VLOOKUP(E908,Sales_Reps!$A$2:$E$31,3,FALSE)</f>
        <v>East</v>
      </c>
      <c r="P908" s="13" t="s">
        <v>285</v>
      </c>
      <c r="Q908" s="34">
        <f t="shared" si="32"/>
        <v>1069570.5400000003</v>
      </c>
      <c r="R908" s="34" t="str">
        <f>VLOOKUP(E908,Sales_Reps!$A$2:$E$100,3,FALSE)</f>
        <v>East</v>
      </c>
      <c r="S908" s="34" t="str">
        <f t="shared" si="33"/>
        <v>Sports</v>
      </c>
      <c r="T908" s="38">
        <f>VLOOKUP(D908,Products!$A$2:$F$68,4,FALSE)</f>
        <v>147</v>
      </c>
    </row>
    <row r="909" spans="1:20" x14ac:dyDescent="0.35">
      <c r="A909" s="13" t="s">
        <v>1388</v>
      </c>
      <c r="B909" s="14">
        <v>45356</v>
      </c>
      <c r="C909" s="13" t="s">
        <v>717</v>
      </c>
      <c r="D909" s="13" t="s">
        <v>351</v>
      </c>
      <c r="E909" s="13" t="s">
        <v>111</v>
      </c>
      <c r="F909" s="15">
        <v>7</v>
      </c>
      <c r="G909" s="15">
        <v>4060</v>
      </c>
      <c r="H909" s="15">
        <v>0.6</v>
      </c>
      <c r="I909" s="15">
        <v>28249.48</v>
      </c>
      <c r="J909" s="13" t="s">
        <v>87</v>
      </c>
      <c r="K909" s="13" t="s">
        <v>94</v>
      </c>
      <c r="L909" s="34" t="str">
        <f>VLOOKUP(D909,Products!$A$2:$F$61,3,FALSE)</f>
        <v>Grocery</v>
      </c>
      <c r="M909" s="34" t="str">
        <f>VLOOKUP(C909,Customers!$A$2:$F$301,5,FALSE)</f>
        <v>Retail</v>
      </c>
      <c r="N909" s="34">
        <f>VLOOKUP(C909,Customers!$A$2:$F$301,3,FALSE)</f>
        <v>24</v>
      </c>
      <c r="O909" s="34" t="str">
        <f>VLOOKUP(E909,Sales_Reps!$A$2:$E$31,3,FALSE)</f>
        <v>West</v>
      </c>
      <c r="P909" s="13" t="s">
        <v>111</v>
      </c>
      <c r="Q909" s="34">
        <f t="shared" si="32"/>
        <v>901298.89</v>
      </c>
      <c r="R909" s="34" t="str">
        <f>VLOOKUP(E909,Sales_Reps!$A$2:$E$100,3,FALSE)</f>
        <v>West</v>
      </c>
      <c r="S909" s="34" t="str">
        <f t="shared" si="33"/>
        <v>Grocery</v>
      </c>
      <c r="T909" s="38">
        <f>VLOOKUP(D909,Products!$A$2:$F$68,4,FALSE)</f>
        <v>2911</v>
      </c>
    </row>
    <row r="910" spans="1:20" x14ac:dyDescent="0.35">
      <c r="A910" s="13" t="s">
        <v>1389</v>
      </c>
      <c r="B910" s="14">
        <v>45346</v>
      </c>
      <c r="C910" s="13" t="s">
        <v>608</v>
      </c>
      <c r="D910" s="13" t="s">
        <v>270</v>
      </c>
      <c r="E910" s="13" t="s">
        <v>158</v>
      </c>
      <c r="F910" s="15">
        <v>4</v>
      </c>
      <c r="G910" s="15">
        <v>4610</v>
      </c>
      <c r="H910" s="15">
        <v>1.9</v>
      </c>
      <c r="I910" s="15">
        <v>18089.64</v>
      </c>
      <c r="J910" s="13" t="s">
        <v>93</v>
      </c>
      <c r="K910" s="13" t="s">
        <v>88</v>
      </c>
      <c r="L910" s="34" t="str">
        <f>VLOOKUP(D910,Products!$A$2:$F$61,3,FALSE)</f>
        <v>Home</v>
      </c>
      <c r="M910" s="34" t="str">
        <f>VLOOKUP(C910,Customers!$A$2:$F$301,5,FALSE)</f>
        <v>Corporate</v>
      </c>
      <c r="N910" s="34">
        <f>VLOOKUP(C910,Customers!$A$2:$F$301,3,FALSE)</f>
        <v>40</v>
      </c>
      <c r="O910" s="34" t="str">
        <f>VLOOKUP(E910,Sales_Reps!$A$2:$E$31,3,FALSE)</f>
        <v>East</v>
      </c>
      <c r="P910" s="13" t="s">
        <v>158</v>
      </c>
      <c r="Q910" s="34">
        <f t="shared" si="32"/>
        <v>761507.17000000027</v>
      </c>
      <c r="R910" s="34" t="str">
        <f>VLOOKUP(E910,Sales_Reps!$A$2:$E$100,3,FALSE)</f>
        <v>East</v>
      </c>
      <c r="S910" s="34" t="str">
        <f t="shared" si="33"/>
        <v>Home</v>
      </c>
      <c r="T910" s="38">
        <f>VLOOKUP(D910,Products!$A$2:$F$68,4,FALSE)</f>
        <v>1850</v>
      </c>
    </row>
    <row r="911" spans="1:20" x14ac:dyDescent="0.35">
      <c r="A911" s="13" t="s">
        <v>1390</v>
      </c>
      <c r="B911" s="14">
        <v>45640</v>
      </c>
      <c r="C911" s="13" t="s">
        <v>621</v>
      </c>
      <c r="D911" s="13" t="s">
        <v>264</v>
      </c>
      <c r="E911" s="13" t="s">
        <v>192</v>
      </c>
      <c r="F911" s="15">
        <v>4</v>
      </c>
      <c r="G911" s="15">
        <v>4070</v>
      </c>
      <c r="H911" s="15">
        <v>26.8</v>
      </c>
      <c r="I911" s="15">
        <v>11916.96</v>
      </c>
      <c r="J911" s="13" t="s">
        <v>87</v>
      </c>
      <c r="K911" s="13" t="s">
        <v>94</v>
      </c>
      <c r="L911" s="34" t="str">
        <f>VLOOKUP(D911,Products!$A$2:$F$61,3,FALSE)</f>
        <v>Grocery</v>
      </c>
      <c r="M911" s="34" t="str">
        <f>VLOOKUP(C911,Customers!$A$2:$F$301,5,FALSE)</f>
        <v>Corporate</v>
      </c>
      <c r="N911" s="34">
        <f>VLOOKUP(C911,Customers!$A$2:$F$301,3,FALSE)</f>
        <v>22</v>
      </c>
      <c r="O911" s="34" t="str">
        <f>VLOOKUP(E911,Sales_Reps!$A$2:$E$31,3,FALSE)</f>
        <v>East</v>
      </c>
      <c r="P911" s="13" t="s">
        <v>192</v>
      </c>
      <c r="Q911" s="34">
        <f t="shared" si="32"/>
        <v>906107.71000000008</v>
      </c>
      <c r="R911" s="34" t="str">
        <f>VLOOKUP(E911,Sales_Reps!$A$2:$E$100,3,FALSE)</f>
        <v>East</v>
      </c>
      <c r="S911" s="34" t="str">
        <f t="shared" si="33"/>
        <v>Grocery</v>
      </c>
      <c r="T911" s="38">
        <f>VLOOKUP(D911,Products!$A$2:$F$68,4,FALSE)</f>
        <v>2027</v>
      </c>
    </row>
    <row r="912" spans="1:20" x14ac:dyDescent="0.35">
      <c r="A912" s="13" t="s">
        <v>1391</v>
      </c>
      <c r="B912" s="14">
        <v>45633</v>
      </c>
      <c r="C912" s="13" t="s">
        <v>256</v>
      </c>
      <c r="D912" s="13" t="s">
        <v>85</v>
      </c>
      <c r="E912" s="13" t="s">
        <v>139</v>
      </c>
      <c r="F912" s="15">
        <v>4</v>
      </c>
      <c r="G912" s="15">
        <v>3620</v>
      </c>
      <c r="H912" s="15">
        <v>11.7</v>
      </c>
      <c r="I912" s="15">
        <v>12785.84</v>
      </c>
      <c r="J912" s="13" t="s">
        <v>87</v>
      </c>
      <c r="K912" s="13" t="s">
        <v>133</v>
      </c>
      <c r="L912" s="34" t="str">
        <f>VLOOKUP(D912,Products!$A$2:$F$61,3,FALSE)</f>
        <v>Apparel</v>
      </c>
      <c r="M912" s="34" t="str">
        <f>VLOOKUP(C912,Customers!$A$2:$F$301,5,FALSE)</f>
        <v>Retail</v>
      </c>
      <c r="N912" s="34">
        <f>VLOOKUP(C912,Customers!$A$2:$F$301,3,FALSE)</f>
        <v>27</v>
      </c>
      <c r="O912" s="34" t="str">
        <f>VLOOKUP(E912,Sales_Reps!$A$2:$E$31,3,FALSE)</f>
        <v>North</v>
      </c>
      <c r="P912" s="13" t="s">
        <v>139</v>
      </c>
      <c r="Q912" s="34">
        <f t="shared" si="32"/>
        <v>589026.2899999998</v>
      </c>
      <c r="R912" s="34" t="str">
        <f>VLOOKUP(E912,Sales_Reps!$A$2:$E$100,3,FALSE)</f>
        <v>North</v>
      </c>
      <c r="S912" s="34" t="str">
        <f t="shared" si="33"/>
        <v>Apparel</v>
      </c>
      <c r="T912" s="38">
        <f>VLOOKUP(D912,Products!$A$2:$F$68,4,FALSE)</f>
        <v>2509</v>
      </c>
    </row>
    <row r="913" spans="1:20" x14ac:dyDescent="0.35">
      <c r="A913" s="13" t="s">
        <v>1392</v>
      </c>
      <c r="B913" s="14">
        <v>45430</v>
      </c>
      <c r="C913" s="13" t="s">
        <v>318</v>
      </c>
      <c r="D913" s="13" t="s">
        <v>408</v>
      </c>
      <c r="E913" s="13" t="s">
        <v>170</v>
      </c>
      <c r="F913" s="15">
        <v>3</v>
      </c>
      <c r="G913" s="15">
        <v>3970</v>
      </c>
      <c r="H913" s="15">
        <v>24.7</v>
      </c>
      <c r="I913" s="15">
        <v>8968.23</v>
      </c>
      <c r="J913" s="13" t="s">
        <v>87</v>
      </c>
      <c r="K913" s="13" t="s">
        <v>94</v>
      </c>
      <c r="L913" s="34" t="str">
        <f>VLOOKUP(D913,Products!$A$2:$F$61,3,FALSE)</f>
        <v>Electronics</v>
      </c>
      <c r="M913" s="34" t="str">
        <f>VLOOKUP(C913,Customers!$A$2:$F$301,5,FALSE)</f>
        <v>SMB</v>
      </c>
      <c r="N913" s="34">
        <f>VLOOKUP(C913,Customers!$A$2:$F$301,3,FALSE)</f>
        <v>57</v>
      </c>
      <c r="O913" s="34" t="str">
        <f>VLOOKUP(E913,Sales_Reps!$A$2:$E$31,3,FALSE)</f>
        <v>West</v>
      </c>
      <c r="P913" s="13" t="s">
        <v>170</v>
      </c>
      <c r="Q913" s="34">
        <f t="shared" si="32"/>
        <v>747624.36999999988</v>
      </c>
      <c r="R913" s="34" t="str">
        <f>VLOOKUP(E913,Sales_Reps!$A$2:$E$100,3,FALSE)</f>
        <v>West</v>
      </c>
      <c r="S913" s="34" t="str">
        <f t="shared" si="33"/>
        <v>Electronics</v>
      </c>
      <c r="T913" s="38">
        <f>VLOOKUP(D913,Products!$A$2:$F$68,4,FALSE)</f>
        <v>2865</v>
      </c>
    </row>
    <row r="914" spans="1:20" x14ac:dyDescent="0.35">
      <c r="A914" s="13" t="s">
        <v>1393</v>
      </c>
      <c r="B914" s="14">
        <v>45355</v>
      </c>
      <c r="C914" s="13" t="s">
        <v>416</v>
      </c>
      <c r="D914" s="13" t="s">
        <v>127</v>
      </c>
      <c r="E914" s="13" t="s">
        <v>128</v>
      </c>
      <c r="F914" s="15">
        <v>4</v>
      </c>
      <c r="G914" s="15">
        <v>970</v>
      </c>
      <c r="H914" s="15">
        <v>0.4</v>
      </c>
      <c r="I914" s="15">
        <v>3864.48</v>
      </c>
      <c r="J914" s="13" t="s">
        <v>87</v>
      </c>
      <c r="K914" s="13" t="s">
        <v>117</v>
      </c>
      <c r="L914" s="34" t="str">
        <f>VLOOKUP(D914,Products!$A$2:$F$61,3,FALSE)</f>
        <v>Grocery</v>
      </c>
      <c r="M914" s="34" t="str">
        <f>VLOOKUP(C914,Customers!$A$2:$F$301,5,FALSE)</f>
        <v>Corporate</v>
      </c>
      <c r="N914" s="34">
        <f>VLOOKUP(C914,Customers!$A$2:$F$301,3,FALSE)</f>
        <v>42</v>
      </c>
      <c r="O914" s="34" t="str">
        <f>VLOOKUP(E914,Sales_Reps!$A$2:$E$31,3,FALSE)</f>
        <v>West</v>
      </c>
      <c r="P914" s="13" t="s">
        <v>128</v>
      </c>
      <c r="Q914" s="34">
        <f t="shared" si="32"/>
        <v>880468.05</v>
      </c>
      <c r="R914" s="34" t="str">
        <f>VLOOKUP(E914,Sales_Reps!$A$2:$E$100,3,FALSE)</f>
        <v>West</v>
      </c>
      <c r="S914" s="34" t="str">
        <f t="shared" si="33"/>
        <v>Grocery</v>
      </c>
      <c r="T914" s="38">
        <f>VLOOKUP(D914,Products!$A$2:$F$68,4,FALSE)</f>
        <v>434</v>
      </c>
    </row>
    <row r="915" spans="1:20" x14ac:dyDescent="0.35">
      <c r="A915" s="13" t="s">
        <v>1394</v>
      </c>
      <c r="B915" s="14">
        <v>45379</v>
      </c>
      <c r="C915" s="13" t="s">
        <v>299</v>
      </c>
      <c r="D915" s="13" t="s">
        <v>115</v>
      </c>
      <c r="E915" s="13" t="s">
        <v>154</v>
      </c>
      <c r="F915" s="15">
        <v>2</v>
      </c>
      <c r="G915" s="15">
        <v>960</v>
      </c>
      <c r="H915" s="15">
        <v>1.4</v>
      </c>
      <c r="I915" s="15">
        <v>1893.12</v>
      </c>
      <c r="J915" s="13" t="s">
        <v>87</v>
      </c>
      <c r="K915" s="13" t="s">
        <v>133</v>
      </c>
      <c r="L915" s="34" t="str">
        <f>VLOOKUP(D915,Products!$A$2:$F$61,3,FALSE)</f>
        <v>Sports</v>
      </c>
      <c r="M915" s="34" t="str">
        <f>VLOOKUP(C915,Customers!$A$2:$F$301,5,FALSE)</f>
        <v>Retail</v>
      </c>
      <c r="N915" s="34">
        <f>VLOOKUP(C915,Customers!$A$2:$F$301,3,FALSE)</f>
        <v>29</v>
      </c>
      <c r="O915" s="34" t="str">
        <f>VLOOKUP(E915,Sales_Reps!$A$2:$E$31,3,FALSE)</f>
        <v>East</v>
      </c>
      <c r="P915" s="13" t="s">
        <v>154</v>
      </c>
      <c r="Q915" s="34">
        <f t="shared" si="32"/>
        <v>983787.4800000001</v>
      </c>
      <c r="R915" s="34" t="str">
        <f>VLOOKUP(E915,Sales_Reps!$A$2:$E$100,3,FALSE)</f>
        <v>East</v>
      </c>
      <c r="S915" s="34" t="str">
        <f t="shared" si="33"/>
        <v>Sports</v>
      </c>
      <c r="T915" s="38">
        <f>VLOOKUP(D915,Products!$A$2:$F$68,4,FALSE)</f>
        <v>705</v>
      </c>
    </row>
    <row r="916" spans="1:20" x14ac:dyDescent="0.35">
      <c r="A916" s="13" t="s">
        <v>1395</v>
      </c>
      <c r="B916" s="14">
        <v>45375</v>
      </c>
      <c r="C916" s="13" t="s">
        <v>160</v>
      </c>
      <c r="D916" s="13" t="s">
        <v>282</v>
      </c>
      <c r="E916" s="13" t="s">
        <v>346</v>
      </c>
      <c r="F916" s="15">
        <v>7</v>
      </c>
      <c r="G916" s="15">
        <v>300</v>
      </c>
      <c r="H916" s="15">
        <v>20.399999999999999</v>
      </c>
      <c r="I916" s="15">
        <v>1671.6</v>
      </c>
      <c r="J916" s="13" t="s">
        <v>87</v>
      </c>
      <c r="K916" s="13" t="s">
        <v>112</v>
      </c>
      <c r="L916" s="34" t="str">
        <f>VLOOKUP(D916,Products!$A$2:$F$61,3,FALSE)</f>
        <v>Electronics</v>
      </c>
      <c r="M916" s="34" t="str">
        <f>VLOOKUP(C916,Customers!$A$2:$F$301,5,FALSE)</f>
        <v>Retail</v>
      </c>
      <c r="N916" s="34">
        <f>VLOOKUP(C916,Customers!$A$2:$F$301,3,FALSE)</f>
        <v>54</v>
      </c>
      <c r="O916" s="34" t="str">
        <f>VLOOKUP(E916,Sales_Reps!$A$2:$E$31,3,FALSE)</f>
        <v>South</v>
      </c>
      <c r="P916" s="13" t="s">
        <v>346</v>
      </c>
      <c r="Q916" s="34">
        <f t="shared" si="32"/>
        <v>814563.7100000002</v>
      </c>
      <c r="R916" s="34" t="str">
        <f>VLOOKUP(E916,Sales_Reps!$A$2:$E$100,3,FALSE)</f>
        <v>South</v>
      </c>
      <c r="S916" s="34" t="str">
        <f t="shared" si="33"/>
        <v>Electronics</v>
      </c>
      <c r="T916" s="38">
        <f>VLOOKUP(D916,Products!$A$2:$F$68,4,FALSE)</f>
        <v>128</v>
      </c>
    </row>
    <row r="917" spans="1:20" x14ac:dyDescent="0.35">
      <c r="A917" s="13" t="s">
        <v>1396</v>
      </c>
      <c r="B917" s="14">
        <v>45397</v>
      </c>
      <c r="C917" s="13" t="s">
        <v>312</v>
      </c>
      <c r="D917" s="13" t="s">
        <v>138</v>
      </c>
      <c r="E917" s="13" t="s">
        <v>98</v>
      </c>
      <c r="F917" s="15">
        <v>8</v>
      </c>
      <c r="G917" s="15">
        <v>2600</v>
      </c>
      <c r="H917" s="15">
        <v>2.2000000000000002</v>
      </c>
      <c r="I917" s="15">
        <v>20342.400000000001</v>
      </c>
      <c r="J917" s="13" t="s">
        <v>140</v>
      </c>
      <c r="K917" s="13" t="s">
        <v>133</v>
      </c>
      <c r="L917" s="34" t="str">
        <f>VLOOKUP(D917,Products!$A$2:$F$61,3,FALSE)</f>
        <v>Electronics</v>
      </c>
      <c r="M917" s="34" t="str">
        <f>VLOOKUP(C917,Customers!$A$2:$F$301,5,FALSE)</f>
        <v>Retail</v>
      </c>
      <c r="N917" s="34">
        <f>VLOOKUP(C917,Customers!$A$2:$F$301,3,FALSE)</f>
        <v>46</v>
      </c>
      <c r="O917" s="34" t="str">
        <f>VLOOKUP(E917,Sales_Reps!$A$2:$E$31,3,FALSE)</f>
        <v>South</v>
      </c>
      <c r="P917" s="13" t="s">
        <v>98</v>
      </c>
      <c r="Q917" s="34">
        <f t="shared" si="32"/>
        <v>995713.54000000015</v>
      </c>
      <c r="R917" s="34" t="str">
        <f>VLOOKUP(E917,Sales_Reps!$A$2:$E$100,3,FALSE)</f>
        <v>South</v>
      </c>
      <c r="S917" s="34" t="str">
        <f t="shared" si="33"/>
        <v>Electronics</v>
      </c>
      <c r="T917" s="38">
        <f>VLOOKUP(D917,Products!$A$2:$F$68,4,FALSE)</f>
        <v>1052</v>
      </c>
    </row>
    <row r="918" spans="1:20" x14ac:dyDescent="0.35">
      <c r="A918" s="13" t="s">
        <v>1397</v>
      </c>
      <c r="B918" s="14">
        <v>45571</v>
      </c>
      <c r="C918" s="13" t="s">
        <v>485</v>
      </c>
      <c r="D918" s="13" t="s">
        <v>110</v>
      </c>
      <c r="E918" s="13" t="s">
        <v>107</v>
      </c>
      <c r="F918" s="15">
        <v>2</v>
      </c>
      <c r="G918" s="15">
        <v>370</v>
      </c>
      <c r="H918" s="15">
        <v>17.7</v>
      </c>
      <c r="I918" s="15">
        <v>609.02</v>
      </c>
      <c r="J918" s="13" t="s">
        <v>87</v>
      </c>
      <c r="K918" s="13" t="s">
        <v>88</v>
      </c>
      <c r="L918" s="34" t="str">
        <f>VLOOKUP(D918,Products!$A$2:$F$61,3,FALSE)</f>
        <v>Home</v>
      </c>
      <c r="M918" s="34" t="str">
        <f>VLOOKUP(C918,Customers!$A$2:$F$301,5,FALSE)</f>
        <v>Retail</v>
      </c>
      <c r="N918" s="34">
        <f>VLOOKUP(C918,Customers!$A$2:$F$301,3,FALSE)</f>
        <v>49</v>
      </c>
      <c r="O918" s="34" t="str">
        <f>VLOOKUP(E918,Sales_Reps!$A$2:$E$31,3,FALSE)</f>
        <v>North</v>
      </c>
      <c r="P918" s="13" t="s">
        <v>107</v>
      </c>
      <c r="Q918" s="34">
        <f t="shared" si="32"/>
        <v>861553.33</v>
      </c>
      <c r="R918" s="34" t="str">
        <f>VLOOKUP(E918,Sales_Reps!$A$2:$E$100,3,FALSE)</f>
        <v>North</v>
      </c>
      <c r="S918" s="34" t="str">
        <f t="shared" si="33"/>
        <v>Home</v>
      </c>
      <c r="T918" s="38">
        <f>VLOOKUP(D918,Products!$A$2:$F$68,4,FALSE)</f>
        <v>288</v>
      </c>
    </row>
    <row r="919" spans="1:20" x14ac:dyDescent="0.35">
      <c r="A919" s="13" t="s">
        <v>1398</v>
      </c>
      <c r="B919" s="14">
        <v>45455</v>
      </c>
      <c r="C919" s="13" t="s">
        <v>178</v>
      </c>
      <c r="D919" s="13" t="s">
        <v>157</v>
      </c>
      <c r="E919" s="13" t="s">
        <v>201</v>
      </c>
      <c r="F919" s="15">
        <v>4</v>
      </c>
      <c r="G919" s="15">
        <v>3450</v>
      </c>
      <c r="H919" s="15">
        <v>9.8000000000000007</v>
      </c>
      <c r="I919" s="15">
        <v>12447.6</v>
      </c>
      <c r="J919" s="13" t="s">
        <v>140</v>
      </c>
      <c r="K919" s="13" t="s">
        <v>94</v>
      </c>
      <c r="L919" s="34" t="str">
        <f>VLOOKUP(D919,Products!$A$2:$F$61,3,FALSE)</f>
        <v>Beauty</v>
      </c>
      <c r="M919" s="34" t="str">
        <f>VLOOKUP(C919,Customers!$A$2:$F$301,5,FALSE)</f>
        <v>Corporate</v>
      </c>
      <c r="N919" s="34">
        <f>VLOOKUP(C919,Customers!$A$2:$F$301,3,FALSE)</f>
        <v>55</v>
      </c>
      <c r="O919" s="34" t="str">
        <f>VLOOKUP(E919,Sales_Reps!$A$2:$E$31,3,FALSE)</f>
        <v>West</v>
      </c>
      <c r="P919" s="13" t="s">
        <v>201</v>
      </c>
      <c r="Q919" s="34">
        <f t="shared" si="32"/>
        <v>576305.08000000019</v>
      </c>
      <c r="R919" s="34" t="str">
        <f>VLOOKUP(E919,Sales_Reps!$A$2:$E$100,3,FALSE)</f>
        <v>West</v>
      </c>
      <c r="S919" s="34" t="str">
        <f t="shared" si="33"/>
        <v>Beauty</v>
      </c>
      <c r="T919" s="38">
        <f>VLOOKUP(D919,Products!$A$2:$F$68,4,FALSE)</f>
        <v>2420</v>
      </c>
    </row>
    <row r="920" spans="1:20" x14ac:dyDescent="0.35">
      <c r="A920" s="13" t="s">
        <v>1399</v>
      </c>
      <c r="B920" s="14">
        <v>45486</v>
      </c>
      <c r="C920" s="13" t="s">
        <v>781</v>
      </c>
      <c r="D920" s="13" t="s">
        <v>167</v>
      </c>
      <c r="E920" s="13" t="s">
        <v>192</v>
      </c>
      <c r="F920" s="15">
        <v>1</v>
      </c>
      <c r="G920" s="15">
        <v>2480</v>
      </c>
      <c r="H920" s="15">
        <v>5.8</v>
      </c>
      <c r="I920" s="15">
        <v>2336.16</v>
      </c>
      <c r="J920" s="13" t="s">
        <v>87</v>
      </c>
      <c r="K920" s="13" t="s">
        <v>99</v>
      </c>
      <c r="L920" s="34" t="str">
        <f>VLOOKUP(D920,Products!$A$2:$F$61,3,FALSE)</f>
        <v>Apparel</v>
      </c>
      <c r="M920" s="34" t="str">
        <f>VLOOKUP(C920,Customers!$A$2:$F$301,5,FALSE)</f>
        <v>SMB</v>
      </c>
      <c r="N920" s="34">
        <f>VLOOKUP(C920,Customers!$A$2:$F$301,3,FALSE)</f>
        <v>29</v>
      </c>
      <c r="O920" s="34" t="str">
        <f>VLOOKUP(E920,Sales_Reps!$A$2:$E$31,3,FALSE)</f>
        <v>East</v>
      </c>
      <c r="P920" s="13" t="s">
        <v>192</v>
      </c>
      <c r="Q920" s="34">
        <f t="shared" si="32"/>
        <v>906107.71000000008</v>
      </c>
      <c r="R920" s="34" t="str">
        <f>VLOOKUP(E920,Sales_Reps!$A$2:$E$100,3,FALSE)</f>
        <v>East</v>
      </c>
      <c r="S920" s="34" t="str">
        <f t="shared" si="33"/>
        <v>Apparel</v>
      </c>
      <c r="T920" s="38">
        <f>VLOOKUP(D920,Products!$A$2:$F$68,4,FALSE)</f>
        <v>1173</v>
      </c>
    </row>
    <row r="921" spans="1:20" x14ac:dyDescent="0.35">
      <c r="A921" s="13" t="s">
        <v>1400</v>
      </c>
      <c r="B921" s="14">
        <v>45329</v>
      </c>
      <c r="C921" s="13" t="s">
        <v>551</v>
      </c>
      <c r="D921" s="13" t="s">
        <v>102</v>
      </c>
      <c r="E921" s="13" t="s">
        <v>121</v>
      </c>
      <c r="F921" s="15">
        <v>5</v>
      </c>
      <c r="G921" s="15">
        <v>3660</v>
      </c>
      <c r="H921" s="15">
        <v>4.7</v>
      </c>
      <c r="I921" s="15">
        <v>17439.900000000001</v>
      </c>
      <c r="J921" s="13" t="s">
        <v>93</v>
      </c>
      <c r="K921" s="13" t="s">
        <v>112</v>
      </c>
      <c r="L921" s="34" t="str">
        <f>VLOOKUP(D921,Products!$A$2:$F$61,3,FALSE)</f>
        <v>Grocery</v>
      </c>
      <c r="M921" s="34" t="str">
        <f>VLOOKUP(C921,Customers!$A$2:$F$301,5,FALSE)</f>
        <v>Corporate</v>
      </c>
      <c r="N921" s="34">
        <f>VLOOKUP(C921,Customers!$A$2:$F$301,3,FALSE)</f>
        <v>60</v>
      </c>
      <c r="O921" s="34" t="str">
        <f>VLOOKUP(E921,Sales_Reps!$A$2:$E$31,3,FALSE)</f>
        <v>East</v>
      </c>
      <c r="P921" s="13" t="s">
        <v>121</v>
      </c>
      <c r="Q921" s="34">
        <f t="shared" si="32"/>
        <v>971183.52000000014</v>
      </c>
      <c r="R921" s="34" t="str">
        <f>VLOOKUP(E921,Sales_Reps!$A$2:$E$100,3,FALSE)</f>
        <v>East</v>
      </c>
      <c r="S921" s="34" t="str">
        <f t="shared" si="33"/>
        <v>Grocery</v>
      </c>
      <c r="T921" s="38">
        <f>VLOOKUP(D921,Products!$A$2:$F$68,4,FALSE)</f>
        <v>2214</v>
      </c>
    </row>
    <row r="922" spans="1:20" x14ac:dyDescent="0.35">
      <c r="A922" s="13" t="s">
        <v>1401</v>
      </c>
      <c r="B922" s="14">
        <v>45315</v>
      </c>
      <c r="C922" s="13" t="s">
        <v>342</v>
      </c>
      <c r="D922" s="13" t="s">
        <v>176</v>
      </c>
      <c r="E922" s="13" t="s">
        <v>154</v>
      </c>
      <c r="F922" s="15">
        <v>7</v>
      </c>
      <c r="G922" s="15">
        <v>1650</v>
      </c>
      <c r="H922" s="15">
        <v>8.6</v>
      </c>
      <c r="I922" s="15">
        <v>10556.7</v>
      </c>
      <c r="J922" s="13" t="s">
        <v>87</v>
      </c>
      <c r="K922" s="13" t="s">
        <v>94</v>
      </c>
      <c r="L922" s="34" t="str">
        <f>VLOOKUP(D922,Products!$A$2:$F$61,3,FALSE)</f>
        <v>Beauty</v>
      </c>
      <c r="M922" s="34" t="str">
        <f>VLOOKUP(C922,Customers!$A$2:$F$301,5,FALSE)</f>
        <v>Retail</v>
      </c>
      <c r="N922" s="34">
        <f>VLOOKUP(C922,Customers!$A$2:$F$301,3,FALSE)</f>
        <v>26</v>
      </c>
      <c r="O922" s="34" t="str">
        <f>VLOOKUP(E922,Sales_Reps!$A$2:$E$31,3,FALSE)</f>
        <v>East</v>
      </c>
      <c r="P922" s="13" t="s">
        <v>154</v>
      </c>
      <c r="Q922" s="34">
        <f t="shared" si="32"/>
        <v>983787.4800000001</v>
      </c>
      <c r="R922" s="34" t="str">
        <f>VLOOKUP(E922,Sales_Reps!$A$2:$E$100,3,FALSE)</f>
        <v>East</v>
      </c>
      <c r="S922" s="34" t="str">
        <f t="shared" si="33"/>
        <v>Beauty</v>
      </c>
      <c r="T922" s="38">
        <f>VLOOKUP(D922,Products!$A$2:$F$68,4,FALSE)</f>
        <v>1222</v>
      </c>
    </row>
    <row r="923" spans="1:20" x14ac:dyDescent="0.35">
      <c r="A923" s="13" t="s">
        <v>1402</v>
      </c>
      <c r="B923" s="14">
        <v>45473</v>
      </c>
      <c r="C923" s="13" t="s">
        <v>190</v>
      </c>
      <c r="D923" s="13" t="s">
        <v>147</v>
      </c>
      <c r="E923" s="13" t="s">
        <v>111</v>
      </c>
      <c r="F923" s="15">
        <v>6</v>
      </c>
      <c r="G923" s="15">
        <v>190</v>
      </c>
      <c r="H923" s="15">
        <v>14.6</v>
      </c>
      <c r="I923" s="15">
        <v>973.56</v>
      </c>
      <c r="J923" s="13" t="s">
        <v>87</v>
      </c>
      <c r="K923" s="13" t="s">
        <v>133</v>
      </c>
      <c r="L923" s="34" t="str">
        <f>VLOOKUP(D923,Products!$A$2:$F$61,3,FALSE)</f>
        <v>Sports</v>
      </c>
      <c r="M923" s="34" t="str">
        <f>VLOOKUP(C923,Customers!$A$2:$F$301,5,FALSE)</f>
        <v>Corporate</v>
      </c>
      <c r="N923" s="34">
        <f>VLOOKUP(C923,Customers!$A$2:$F$301,3,FALSE)</f>
        <v>56</v>
      </c>
      <c r="O923" s="34" t="str">
        <f>VLOOKUP(E923,Sales_Reps!$A$2:$E$31,3,FALSE)</f>
        <v>West</v>
      </c>
      <c r="P923" s="13" t="s">
        <v>111</v>
      </c>
      <c r="Q923" s="34">
        <f t="shared" si="32"/>
        <v>901298.89</v>
      </c>
      <c r="R923" s="34" t="str">
        <f>VLOOKUP(E923,Sales_Reps!$A$2:$E$100,3,FALSE)</f>
        <v>West</v>
      </c>
      <c r="S923" s="34" t="str">
        <f t="shared" si="33"/>
        <v>Sports</v>
      </c>
      <c r="T923" s="38">
        <f>VLOOKUP(D923,Products!$A$2:$F$68,4,FALSE)</f>
        <v>147</v>
      </c>
    </row>
    <row r="924" spans="1:20" x14ac:dyDescent="0.35">
      <c r="A924" s="13" t="s">
        <v>1403</v>
      </c>
      <c r="B924" s="14">
        <v>45546</v>
      </c>
      <c r="C924" s="13" t="s">
        <v>608</v>
      </c>
      <c r="D924" s="13" t="s">
        <v>245</v>
      </c>
      <c r="E924" s="13" t="s">
        <v>215</v>
      </c>
      <c r="F924" s="15">
        <v>5</v>
      </c>
      <c r="G924" s="15">
        <v>2270</v>
      </c>
      <c r="H924" s="15">
        <v>5.9</v>
      </c>
      <c r="I924" s="15">
        <v>10680.35</v>
      </c>
      <c r="J924" s="13" t="s">
        <v>87</v>
      </c>
      <c r="K924" s="13" t="s">
        <v>88</v>
      </c>
      <c r="L924" s="34" t="str">
        <f>VLOOKUP(D924,Products!$A$2:$F$61,3,FALSE)</f>
        <v>Grocery</v>
      </c>
      <c r="M924" s="34" t="str">
        <f>VLOOKUP(C924,Customers!$A$2:$F$301,5,FALSE)</f>
        <v>Corporate</v>
      </c>
      <c r="N924" s="34">
        <f>VLOOKUP(C924,Customers!$A$2:$F$301,3,FALSE)</f>
        <v>40</v>
      </c>
      <c r="O924" s="34" t="str">
        <f>VLOOKUP(E924,Sales_Reps!$A$2:$E$31,3,FALSE)</f>
        <v>North</v>
      </c>
      <c r="P924" s="13" t="s">
        <v>215</v>
      </c>
      <c r="Q924" s="34">
        <f t="shared" si="32"/>
        <v>789849.60000000009</v>
      </c>
      <c r="R924" s="34" t="str">
        <f>VLOOKUP(E924,Sales_Reps!$A$2:$E$100,3,FALSE)</f>
        <v>North</v>
      </c>
      <c r="S924" s="34" t="str">
        <f t="shared" si="33"/>
        <v>Grocery</v>
      </c>
      <c r="T924" s="38">
        <f>VLOOKUP(D924,Products!$A$2:$F$68,4,FALSE)</f>
        <v>1412</v>
      </c>
    </row>
    <row r="925" spans="1:20" x14ac:dyDescent="0.35">
      <c r="A925" s="13" t="s">
        <v>1404</v>
      </c>
      <c r="B925" s="14">
        <v>45625</v>
      </c>
      <c r="C925" s="13" t="s">
        <v>990</v>
      </c>
      <c r="D925" s="13" t="s">
        <v>131</v>
      </c>
      <c r="E925" s="13" t="s">
        <v>273</v>
      </c>
      <c r="F925" s="15">
        <v>1</v>
      </c>
      <c r="G925" s="15">
        <v>2270</v>
      </c>
      <c r="H925" s="15">
        <v>14.9</v>
      </c>
      <c r="I925" s="15">
        <v>1931.77</v>
      </c>
      <c r="J925" s="13" t="s">
        <v>87</v>
      </c>
      <c r="K925" s="13" t="s">
        <v>117</v>
      </c>
      <c r="L925" s="34" t="str">
        <f>VLOOKUP(D925,Products!$A$2:$F$61,3,FALSE)</f>
        <v>Grocery</v>
      </c>
      <c r="M925" s="34" t="str">
        <f>VLOOKUP(C925,Customers!$A$2:$F$301,5,FALSE)</f>
        <v>Retail</v>
      </c>
      <c r="N925" s="34">
        <f>VLOOKUP(C925,Customers!$A$2:$F$301,3,FALSE)</f>
        <v>61</v>
      </c>
      <c r="O925" s="34" t="str">
        <f>VLOOKUP(E925,Sales_Reps!$A$2:$E$31,3,FALSE)</f>
        <v>South</v>
      </c>
      <c r="P925" s="13" t="s">
        <v>273</v>
      </c>
      <c r="Q925" s="34">
        <f t="shared" si="32"/>
        <v>735207.75999999989</v>
      </c>
      <c r="R925" s="34" t="str">
        <f>VLOOKUP(E925,Sales_Reps!$A$2:$E$100,3,FALSE)</f>
        <v>South</v>
      </c>
      <c r="S925" s="34" t="str">
        <f t="shared" si="33"/>
        <v>Grocery</v>
      </c>
      <c r="T925" s="38">
        <f>VLOOKUP(D925,Products!$A$2:$F$68,4,FALSE)</f>
        <v>1203</v>
      </c>
    </row>
    <row r="926" spans="1:20" x14ac:dyDescent="0.35">
      <c r="A926" s="13" t="s">
        <v>1405</v>
      </c>
      <c r="B926" s="14">
        <v>45579</v>
      </c>
      <c r="C926" s="13" t="s">
        <v>606</v>
      </c>
      <c r="D926" s="13" t="s">
        <v>452</v>
      </c>
      <c r="E926" s="13" t="s">
        <v>303</v>
      </c>
      <c r="F926" s="15">
        <v>4</v>
      </c>
      <c r="G926" s="15">
        <v>3450</v>
      </c>
      <c r="H926" s="15">
        <v>11.7</v>
      </c>
      <c r="I926" s="15">
        <v>12185.4</v>
      </c>
      <c r="J926" s="13" t="s">
        <v>140</v>
      </c>
      <c r="K926" s="13" t="s">
        <v>112</v>
      </c>
      <c r="L926" s="34" t="str">
        <f>VLOOKUP(D926,Products!$A$2:$F$61,3,FALSE)</f>
        <v>Apparel</v>
      </c>
      <c r="M926" s="34" t="str">
        <f>VLOOKUP(C926,Customers!$A$2:$F$301,5,FALSE)</f>
        <v>Retail</v>
      </c>
      <c r="N926" s="34">
        <f>VLOOKUP(C926,Customers!$A$2:$F$301,3,FALSE)</f>
        <v>52</v>
      </c>
      <c r="O926" s="34" t="str">
        <f>VLOOKUP(E926,Sales_Reps!$A$2:$E$31,3,FALSE)</f>
        <v>East</v>
      </c>
      <c r="P926" s="13" t="s">
        <v>303</v>
      </c>
      <c r="Q926" s="34">
        <f t="shared" si="32"/>
        <v>1112289.6400000001</v>
      </c>
      <c r="R926" s="34" t="str">
        <f>VLOOKUP(E926,Sales_Reps!$A$2:$E$100,3,FALSE)</f>
        <v>East</v>
      </c>
      <c r="S926" s="34" t="str">
        <f t="shared" si="33"/>
        <v>Apparel</v>
      </c>
      <c r="T926" s="38">
        <f>VLOOKUP(D926,Products!$A$2:$F$68,4,FALSE)</f>
        <v>1748</v>
      </c>
    </row>
    <row r="927" spans="1:20" x14ac:dyDescent="0.35">
      <c r="A927" s="13" t="s">
        <v>1406</v>
      </c>
      <c r="B927" s="14">
        <v>45323</v>
      </c>
      <c r="C927" s="13" t="s">
        <v>528</v>
      </c>
      <c r="D927" s="13" t="s">
        <v>276</v>
      </c>
      <c r="E927" s="13" t="s">
        <v>128</v>
      </c>
      <c r="F927" s="15">
        <v>7</v>
      </c>
      <c r="G927" s="15">
        <v>3020</v>
      </c>
      <c r="H927" s="15">
        <v>18.8</v>
      </c>
      <c r="I927" s="15">
        <v>17165.68</v>
      </c>
      <c r="J927" s="13" t="s">
        <v>87</v>
      </c>
      <c r="K927" s="13" t="s">
        <v>112</v>
      </c>
      <c r="L927" s="34" t="str">
        <f>VLOOKUP(D927,Products!$A$2:$F$61,3,FALSE)</f>
        <v>Beauty</v>
      </c>
      <c r="M927" s="34" t="str">
        <f>VLOOKUP(C927,Customers!$A$2:$F$301,5,FALSE)</f>
        <v>Retail</v>
      </c>
      <c r="N927" s="34">
        <f>VLOOKUP(C927,Customers!$A$2:$F$301,3,FALSE)</f>
        <v>44</v>
      </c>
      <c r="O927" s="34" t="str">
        <f>VLOOKUP(E927,Sales_Reps!$A$2:$E$31,3,FALSE)</f>
        <v>West</v>
      </c>
      <c r="P927" s="13" t="s">
        <v>128</v>
      </c>
      <c r="Q927" s="34">
        <f t="shared" si="32"/>
        <v>880468.05</v>
      </c>
      <c r="R927" s="34" t="str">
        <f>VLOOKUP(E927,Sales_Reps!$A$2:$E$100,3,FALSE)</f>
        <v>West</v>
      </c>
      <c r="S927" s="34" t="str">
        <f t="shared" si="33"/>
        <v>Beauty</v>
      </c>
      <c r="T927" s="38">
        <f>VLOOKUP(D927,Products!$A$2:$F$68,4,FALSE)</f>
        <v>1626</v>
      </c>
    </row>
    <row r="928" spans="1:20" x14ac:dyDescent="0.35">
      <c r="A928" s="13" t="s">
        <v>1407</v>
      </c>
      <c r="B928" s="14">
        <v>45613</v>
      </c>
      <c r="C928" s="13" t="s">
        <v>870</v>
      </c>
      <c r="D928" s="13" t="s">
        <v>295</v>
      </c>
      <c r="E928" s="13" t="s">
        <v>346</v>
      </c>
      <c r="F928" s="15">
        <v>4</v>
      </c>
      <c r="G928" s="15">
        <v>2030</v>
      </c>
      <c r="H928" s="15">
        <v>25.7</v>
      </c>
      <c r="I928" s="15">
        <v>6033.16</v>
      </c>
      <c r="J928" s="13" t="s">
        <v>87</v>
      </c>
      <c r="K928" s="13" t="s">
        <v>117</v>
      </c>
      <c r="L928" s="34" t="str">
        <f>VLOOKUP(D928,Products!$A$2:$F$61,3,FALSE)</f>
        <v>Home</v>
      </c>
      <c r="M928" s="34" t="str">
        <f>VLOOKUP(C928,Customers!$A$2:$F$301,5,FALSE)</f>
        <v>Retail</v>
      </c>
      <c r="N928" s="34">
        <f>VLOOKUP(C928,Customers!$A$2:$F$301,3,FALSE)</f>
        <v>47</v>
      </c>
      <c r="O928" s="34" t="str">
        <f>VLOOKUP(E928,Sales_Reps!$A$2:$E$31,3,FALSE)</f>
        <v>South</v>
      </c>
      <c r="P928" s="13" t="s">
        <v>346</v>
      </c>
      <c r="Q928" s="34">
        <f t="shared" si="32"/>
        <v>814563.7100000002</v>
      </c>
      <c r="R928" s="34" t="str">
        <f>VLOOKUP(E928,Sales_Reps!$A$2:$E$100,3,FALSE)</f>
        <v>South</v>
      </c>
      <c r="S928" s="34" t="str">
        <f t="shared" si="33"/>
        <v>Home</v>
      </c>
      <c r="T928" s="38">
        <f>VLOOKUP(D928,Products!$A$2:$F$68,4,FALSE)</f>
        <v>1143</v>
      </c>
    </row>
    <row r="929" spans="1:20" x14ac:dyDescent="0.35">
      <c r="A929" s="13" t="s">
        <v>1408</v>
      </c>
      <c r="B929" s="14">
        <v>45362</v>
      </c>
      <c r="C929" s="13" t="s">
        <v>289</v>
      </c>
      <c r="D929" s="13" t="s">
        <v>452</v>
      </c>
      <c r="E929" s="13" t="s">
        <v>98</v>
      </c>
      <c r="F929" s="15">
        <v>4</v>
      </c>
      <c r="G929" s="15">
        <v>3450</v>
      </c>
      <c r="H929" s="15">
        <v>3.9</v>
      </c>
      <c r="I929" s="15">
        <v>13261.8</v>
      </c>
      <c r="J929" s="13" t="s">
        <v>87</v>
      </c>
      <c r="K929" s="13" t="s">
        <v>94</v>
      </c>
      <c r="L929" s="34" t="str">
        <f>VLOOKUP(D929,Products!$A$2:$F$61,3,FALSE)</f>
        <v>Apparel</v>
      </c>
      <c r="M929" s="34" t="str">
        <f>VLOOKUP(C929,Customers!$A$2:$F$301,5,FALSE)</f>
        <v>Retail</v>
      </c>
      <c r="N929" s="34">
        <f>VLOOKUP(C929,Customers!$A$2:$F$301,3,FALSE)</f>
        <v>38</v>
      </c>
      <c r="O929" s="34" t="str">
        <f>VLOOKUP(E929,Sales_Reps!$A$2:$E$31,3,FALSE)</f>
        <v>South</v>
      </c>
      <c r="P929" s="13" t="s">
        <v>98</v>
      </c>
      <c r="Q929" s="34">
        <f t="shared" si="32"/>
        <v>995713.54000000015</v>
      </c>
      <c r="R929" s="34" t="str">
        <f>VLOOKUP(E929,Sales_Reps!$A$2:$E$100,3,FALSE)</f>
        <v>South</v>
      </c>
      <c r="S929" s="34" t="str">
        <f t="shared" si="33"/>
        <v>Apparel</v>
      </c>
      <c r="T929" s="38">
        <f>VLOOKUP(D929,Products!$A$2:$F$68,4,FALSE)</f>
        <v>1748</v>
      </c>
    </row>
    <row r="930" spans="1:20" x14ac:dyDescent="0.35">
      <c r="A930" s="13" t="s">
        <v>1409</v>
      </c>
      <c r="B930" s="14">
        <v>45347</v>
      </c>
      <c r="C930" s="13" t="s">
        <v>528</v>
      </c>
      <c r="D930" s="13" t="s">
        <v>380</v>
      </c>
      <c r="E930" s="13" t="s">
        <v>128</v>
      </c>
      <c r="F930" s="15">
        <v>5</v>
      </c>
      <c r="G930" s="15">
        <v>960</v>
      </c>
      <c r="H930" s="15">
        <v>8</v>
      </c>
      <c r="I930" s="15">
        <v>4416</v>
      </c>
      <c r="J930" s="13" t="s">
        <v>87</v>
      </c>
      <c r="K930" s="13" t="s">
        <v>112</v>
      </c>
      <c r="L930" s="34" t="str">
        <f>VLOOKUP(D930,Products!$A$2:$F$61,3,FALSE)</f>
        <v>Beauty</v>
      </c>
      <c r="M930" s="34" t="str">
        <f>VLOOKUP(C930,Customers!$A$2:$F$301,5,FALSE)</f>
        <v>Retail</v>
      </c>
      <c r="N930" s="34">
        <f>VLOOKUP(C930,Customers!$A$2:$F$301,3,FALSE)</f>
        <v>44</v>
      </c>
      <c r="O930" s="34" t="str">
        <f>VLOOKUP(E930,Sales_Reps!$A$2:$E$31,3,FALSE)</f>
        <v>West</v>
      </c>
      <c r="P930" s="13" t="s">
        <v>128</v>
      </c>
      <c r="Q930" s="34">
        <f t="shared" si="32"/>
        <v>880468.05</v>
      </c>
      <c r="R930" s="34" t="str">
        <f>VLOOKUP(E930,Sales_Reps!$A$2:$E$100,3,FALSE)</f>
        <v>West</v>
      </c>
      <c r="S930" s="34" t="str">
        <f t="shared" si="33"/>
        <v>Beauty</v>
      </c>
      <c r="T930" s="38">
        <f>VLOOKUP(D930,Products!$A$2:$F$68,4,FALSE)</f>
        <v>675</v>
      </c>
    </row>
    <row r="931" spans="1:20" x14ac:dyDescent="0.35">
      <c r="A931" s="13" t="s">
        <v>1410</v>
      </c>
      <c r="B931" s="14">
        <v>45550</v>
      </c>
      <c r="C931" s="13" t="s">
        <v>96</v>
      </c>
      <c r="D931" s="13" t="s">
        <v>408</v>
      </c>
      <c r="E931" s="13" t="s">
        <v>215</v>
      </c>
      <c r="F931" s="15">
        <v>7</v>
      </c>
      <c r="G931" s="15">
        <v>3970</v>
      </c>
      <c r="H931" s="15">
        <v>11.7</v>
      </c>
      <c r="I931" s="15">
        <v>24538.57</v>
      </c>
      <c r="J931" s="13" t="s">
        <v>87</v>
      </c>
      <c r="K931" s="13" t="s">
        <v>99</v>
      </c>
      <c r="L931" s="34" t="str">
        <f>VLOOKUP(D931,Products!$A$2:$F$61,3,FALSE)</f>
        <v>Electronics</v>
      </c>
      <c r="M931" s="34" t="str">
        <f>VLOOKUP(C931,Customers!$A$2:$F$301,5,FALSE)</f>
        <v>Retail</v>
      </c>
      <c r="N931" s="34">
        <f>VLOOKUP(C931,Customers!$A$2:$F$301,3,FALSE)</f>
        <v>52</v>
      </c>
      <c r="O931" s="34" t="str">
        <f>VLOOKUP(E931,Sales_Reps!$A$2:$E$31,3,FALSE)</f>
        <v>North</v>
      </c>
      <c r="P931" s="13" t="s">
        <v>215</v>
      </c>
      <c r="Q931" s="34">
        <f t="shared" si="32"/>
        <v>789849.60000000009</v>
      </c>
      <c r="R931" s="34" t="str">
        <f>VLOOKUP(E931,Sales_Reps!$A$2:$E$100,3,FALSE)</f>
        <v>North</v>
      </c>
      <c r="S931" s="34" t="str">
        <f t="shared" si="33"/>
        <v>Electronics</v>
      </c>
      <c r="T931" s="38">
        <f>VLOOKUP(D931,Products!$A$2:$F$68,4,FALSE)</f>
        <v>2865</v>
      </c>
    </row>
    <row r="932" spans="1:20" x14ac:dyDescent="0.35">
      <c r="A932" s="13" t="s">
        <v>1411</v>
      </c>
      <c r="B932" s="14">
        <v>45554</v>
      </c>
      <c r="C932" s="13" t="s">
        <v>305</v>
      </c>
      <c r="D932" s="13" t="s">
        <v>360</v>
      </c>
      <c r="E932" s="13" t="s">
        <v>201</v>
      </c>
      <c r="F932" s="15">
        <v>3</v>
      </c>
      <c r="G932" s="15">
        <v>5410</v>
      </c>
      <c r="H932" s="15">
        <v>10</v>
      </c>
      <c r="I932" s="15">
        <v>14607</v>
      </c>
      <c r="J932" s="13" t="s">
        <v>87</v>
      </c>
      <c r="K932" s="13" t="s">
        <v>133</v>
      </c>
      <c r="L932" s="34" t="str">
        <f>VLOOKUP(D932,Products!$A$2:$F$61,3,FALSE)</f>
        <v>Sports</v>
      </c>
      <c r="M932" s="34" t="str">
        <f>VLOOKUP(C932,Customers!$A$2:$F$301,5,FALSE)</f>
        <v>Corporate</v>
      </c>
      <c r="N932" s="34">
        <f>VLOOKUP(C932,Customers!$A$2:$F$301,3,FALSE)</f>
        <v>46</v>
      </c>
      <c r="O932" s="34" t="str">
        <f>VLOOKUP(E932,Sales_Reps!$A$2:$E$31,3,FALSE)</f>
        <v>West</v>
      </c>
      <c r="P932" s="13" t="s">
        <v>201</v>
      </c>
      <c r="Q932" s="34">
        <f t="shared" si="32"/>
        <v>576305.08000000019</v>
      </c>
      <c r="R932" s="34" t="str">
        <f>VLOOKUP(E932,Sales_Reps!$A$2:$E$100,3,FALSE)</f>
        <v>West</v>
      </c>
      <c r="S932" s="34" t="str">
        <f t="shared" si="33"/>
        <v>Sports</v>
      </c>
      <c r="T932" s="38">
        <f>VLOOKUP(D932,Products!$A$2:$F$68,4,FALSE)</f>
        <v>2265</v>
      </c>
    </row>
    <row r="933" spans="1:20" x14ac:dyDescent="0.35">
      <c r="A933" s="13" t="s">
        <v>1412</v>
      </c>
      <c r="B933" s="14">
        <v>45428</v>
      </c>
      <c r="C933" s="13" t="s">
        <v>460</v>
      </c>
      <c r="D933" s="13" t="s">
        <v>187</v>
      </c>
      <c r="E933" s="13" t="s">
        <v>86</v>
      </c>
      <c r="F933" s="15">
        <v>8</v>
      </c>
      <c r="G933" s="15">
        <v>3570</v>
      </c>
      <c r="H933" s="15">
        <v>8.5</v>
      </c>
      <c r="I933" s="15">
        <v>26132.400000000001</v>
      </c>
      <c r="J933" s="13" t="s">
        <v>87</v>
      </c>
      <c r="K933" s="13" t="s">
        <v>88</v>
      </c>
      <c r="L933" s="34" t="str">
        <f>VLOOKUP(D933,Products!$A$2:$F$61,3,FALSE)</f>
        <v>Electronics</v>
      </c>
      <c r="M933" s="34" t="str">
        <f>VLOOKUP(C933,Customers!$A$2:$F$301,5,FALSE)</f>
        <v>Corporate</v>
      </c>
      <c r="N933" s="34">
        <f>VLOOKUP(C933,Customers!$A$2:$F$301,3,FALSE)</f>
        <v>37</v>
      </c>
      <c r="O933" s="34" t="str">
        <f>VLOOKUP(E933,Sales_Reps!$A$2:$E$31,3,FALSE)</f>
        <v>North</v>
      </c>
      <c r="P933" s="13" t="s">
        <v>86</v>
      </c>
      <c r="Q933" s="34">
        <f t="shared" si="32"/>
        <v>855749.67999999982</v>
      </c>
      <c r="R933" s="34" t="str">
        <f>VLOOKUP(E933,Sales_Reps!$A$2:$E$100,3,FALSE)</f>
        <v>North</v>
      </c>
      <c r="S933" s="34" t="str">
        <f t="shared" si="33"/>
        <v>Electronics</v>
      </c>
      <c r="T933" s="38">
        <f>VLOOKUP(D933,Products!$A$2:$F$68,4,FALSE)</f>
        <v>1665</v>
      </c>
    </row>
    <row r="934" spans="1:20" x14ac:dyDescent="0.35">
      <c r="A934" s="13" t="s">
        <v>1413</v>
      </c>
      <c r="B934" s="14">
        <v>45517</v>
      </c>
      <c r="C934" s="13" t="s">
        <v>228</v>
      </c>
      <c r="D934" s="13" t="s">
        <v>138</v>
      </c>
      <c r="E934" s="13" t="s">
        <v>98</v>
      </c>
      <c r="F934" s="15">
        <v>7</v>
      </c>
      <c r="G934" s="15">
        <v>2600</v>
      </c>
      <c r="H934" s="15">
        <v>27.1</v>
      </c>
      <c r="I934" s="15">
        <v>13267.8</v>
      </c>
      <c r="J934" s="13" t="s">
        <v>87</v>
      </c>
      <c r="K934" s="13" t="s">
        <v>112</v>
      </c>
      <c r="L934" s="34" t="str">
        <f>VLOOKUP(D934,Products!$A$2:$F$61,3,FALSE)</f>
        <v>Electronics</v>
      </c>
      <c r="M934" s="34" t="str">
        <f>VLOOKUP(C934,Customers!$A$2:$F$301,5,FALSE)</f>
        <v>SMB</v>
      </c>
      <c r="N934" s="34">
        <f>VLOOKUP(C934,Customers!$A$2:$F$301,3,FALSE)</f>
        <v>54</v>
      </c>
      <c r="O934" s="34" t="str">
        <f>VLOOKUP(E934,Sales_Reps!$A$2:$E$31,3,FALSE)</f>
        <v>South</v>
      </c>
      <c r="P934" s="13" t="s">
        <v>98</v>
      </c>
      <c r="Q934" s="34">
        <f t="shared" si="32"/>
        <v>995713.54000000015</v>
      </c>
      <c r="R934" s="34" t="str">
        <f>VLOOKUP(E934,Sales_Reps!$A$2:$E$100,3,FALSE)</f>
        <v>South</v>
      </c>
      <c r="S934" s="34" t="str">
        <f t="shared" si="33"/>
        <v>Electronics</v>
      </c>
      <c r="T934" s="38">
        <f>VLOOKUP(D934,Products!$A$2:$F$68,4,FALSE)</f>
        <v>1052</v>
      </c>
    </row>
    <row r="935" spans="1:20" x14ac:dyDescent="0.35">
      <c r="A935" s="13" t="s">
        <v>1414</v>
      </c>
      <c r="B935" s="14">
        <v>45442</v>
      </c>
      <c r="C935" s="13" t="s">
        <v>266</v>
      </c>
      <c r="D935" s="13" t="s">
        <v>97</v>
      </c>
      <c r="E935" s="13" t="s">
        <v>201</v>
      </c>
      <c r="F935" s="15">
        <v>6</v>
      </c>
      <c r="G935" s="15">
        <v>470</v>
      </c>
      <c r="H935" s="15">
        <v>2.4</v>
      </c>
      <c r="I935" s="15">
        <v>2752.32</v>
      </c>
      <c r="J935" s="13" t="s">
        <v>93</v>
      </c>
      <c r="K935" s="13" t="s">
        <v>99</v>
      </c>
      <c r="L935" s="34" t="str">
        <f>VLOOKUP(D935,Products!$A$2:$F$61,3,FALSE)</f>
        <v>Sports</v>
      </c>
      <c r="M935" s="34" t="str">
        <f>VLOOKUP(C935,Customers!$A$2:$F$301,5,FALSE)</f>
        <v>Corporate</v>
      </c>
      <c r="N935" s="34">
        <f>VLOOKUP(C935,Customers!$A$2:$F$301,3,FALSE)</f>
        <v>55</v>
      </c>
      <c r="O935" s="34" t="str">
        <f>VLOOKUP(E935,Sales_Reps!$A$2:$E$31,3,FALSE)</f>
        <v>West</v>
      </c>
      <c r="P935" s="13" t="s">
        <v>201</v>
      </c>
      <c r="Q935" s="34">
        <f t="shared" si="32"/>
        <v>576305.08000000019</v>
      </c>
      <c r="R935" s="34" t="str">
        <f>VLOOKUP(E935,Sales_Reps!$A$2:$E$100,3,FALSE)</f>
        <v>West</v>
      </c>
      <c r="S935" s="34" t="str">
        <f t="shared" si="33"/>
        <v>Sports</v>
      </c>
      <c r="T935" s="38">
        <f>VLOOKUP(D935,Products!$A$2:$F$68,4,FALSE)</f>
        <v>302</v>
      </c>
    </row>
    <row r="936" spans="1:20" x14ac:dyDescent="0.35">
      <c r="A936" s="13" t="s">
        <v>1415</v>
      </c>
      <c r="B936" s="14">
        <v>45371</v>
      </c>
      <c r="C936" s="13" t="s">
        <v>759</v>
      </c>
      <c r="D936" s="13" t="s">
        <v>97</v>
      </c>
      <c r="E936" s="13" t="s">
        <v>111</v>
      </c>
      <c r="F936" s="15">
        <v>3</v>
      </c>
      <c r="G936" s="15">
        <v>470</v>
      </c>
      <c r="H936" s="15">
        <v>6.3</v>
      </c>
      <c r="I936" s="15">
        <v>1321.17</v>
      </c>
      <c r="J936" s="13" t="s">
        <v>87</v>
      </c>
      <c r="K936" s="13" t="s">
        <v>117</v>
      </c>
      <c r="L936" s="34" t="str">
        <f>VLOOKUP(D936,Products!$A$2:$F$61,3,FALSE)</f>
        <v>Sports</v>
      </c>
      <c r="M936" s="34" t="str">
        <f>VLOOKUP(C936,Customers!$A$2:$F$301,5,FALSE)</f>
        <v>Retail</v>
      </c>
      <c r="N936" s="34">
        <f>VLOOKUP(C936,Customers!$A$2:$F$301,3,FALSE)</f>
        <v>29</v>
      </c>
      <c r="O936" s="34" t="str">
        <f>VLOOKUP(E936,Sales_Reps!$A$2:$E$31,3,FALSE)</f>
        <v>West</v>
      </c>
      <c r="P936" s="13" t="s">
        <v>111</v>
      </c>
      <c r="Q936" s="34">
        <f t="shared" si="32"/>
        <v>901298.89</v>
      </c>
      <c r="R936" s="34" t="str">
        <f>VLOOKUP(E936,Sales_Reps!$A$2:$E$100,3,FALSE)</f>
        <v>West</v>
      </c>
      <c r="S936" s="34" t="str">
        <f t="shared" si="33"/>
        <v>Sports</v>
      </c>
      <c r="T936" s="38">
        <f>VLOOKUP(D936,Products!$A$2:$F$68,4,FALSE)</f>
        <v>302</v>
      </c>
    </row>
    <row r="937" spans="1:20" x14ac:dyDescent="0.35">
      <c r="A937" s="13" t="s">
        <v>1416</v>
      </c>
      <c r="B937" s="14">
        <v>45540</v>
      </c>
      <c r="C937" s="13" t="s">
        <v>1308</v>
      </c>
      <c r="D937" s="13" t="s">
        <v>461</v>
      </c>
      <c r="E937" s="13" t="s">
        <v>139</v>
      </c>
      <c r="F937" s="15">
        <v>3</v>
      </c>
      <c r="G937" s="15">
        <v>3780</v>
      </c>
      <c r="H937" s="15">
        <v>19.399999999999999</v>
      </c>
      <c r="I937" s="15">
        <v>9140.0400000000009</v>
      </c>
      <c r="J937" s="13" t="s">
        <v>93</v>
      </c>
      <c r="K937" s="13" t="s">
        <v>94</v>
      </c>
      <c r="L937" s="34" t="str">
        <f>VLOOKUP(D937,Products!$A$2:$F$61,3,FALSE)</f>
        <v>Sports</v>
      </c>
      <c r="M937" s="34" t="str">
        <f>VLOOKUP(C937,Customers!$A$2:$F$301,5,FALSE)</f>
        <v>SMB</v>
      </c>
      <c r="N937" s="34">
        <f>VLOOKUP(C937,Customers!$A$2:$F$301,3,FALSE)</f>
        <v>51</v>
      </c>
      <c r="O937" s="34" t="str">
        <f>VLOOKUP(E937,Sales_Reps!$A$2:$E$31,3,FALSE)</f>
        <v>North</v>
      </c>
      <c r="P937" s="13" t="s">
        <v>139</v>
      </c>
      <c r="Q937" s="34">
        <f t="shared" si="32"/>
        <v>589026.2899999998</v>
      </c>
      <c r="R937" s="34" t="str">
        <f>VLOOKUP(E937,Sales_Reps!$A$2:$E$100,3,FALSE)</f>
        <v>North</v>
      </c>
      <c r="S937" s="34" t="str">
        <f t="shared" si="33"/>
        <v>Sports</v>
      </c>
      <c r="T937" s="38">
        <f>VLOOKUP(D937,Products!$A$2:$F$68,4,FALSE)</f>
        <v>1860</v>
      </c>
    </row>
    <row r="938" spans="1:20" x14ac:dyDescent="0.35">
      <c r="A938" s="13" t="s">
        <v>1417</v>
      </c>
      <c r="B938" s="14">
        <v>45392</v>
      </c>
      <c r="C938" s="13" t="s">
        <v>126</v>
      </c>
      <c r="D938" s="13" t="s">
        <v>515</v>
      </c>
      <c r="E938" s="13" t="s">
        <v>121</v>
      </c>
      <c r="F938" s="15">
        <v>5</v>
      </c>
      <c r="G938" s="15">
        <v>6940</v>
      </c>
      <c r="H938" s="15">
        <v>12.6</v>
      </c>
      <c r="I938" s="15">
        <v>30327.8</v>
      </c>
      <c r="J938" s="13" t="s">
        <v>87</v>
      </c>
      <c r="K938" s="13" t="s">
        <v>88</v>
      </c>
      <c r="L938" s="34" t="str">
        <f>VLOOKUP(D938,Products!$A$2:$F$61,3,FALSE)</f>
        <v>Sports</v>
      </c>
      <c r="M938" s="34" t="str">
        <f>VLOOKUP(C938,Customers!$A$2:$F$301,5,FALSE)</f>
        <v>Retail</v>
      </c>
      <c r="N938" s="34">
        <f>VLOOKUP(C938,Customers!$A$2:$F$301,3,FALSE)</f>
        <v>56</v>
      </c>
      <c r="O938" s="34" t="str">
        <f>VLOOKUP(E938,Sales_Reps!$A$2:$E$31,3,FALSE)</f>
        <v>East</v>
      </c>
      <c r="P938" s="13" t="s">
        <v>121</v>
      </c>
      <c r="Q938" s="34">
        <f t="shared" si="32"/>
        <v>971183.52000000014</v>
      </c>
      <c r="R938" s="34" t="str">
        <f>VLOOKUP(E938,Sales_Reps!$A$2:$E$100,3,FALSE)</f>
        <v>East</v>
      </c>
      <c r="S938" s="34" t="str">
        <f t="shared" si="33"/>
        <v>Sports</v>
      </c>
      <c r="T938" s="38">
        <f>VLOOKUP(D938,Products!$A$2:$F$68,4,FALSE)</f>
        <v>2827</v>
      </c>
    </row>
    <row r="939" spans="1:20" x14ac:dyDescent="0.35">
      <c r="A939" s="13" t="s">
        <v>1418</v>
      </c>
      <c r="B939" s="14">
        <v>45386</v>
      </c>
      <c r="C939" s="13" t="s">
        <v>413</v>
      </c>
      <c r="D939" s="13" t="s">
        <v>248</v>
      </c>
      <c r="E939" s="13" t="s">
        <v>170</v>
      </c>
      <c r="F939" s="15">
        <v>2</v>
      </c>
      <c r="G939" s="15">
        <v>3870</v>
      </c>
      <c r="H939" s="15">
        <v>10.5</v>
      </c>
      <c r="I939" s="15">
        <v>6927.3</v>
      </c>
      <c r="J939" s="13" t="s">
        <v>87</v>
      </c>
      <c r="K939" s="13" t="s">
        <v>88</v>
      </c>
      <c r="L939" s="34" t="str">
        <f>VLOOKUP(D939,Products!$A$2:$F$61,3,FALSE)</f>
        <v>Electronics</v>
      </c>
      <c r="M939" s="34" t="str">
        <f>VLOOKUP(C939,Customers!$A$2:$F$301,5,FALSE)</f>
        <v>Retail</v>
      </c>
      <c r="N939" s="34">
        <f>VLOOKUP(C939,Customers!$A$2:$F$301,3,FALSE)</f>
        <v>22</v>
      </c>
      <c r="O939" s="34" t="str">
        <f>VLOOKUP(E939,Sales_Reps!$A$2:$E$31,3,FALSE)</f>
        <v>West</v>
      </c>
      <c r="P939" s="13" t="s">
        <v>170</v>
      </c>
      <c r="Q939" s="34">
        <f t="shared" si="32"/>
        <v>747624.36999999988</v>
      </c>
      <c r="R939" s="34" t="str">
        <f>VLOOKUP(E939,Sales_Reps!$A$2:$E$100,3,FALSE)</f>
        <v>West</v>
      </c>
      <c r="S939" s="34" t="str">
        <f t="shared" si="33"/>
        <v>Electronics</v>
      </c>
      <c r="T939" s="38">
        <f>VLOOKUP(D939,Products!$A$2:$F$68,4,FALSE)</f>
        <v>1559</v>
      </c>
    </row>
    <row r="940" spans="1:20" x14ac:dyDescent="0.35">
      <c r="A940" s="13" t="s">
        <v>1419</v>
      </c>
      <c r="B940" s="14">
        <v>45516</v>
      </c>
      <c r="C940" s="13" t="s">
        <v>841</v>
      </c>
      <c r="D940" s="13" t="s">
        <v>360</v>
      </c>
      <c r="E940" s="13" t="s">
        <v>98</v>
      </c>
      <c r="F940" s="15">
        <v>8</v>
      </c>
      <c r="G940" s="15">
        <v>5410</v>
      </c>
      <c r="H940" s="15">
        <v>28.4</v>
      </c>
      <c r="I940" s="15">
        <v>30988.48</v>
      </c>
      <c r="J940" s="13" t="s">
        <v>93</v>
      </c>
      <c r="K940" s="13" t="s">
        <v>117</v>
      </c>
      <c r="L940" s="34" t="str">
        <f>VLOOKUP(D940,Products!$A$2:$F$61,3,FALSE)</f>
        <v>Sports</v>
      </c>
      <c r="M940" s="34" t="str">
        <f>VLOOKUP(C940,Customers!$A$2:$F$301,5,FALSE)</f>
        <v>Corporate</v>
      </c>
      <c r="N940" s="34">
        <f>VLOOKUP(C940,Customers!$A$2:$F$301,3,FALSE)</f>
        <v>41</v>
      </c>
      <c r="O940" s="34" t="str">
        <f>VLOOKUP(E940,Sales_Reps!$A$2:$E$31,3,FALSE)</f>
        <v>South</v>
      </c>
      <c r="P940" s="13" t="s">
        <v>98</v>
      </c>
      <c r="Q940" s="34">
        <f t="shared" si="32"/>
        <v>995713.54000000015</v>
      </c>
      <c r="R940" s="34" t="str">
        <f>VLOOKUP(E940,Sales_Reps!$A$2:$E$100,3,FALSE)</f>
        <v>South</v>
      </c>
      <c r="S940" s="34" t="str">
        <f t="shared" si="33"/>
        <v>Sports</v>
      </c>
      <c r="T940" s="38">
        <f>VLOOKUP(D940,Products!$A$2:$F$68,4,FALSE)</f>
        <v>2265</v>
      </c>
    </row>
    <row r="941" spans="1:20" x14ac:dyDescent="0.35">
      <c r="A941" s="13" t="s">
        <v>1420</v>
      </c>
      <c r="B941" s="14">
        <v>45618</v>
      </c>
      <c r="C941" s="13" t="s">
        <v>197</v>
      </c>
      <c r="D941" s="13" t="s">
        <v>408</v>
      </c>
      <c r="E941" s="13" t="s">
        <v>170</v>
      </c>
      <c r="F941" s="15">
        <v>7</v>
      </c>
      <c r="G941" s="15">
        <v>3970</v>
      </c>
      <c r="H941" s="15">
        <v>12.3</v>
      </c>
      <c r="I941" s="15">
        <v>24371.83</v>
      </c>
      <c r="J941" s="13" t="s">
        <v>87</v>
      </c>
      <c r="K941" s="13" t="s">
        <v>88</v>
      </c>
      <c r="L941" s="34" t="str">
        <f>VLOOKUP(D941,Products!$A$2:$F$61,3,FALSE)</f>
        <v>Electronics</v>
      </c>
      <c r="M941" s="34" t="str">
        <f>VLOOKUP(C941,Customers!$A$2:$F$301,5,FALSE)</f>
        <v>Corporate</v>
      </c>
      <c r="N941" s="34">
        <f>VLOOKUP(C941,Customers!$A$2:$F$301,3,FALSE)</f>
        <v>47</v>
      </c>
      <c r="O941" s="34" t="str">
        <f>VLOOKUP(E941,Sales_Reps!$A$2:$E$31,3,FALSE)</f>
        <v>West</v>
      </c>
      <c r="P941" s="13" t="s">
        <v>170</v>
      </c>
      <c r="Q941" s="34">
        <f t="shared" si="32"/>
        <v>747624.36999999988</v>
      </c>
      <c r="R941" s="34" t="str">
        <f>VLOOKUP(E941,Sales_Reps!$A$2:$E$100,3,FALSE)</f>
        <v>West</v>
      </c>
      <c r="S941" s="34" t="str">
        <f t="shared" si="33"/>
        <v>Electronics</v>
      </c>
      <c r="T941" s="38">
        <f>VLOOKUP(D941,Products!$A$2:$F$68,4,FALSE)</f>
        <v>2865</v>
      </c>
    </row>
    <row r="942" spans="1:20" x14ac:dyDescent="0.35">
      <c r="A942" s="13" t="s">
        <v>1421</v>
      </c>
      <c r="B942" s="14">
        <v>45610</v>
      </c>
      <c r="C942" s="13" t="s">
        <v>615</v>
      </c>
      <c r="D942" s="13" t="s">
        <v>515</v>
      </c>
      <c r="E942" s="13" t="s">
        <v>215</v>
      </c>
      <c r="F942" s="15">
        <v>5</v>
      </c>
      <c r="G942" s="15">
        <v>6940</v>
      </c>
      <c r="H942" s="15">
        <v>1.5</v>
      </c>
      <c r="I942" s="15">
        <v>34179.5</v>
      </c>
      <c r="J942" s="13" t="s">
        <v>87</v>
      </c>
      <c r="K942" s="13" t="s">
        <v>112</v>
      </c>
      <c r="L942" s="34" t="str">
        <f>VLOOKUP(D942,Products!$A$2:$F$61,3,FALSE)</f>
        <v>Sports</v>
      </c>
      <c r="M942" s="34" t="str">
        <f>VLOOKUP(C942,Customers!$A$2:$F$301,5,FALSE)</f>
        <v>Retail</v>
      </c>
      <c r="N942" s="34">
        <f>VLOOKUP(C942,Customers!$A$2:$F$301,3,FALSE)</f>
        <v>53</v>
      </c>
      <c r="O942" s="34" t="str">
        <f>VLOOKUP(E942,Sales_Reps!$A$2:$E$31,3,FALSE)</f>
        <v>North</v>
      </c>
      <c r="P942" s="13" t="s">
        <v>215</v>
      </c>
      <c r="Q942" s="34">
        <f t="shared" si="32"/>
        <v>789849.60000000009</v>
      </c>
      <c r="R942" s="34" t="str">
        <f>VLOOKUP(E942,Sales_Reps!$A$2:$E$100,3,FALSE)</f>
        <v>North</v>
      </c>
      <c r="S942" s="34" t="str">
        <f t="shared" si="33"/>
        <v>Sports</v>
      </c>
      <c r="T942" s="38">
        <f>VLOOKUP(D942,Products!$A$2:$F$68,4,FALSE)</f>
        <v>2827</v>
      </c>
    </row>
    <row r="943" spans="1:20" x14ac:dyDescent="0.35">
      <c r="A943" s="13" t="s">
        <v>1422</v>
      </c>
      <c r="B943" s="14">
        <v>45541</v>
      </c>
      <c r="C943" s="13" t="s">
        <v>1038</v>
      </c>
      <c r="D943" s="13" t="s">
        <v>106</v>
      </c>
      <c r="E943" s="13" t="s">
        <v>103</v>
      </c>
      <c r="F943" s="15">
        <v>7</v>
      </c>
      <c r="G943" s="15">
        <v>3160</v>
      </c>
      <c r="H943" s="15">
        <v>2.4</v>
      </c>
      <c r="I943" s="15">
        <v>21589.119999999999</v>
      </c>
      <c r="J943" s="13" t="s">
        <v>144</v>
      </c>
      <c r="K943" s="13" t="s">
        <v>117</v>
      </c>
      <c r="L943" s="34" t="str">
        <f>VLOOKUP(D943,Products!$A$2:$F$61,3,FALSE)</f>
        <v>Apparel</v>
      </c>
      <c r="M943" s="34" t="str">
        <f>VLOOKUP(C943,Customers!$A$2:$F$301,5,FALSE)</f>
        <v>Corporate</v>
      </c>
      <c r="N943" s="34">
        <f>VLOOKUP(C943,Customers!$A$2:$F$301,3,FALSE)</f>
        <v>55</v>
      </c>
      <c r="O943" s="34" t="str">
        <f>VLOOKUP(E943,Sales_Reps!$A$2:$E$31,3,FALSE)</f>
        <v>North</v>
      </c>
      <c r="P943" s="13" t="s">
        <v>103</v>
      </c>
      <c r="Q943" s="34">
        <f t="shared" si="32"/>
        <v>1138648.73</v>
      </c>
      <c r="R943" s="34" t="str">
        <f>VLOOKUP(E943,Sales_Reps!$A$2:$E$100,3,FALSE)</f>
        <v>North</v>
      </c>
      <c r="S943" s="34" t="str">
        <f t="shared" si="33"/>
        <v>Apparel</v>
      </c>
      <c r="T943" s="38">
        <f>VLOOKUP(D943,Products!$A$2:$F$68,4,FALSE)</f>
        <v>1886</v>
      </c>
    </row>
    <row r="944" spans="1:20" x14ac:dyDescent="0.35">
      <c r="A944" s="13" t="s">
        <v>1423</v>
      </c>
      <c r="B944" s="14">
        <v>45497</v>
      </c>
      <c r="C944" s="13" t="s">
        <v>757</v>
      </c>
      <c r="D944" s="13" t="s">
        <v>91</v>
      </c>
      <c r="E944" s="13" t="s">
        <v>116</v>
      </c>
      <c r="F944" s="15">
        <v>2</v>
      </c>
      <c r="G944" s="15">
        <v>820</v>
      </c>
      <c r="H944" s="15">
        <v>8.1</v>
      </c>
      <c r="I944" s="15">
        <v>1507.16</v>
      </c>
      <c r="J944" s="13" t="s">
        <v>87</v>
      </c>
      <c r="K944" s="13" t="s">
        <v>117</v>
      </c>
      <c r="L944" s="34" t="str">
        <f>VLOOKUP(D944,Products!$A$2:$F$61,3,FALSE)</f>
        <v>Apparel</v>
      </c>
      <c r="M944" s="34" t="str">
        <f>VLOOKUP(C944,Customers!$A$2:$F$301,5,FALSE)</f>
        <v>Corporate</v>
      </c>
      <c r="N944" s="34">
        <f>VLOOKUP(C944,Customers!$A$2:$F$301,3,FALSE)</f>
        <v>43</v>
      </c>
      <c r="O944" s="34" t="str">
        <f>VLOOKUP(E944,Sales_Reps!$A$2:$E$31,3,FALSE)</f>
        <v>West</v>
      </c>
      <c r="P944" s="13" t="s">
        <v>116</v>
      </c>
      <c r="Q944" s="34">
        <f t="shared" si="32"/>
        <v>819558.58</v>
      </c>
      <c r="R944" s="34" t="str">
        <f>VLOOKUP(E944,Sales_Reps!$A$2:$E$100,3,FALSE)</f>
        <v>West</v>
      </c>
      <c r="S944" s="34" t="str">
        <f t="shared" si="33"/>
        <v>Apparel</v>
      </c>
      <c r="T944" s="38">
        <f>VLOOKUP(D944,Products!$A$2:$F$68,4,FALSE)</f>
        <v>391</v>
      </c>
    </row>
    <row r="945" spans="1:20" x14ac:dyDescent="0.35">
      <c r="A945" s="13" t="s">
        <v>1424</v>
      </c>
      <c r="B945" s="14">
        <v>45567</v>
      </c>
      <c r="C945" s="13" t="s">
        <v>250</v>
      </c>
      <c r="D945" s="13" t="s">
        <v>259</v>
      </c>
      <c r="E945" s="13" t="s">
        <v>170</v>
      </c>
      <c r="F945" s="15">
        <v>2</v>
      </c>
      <c r="G945" s="15">
        <v>1540</v>
      </c>
      <c r="H945" s="15">
        <v>17.7</v>
      </c>
      <c r="I945" s="15">
        <v>2534.84</v>
      </c>
      <c r="J945" s="13" t="s">
        <v>87</v>
      </c>
      <c r="K945" s="13" t="s">
        <v>117</v>
      </c>
      <c r="L945" s="34" t="str">
        <f>VLOOKUP(D945,Products!$A$2:$F$61,3,FALSE)</f>
        <v>Beauty</v>
      </c>
      <c r="M945" s="34" t="str">
        <f>VLOOKUP(C945,Customers!$A$2:$F$301,5,FALSE)</f>
        <v>SMB</v>
      </c>
      <c r="N945" s="34">
        <f>VLOOKUP(C945,Customers!$A$2:$F$301,3,FALSE)</f>
        <v>34</v>
      </c>
      <c r="O945" s="34" t="str">
        <f>VLOOKUP(E945,Sales_Reps!$A$2:$E$31,3,FALSE)</f>
        <v>West</v>
      </c>
      <c r="P945" s="13" t="s">
        <v>170</v>
      </c>
      <c r="Q945" s="34">
        <f t="shared" si="32"/>
        <v>747624.36999999988</v>
      </c>
      <c r="R945" s="34" t="str">
        <f>VLOOKUP(E945,Sales_Reps!$A$2:$E$100,3,FALSE)</f>
        <v>West</v>
      </c>
      <c r="S945" s="34" t="str">
        <f t="shared" si="33"/>
        <v>Beauty</v>
      </c>
      <c r="T945" s="38">
        <f>VLOOKUP(D945,Products!$A$2:$F$68,4,FALSE)</f>
        <v>647</v>
      </c>
    </row>
    <row r="946" spans="1:20" x14ac:dyDescent="0.35">
      <c r="A946" s="13" t="s">
        <v>1425</v>
      </c>
      <c r="B946" s="14">
        <v>45451</v>
      </c>
      <c r="C946" s="13" t="s">
        <v>759</v>
      </c>
      <c r="D946" s="13" t="s">
        <v>248</v>
      </c>
      <c r="E946" s="13" t="s">
        <v>215</v>
      </c>
      <c r="F946" s="15">
        <v>10</v>
      </c>
      <c r="G946" s="15">
        <v>3870</v>
      </c>
      <c r="H946" s="15">
        <v>12.2</v>
      </c>
      <c r="I946" s="15">
        <v>33978.6</v>
      </c>
      <c r="J946" s="13" t="s">
        <v>144</v>
      </c>
      <c r="K946" s="13" t="s">
        <v>117</v>
      </c>
      <c r="L946" s="34" t="str">
        <f>VLOOKUP(D946,Products!$A$2:$F$61,3,FALSE)</f>
        <v>Electronics</v>
      </c>
      <c r="M946" s="34" t="str">
        <f>VLOOKUP(C946,Customers!$A$2:$F$301,5,FALSE)</f>
        <v>Retail</v>
      </c>
      <c r="N946" s="34">
        <f>VLOOKUP(C946,Customers!$A$2:$F$301,3,FALSE)</f>
        <v>29</v>
      </c>
      <c r="O946" s="34" t="str">
        <f>VLOOKUP(E946,Sales_Reps!$A$2:$E$31,3,FALSE)</f>
        <v>North</v>
      </c>
      <c r="P946" s="13" t="s">
        <v>215</v>
      </c>
      <c r="Q946" s="34">
        <f t="shared" si="32"/>
        <v>789849.60000000009</v>
      </c>
      <c r="R946" s="34" t="str">
        <f>VLOOKUP(E946,Sales_Reps!$A$2:$E$100,3,FALSE)</f>
        <v>North</v>
      </c>
      <c r="S946" s="34" t="str">
        <f t="shared" si="33"/>
        <v>Electronics</v>
      </c>
      <c r="T946" s="38">
        <f>VLOOKUP(D946,Products!$A$2:$F$68,4,FALSE)</f>
        <v>1559</v>
      </c>
    </row>
    <row r="947" spans="1:20" x14ac:dyDescent="0.35">
      <c r="A947" s="13" t="s">
        <v>1426</v>
      </c>
      <c r="B947" s="14">
        <v>45488</v>
      </c>
      <c r="C947" s="13" t="s">
        <v>392</v>
      </c>
      <c r="D947" s="13" t="s">
        <v>279</v>
      </c>
      <c r="E947" s="13" t="s">
        <v>297</v>
      </c>
      <c r="F947" s="15">
        <v>7</v>
      </c>
      <c r="G947" s="15">
        <v>2660</v>
      </c>
      <c r="H947" s="15">
        <v>4.7</v>
      </c>
      <c r="I947" s="15">
        <v>17744.86</v>
      </c>
      <c r="J947" s="13" t="s">
        <v>87</v>
      </c>
      <c r="K947" s="13" t="s">
        <v>112</v>
      </c>
      <c r="L947" s="34" t="str">
        <f>VLOOKUP(D947,Products!$A$2:$F$61,3,FALSE)</f>
        <v>Electronics</v>
      </c>
      <c r="M947" s="34" t="str">
        <f>VLOOKUP(C947,Customers!$A$2:$F$301,5,FALSE)</f>
        <v>Retail</v>
      </c>
      <c r="N947" s="34">
        <f>VLOOKUP(C947,Customers!$A$2:$F$301,3,FALSE)</f>
        <v>50</v>
      </c>
      <c r="O947" s="34" t="str">
        <f>VLOOKUP(E947,Sales_Reps!$A$2:$E$31,3,FALSE)</f>
        <v>North</v>
      </c>
      <c r="P947" s="13" t="s">
        <v>297</v>
      </c>
      <c r="Q947" s="34">
        <f t="shared" si="32"/>
        <v>980063.65999999968</v>
      </c>
      <c r="R947" s="34" t="str">
        <f>VLOOKUP(E947,Sales_Reps!$A$2:$E$100,3,FALSE)</f>
        <v>North</v>
      </c>
      <c r="S947" s="34" t="str">
        <f t="shared" si="33"/>
        <v>Electronics</v>
      </c>
      <c r="T947" s="38">
        <f>VLOOKUP(D947,Products!$A$2:$F$68,4,FALSE)</f>
        <v>1259</v>
      </c>
    </row>
    <row r="948" spans="1:20" x14ac:dyDescent="0.35">
      <c r="A948" s="13" t="s">
        <v>1427</v>
      </c>
      <c r="B948" s="14">
        <v>45431</v>
      </c>
      <c r="C948" s="13" t="s">
        <v>401</v>
      </c>
      <c r="D948" s="13" t="s">
        <v>187</v>
      </c>
      <c r="E948" s="13" t="s">
        <v>204</v>
      </c>
      <c r="F948" s="15">
        <v>4</v>
      </c>
      <c r="G948" s="15">
        <v>3570</v>
      </c>
      <c r="H948" s="15">
        <v>19.3</v>
      </c>
      <c r="I948" s="15">
        <v>11523.96</v>
      </c>
      <c r="J948" s="13" t="s">
        <v>87</v>
      </c>
      <c r="K948" s="13" t="s">
        <v>94</v>
      </c>
      <c r="L948" s="34" t="str">
        <f>VLOOKUP(D948,Products!$A$2:$F$61,3,FALSE)</f>
        <v>Electronics</v>
      </c>
      <c r="M948" s="34" t="str">
        <f>VLOOKUP(C948,Customers!$A$2:$F$301,5,FALSE)</f>
        <v>SMB</v>
      </c>
      <c r="N948" s="34">
        <f>VLOOKUP(C948,Customers!$A$2:$F$301,3,FALSE)</f>
        <v>51</v>
      </c>
      <c r="O948" s="34" t="str">
        <f>VLOOKUP(E948,Sales_Reps!$A$2:$E$31,3,FALSE)</f>
        <v>South</v>
      </c>
      <c r="P948" s="13" t="s">
        <v>204</v>
      </c>
      <c r="Q948" s="34">
        <f t="shared" si="32"/>
        <v>914554.71999999986</v>
      </c>
      <c r="R948" s="34" t="str">
        <f>VLOOKUP(E948,Sales_Reps!$A$2:$E$100,3,FALSE)</f>
        <v>South</v>
      </c>
      <c r="S948" s="34" t="str">
        <f t="shared" si="33"/>
        <v>Electronics</v>
      </c>
      <c r="T948" s="38">
        <f>VLOOKUP(D948,Products!$A$2:$F$68,4,FALSE)</f>
        <v>1665</v>
      </c>
    </row>
    <row r="949" spans="1:20" x14ac:dyDescent="0.35">
      <c r="A949" s="13" t="s">
        <v>1428</v>
      </c>
      <c r="B949" s="14">
        <v>45393</v>
      </c>
      <c r="C949" s="13" t="s">
        <v>186</v>
      </c>
      <c r="D949" s="13" t="s">
        <v>295</v>
      </c>
      <c r="E949" s="13" t="s">
        <v>297</v>
      </c>
      <c r="F949" s="15">
        <v>2</v>
      </c>
      <c r="G949" s="15">
        <v>2030</v>
      </c>
      <c r="H949" s="15">
        <v>2.6</v>
      </c>
      <c r="I949" s="15">
        <v>3954.44</v>
      </c>
      <c r="J949" s="13" t="s">
        <v>87</v>
      </c>
      <c r="K949" s="13" t="s">
        <v>94</v>
      </c>
      <c r="L949" s="34" t="str">
        <f>VLOOKUP(D949,Products!$A$2:$F$61,3,FALSE)</f>
        <v>Home</v>
      </c>
      <c r="M949" s="34" t="str">
        <f>VLOOKUP(C949,Customers!$A$2:$F$301,5,FALSE)</f>
        <v>SMB</v>
      </c>
      <c r="N949" s="34">
        <f>VLOOKUP(C949,Customers!$A$2:$F$301,3,FALSE)</f>
        <v>52</v>
      </c>
      <c r="O949" s="34" t="str">
        <f>VLOOKUP(E949,Sales_Reps!$A$2:$E$31,3,FALSE)</f>
        <v>North</v>
      </c>
      <c r="P949" s="13" t="s">
        <v>297</v>
      </c>
      <c r="Q949" s="34">
        <f t="shared" si="32"/>
        <v>980063.65999999968</v>
      </c>
      <c r="R949" s="34" t="str">
        <f>VLOOKUP(E949,Sales_Reps!$A$2:$E$100,3,FALSE)</f>
        <v>North</v>
      </c>
      <c r="S949" s="34" t="str">
        <f t="shared" si="33"/>
        <v>Home</v>
      </c>
      <c r="T949" s="38">
        <f>VLOOKUP(D949,Products!$A$2:$F$68,4,FALSE)</f>
        <v>1143</v>
      </c>
    </row>
    <row r="950" spans="1:20" x14ac:dyDescent="0.35">
      <c r="A950" s="13" t="s">
        <v>1429</v>
      </c>
      <c r="B950" s="14">
        <v>45427</v>
      </c>
      <c r="C950" s="13" t="s">
        <v>454</v>
      </c>
      <c r="D950" s="13" t="s">
        <v>106</v>
      </c>
      <c r="E950" s="13" t="s">
        <v>252</v>
      </c>
      <c r="F950" s="15">
        <v>6</v>
      </c>
      <c r="G950" s="15">
        <v>3160</v>
      </c>
      <c r="H950" s="15">
        <v>25.8</v>
      </c>
      <c r="I950" s="15">
        <v>14068.32</v>
      </c>
      <c r="J950" s="13" t="s">
        <v>87</v>
      </c>
      <c r="K950" s="13" t="s">
        <v>133</v>
      </c>
      <c r="L950" s="34" t="str">
        <f>VLOOKUP(D950,Products!$A$2:$F$61,3,FALSE)</f>
        <v>Apparel</v>
      </c>
      <c r="M950" s="34" t="str">
        <f>VLOOKUP(C950,Customers!$A$2:$F$301,5,FALSE)</f>
        <v>Corporate</v>
      </c>
      <c r="N950" s="34">
        <f>VLOOKUP(C950,Customers!$A$2:$F$301,3,FALSE)</f>
        <v>43</v>
      </c>
      <c r="O950" s="34" t="str">
        <f>VLOOKUP(E950,Sales_Reps!$A$2:$E$31,3,FALSE)</f>
        <v>South</v>
      </c>
      <c r="P950" s="13" t="s">
        <v>252</v>
      </c>
      <c r="Q950" s="34">
        <f t="shared" si="32"/>
        <v>811524.37999999989</v>
      </c>
      <c r="R950" s="34" t="str">
        <f>VLOOKUP(E950,Sales_Reps!$A$2:$E$100,3,FALSE)</f>
        <v>South</v>
      </c>
      <c r="S950" s="34" t="str">
        <f t="shared" si="33"/>
        <v>Apparel</v>
      </c>
      <c r="T950" s="38">
        <f>VLOOKUP(D950,Products!$A$2:$F$68,4,FALSE)</f>
        <v>1886</v>
      </c>
    </row>
    <row r="951" spans="1:20" x14ac:dyDescent="0.35">
      <c r="A951" s="13" t="s">
        <v>1430</v>
      </c>
      <c r="B951" s="14">
        <v>45591</v>
      </c>
      <c r="C951" s="13" t="s">
        <v>522</v>
      </c>
      <c r="D951" s="13" t="s">
        <v>443</v>
      </c>
      <c r="E951" s="13" t="s">
        <v>98</v>
      </c>
      <c r="F951" s="15">
        <v>4</v>
      </c>
      <c r="G951" s="15">
        <v>5080</v>
      </c>
      <c r="H951" s="15">
        <v>2</v>
      </c>
      <c r="I951" s="15">
        <v>19913.599999999999</v>
      </c>
      <c r="J951" s="13" t="s">
        <v>87</v>
      </c>
      <c r="K951" s="13" t="s">
        <v>1431</v>
      </c>
      <c r="L951" s="34" t="str">
        <f>VLOOKUP(D951,Products!$A$2:$F$61,3,FALSE)</f>
        <v>Home</v>
      </c>
      <c r="M951" s="34" t="str">
        <f>VLOOKUP(C951,Customers!$A$2:$F$301,5,FALSE)</f>
        <v>SMB</v>
      </c>
      <c r="N951" s="34">
        <f>VLOOKUP(C951,Customers!$A$2:$F$301,3,FALSE)</f>
        <v>55</v>
      </c>
      <c r="O951" s="34" t="str">
        <f>VLOOKUP(E951,Sales_Reps!$A$2:$E$31,3,FALSE)</f>
        <v>South</v>
      </c>
      <c r="P951" s="13" t="s">
        <v>98</v>
      </c>
      <c r="Q951" s="34">
        <f t="shared" si="32"/>
        <v>995713.54000000015</v>
      </c>
      <c r="R951" s="34" t="str">
        <f>VLOOKUP(E951,Sales_Reps!$A$2:$E$100,3,FALSE)</f>
        <v>South</v>
      </c>
      <c r="S951" s="34" t="str">
        <f t="shared" si="33"/>
        <v>Home</v>
      </c>
      <c r="T951" s="38">
        <f>VLOOKUP(D951,Products!$A$2:$F$68,4,FALSE)</f>
        <v>2459</v>
      </c>
    </row>
    <row r="952" spans="1:20" x14ac:dyDescent="0.35">
      <c r="A952" s="13" t="s">
        <v>1432</v>
      </c>
      <c r="B952" s="14">
        <v>45327</v>
      </c>
      <c r="C952" s="13" t="s">
        <v>460</v>
      </c>
      <c r="D952" s="13" t="s">
        <v>157</v>
      </c>
      <c r="E952" s="13" t="s">
        <v>132</v>
      </c>
      <c r="F952" s="15">
        <v>6</v>
      </c>
      <c r="G952" s="15">
        <v>3450</v>
      </c>
      <c r="H952" s="15">
        <v>1.8</v>
      </c>
      <c r="I952" s="15">
        <v>20327.400000000001</v>
      </c>
      <c r="J952" s="13" t="s">
        <v>140</v>
      </c>
      <c r="K952" s="13" t="s">
        <v>88</v>
      </c>
      <c r="L952" s="34" t="str">
        <f>VLOOKUP(D952,Products!$A$2:$F$61,3,FALSE)</f>
        <v>Beauty</v>
      </c>
      <c r="M952" s="34" t="str">
        <f>VLOOKUP(C952,Customers!$A$2:$F$301,5,FALSE)</f>
        <v>Corporate</v>
      </c>
      <c r="N952" s="34">
        <f>VLOOKUP(C952,Customers!$A$2:$F$301,3,FALSE)</f>
        <v>37</v>
      </c>
      <c r="O952" s="34" t="str">
        <f>VLOOKUP(E952,Sales_Reps!$A$2:$E$31,3,FALSE)</f>
        <v>South</v>
      </c>
      <c r="P952" s="13" t="s">
        <v>132</v>
      </c>
      <c r="Q952" s="34">
        <f t="shared" si="32"/>
        <v>880345.20000000007</v>
      </c>
      <c r="R952" s="34" t="str">
        <f>VLOOKUP(E952,Sales_Reps!$A$2:$E$100,3,FALSE)</f>
        <v>South</v>
      </c>
      <c r="S952" s="34" t="str">
        <f t="shared" si="33"/>
        <v>Beauty</v>
      </c>
      <c r="T952" s="38">
        <f>VLOOKUP(D952,Products!$A$2:$F$68,4,FALSE)</f>
        <v>2420</v>
      </c>
    </row>
    <row r="953" spans="1:20" x14ac:dyDescent="0.35">
      <c r="A953" s="13" t="s">
        <v>1433</v>
      </c>
      <c r="B953" s="14">
        <v>45575</v>
      </c>
      <c r="C953" s="13" t="s">
        <v>597</v>
      </c>
      <c r="D953" s="13" t="s">
        <v>161</v>
      </c>
      <c r="E953" s="13" t="s">
        <v>346</v>
      </c>
      <c r="F953" s="15">
        <v>3</v>
      </c>
      <c r="G953" s="15">
        <v>3450</v>
      </c>
      <c r="H953" s="15">
        <v>4.7</v>
      </c>
      <c r="I953" s="15">
        <v>9863.5499999999993</v>
      </c>
      <c r="J953" s="13" t="s">
        <v>93</v>
      </c>
      <c r="K953" s="13" t="s">
        <v>112</v>
      </c>
      <c r="L953" s="34" t="str">
        <f>VLOOKUP(D953,Products!$A$2:$F$61,3,FALSE)</f>
        <v>Sports</v>
      </c>
      <c r="M953" s="34" t="str">
        <f>VLOOKUP(C953,Customers!$A$2:$F$301,5,FALSE)</f>
        <v>Retail</v>
      </c>
      <c r="N953" s="34">
        <f>VLOOKUP(C953,Customers!$A$2:$F$301,3,FALSE)</f>
        <v>39</v>
      </c>
      <c r="O953" s="34" t="str">
        <f>VLOOKUP(E953,Sales_Reps!$A$2:$E$31,3,FALSE)</f>
        <v>South</v>
      </c>
      <c r="P953" s="13" t="s">
        <v>346</v>
      </c>
      <c r="Q953" s="34">
        <f t="shared" si="32"/>
        <v>814563.7100000002</v>
      </c>
      <c r="R953" s="34" t="str">
        <f>VLOOKUP(E953,Sales_Reps!$A$2:$E$100,3,FALSE)</f>
        <v>South</v>
      </c>
      <c r="S953" s="34" t="str">
        <f t="shared" si="33"/>
        <v>Sports</v>
      </c>
      <c r="T953" s="38">
        <f>VLOOKUP(D953,Products!$A$2:$F$68,4,FALSE)</f>
        <v>2467</v>
      </c>
    </row>
    <row r="954" spans="1:20" x14ac:dyDescent="0.35">
      <c r="A954" s="13" t="s">
        <v>1434</v>
      </c>
      <c r="B954" s="14">
        <v>45367</v>
      </c>
      <c r="C954" s="13" t="s">
        <v>208</v>
      </c>
      <c r="D954" s="13" t="s">
        <v>364</v>
      </c>
      <c r="E954" s="13" t="s">
        <v>343</v>
      </c>
      <c r="F954" s="15">
        <v>7</v>
      </c>
      <c r="G954" s="15">
        <v>5330</v>
      </c>
      <c r="H954" s="15">
        <v>16.399999999999999</v>
      </c>
      <c r="I954" s="15">
        <v>31191.16</v>
      </c>
      <c r="J954" s="13" t="s">
        <v>87</v>
      </c>
      <c r="K954" s="13" t="s">
        <v>133</v>
      </c>
      <c r="L954" s="34" t="str">
        <f>VLOOKUP(D954,Products!$A$2:$F$61,3,FALSE)</f>
        <v>Electronics</v>
      </c>
      <c r="M954" s="34" t="str">
        <f>VLOOKUP(C954,Customers!$A$2:$F$301,5,FALSE)</f>
        <v>Retail</v>
      </c>
      <c r="N954" s="34">
        <f>VLOOKUP(C954,Customers!$A$2:$F$301,3,FALSE)</f>
        <v>26</v>
      </c>
      <c r="O954" s="34" t="str">
        <f>VLOOKUP(E954,Sales_Reps!$A$2:$E$31,3,FALSE)</f>
        <v>West</v>
      </c>
      <c r="P954" s="13" t="s">
        <v>343</v>
      </c>
      <c r="Q954" s="34">
        <f t="shared" si="32"/>
        <v>917092.61999999965</v>
      </c>
      <c r="R954" s="34" t="str">
        <f>VLOOKUP(E954,Sales_Reps!$A$2:$E$100,3,FALSE)</f>
        <v>West</v>
      </c>
      <c r="S954" s="34" t="str">
        <f t="shared" si="33"/>
        <v>Electronics</v>
      </c>
      <c r="T954" s="38">
        <f>VLOOKUP(D954,Products!$A$2:$F$68,4,FALSE)</f>
        <v>2405</v>
      </c>
    </row>
    <row r="955" spans="1:20" x14ac:dyDescent="0.35">
      <c r="A955" s="13" t="s">
        <v>1435</v>
      </c>
      <c r="B955" s="14">
        <v>45522</v>
      </c>
      <c r="C955" s="13" t="s">
        <v>606</v>
      </c>
      <c r="D955" s="13" t="s">
        <v>338</v>
      </c>
      <c r="E955" s="13" t="s">
        <v>148</v>
      </c>
      <c r="F955" s="15">
        <v>6</v>
      </c>
      <c r="G955" s="15">
        <v>2210</v>
      </c>
      <c r="H955" s="15">
        <v>13.1</v>
      </c>
      <c r="I955" s="15">
        <v>11522.94</v>
      </c>
      <c r="J955" s="13" t="s">
        <v>87</v>
      </c>
      <c r="K955" s="13" t="s">
        <v>112</v>
      </c>
      <c r="L955" s="34" t="str">
        <f>VLOOKUP(D955,Products!$A$2:$F$61,3,FALSE)</f>
        <v>Grocery</v>
      </c>
      <c r="M955" s="34" t="str">
        <f>VLOOKUP(C955,Customers!$A$2:$F$301,5,FALSE)</f>
        <v>Retail</v>
      </c>
      <c r="N955" s="34">
        <f>VLOOKUP(C955,Customers!$A$2:$F$301,3,FALSE)</f>
        <v>52</v>
      </c>
      <c r="O955" s="34" t="str">
        <f>VLOOKUP(E955,Sales_Reps!$A$2:$E$31,3,FALSE)</f>
        <v>North</v>
      </c>
      <c r="P955" s="13" t="s">
        <v>148</v>
      </c>
      <c r="Q955" s="34">
        <f t="shared" si="32"/>
        <v>986692.91</v>
      </c>
      <c r="R955" s="34" t="str">
        <f>VLOOKUP(E955,Sales_Reps!$A$2:$E$100,3,FALSE)</f>
        <v>North</v>
      </c>
      <c r="S955" s="34" t="str">
        <f t="shared" si="33"/>
        <v>Grocery</v>
      </c>
      <c r="T955" s="38">
        <f>VLOOKUP(D955,Products!$A$2:$F$68,4,FALSE)</f>
        <v>1010</v>
      </c>
    </row>
    <row r="956" spans="1:20" x14ac:dyDescent="0.35">
      <c r="A956" s="13" t="s">
        <v>1436</v>
      </c>
      <c r="B956" s="14">
        <v>45579</v>
      </c>
      <c r="C956" s="13" t="s">
        <v>447</v>
      </c>
      <c r="D956" s="13" t="s">
        <v>164</v>
      </c>
      <c r="E956" s="13" t="s">
        <v>201</v>
      </c>
      <c r="F956" s="15">
        <v>8</v>
      </c>
      <c r="G956" s="15">
        <v>1080</v>
      </c>
      <c r="H956" s="15">
        <v>8.6999999999999993</v>
      </c>
      <c r="I956" s="15">
        <v>7888.32</v>
      </c>
      <c r="J956" s="13" t="s">
        <v>87</v>
      </c>
      <c r="K956" s="13" t="s">
        <v>112</v>
      </c>
      <c r="L956" s="34" t="str">
        <f>VLOOKUP(D956,Products!$A$2:$F$61,3,FALSE)</f>
        <v>Home</v>
      </c>
      <c r="M956" s="34" t="str">
        <f>VLOOKUP(C956,Customers!$A$2:$F$301,5,FALSE)</f>
        <v>Retail</v>
      </c>
      <c r="N956" s="34">
        <f>VLOOKUP(C956,Customers!$A$2:$F$301,3,FALSE)</f>
        <v>41</v>
      </c>
      <c r="O956" s="34" t="str">
        <f>VLOOKUP(E956,Sales_Reps!$A$2:$E$31,3,FALSE)</f>
        <v>West</v>
      </c>
      <c r="P956" s="13" t="s">
        <v>201</v>
      </c>
      <c r="Q956" s="34">
        <f t="shared" si="32"/>
        <v>576305.08000000019</v>
      </c>
      <c r="R956" s="34" t="str">
        <f>VLOOKUP(E956,Sales_Reps!$A$2:$E$100,3,FALSE)</f>
        <v>West</v>
      </c>
      <c r="S956" s="34" t="str">
        <f t="shared" si="33"/>
        <v>Home</v>
      </c>
      <c r="T956" s="38">
        <f>VLOOKUP(D956,Products!$A$2:$F$68,4,FALSE)</f>
        <v>519</v>
      </c>
    </row>
    <row r="957" spans="1:20" x14ac:dyDescent="0.35">
      <c r="A957" s="13" t="s">
        <v>1437</v>
      </c>
      <c r="B957" s="14">
        <v>45495</v>
      </c>
      <c r="C957" s="13" t="s">
        <v>376</v>
      </c>
      <c r="D957" s="13" t="s">
        <v>85</v>
      </c>
      <c r="E957" s="13" t="s">
        <v>188</v>
      </c>
      <c r="F957" s="15">
        <v>5</v>
      </c>
      <c r="G957" s="15">
        <v>3620</v>
      </c>
      <c r="H957" s="15">
        <v>16.100000000000001</v>
      </c>
      <c r="I957" s="15">
        <v>15185.9</v>
      </c>
      <c r="J957" s="13" t="s">
        <v>87</v>
      </c>
      <c r="K957" s="13" t="s">
        <v>117</v>
      </c>
      <c r="L957" s="34" t="str">
        <f>VLOOKUP(D957,Products!$A$2:$F$61,3,FALSE)</f>
        <v>Apparel</v>
      </c>
      <c r="M957" s="34" t="str">
        <f>VLOOKUP(C957,Customers!$A$2:$F$301,5,FALSE)</f>
        <v>SMB</v>
      </c>
      <c r="N957" s="34">
        <f>VLOOKUP(C957,Customers!$A$2:$F$301,3,FALSE)</f>
        <v>44</v>
      </c>
      <c r="O957" s="34" t="str">
        <f>VLOOKUP(E957,Sales_Reps!$A$2:$E$31,3,FALSE)</f>
        <v>South</v>
      </c>
      <c r="P957" s="13" t="s">
        <v>188</v>
      </c>
      <c r="Q957" s="34">
        <f t="shared" si="32"/>
        <v>1091740.1799999997</v>
      </c>
      <c r="R957" s="34" t="str">
        <f>VLOOKUP(E957,Sales_Reps!$A$2:$E$100,3,FALSE)</f>
        <v>South</v>
      </c>
      <c r="S957" s="34" t="str">
        <f t="shared" si="33"/>
        <v>Apparel</v>
      </c>
      <c r="T957" s="38">
        <f>VLOOKUP(D957,Products!$A$2:$F$68,4,FALSE)</f>
        <v>2509</v>
      </c>
    </row>
    <row r="958" spans="1:20" x14ac:dyDescent="0.35">
      <c r="A958" s="13" t="s">
        <v>1438</v>
      </c>
      <c r="B958" s="14">
        <v>45483</v>
      </c>
      <c r="C958" s="13" t="s">
        <v>109</v>
      </c>
      <c r="D958" s="13" t="s">
        <v>659</v>
      </c>
      <c r="E958" s="13" t="s">
        <v>273</v>
      </c>
      <c r="F958" s="15">
        <v>7</v>
      </c>
      <c r="G958" s="15">
        <v>3560</v>
      </c>
      <c r="H958" s="15">
        <v>8.5</v>
      </c>
      <c r="I958" s="15">
        <v>22801.8</v>
      </c>
      <c r="J958" s="13" t="s">
        <v>87</v>
      </c>
      <c r="K958" s="13" t="s">
        <v>112</v>
      </c>
      <c r="L958" s="34" t="str">
        <f>VLOOKUP(D958,Products!$A$2:$F$61,3,FALSE)</f>
        <v>Apparel</v>
      </c>
      <c r="M958" s="34" t="str">
        <f>VLOOKUP(C958,Customers!$A$2:$F$301,5,FALSE)</f>
        <v>Retail</v>
      </c>
      <c r="N958" s="34">
        <f>VLOOKUP(C958,Customers!$A$2:$F$301,3,FALSE)</f>
        <v>36</v>
      </c>
      <c r="O958" s="34" t="str">
        <f>VLOOKUP(E958,Sales_Reps!$A$2:$E$31,3,FALSE)</f>
        <v>South</v>
      </c>
      <c r="P958" s="13" t="s">
        <v>273</v>
      </c>
      <c r="Q958" s="34">
        <f t="shared" si="32"/>
        <v>735207.75999999989</v>
      </c>
      <c r="R958" s="34" t="str">
        <f>VLOOKUP(E958,Sales_Reps!$A$2:$E$100,3,FALSE)</f>
        <v>South</v>
      </c>
      <c r="S958" s="34" t="str">
        <f t="shared" si="33"/>
        <v>Apparel</v>
      </c>
      <c r="T958" s="38">
        <f>VLOOKUP(D958,Products!$A$2:$F$68,4,FALSE)</f>
        <v>2629</v>
      </c>
    </row>
    <row r="959" spans="1:20" x14ac:dyDescent="0.35">
      <c r="A959" s="13" t="s">
        <v>1439</v>
      </c>
      <c r="B959" s="14">
        <v>45496</v>
      </c>
      <c r="C959" s="13" t="s">
        <v>301</v>
      </c>
      <c r="D959" s="13" t="s">
        <v>295</v>
      </c>
      <c r="E959" s="13" t="s">
        <v>111</v>
      </c>
      <c r="F959" s="15">
        <v>8</v>
      </c>
      <c r="G959" s="15">
        <v>2030</v>
      </c>
      <c r="H959" s="15">
        <v>18.100000000000001</v>
      </c>
      <c r="I959" s="15">
        <v>13300.56</v>
      </c>
      <c r="J959" s="13" t="s">
        <v>87</v>
      </c>
      <c r="K959" s="13" t="s">
        <v>94</v>
      </c>
      <c r="L959" s="34" t="str">
        <f>VLOOKUP(D959,Products!$A$2:$F$61,3,FALSE)</f>
        <v>Home</v>
      </c>
      <c r="M959" s="34" t="str">
        <f>VLOOKUP(C959,Customers!$A$2:$F$301,5,FALSE)</f>
        <v>Retail</v>
      </c>
      <c r="N959" s="34">
        <f>VLOOKUP(C959,Customers!$A$2:$F$301,3,FALSE)</f>
        <v>41</v>
      </c>
      <c r="O959" s="34" t="str">
        <f>VLOOKUP(E959,Sales_Reps!$A$2:$E$31,3,FALSE)</f>
        <v>West</v>
      </c>
      <c r="P959" s="13" t="s">
        <v>111</v>
      </c>
      <c r="Q959" s="34">
        <f t="shared" si="32"/>
        <v>901298.89</v>
      </c>
      <c r="R959" s="34" t="str">
        <f>VLOOKUP(E959,Sales_Reps!$A$2:$E$100,3,FALSE)</f>
        <v>West</v>
      </c>
      <c r="S959" s="34" t="str">
        <f t="shared" si="33"/>
        <v>Home</v>
      </c>
      <c r="T959" s="38">
        <f>VLOOKUP(D959,Products!$A$2:$F$68,4,FALSE)</f>
        <v>1143</v>
      </c>
    </row>
    <row r="960" spans="1:20" x14ac:dyDescent="0.35">
      <c r="A960" s="13" t="s">
        <v>1440</v>
      </c>
      <c r="B960" s="14">
        <v>45350</v>
      </c>
      <c r="C960" s="13" t="s">
        <v>1308</v>
      </c>
      <c r="D960" s="13" t="s">
        <v>176</v>
      </c>
      <c r="E960" s="13" t="s">
        <v>273</v>
      </c>
      <c r="F960" s="15">
        <v>10</v>
      </c>
      <c r="G960" s="15">
        <v>1650</v>
      </c>
      <c r="H960" s="15">
        <v>7.1</v>
      </c>
      <c r="I960" s="15">
        <v>15328.5</v>
      </c>
      <c r="J960" s="13" t="s">
        <v>87</v>
      </c>
      <c r="K960" s="13" t="s">
        <v>94</v>
      </c>
      <c r="L960" s="34" t="str">
        <f>VLOOKUP(D960,Products!$A$2:$F$61,3,FALSE)</f>
        <v>Beauty</v>
      </c>
      <c r="M960" s="34" t="str">
        <f>VLOOKUP(C960,Customers!$A$2:$F$301,5,FALSE)</f>
        <v>SMB</v>
      </c>
      <c r="N960" s="34">
        <f>VLOOKUP(C960,Customers!$A$2:$F$301,3,FALSE)</f>
        <v>51</v>
      </c>
      <c r="O960" s="34" t="str">
        <f>VLOOKUP(E960,Sales_Reps!$A$2:$E$31,3,FALSE)</f>
        <v>South</v>
      </c>
      <c r="P960" s="13" t="s">
        <v>273</v>
      </c>
      <c r="Q960" s="34">
        <f t="shared" si="32"/>
        <v>735207.75999999989</v>
      </c>
      <c r="R960" s="34" t="str">
        <f>VLOOKUP(E960,Sales_Reps!$A$2:$E$100,3,FALSE)</f>
        <v>South</v>
      </c>
      <c r="S960" s="34" t="str">
        <f t="shared" si="33"/>
        <v>Beauty</v>
      </c>
      <c r="T960" s="38">
        <f>VLOOKUP(D960,Products!$A$2:$F$68,4,FALSE)</f>
        <v>1222</v>
      </c>
    </row>
    <row r="961" spans="1:20" x14ac:dyDescent="0.35">
      <c r="A961" s="13" t="s">
        <v>1441</v>
      </c>
      <c r="B961" s="14">
        <v>45517</v>
      </c>
      <c r="C961" s="13" t="s">
        <v>501</v>
      </c>
      <c r="D961" s="13" t="s">
        <v>200</v>
      </c>
      <c r="E961" s="13" t="s">
        <v>238</v>
      </c>
      <c r="F961" s="15">
        <v>4</v>
      </c>
      <c r="G961" s="15">
        <v>2760</v>
      </c>
      <c r="H961" s="15">
        <v>17.600000000000001</v>
      </c>
      <c r="I961" s="15">
        <v>9096.9599999999991</v>
      </c>
      <c r="J961" s="13" t="s">
        <v>140</v>
      </c>
      <c r="K961" s="13" t="s">
        <v>133</v>
      </c>
      <c r="L961" s="34" t="str">
        <f>VLOOKUP(D961,Products!$A$2:$F$61,3,FALSE)</f>
        <v>Grocery</v>
      </c>
      <c r="M961" s="34" t="str">
        <f>VLOOKUP(C961,Customers!$A$2:$F$301,5,FALSE)</f>
        <v>SMB</v>
      </c>
      <c r="N961" s="34">
        <f>VLOOKUP(C961,Customers!$A$2:$F$301,3,FALSE)</f>
        <v>65</v>
      </c>
      <c r="O961" s="34" t="str">
        <f>VLOOKUP(E961,Sales_Reps!$A$2:$E$31,3,FALSE)</f>
        <v>East</v>
      </c>
      <c r="P961" s="13" t="s">
        <v>238</v>
      </c>
      <c r="Q961" s="34">
        <f t="shared" si="32"/>
        <v>780384.40999999992</v>
      </c>
      <c r="R961" s="34" t="str">
        <f>VLOOKUP(E961,Sales_Reps!$A$2:$E$100,3,FALSE)</f>
        <v>East</v>
      </c>
      <c r="S961" s="34" t="str">
        <f t="shared" si="33"/>
        <v>Grocery</v>
      </c>
      <c r="T961" s="38">
        <f>VLOOKUP(D961,Products!$A$2:$F$68,4,FALSE)</f>
        <v>1435</v>
      </c>
    </row>
    <row r="962" spans="1:20" x14ac:dyDescent="0.35">
      <c r="A962" s="13" t="s">
        <v>1442</v>
      </c>
      <c r="B962" s="14">
        <v>45460</v>
      </c>
      <c r="C962" s="13" t="s">
        <v>570</v>
      </c>
      <c r="D962" s="13" t="s">
        <v>408</v>
      </c>
      <c r="E962" s="13" t="s">
        <v>204</v>
      </c>
      <c r="F962" s="15">
        <v>4</v>
      </c>
      <c r="G962" s="15">
        <v>3970</v>
      </c>
      <c r="H962" s="15">
        <v>4.3</v>
      </c>
      <c r="I962" s="15">
        <v>15197.16</v>
      </c>
      <c r="J962" s="13" t="s">
        <v>87</v>
      </c>
      <c r="K962" s="13" t="s">
        <v>99</v>
      </c>
      <c r="L962" s="34" t="str">
        <f>VLOOKUP(D962,Products!$A$2:$F$61,3,FALSE)</f>
        <v>Electronics</v>
      </c>
      <c r="M962" s="34" t="str">
        <f>VLOOKUP(C962,Customers!$A$2:$F$301,5,FALSE)</f>
        <v>Corporate</v>
      </c>
      <c r="N962" s="34">
        <f>VLOOKUP(C962,Customers!$A$2:$F$301,3,FALSE)</f>
        <v>47</v>
      </c>
      <c r="O962" s="34" t="str">
        <f>VLOOKUP(E962,Sales_Reps!$A$2:$E$31,3,FALSE)</f>
        <v>South</v>
      </c>
      <c r="P962" s="13" t="s">
        <v>204</v>
      </c>
      <c r="Q962" s="34">
        <f t="shared" si="32"/>
        <v>914554.71999999986</v>
      </c>
      <c r="R962" s="34" t="str">
        <f>VLOOKUP(E962,Sales_Reps!$A$2:$E$100,3,FALSE)</f>
        <v>South</v>
      </c>
      <c r="S962" s="34" t="str">
        <f t="shared" si="33"/>
        <v>Electronics</v>
      </c>
      <c r="T962" s="38">
        <f>VLOOKUP(D962,Products!$A$2:$F$68,4,FALSE)</f>
        <v>2865</v>
      </c>
    </row>
    <row r="963" spans="1:20" x14ac:dyDescent="0.35">
      <c r="A963" s="13" t="s">
        <v>1443</v>
      </c>
      <c r="B963" s="14">
        <v>45509</v>
      </c>
      <c r="C963" s="13" t="s">
        <v>479</v>
      </c>
      <c r="D963" s="13" t="s">
        <v>241</v>
      </c>
      <c r="E963" s="13" t="s">
        <v>132</v>
      </c>
      <c r="F963" s="15">
        <v>2</v>
      </c>
      <c r="G963" s="15">
        <v>6080</v>
      </c>
      <c r="H963" s="15">
        <v>23.8</v>
      </c>
      <c r="I963" s="15">
        <v>9265.92</v>
      </c>
      <c r="J963" s="13" t="s">
        <v>87</v>
      </c>
      <c r="K963" s="13" t="s">
        <v>88</v>
      </c>
      <c r="L963" s="34" t="str">
        <f>VLOOKUP(D963,Products!$A$2:$F$61,3,FALSE)</f>
        <v>Beauty</v>
      </c>
      <c r="M963" s="34" t="str">
        <f>VLOOKUP(C963,Customers!$A$2:$F$301,5,FALSE)</f>
        <v>SMB</v>
      </c>
      <c r="N963" s="34">
        <f>VLOOKUP(C963,Customers!$A$2:$F$301,3,FALSE)</f>
        <v>49</v>
      </c>
      <c r="O963" s="34" t="str">
        <f>VLOOKUP(E963,Sales_Reps!$A$2:$E$31,3,FALSE)</f>
        <v>South</v>
      </c>
      <c r="P963" s="13" t="s">
        <v>132</v>
      </c>
      <c r="Q963" s="34">
        <f t="shared" ref="Q963:Q1026" si="34">SUMIFS($I:$I,$E:$E,P963)</f>
        <v>880345.20000000007</v>
      </c>
      <c r="R963" s="34" t="str">
        <f>VLOOKUP(E963,Sales_Reps!$A$2:$E$100,3,FALSE)</f>
        <v>South</v>
      </c>
      <c r="S963" s="34" t="str">
        <f t="shared" ref="S963:S1026" si="35">L963</f>
        <v>Beauty</v>
      </c>
      <c r="T963" s="38">
        <f>VLOOKUP(D963,Products!$A$2:$F$68,4,FALSE)</f>
        <v>2617</v>
      </c>
    </row>
    <row r="964" spans="1:20" x14ac:dyDescent="0.35">
      <c r="A964" s="13" t="s">
        <v>1444</v>
      </c>
      <c r="B964" s="14">
        <v>45602</v>
      </c>
      <c r="C964" s="13" t="s">
        <v>373</v>
      </c>
      <c r="D964" s="13" t="s">
        <v>131</v>
      </c>
      <c r="E964" s="13" t="s">
        <v>139</v>
      </c>
      <c r="F964" s="15">
        <v>4</v>
      </c>
      <c r="G964" s="15">
        <v>2270</v>
      </c>
      <c r="H964" s="15">
        <v>28.9</v>
      </c>
      <c r="I964" s="15">
        <v>6455.88</v>
      </c>
      <c r="J964" s="13" t="s">
        <v>87</v>
      </c>
      <c r="K964" s="13" t="s">
        <v>88</v>
      </c>
      <c r="L964" s="34" t="str">
        <f>VLOOKUP(D964,Products!$A$2:$F$61,3,FALSE)</f>
        <v>Grocery</v>
      </c>
      <c r="M964" s="34" t="str">
        <f>VLOOKUP(C964,Customers!$A$2:$F$301,5,FALSE)</f>
        <v>Retail</v>
      </c>
      <c r="N964" s="34">
        <f>VLOOKUP(C964,Customers!$A$2:$F$301,3,FALSE)</f>
        <v>43</v>
      </c>
      <c r="O964" s="34" t="str">
        <f>VLOOKUP(E964,Sales_Reps!$A$2:$E$31,3,FALSE)</f>
        <v>North</v>
      </c>
      <c r="P964" s="13" t="s">
        <v>139</v>
      </c>
      <c r="Q964" s="34">
        <f t="shared" si="34"/>
        <v>589026.2899999998</v>
      </c>
      <c r="R964" s="34" t="str">
        <f>VLOOKUP(E964,Sales_Reps!$A$2:$E$100,3,FALSE)</f>
        <v>North</v>
      </c>
      <c r="S964" s="34" t="str">
        <f t="shared" si="35"/>
        <v>Grocery</v>
      </c>
      <c r="T964" s="38">
        <f>VLOOKUP(D964,Products!$A$2:$F$68,4,FALSE)</f>
        <v>1203</v>
      </c>
    </row>
    <row r="965" spans="1:20" x14ac:dyDescent="0.35">
      <c r="A965" s="13" t="s">
        <v>1445</v>
      </c>
      <c r="B965" s="14">
        <v>45441</v>
      </c>
      <c r="C965" s="13" t="s">
        <v>197</v>
      </c>
      <c r="D965" s="13" t="s">
        <v>408</v>
      </c>
      <c r="E965" s="13" t="s">
        <v>139</v>
      </c>
      <c r="F965" s="15">
        <v>10</v>
      </c>
      <c r="G965" s="15">
        <v>3970</v>
      </c>
      <c r="H965" s="15">
        <v>26.2</v>
      </c>
      <c r="I965" s="15">
        <v>29298.6</v>
      </c>
      <c r="J965" s="13" t="s">
        <v>87</v>
      </c>
      <c r="K965" s="13" t="s">
        <v>88</v>
      </c>
      <c r="L965" s="34" t="str">
        <f>VLOOKUP(D965,Products!$A$2:$F$61,3,FALSE)</f>
        <v>Electronics</v>
      </c>
      <c r="M965" s="34" t="str">
        <f>VLOOKUP(C965,Customers!$A$2:$F$301,5,FALSE)</f>
        <v>Corporate</v>
      </c>
      <c r="N965" s="34">
        <f>VLOOKUP(C965,Customers!$A$2:$F$301,3,FALSE)</f>
        <v>47</v>
      </c>
      <c r="O965" s="34" t="str">
        <f>VLOOKUP(E965,Sales_Reps!$A$2:$E$31,3,FALSE)</f>
        <v>North</v>
      </c>
      <c r="P965" s="13" t="s">
        <v>139</v>
      </c>
      <c r="Q965" s="34">
        <f t="shared" si="34"/>
        <v>589026.2899999998</v>
      </c>
      <c r="R965" s="34" t="str">
        <f>VLOOKUP(E965,Sales_Reps!$A$2:$E$100,3,FALSE)</f>
        <v>North</v>
      </c>
      <c r="S965" s="34" t="str">
        <f t="shared" si="35"/>
        <v>Electronics</v>
      </c>
      <c r="T965" s="38">
        <f>VLOOKUP(D965,Products!$A$2:$F$68,4,FALSE)</f>
        <v>2865</v>
      </c>
    </row>
    <row r="966" spans="1:20" x14ac:dyDescent="0.35">
      <c r="A966" s="13" t="s">
        <v>1446</v>
      </c>
      <c r="B966" s="14">
        <v>45378</v>
      </c>
      <c r="C966" s="13" t="s">
        <v>342</v>
      </c>
      <c r="D966" s="13" t="s">
        <v>191</v>
      </c>
      <c r="E966" s="13" t="s">
        <v>252</v>
      </c>
      <c r="F966" s="15">
        <v>4</v>
      </c>
      <c r="G966" s="15">
        <v>5100</v>
      </c>
      <c r="H966" s="15">
        <v>2.1</v>
      </c>
      <c r="I966" s="15">
        <v>19971.599999999999</v>
      </c>
      <c r="J966" s="13" t="s">
        <v>87</v>
      </c>
      <c r="K966" s="13" t="s">
        <v>94</v>
      </c>
      <c r="L966" s="34" t="str">
        <f>VLOOKUP(D966,Products!$A$2:$F$61,3,FALSE)</f>
        <v>Beauty</v>
      </c>
      <c r="M966" s="34" t="str">
        <f>VLOOKUP(C966,Customers!$A$2:$F$301,5,FALSE)</f>
        <v>Retail</v>
      </c>
      <c r="N966" s="34">
        <f>VLOOKUP(C966,Customers!$A$2:$F$301,3,FALSE)</f>
        <v>26</v>
      </c>
      <c r="O966" s="34" t="str">
        <f>VLOOKUP(E966,Sales_Reps!$A$2:$E$31,3,FALSE)</f>
        <v>South</v>
      </c>
      <c r="P966" s="13" t="s">
        <v>252</v>
      </c>
      <c r="Q966" s="34">
        <f t="shared" si="34"/>
        <v>811524.37999999989</v>
      </c>
      <c r="R966" s="34" t="str">
        <f>VLOOKUP(E966,Sales_Reps!$A$2:$E$100,3,FALSE)</f>
        <v>South</v>
      </c>
      <c r="S966" s="34" t="str">
        <f t="shared" si="35"/>
        <v>Beauty</v>
      </c>
      <c r="T966" s="38">
        <f>VLOOKUP(D966,Products!$A$2:$F$68,4,FALSE)</f>
        <v>2237</v>
      </c>
    </row>
    <row r="967" spans="1:20" x14ac:dyDescent="0.35">
      <c r="A967" s="13" t="s">
        <v>1447</v>
      </c>
      <c r="B967" s="14">
        <v>45428</v>
      </c>
      <c r="C967" s="13" t="s">
        <v>314</v>
      </c>
      <c r="D967" s="13" t="s">
        <v>276</v>
      </c>
      <c r="E967" s="13" t="s">
        <v>116</v>
      </c>
      <c r="F967" s="15">
        <v>5</v>
      </c>
      <c r="G967" s="15">
        <v>3020</v>
      </c>
      <c r="H967" s="15">
        <v>17.3</v>
      </c>
      <c r="I967" s="15">
        <v>12487.7</v>
      </c>
      <c r="J967" s="13" t="s">
        <v>87</v>
      </c>
      <c r="K967" s="13" t="s">
        <v>88</v>
      </c>
      <c r="L967" s="34" t="str">
        <f>VLOOKUP(D967,Products!$A$2:$F$61,3,FALSE)</f>
        <v>Beauty</v>
      </c>
      <c r="M967" s="34" t="str">
        <f>VLOOKUP(C967,Customers!$A$2:$F$301,5,FALSE)</f>
        <v>Corporate</v>
      </c>
      <c r="N967" s="34">
        <f>VLOOKUP(C967,Customers!$A$2:$F$301,3,FALSE)</f>
        <v>33</v>
      </c>
      <c r="O967" s="34" t="str">
        <f>VLOOKUP(E967,Sales_Reps!$A$2:$E$31,3,FALSE)</f>
        <v>West</v>
      </c>
      <c r="P967" s="13" t="s">
        <v>116</v>
      </c>
      <c r="Q967" s="34">
        <f t="shared" si="34"/>
        <v>819558.58</v>
      </c>
      <c r="R967" s="34" t="str">
        <f>VLOOKUP(E967,Sales_Reps!$A$2:$E$100,3,FALSE)</f>
        <v>West</v>
      </c>
      <c r="S967" s="34" t="str">
        <f t="shared" si="35"/>
        <v>Beauty</v>
      </c>
      <c r="T967" s="38">
        <f>VLOOKUP(D967,Products!$A$2:$F$68,4,FALSE)</f>
        <v>1626</v>
      </c>
    </row>
    <row r="968" spans="1:20" x14ac:dyDescent="0.35">
      <c r="A968" s="13" t="s">
        <v>1448</v>
      </c>
      <c r="B968" s="14">
        <v>45521</v>
      </c>
      <c r="C968" s="13" t="s">
        <v>902</v>
      </c>
      <c r="D968" s="13" t="s">
        <v>115</v>
      </c>
      <c r="E968" s="13" t="s">
        <v>346</v>
      </c>
      <c r="F968" s="15">
        <v>8</v>
      </c>
      <c r="G968" s="15">
        <v>960</v>
      </c>
      <c r="H968" s="15">
        <v>1.3</v>
      </c>
      <c r="I968" s="15">
        <v>7580.16</v>
      </c>
      <c r="J968" s="13" t="s">
        <v>140</v>
      </c>
      <c r="K968" s="13" t="s">
        <v>112</v>
      </c>
      <c r="L968" s="34" t="str">
        <f>VLOOKUP(D968,Products!$A$2:$F$61,3,FALSE)</f>
        <v>Sports</v>
      </c>
      <c r="M968" s="34" t="str">
        <f>VLOOKUP(C968,Customers!$A$2:$F$301,5,FALSE)</f>
        <v>Retail</v>
      </c>
      <c r="N968" s="34">
        <f>VLOOKUP(C968,Customers!$A$2:$F$301,3,FALSE)</f>
        <v>37</v>
      </c>
      <c r="O968" s="34" t="str">
        <f>VLOOKUP(E968,Sales_Reps!$A$2:$E$31,3,FALSE)</f>
        <v>South</v>
      </c>
      <c r="P968" s="13" t="s">
        <v>346</v>
      </c>
      <c r="Q968" s="34">
        <f t="shared" si="34"/>
        <v>814563.7100000002</v>
      </c>
      <c r="R968" s="34" t="str">
        <f>VLOOKUP(E968,Sales_Reps!$A$2:$E$100,3,FALSE)</f>
        <v>South</v>
      </c>
      <c r="S968" s="34" t="str">
        <f t="shared" si="35"/>
        <v>Sports</v>
      </c>
      <c r="T968" s="38">
        <f>VLOOKUP(D968,Products!$A$2:$F$68,4,FALSE)</f>
        <v>705</v>
      </c>
    </row>
    <row r="969" spans="1:20" x14ac:dyDescent="0.35">
      <c r="A969" s="13" t="s">
        <v>1449</v>
      </c>
      <c r="B969" s="14">
        <v>45612</v>
      </c>
      <c r="C969" s="13" t="s">
        <v>959</v>
      </c>
      <c r="D969" s="13" t="s">
        <v>167</v>
      </c>
      <c r="E969" s="13" t="s">
        <v>107</v>
      </c>
      <c r="F969" s="15">
        <v>9</v>
      </c>
      <c r="G969" s="15">
        <v>2480</v>
      </c>
      <c r="H969" s="15">
        <v>15.6</v>
      </c>
      <c r="I969" s="15">
        <v>18838.080000000002</v>
      </c>
      <c r="J969" s="13" t="s">
        <v>87</v>
      </c>
      <c r="K969" s="13" t="s">
        <v>112</v>
      </c>
      <c r="L969" s="34" t="str">
        <f>VLOOKUP(D969,Products!$A$2:$F$61,3,FALSE)</f>
        <v>Apparel</v>
      </c>
      <c r="M969" s="34" t="str">
        <f>VLOOKUP(C969,Customers!$A$2:$F$301,5,FALSE)</f>
        <v>SMB</v>
      </c>
      <c r="N969" s="34">
        <f>VLOOKUP(C969,Customers!$A$2:$F$301,3,FALSE)</f>
        <v>65</v>
      </c>
      <c r="O969" s="34" t="str">
        <f>VLOOKUP(E969,Sales_Reps!$A$2:$E$31,3,FALSE)</f>
        <v>North</v>
      </c>
      <c r="P969" s="13" t="s">
        <v>107</v>
      </c>
      <c r="Q969" s="34">
        <f t="shared" si="34"/>
        <v>861553.33</v>
      </c>
      <c r="R969" s="34" t="str">
        <f>VLOOKUP(E969,Sales_Reps!$A$2:$E$100,3,FALSE)</f>
        <v>North</v>
      </c>
      <c r="S969" s="34" t="str">
        <f t="shared" si="35"/>
        <v>Apparel</v>
      </c>
      <c r="T969" s="38">
        <f>VLOOKUP(D969,Products!$A$2:$F$68,4,FALSE)</f>
        <v>1173</v>
      </c>
    </row>
    <row r="970" spans="1:20" x14ac:dyDescent="0.35">
      <c r="A970" s="13" t="s">
        <v>1450</v>
      </c>
      <c r="B970" s="14">
        <v>45566</v>
      </c>
      <c r="C970" s="13" t="s">
        <v>1451</v>
      </c>
      <c r="D970" s="13" t="s">
        <v>127</v>
      </c>
      <c r="E970" s="13" t="s">
        <v>325</v>
      </c>
      <c r="F970" s="15">
        <v>1</v>
      </c>
      <c r="G970" s="15">
        <v>970</v>
      </c>
      <c r="H970" s="15">
        <v>24.9</v>
      </c>
      <c r="I970" s="15">
        <v>728.47</v>
      </c>
      <c r="J970" s="13" t="s">
        <v>87</v>
      </c>
      <c r="K970" s="13" t="s">
        <v>117</v>
      </c>
      <c r="L970" s="34" t="str">
        <f>VLOOKUP(D970,Products!$A$2:$F$61,3,FALSE)</f>
        <v>Grocery</v>
      </c>
      <c r="M970" s="34" t="e">
        <f>VLOOKUP(C970,Customers!$A$2:$F$301,5,FALSE)</f>
        <v>#N/A</v>
      </c>
      <c r="N970" s="34" t="e">
        <f>VLOOKUP(C970,Customers!$A$2:$F$301,3,FALSE)</f>
        <v>#N/A</v>
      </c>
      <c r="O970" s="34" t="str">
        <f>VLOOKUP(E970,Sales_Reps!$A$2:$E$31,3,FALSE)</f>
        <v>South</v>
      </c>
      <c r="P970" s="13" t="s">
        <v>325</v>
      </c>
      <c r="Q970" s="34">
        <f t="shared" si="34"/>
        <v>901394.32000000007</v>
      </c>
      <c r="R970" s="34" t="str">
        <f>VLOOKUP(E970,Sales_Reps!$A$2:$E$100,3,FALSE)</f>
        <v>South</v>
      </c>
      <c r="S970" s="34" t="str">
        <f t="shared" si="35"/>
        <v>Grocery</v>
      </c>
      <c r="T970" s="38">
        <f>VLOOKUP(D970,Products!$A$2:$F$68,4,FALSE)</f>
        <v>434</v>
      </c>
    </row>
    <row r="971" spans="1:20" x14ac:dyDescent="0.35">
      <c r="A971" s="13" t="s">
        <v>1452</v>
      </c>
      <c r="B971" s="14">
        <v>45606</v>
      </c>
      <c r="C971" s="13" t="s">
        <v>407</v>
      </c>
      <c r="D971" s="13" t="s">
        <v>367</v>
      </c>
      <c r="E971" s="13" t="s">
        <v>285</v>
      </c>
      <c r="F971" s="15">
        <v>4</v>
      </c>
      <c r="G971" s="15">
        <v>2380</v>
      </c>
      <c r="H971" s="15">
        <v>9.5</v>
      </c>
      <c r="I971" s="15">
        <v>8615.6</v>
      </c>
      <c r="J971" s="13" t="s">
        <v>140</v>
      </c>
      <c r="K971" s="13" t="s">
        <v>88</v>
      </c>
      <c r="L971" s="34" t="str">
        <f>VLOOKUP(D971,Products!$A$2:$F$61,3,FALSE)</f>
        <v>Grocery</v>
      </c>
      <c r="M971" s="34" t="str">
        <f>VLOOKUP(C971,Customers!$A$2:$F$301,5,FALSE)</f>
        <v>SMB</v>
      </c>
      <c r="N971" s="34">
        <f>VLOOKUP(C971,Customers!$A$2:$F$301,3,FALSE)</f>
        <v>53</v>
      </c>
      <c r="O971" s="34" t="str">
        <f>VLOOKUP(E971,Sales_Reps!$A$2:$E$31,3,FALSE)</f>
        <v>East</v>
      </c>
      <c r="P971" s="13" t="s">
        <v>285</v>
      </c>
      <c r="Q971" s="34">
        <f t="shared" si="34"/>
        <v>1069570.5400000003</v>
      </c>
      <c r="R971" s="34" t="str">
        <f>VLOOKUP(E971,Sales_Reps!$A$2:$E$100,3,FALSE)</f>
        <v>East</v>
      </c>
      <c r="S971" s="34" t="str">
        <f t="shared" si="35"/>
        <v>Grocery</v>
      </c>
      <c r="T971" s="38">
        <f>VLOOKUP(D971,Products!$A$2:$F$68,4,FALSE)</f>
        <v>1182</v>
      </c>
    </row>
    <row r="972" spans="1:20" x14ac:dyDescent="0.35">
      <c r="A972" s="13" t="s">
        <v>1453</v>
      </c>
      <c r="B972" s="14">
        <v>45423</v>
      </c>
      <c r="C972" s="13" t="s">
        <v>130</v>
      </c>
      <c r="D972" s="13" t="s">
        <v>360</v>
      </c>
      <c r="E972" s="13" t="s">
        <v>92</v>
      </c>
      <c r="F972" s="15">
        <v>4</v>
      </c>
      <c r="G972" s="15">
        <v>5410</v>
      </c>
      <c r="H972" s="15">
        <v>18.7</v>
      </c>
      <c r="I972" s="15">
        <v>17593.32</v>
      </c>
      <c r="J972" s="13" t="s">
        <v>87</v>
      </c>
      <c r="K972" s="13" t="s">
        <v>133</v>
      </c>
      <c r="L972" s="34" t="str">
        <f>VLOOKUP(D972,Products!$A$2:$F$61,3,FALSE)</f>
        <v>Sports</v>
      </c>
      <c r="M972" s="34" t="str">
        <f>VLOOKUP(C972,Customers!$A$2:$F$301,5,FALSE)</f>
        <v>Retail</v>
      </c>
      <c r="N972" s="34">
        <f>VLOOKUP(C972,Customers!$A$2:$F$301,3,FALSE)</f>
        <v>60</v>
      </c>
      <c r="O972" s="34" t="str">
        <f>VLOOKUP(E972,Sales_Reps!$A$2:$E$31,3,FALSE)</f>
        <v>North</v>
      </c>
      <c r="P972" s="13" t="s">
        <v>92</v>
      </c>
      <c r="Q972" s="34">
        <f t="shared" si="34"/>
        <v>782445.33</v>
      </c>
      <c r="R972" s="34" t="str">
        <f>VLOOKUP(E972,Sales_Reps!$A$2:$E$100,3,FALSE)</f>
        <v>North</v>
      </c>
      <c r="S972" s="34" t="str">
        <f t="shared" si="35"/>
        <v>Sports</v>
      </c>
      <c r="T972" s="38">
        <f>VLOOKUP(D972,Products!$A$2:$F$68,4,FALSE)</f>
        <v>2265</v>
      </c>
    </row>
    <row r="973" spans="1:20" x14ac:dyDescent="0.35">
      <c r="A973" s="13" t="s">
        <v>1454</v>
      </c>
      <c r="B973" s="14">
        <v>45573</v>
      </c>
      <c r="C973" s="13" t="s">
        <v>284</v>
      </c>
      <c r="D973" s="13" t="s">
        <v>443</v>
      </c>
      <c r="E973" s="13" t="s">
        <v>285</v>
      </c>
      <c r="F973" s="15">
        <v>7</v>
      </c>
      <c r="G973" s="15">
        <v>5080</v>
      </c>
      <c r="H973" s="15">
        <v>6.5</v>
      </c>
      <c r="I973" s="15">
        <v>33248.6</v>
      </c>
      <c r="J973" s="13" t="s">
        <v>87</v>
      </c>
      <c r="K973" s="13" t="s">
        <v>94</v>
      </c>
      <c r="L973" s="34" t="str">
        <f>VLOOKUP(D973,Products!$A$2:$F$61,3,FALSE)</f>
        <v>Home</v>
      </c>
      <c r="M973" s="34" t="str">
        <f>VLOOKUP(C973,Customers!$A$2:$F$301,5,FALSE)</f>
        <v>Retail</v>
      </c>
      <c r="N973" s="34">
        <f>VLOOKUP(C973,Customers!$A$2:$F$301,3,FALSE)</f>
        <v>28</v>
      </c>
      <c r="O973" s="34" t="str">
        <f>VLOOKUP(E973,Sales_Reps!$A$2:$E$31,3,FALSE)</f>
        <v>East</v>
      </c>
      <c r="P973" s="13" t="s">
        <v>285</v>
      </c>
      <c r="Q973" s="34">
        <f t="shared" si="34"/>
        <v>1069570.5400000003</v>
      </c>
      <c r="R973" s="34" t="str">
        <f>VLOOKUP(E973,Sales_Reps!$A$2:$E$100,3,FALSE)</f>
        <v>East</v>
      </c>
      <c r="S973" s="34" t="str">
        <f t="shared" si="35"/>
        <v>Home</v>
      </c>
      <c r="T973" s="38">
        <f>VLOOKUP(D973,Products!$A$2:$F$68,4,FALSE)</f>
        <v>2459</v>
      </c>
    </row>
    <row r="974" spans="1:20" x14ac:dyDescent="0.35">
      <c r="A974" s="13" t="s">
        <v>1455</v>
      </c>
      <c r="B974" s="14">
        <v>45339</v>
      </c>
      <c r="C974" s="13" t="s">
        <v>1172</v>
      </c>
      <c r="D974" s="13" t="s">
        <v>120</v>
      </c>
      <c r="E974" s="13" t="s">
        <v>111</v>
      </c>
      <c r="F974" s="15">
        <v>5</v>
      </c>
      <c r="G974" s="15">
        <v>1430</v>
      </c>
      <c r="H974" s="15">
        <v>19.8</v>
      </c>
      <c r="I974" s="15">
        <v>5734.3</v>
      </c>
      <c r="J974" s="13" t="s">
        <v>87</v>
      </c>
      <c r="K974" s="13" t="s">
        <v>88</v>
      </c>
      <c r="L974" s="34" t="str">
        <f>VLOOKUP(D974,Products!$A$2:$F$61,3,FALSE)</f>
        <v>Electronics</v>
      </c>
      <c r="M974" s="34" t="str">
        <f>VLOOKUP(C974,Customers!$A$2:$F$301,5,FALSE)</f>
        <v>Retail</v>
      </c>
      <c r="N974" s="34">
        <f>VLOOKUP(C974,Customers!$A$2:$F$301,3,FALSE)</f>
        <v>39</v>
      </c>
      <c r="O974" s="34" t="str">
        <f>VLOOKUP(E974,Sales_Reps!$A$2:$E$31,3,FALSE)</f>
        <v>West</v>
      </c>
      <c r="P974" s="13" t="s">
        <v>111</v>
      </c>
      <c r="Q974" s="34">
        <f t="shared" si="34"/>
        <v>901298.89</v>
      </c>
      <c r="R974" s="34" t="str">
        <f>VLOOKUP(E974,Sales_Reps!$A$2:$E$100,3,FALSE)</f>
        <v>West</v>
      </c>
      <c r="S974" s="34" t="str">
        <f t="shared" si="35"/>
        <v>Electronics</v>
      </c>
      <c r="T974" s="38">
        <f>VLOOKUP(D974,Products!$A$2:$F$68,4,FALSE)</f>
        <v>861</v>
      </c>
    </row>
    <row r="975" spans="1:20" x14ac:dyDescent="0.35">
      <c r="A975" s="13" t="s">
        <v>1456</v>
      </c>
      <c r="B975" s="14">
        <v>45611</v>
      </c>
      <c r="C975" s="13" t="s">
        <v>868</v>
      </c>
      <c r="D975" s="13" t="s">
        <v>203</v>
      </c>
      <c r="E975" s="13" t="s">
        <v>273</v>
      </c>
      <c r="F975" s="15">
        <v>7</v>
      </c>
      <c r="G975" s="15">
        <v>660</v>
      </c>
      <c r="H975" s="15">
        <v>17.3</v>
      </c>
      <c r="I975" s="15">
        <v>3820.74</v>
      </c>
      <c r="J975" s="13" t="s">
        <v>87</v>
      </c>
      <c r="K975" s="13" t="s">
        <v>99</v>
      </c>
      <c r="L975" s="34" t="str">
        <f>VLOOKUP(D975,Products!$A$2:$F$61,3,FALSE)</f>
        <v>Home</v>
      </c>
      <c r="M975" s="34" t="str">
        <f>VLOOKUP(C975,Customers!$A$2:$F$301,5,FALSE)</f>
        <v>SMB</v>
      </c>
      <c r="N975" s="34">
        <f>VLOOKUP(C975,Customers!$A$2:$F$301,3,FALSE)</f>
        <v>38</v>
      </c>
      <c r="O975" s="34" t="str">
        <f>VLOOKUP(E975,Sales_Reps!$A$2:$E$31,3,FALSE)</f>
        <v>South</v>
      </c>
      <c r="P975" s="13" t="s">
        <v>273</v>
      </c>
      <c r="Q975" s="34">
        <f t="shared" si="34"/>
        <v>735207.75999999989</v>
      </c>
      <c r="R975" s="34" t="str">
        <f>VLOOKUP(E975,Sales_Reps!$A$2:$E$100,3,FALSE)</f>
        <v>South</v>
      </c>
      <c r="S975" s="34" t="str">
        <f t="shared" si="35"/>
        <v>Home</v>
      </c>
      <c r="T975" s="38">
        <f>VLOOKUP(D975,Products!$A$2:$F$68,4,FALSE)</f>
        <v>329</v>
      </c>
    </row>
    <row r="976" spans="1:20" x14ac:dyDescent="0.35">
      <c r="A976" s="13" t="s">
        <v>1457</v>
      </c>
      <c r="B976" s="14">
        <v>45505</v>
      </c>
      <c r="C976" s="13" t="s">
        <v>816</v>
      </c>
      <c r="D976" s="13" t="s">
        <v>259</v>
      </c>
      <c r="E976" s="13" t="s">
        <v>139</v>
      </c>
      <c r="F976" s="15">
        <v>10</v>
      </c>
      <c r="G976" s="15">
        <v>1540</v>
      </c>
      <c r="H976" s="15">
        <v>17.5</v>
      </c>
      <c r="I976" s="15">
        <v>12705</v>
      </c>
      <c r="J976" s="13" t="s">
        <v>87</v>
      </c>
      <c r="K976" s="13" t="s">
        <v>88</v>
      </c>
      <c r="L976" s="34" t="str">
        <f>VLOOKUP(D976,Products!$A$2:$F$61,3,FALSE)</f>
        <v>Beauty</v>
      </c>
      <c r="M976" s="34" t="str">
        <f>VLOOKUP(C976,Customers!$A$2:$F$301,5,FALSE)</f>
        <v>Retail</v>
      </c>
      <c r="N976" s="34">
        <f>VLOOKUP(C976,Customers!$A$2:$F$301,3,FALSE)</f>
        <v>36</v>
      </c>
      <c r="O976" s="34" t="str">
        <f>VLOOKUP(E976,Sales_Reps!$A$2:$E$31,3,FALSE)</f>
        <v>North</v>
      </c>
      <c r="P976" s="13" t="s">
        <v>139</v>
      </c>
      <c r="Q976" s="34">
        <f t="shared" si="34"/>
        <v>589026.2899999998</v>
      </c>
      <c r="R976" s="34" t="str">
        <f>VLOOKUP(E976,Sales_Reps!$A$2:$E$100,3,FALSE)</f>
        <v>North</v>
      </c>
      <c r="S976" s="34" t="str">
        <f t="shared" si="35"/>
        <v>Beauty</v>
      </c>
      <c r="T976" s="38">
        <f>VLOOKUP(D976,Products!$A$2:$F$68,4,FALSE)</f>
        <v>647</v>
      </c>
    </row>
    <row r="977" spans="1:20" x14ac:dyDescent="0.35">
      <c r="A977" s="13" t="s">
        <v>1458</v>
      </c>
      <c r="B977" s="14">
        <v>45358</v>
      </c>
      <c r="C977" s="13" t="s">
        <v>533</v>
      </c>
      <c r="D977" s="13" t="s">
        <v>338</v>
      </c>
      <c r="E977" s="13" t="s">
        <v>148</v>
      </c>
      <c r="F977" s="15">
        <v>10</v>
      </c>
      <c r="G977" s="15">
        <v>2210</v>
      </c>
      <c r="H977" s="15">
        <v>24.1</v>
      </c>
      <c r="I977" s="15">
        <v>16773.900000000001</v>
      </c>
      <c r="J977" s="13" t="s">
        <v>93</v>
      </c>
      <c r="K977" s="13" t="s">
        <v>99</v>
      </c>
      <c r="L977" s="34" t="str">
        <f>VLOOKUP(D977,Products!$A$2:$F$61,3,FALSE)</f>
        <v>Grocery</v>
      </c>
      <c r="M977" s="34" t="str">
        <f>VLOOKUP(C977,Customers!$A$2:$F$301,5,FALSE)</f>
        <v>SMB</v>
      </c>
      <c r="N977" s="34">
        <f>VLOOKUP(C977,Customers!$A$2:$F$301,3,FALSE)</f>
        <v>48</v>
      </c>
      <c r="O977" s="34" t="str">
        <f>VLOOKUP(E977,Sales_Reps!$A$2:$E$31,3,FALSE)</f>
        <v>North</v>
      </c>
      <c r="P977" s="13" t="s">
        <v>148</v>
      </c>
      <c r="Q977" s="34">
        <f t="shared" si="34"/>
        <v>986692.91</v>
      </c>
      <c r="R977" s="34" t="str">
        <f>VLOOKUP(E977,Sales_Reps!$A$2:$E$100,3,FALSE)</f>
        <v>North</v>
      </c>
      <c r="S977" s="34" t="str">
        <f t="shared" si="35"/>
        <v>Grocery</v>
      </c>
      <c r="T977" s="38">
        <f>VLOOKUP(D977,Products!$A$2:$F$68,4,FALSE)</f>
        <v>1010</v>
      </c>
    </row>
    <row r="978" spans="1:20" x14ac:dyDescent="0.35">
      <c r="A978" s="13" t="s">
        <v>1459</v>
      </c>
      <c r="B978" s="14">
        <v>45519</v>
      </c>
      <c r="C978" s="13" t="s">
        <v>528</v>
      </c>
      <c r="D978" s="13" t="s">
        <v>115</v>
      </c>
      <c r="E978" s="13" t="s">
        <v>285</v>
      </c>
      <c r="F978" s="15">
        <v>4</v>
      </c>
      <c r="G978" s="15">
        <v>960</v>
      </c>
      <c r="H978" s="15">
        <v>13.4</v>
      </c>
      <c r="I978" s="15">
        <v>3325.44</v>
      </c>
      <c r="J978" s="13" t="s">
        <v>87</v>
      </c>
      <c r="K978" s="13" t="s">
        <v>112</v>
      </c>
      <c r="L978" s="34" t="str">
        <f>VLOOKUP(D978,Products!$A$2:$F$61,3,FALSE)</f>
        <v>Sports</v>
      </c>
      <c r="M978" s="34" t="str">
        <f>VLOOKUP(C978,Customers!$A$2:$F$301,5,FALSE)</f>
        <v>Retail</v>
      </c>
      <c r="N978" s="34">
        <f>VLOOKUP(C978,Customers!$A$2:$F$301,3,FALSE)</f>
        <v>44</v>
      </c>
      <c r="O978" s="34" t="str">
        <f>VLOOKUP(E978,Sales_Reps!$A$2:$E$31,3,FALSE)</f>
        <v>East</v>
      </c>
      <c r="P978" s="13" t="s">
        <v>285</v>
      </c>
      <c r="Q978" s="34">
        <f t="shared" si="34"/>
        <v>1069570.5400000003</v>
      </c>
      <c r="R978" s="34" t="str">
        <f>VLOOKUP(E978,Sales_Reps!$A$2:$E$100,3,FALSE)</f>
        <v>East</v>
      </c>
      <c r="S978" s="34" t="str">
        <f t="shared" si="35"/>
        <v>Sports</v>
      </c>
      <c r="T978" s="38">
        <f>VLOOKUP(D978,Products!$A$2:$F$68,4,FALSE)</f>
        <v>705</v>
      </c>
    </row>
    <row r="979" spans="1:20" x14ac:dyDescent="0.35">
      <c r="A979" s="13" t="s">
        <v>1460</v>
      </c>
      <c r="B979" s="14">
        <v>45628</v>
      </c>
      <c r="C979" s="13" t="s">
        <v>1350</v>
      </c>
      <c r="D979" s="13" t="s">
        <v>157</v>
      </c>
      <c r="E979" s="13" t="s">
        <v>285</v>
      </c>
      <c r="F979" s="15">
        <v>8</v>
      </c>
      <c r="G979" s="15">
        <v>3450</v>
      </c>
      <c r="H979" s="15">
        <v>3.7</v>
      </c>
      <c r="I979" s="15">
        <v>26578.799999999999</v>
      </c>
      <c r="J979" s="13" t="s">
        <v>87</v>
      </c>
      <c r="K979" s="13" t="s">
        <v>112</v>
      </c>
      <c r="L979" s="34" t="str">
        <f>VLOOKUP(D979,Products!$A$2:$F$61,3,FALSE)</f>
        <v>Beauty</v>
      </c>
      <c r="M979" s="34" t="str">
        <f>VLOOKUP(C979,Customers!$A$2:$F$301,5,FALSE)</f>
        <v>Retail</v>
      </c>
      <c r="N979" s="34">
        <f>VLOOKUP(C979,Customers!$A$2:$F$301,3,FALSE)</f>
        <v>38</v>
      </c>
      <c r="O979" s="34" t="str">
        <f>VLOOKUP(E979,Sales_Reps!$A$2:$E$31,3,FALSE)</f>
        <v>East</v>
      </c>
      <c r="P979" s="13" t="s">
        <v>285</v>
      </c>
      <c r="Q979" s="34">
        <f t="shared" si="34"/>
        <v>1069570.5400000003</v>
      </c>
      <c r="R979" s="34" t="str">
        <f>VLOOKUP(E979,Sales_Reps!$A$2:$E$100,3,FALSE)</f>
        <v>East</v>
      </c>
      <c r="S979" s="34" t="str">
        <f t="shared" si="35"/>
        <v>Beauty</v>
      </c>
      <c r="T979" s="38">
        <f>VLOOKUP(D979,Products!$A$2:$F$68,4,FALSE)</f>
        <v>2420</v>
      </c>
    </row>
    <row r="980" spans="1:20" x14ac:dyDescent="0.35">
      <c r="A980" s="13" t="s">
        <v>1461</v>
      </c>
      <c r="B980" s="14">
        <v>45481</v>
      </c>
      <c r="C980" s="13" t="s">
        <v>1462</v>
      </c>
      <c r="D980" s="13" t="s">
        <v>295</v>
      </c>
      <c r="E980" s="13" t="s">
        <v>92</v>
      </c>
      <c r="F980" s="15">
        <v>6</v>
      </c>
      <c r="G980" s="15">
        <v>2030</v>
      </c>
      <c r="H980" s="15">
        <v>9.5</v>
      </c>
      <c r="I980" s="15">
        <v>11022.9</v>
      </c>
      <c r="J980" s="13" t="s">
        <v>87</v>
      </c>
      <c r="K980" s="13" t="s">
        <v>112</v>
      </c>
      <c r="L980" s="34" t="str">
        <f>VLOOKUP(D980,Products!$A$2:$F$61,3,FALSE)</f>
        <v>Home</v>
      </c>
      <c r="M980" s="34" t="e">
        <f>VLOOKUP(C980,Customers!$A$2:$F$301,5,FALSE)</f>
        <v>#N/A</v>
      </c>
      <c r="N980" s="34" t="e">
        <f>VLOOKUP(C980,Customers!$A$2:$F$301,3,FALSE)</f>
        <v>#N/A</v>
      </c>
      <c r="O980" s="34" t="str">
        <f>VLOOKUP(E980,Sales_Reps!$A$2:$E$31,3,FALSE)</f>
        <v>North</v>
      </c>
      <c r="P980" s="13" t="s">
        <v>92</v>
      </c>
      <c r="Q980" s="34">
        <f t="shared" si="34"/>
        <v>782445.33</v>
      </c>
      <c r="R980" s="34" t="str">
        <f>VLOOKUP(E980,Sales_Reps!$A$2:$E$100,3,FALSE)</f>
        <v>North</v>
      </c>
      <c r="S980" s="34" t="str">
        <f t="shared" si="35"/>
        <v>Home</v>
      </c>
      <c r="T980" s="38">
        <f>VLOOKUP(D980,Products!$A$2:$F$68,4,FALSE)</f>
        <v>1143</v>
      </c>
    </row>
    <row r="981" spans="1:20" x14ac:dyDescent="0.35">
      <c r="A981" s="13" t="s">
        <v>1463</v>
      </c>
      <c r="B981" s="14">
        <v>45399</v>
      </c>
      <c r="C981" s="13" t="s">
        <v>563</v>
      </c>
      <c r="D981" s="13" t="s">
        <v>452</v>
      </c>
      <c r="E981" s="13" t="s">
        <v>204</v>
      </c>
      <c r="F981" s="15">
        <v>7</v>
      </c>
      <c r="G981" s="15">
        <v>3450</v>
      </c>
      <c r="H981" s="15">
        <v>28.2</v>
      </c>
      <c r="I981" s="15">
        <v>17339.7</v>
      </c>
      <c r="J981" s="13" t="s">
        <v>87</v>
      </c>
      <c r="K981" s="13" t="s">
        <v>88</v>
      </c>
      <c r="L981" s="34" t="str">
        <f>VLOOKUP(D981,Products!$A$2:$F$61,3,FALSE)</f>
        <v>Apparel</v>
      </c>
      <c r="M981" s="34" t="str">
        <f>VLOOKUP(C981,Customers!$A$2:$F$301,5,FALSE)</f>
        <v>SMB</v>
      </c>
      <c r="N981" s="34">
        <f>VLOOKUP(C981,Customers!$A$2:$F$301,3,FALSE)</f>
        <v>24</v>
      </c>
      <c r="O981" s="34" t="str">
        <f>VLOOKUP(E981,Sales_Reps!$A$2:$E$31,3,FALSE)</f>
        <v>South</v>
      </c>
      <c r="P981" s="13" t="s">
        <v>204</v>
      </c>
      <c r="Q981" s="34">
        <f t="shared" si="34"/>
        <v>914554.71999999986</v>
      </c>
      <c r="R981" s="34" t="str">
        <f>VLOOKUP(E981,Sales_Reps!$A$2:$E$100,3,FALSE)</f>
        <v>South</v>
      </c>
      <c r="S981" s="34" t="str">
        <f t="shared" si="35"/>
        <v>Apparel</v>
      </c>
      <c r="T981" s="38">
        <f>VLOOKUP(D981,Products!$A$2:$F$68,4,FALSE)</f>
        <v>1748</v>
      </c>
    </row>
    <row r="982" spans="1:20" x14ac:dyDescent="0.35">
      <c r="A982" s="13" t="s">
        <v>1464</v>
      </c>
      <c r="B982" s="14">
        <v>45531</v>
      </c>
      <c r="C982" s="13" t="s">
        <v>485</v>
      </c>
      <c r="D982" s="13" t="s">
        <v>234</v>
      </c>
      <c r="E982" s="13" t="s">
        <v>273</v>
      </c>
      <c r="F982" s="15">
        <v>7</v>
      </c>
      <c r="G982" s="15">
        <v>3780</v>
      </c>
      <c r="H982" s="15">
        <v>15.1</v>
      </c>
      <c r="I982" s="15">
        <v>22464.54</v>
      </c>
      <c r="J982" s="13" t="s">
        <v>87</v>
      </c>
      <c r="K982" s="13" t="s">
        <v>88</v>
      </c>
      <c r="L982" s="34" t="str">
        <f>VLOOKUP(D982,Products!$A$2:$F$61,3,FALSE)</f>
        <v>Grocery</v>
      </c>
      <c r="M982" s="34" t="str">
        <f>VLOOKUP(C982,Customers!$A$2:$F$301,5,FALSE)</f>
        <v>Retail</v>
      </c>
      <c r="N982" s="34">
        <f>VLOOKUP(C982,Customers!$A$2:$F$301,3,FALSE)</f>
        <v>49</v>
      </c>
      <c r="O982" s="34" t="str">
        <f>VLOOKUP(E982,Sales_Reps!$A$2:$E$31,3,FALSE)</f>
        <v>South</v>
      </c>
      <c r="P982" s="13" t="s">
        <v>273</v>
      </c>
      <c r="Q982" s="34">
        <f t="shared" si="34"/>
        <v>735207.75999999989</v>
      </c>
      <c r="R982" s="34" t="str">
        <f>VLOOKUP(E982,Sales_Reps!$A$2:$E$100,3,FALSE)</f>
        <v>South</v>
      </c>
      <c r="S982" s="34" t="str">
        <f t="shared" si="35"/>
        <v>Grocery</v>
      </c>
      <c r="T982" s="38">
        <f>VLOOKUP(D982,Products!$A$2:$F$68,4,FALSE)</f>
        <v>2436</v>
      </c>
    </row>
    <row r="983" spans="1:20" x14ac:dyDescent="0.35">
      <c r="A983" s="13" t="s">
        <v>1427</v>
      </c>
      <c r="B983" s="14">
        <v>45417</v>
      </c>
      <c r="C983" s="13" t="s">
        <v>172</v>
      </c>
      <c r="D983" s="13" t="s">
        <v>200</v>
      </c>
      <c r="E983" s="13" t="s">
        <v>297</v>
      </c>
      <c r="F983" s="15">
        <v>4</v>
      </c>
      <c r="G983" s="15">
        <v>2760</v>
      </c>
      <c r="H983" s="15">
        <v>14.8</v>
      </c>
      <c r="I983" s="15">
        <v>9406.08</v>
      </c>
      <c r="J983" s="13" t="s">
        <v>87</v>
      </c>
      <c r="K983" s="13" t="s">
        <v>88</v>
      </c>
      <c r="L983" s="34" t="str">
        <f>VLOOKUP(D983,Products!$A$2:$F$61,3,FALSE)</f>
        <v>Grocery</v>
      </c>
      <c r="M983" s="34" t="str">
        <f>VLOOKUP(C983,Customers!$A$2:$F$301,5,FALSE)</f>
        <v>Retail</v>
      </c>
      <c r="N983" s="34">
        <f>VLOOKUP(C983,Customers!$A$2:$F$301,3,FALSE)</f>
        <v>50</v>
      </c>
      <c r="O983" s="34" t="str">
        <f>VLOOKUP(E983,Sales_Reps!$A$2:$E$31,3,FALSE)</f>
        <v>North</v>
      </c>
      <c r="P983" s="13" t="s">
        <v>297</v>
      </c>
      <c r="Q983" s="34">
        <f t="shared" si="34"/>
        <v>980063.65999999968</v>
      </c>
      <c r="R983" s="34" t="str">
        <f>VLOOKUP(E983,Sales_Reps!$A$2:$E$100,3,FALSE)</f>
        <v>North</v>
      </c>
      <c r="S983" s="34" t="str">
        <f t="shared" si="35"/>
        <v>Grocery</v>
      </c>
      <c r="T983" s="38">
        <f>VLOOKUP(D983,Products!$A$2:$F$68,4,FALSE)</f>
        <v>1435</v>
      </c>
    </row>
    <row r="984" spans="1:20" x14ac:dyDescent="0.35">
      <c r="A984" s="13" t="s">
        <v>1465</v>
      </c>
      <c r="B984" s="14">
        <v>45327</v>
      </c>
      <c r="C984" s="13" t="s">
        <v>785</v>
      </c>
      <c r="D984" s="13" t="s">
        <v>259</v>
      </c>
      <c r="E984" s="13" t="s">
        <v>229</v>
      </c>
      <c r="F984" s="15">
        <v>4</v>
      </c>
      <c r="G984" s="15">
        <v>1540</v>
      </c>
      <c r="H984" s="15">
        <v>13.9</v>
      </c>
      <c r="I984" s="15">
        <v>5303.76</v>
      </c>
      <c r="J984" s="13" t="s">
        <v>87</v>
      </c>
      <c r="K984" s="13" t="s">
        <v>88</v>
      </c>
      <c r="L984" s="34" t="str">
        <f>VLOOKUP(D984,Products!$A$2:$F$61,3,FALSE)</f>
        <v>Beauty</v>
      </c>
      <c r="M984" s="34" t="str">
        <f>VLOOKUP(C984,Customers!$A$2:$F$301,5,FALSE)</f>
        <v>Retail</v>
      </c>
      <c r="N984" s="34">
        <f>VLOOKUP(C984,Customers!$A$2:$F$301,3,FALSE)</f>
        <v>31</v>
      </c>
      <c r="O984" s="34" t="str">
        <f>VLOOKUP(E984,Sales_Reps!$A$2:$E$31,3,FALSE)</f>
        <v>West</v>
      </c>
      <c r="P984" s="13" t="s">
        <v>229</v>
      </c>
      <c r="Q984" s="34">
        <f t="shared" si="34"/>
        <v>1016696.8000000002</v>
      </c>
      <c r="R984" s="34" t="str">
        <f>VLOOKUP(E984,Sales_Reps!$A$2:$E$100,3,FALSE)</f>
        <v>West</v>
      </c>
      <c r="S984" s="34" t="str">
        <f t="shared" si="35"/>
        <v>Beauty</v>
      </c>
      <c r="T984" s="38">
        <f>VLOOKUP(D984,Products!$A$2:$F$68,4,FALSE)</f>
        <v>647</v>
      </c>
    </row>
    <row r="985" spans="1:20" x14ac:dyDescent="0.35">
      <c r="A985" s="13" t="s">
        <v>1466</v>
      </c>
      <c r="B985" s="14">
        <v>45438</v>
      </c>
      <c r="C985" s="13" t="s">
        <v>779</v>
      </c>
      <c r="D985" s="13" t="s">
        <v>226</v>
      </c>
      <c r="E985" s="13" t="s">
        <v>86</v>
      </c>
      <c r="F985" s="15">
        <v>2</v>
      </c>
      <c r="G985" s="15">
        <v>3730</v>
      </c>
      <c r="H985" s="15">
        <v>15.7</v>
      </c>
      <c r="I985" s="15">
        <v>6288.78</v>
      </c>
      <c r="J985" s="13" t="s">
        <v>140</v>
      </c>
      <c r="K985" s="13" t="s">
        <v>117</v>
      </c>
      <c r="L985" s="34" t="str">
        <f>VLOOKUP(D985,Products!$A$2:$F$61,3,FALSE)</f>
        <v>Home</v>
      </c>
      <c r="M985" s="34" t="str">
        <f>VLOOKUP(C985,Customers!$A$2:$F$301,5,FALSE)</f>
        <v>Retail</v>
      </c>
      <c r="N985" s="34">
        <f>VLOOKUP(C985,Customers!$A$2:$F$301,3,FALSE)</f>
        <v>27</v>
      </c>
      <c r="O985" s="34" t="str">
        <f>VLOOKUP(E985,Sales_Reps!$A$2:$E$31,3,FALSE)</f>
        <v>North</v>
      </c>
      <c r="P985" s="13" t="s">
        <v>86</v>
      </c>
      <c r="Q985" s="34">
        <f t="shared" si="34"/>
        <v>855749.67999999982</v>
      </c>
      <c r="R985" s="34" t="str">
        <f>VLOOKUP(E985,Sales_Reps!$A$2:$E$100,3,FALSE)</f>
        <v>North</v>
      </c>
      <c r="S985" s="34" t="str">
        <f t="shared" si="35"/>
        <v>Home</v>
      </c>
      <c r="T985" s="38">
        <f>VLOOKUP(D985,Products!$A$2:$F$68,4,FALSE)</f>
        <v>2135</v>
      </c>
    </row>
    <row r="986" spans="1:20" x14ac:dyDescent="0.35">
      <c r="A986" s="13" t="s">
        <v>1467</v>
      </c>
      <c r="B986" s="14">
        <v>45577</v>
      </c>
      <c r="C986" s="13" t="s">
        <v>835</v>
      </c>
      <c r="D986" s="13" t="s">
        <v>226</v>
      </c>
      <c r="E986" s="13" t="s">
        <v>343</v>
      </c>
      <c r="F986" s="15">
        <v>4</v>
      </c>
      <c r="G986" s="15">
        <v>3730</v>
      </c>
      <c r="H986" s="15">
        <v>2.1</v>
      </c>
      <c r="I986" s="15">
        <v>14606.68</v>
      </c>
      <c r="J986" s="13" t="s">
        <v>87</v>
      </c>
      <c r="K986" s="13" t="s">
        <v>117</v>
      </c>
      <c r="L986" s="34" t="str">
        <f>VLOOKUP(D986,Products!$A$2:$F$61,3,FALSE)</f>
        <v>Home</v>
      </c>
      <c r="M986" s="34" t="str">
        <f>VLOOKUP(C986,Customers!$A$2:$F$301,5,FALSE)</f>
        <v>Retail</v>
      </c>
      <c r="N986" s="34">
        <f>VLOOKUP(C986,Customers!$A$2:$F$301,3,FALSE)</f>
        <v>52</v>
      </c>
      <c r="O986" s="34" t="str">
        <f>VLOOKUP(E986,Sales_Reps!$A$2:$E$31,3,FALSE)</f>
        <v>West</v>
      </c>
      <c r="P986" s="13" t="s">
        <v>343</v>
      </c>
      <c r="Q986" s="34">
        <f t="shared" si="34"/>
        <v>917092.61999999965</v>
      </c>
      <c r="R986" s="34" t="str">
        <f>VLOOKUP(E986,Sales_Reps!$A$2:$E$100,3,FALSE)</f>
        <v>West</v>
      </c>
      <c r="S986" s="34" t="str">
        <f t="shared" si="35"/>
        <v>Home</v>
      </c>
      <c r="T986" s="38">
        <f>VLOOKUP(D986,Products!$A$2:$F$68,4,FALSE)</f>
        <v>2135</v>
      </c>
    </row>
    <row r="987" spans="1:20" x14ac:dyDescent="0.35">
      <c r="A987" s="13" t="s">
        <v>1468</v>
      </c>
      <c r="B987" s="14">
        <v>45457</v>
      </c>
      <c r="C987" s="13" t="s">
        <v>559</v>
      </c>
      <c r="D987" s="13" t="s">
        <v>106</v>
      </c>
      <c r="E987" s="13" t="s">
        <v>252</v>
      </c>
      <c r="F987" s="15">
        <v>1</v>
      </c>
      <c r="G987" s="15">
        <v>3160</v>
      </c>
      <c r="H987" s="15">
        <v>29.8</v>
      </c>
      <c r="I987" s="15">
        <v>2218.3200000000002</v>
      </c>
      <c r="J987" s="13" t="s">
        <v>87</v>
      </c>
      <c r="K987" s="13" t="s">
        <v>88</v>
      </c>
      <c r="L987" s="34" t="str">
        <f>VLOOKUP(D987,Products!$A$2:$F$61,3,FALSE)</f>
        <v>Apparel</v>
      </c>
      <c r="M987" s="34" t="str">
        <f>VLOOKUP(C987,Customers!$A$2:$F$301,5,FALSE)</f>
        <v>Retail</v>
      </c>
      <c r="N987" s="34">
        <f>VLOOKUP(C987,Customers!$A$2:$F$301,3,FALSE)</f>
        <v>62</v>
      </c>
      <c r="O987" s="34" t="str">
        <f>VLOOKUP(E987,Sales_Reps!$A$2:$E$31,3,FALSE)</f>
        <v>South</v>
      </c>
      <c r="P987" s="13" t="s">
        <v>252</v>
      </c>
      <c r="Q987" s="34">
        <f t="shared" si="34"/>
        <v>811524.37999999989</v>
      </c>
      <c r="R987" s="34" t="str">
        <f>VLOOKUP(E987,Sales_Reps!$A$2:$E$100,3,FALSE)</f>
        <v>South</v>
      </c>
      <c r="S987" s="34" t="str">
        <f t="shared" si="35"/>
        <v>Apparel</v>
      </c>
      <c r="T987" s="38">
        <f>VLOOKUP(D987,Products!$A$2:$F$68,4,FALSE)</f>
        <v>1886</v>
      </c>
    </row>
    <row r="988" spans="1:20" x14ac:dyDescent="0.35">
      <c r="A988" s="13" t="s">
        <v>1469</v>
      </c>
      <c r="B988" s="14">
        <v>45544</v>
      </c>
      <c r="C988" s="13" t="s">
        <v>615</v>
      </c>
      <c r="D988" s="13" t="s">
        <v>386</v>
      </c>
      <c r="E988" s="13" t="s">
        <v>285</v>
      </c>
      <c r="F988" s="15">
        <v>9</v>
      </c>
      <c r="G988" s="15">
        <v>2290</v>
      </c>
      <c r="H988" s="15">
        <v>8.3000000000000007</v>
      </c>
      <c r="I988" s="15">
        <v>18899.37</v>
      </c>
      <c r="J988" s="13" t="s">
        <v>93</v>
      </c>
      <c r="K988" s="13" t="s">
        <v>112</v>
      </c>
      <c r="L988" s="34" t="str">
        <f>VLOOKUP(D988,Products!$A$2:$F$61,3,FALSE)</f>
        <v>Beauty</v>
      </c>
      <c r="M988" s="34" t="str">
        <f>VLOOKUP(C988,Customers!$A$2:$F$301,5,FALSE)</f>
        <v>Retail</v>
      </c>
      <c r="N988" s="34">
        <f>VLOOKUP(C988,Customers!$A$2:$F$301,3,FALSE)</f>
        <v>53</v>
      </c>
      <c r="O988" s="34" t="str">
        <f>VLOOKUP(E988,Sales_Reps!$A$2:$E$31,3,FALSE)</f>
        <v>East</v>
      </c>
      <c r="P988" s="13" t="s">
        <v>285</v>
      </c>
      <c r="Q988" s="34">
        <f t="shared" si="34"/>
        <v>1069570.5400000003</v>
      </c>
      <c r="R988" s="34" t="str">
        <f>VLOOKUP(E988,Sales_Reps!$A$2:$E$100,3,FALSE)</f>
        <v>East</v>
      </c>
      <c r="S988" s="34" t="str">
        <f t="shared" si="35"/>
        <v>Beauty</v>
      </c>
      <c r="T988" s="38">
        <f>VLOOKUP(D988,Products!$A$2:$F$68,4,FALSE)</f>
        <v>1219</v>
      </c>
    </row>
    <row r="989" spans="1:20" x14ac:dyDescent="0.35">
      <c r="A989" s="13" t="s">
        <v>1470</v>
      </c>
      <c r="B989" s="14">
        <v>45632</v>
      </c>
      <c r="C989" s="13" t="s">
        <v>427</v>
      </c>
      <c r="D989" s="13" t="s">
        <v>248</v>
      </c>
      <c r="E989" s="13" t="s">
        <v>252</v>
      </c>
      <c r="F989" s="15">
        <v>2</v>
      </c>
      <c r="G989" s="15">
        <v>3870</v>
      </c>
      <c r="H989" s="15">
        <v>5.2</v>
      </c>
      <c r="I989" s="15">
        <v>7337.52</v>
      </c>
      <c r="J989" s="13" t="s">
        <v>87</v>
      </c>
      <c r="K989" s="13" t="s">
        <v>88</v>
      </c>
      <c r="L989" s="34" t="str">
        <f>VLOOKUP(D989,Products!$A$2:$F$61,3,FALSE)</f>
        <v>Electronics</v>
      </c>
      <c r="M989" s="34" t="str">
        <f>VLOOKUP(C989,Customers!$A$2:$F$301,5,FALSE)</f>
        <v>Corporate</v>
      </c>
      <c r="N989" s="34">
        <f>VLOOKUP(C989,Customers!$A$2:$F$301,3,FALSE)</f>
        <v>48</v>
      </c>
      <c r="O989" s="34" t="str">
        <f>VLOOKUP(E989,Sales_Reps!$A$2:$E$31,3,FALSE)</f>
        <v>South</v>
      </c>
      <c r="P989" s="13" t="s">
        <v>252</v>
      </c>
      <c r="Q989" s="34">
        <f t="shared" si="34"/>
        <v>811524.37999999989</v>
      </c>
      <c r="R989" s="34" t="str">
        <f>VLOOKUP(E989,Sales_Reps!$A$2:$E$100,3,FALSE)</f>
        <v>South</v>
      </c>
      <c r="S989" s="34" t="str">
        <f t="shared" si="35"/>
        <v>Electronics</v>
      </c>
      <c r="T989" s="38">
        <f>VLOOKUP(D989,Products!$A$2:$F$68,4,FALSE)</f>
        <v>1559</v>
      </c>
    </row>
    <row r="990" spans="1:20" x14ac:dyDescent="0.35">
      <c r="A990" s="13" t="s">
        <v>1471</v>
      </c>
      <c r="B990" s="14">
        <v>45465</v>
      </c>
      <c r="C990" s="13" t="s">
        <v>429</v>
      </c>
      <c r="D990" s="13" t="s">
        <v>187</v>
      </c>
      <c r="E990" s="13" t="s">
        <v>86</v>
      </c>
      <c r="F990" s="15">
        <v>5</v>
      </c>
      <c r="G990" s="15">
        <v>3570</v>
      </c>
      <c r="H990" s="15">
        <v>19.899999999999999</v>
      </c>
      <c r="I990" s="15">
        <v>14297.85</v>
      </c>
      <c r="J990" s="13" t="s">
        <v>87</v>
      </c>
      <c r="K990" s="13" t="s">
        <v>117</v>
      </c>
      <c r="L990" s="34" t="str">
        <f>VLOOKUP(D990,Products!$A$2:$F$61,3,FALSE)</f>
        <v>Electronics</v>
      </c>
      <c r="M990" s="34" t="str">
        <f>VLOOKUP(C990,Customers!$A$2:$F$301,5,FALSE)</f>
        <v>Retail</v>
      </c>
      <c r="N990" s="34">
        <f>VLOOKUP(C990,Customers!$A$2:$F$301,3,FALSE)</f>
        <v>55</v>
      </c>
      <c r="O990" s="34" t="str">
        <f>VLOOKUP(E990,Sales_Reps!$A$2:$E$31,3,FALSE)</f>
        <v>North</v>
      </c>
      <c r="P990" s="13" t="s">
        <v>86</v>
      </c>
      <c r="Q990" s="34">
        <f t="shared" si="34"/>
        <v>855749.67999999982</v>
      </c>
      <c r="R990" s="34" t="str">
        <f>VLOOKUP(E990,Sales_Reps!$A$2:$E$100,3,FALSE)</f>
        <v>North</v>
      </c>
      <c r="S990" s="34" t="str">
        <f t="shared" si="35"/>
        <v>Electronics</v>
      </c>
      <c r="T990" s="38">
        <f>VLOOKUP(D990,Products!$A$2:$F$68,4,FALSE)</f>
        <v>1665</v>
      </c>
    </row>
    <row r="991" spans="1:20" x14ac:dyDescent="0.35">
      <c r="A991" s="13" t="s">
        <v>1472</v>
      </c>
      <c r="B991" s="14">
        <v>45342</v>
      </c>
      <c r="C991" s="13" t="s">
        <v>289</v>
      </c>
      <c r="D991" s="13" t="s">
        <v>182</v>
      </c>
      <c r="E991" s="13" t="s">
        <v>215</v>
      </c>
      <c r="F991" s="15">
        <v>5</v>
      </c>
      <c r="G991" s="15">
        <v>1010</v>
      </c>
      <c r="H991" s="15">
        <v>2.2000000000000002</v>
      </c>
      <c r="I991" s="15">
        <v>4938.8999999999996</v>
      </c>
      <c r="J991" s="13" t="s">
        <v>87</v>
      </c>
      <c r="K991" s="13" t="s">
        <v>94</v>
      </c>
      <c r="L991" s="34" t="str">
        <f>VLOOKUP(D991,Products!$A$2:$F$61,3,FALSE)</f>
        <v>Sports</v>
      </c>
      <c r="M991" s="34" t="str">
        <f>VLOOKUP(C991,Customers!$A$2:$F$301,5,FALSE)</f>
        <v>Retail</v>
      </c>
      <c r="N991" s="34">
        <f>VLOOKUP(C991,Customers!$A$2:$F$301,3,FALSE)</f>
        <v>38</v>
      </c>
      <c r="O991" s="34" t="str">
        <f>VLOOKUP(E991,Sales_Reps!$A$2:$E$31,3,FALSE)</f>
        <v>North</v>
      </c>
      <c r="P991" s="13" t="s">
        <v>215</v>
      </c>
      <c r="Q991" s="34">
        <f t="shared" si="34"/>
        <v>789849.60000000009</v>
      </c>
      <c r="R991" s="34" t="str">
        <f>VLOOKUP(E991,Sales_Reps!$A$2:$E$100,3,FALSE)</f>
        <v>North</v>
      </c>
      <c r="S991" s="34" t="str">
        <f t="shared" si="35"/>
        <v>Sports</v>
      </c>
      <c r="T991" s="38">
        <f>VLOOKUP(D991,Products!$A$2:$F$68,4,FALSE)</f>
        <v>516</v>
      </c>
    </row>
    <row r="992" spans="1:20" x14ac:dyDescent="0.35">
      <c r="A992" s="13" t="s">
        <v>1473</v>
      </c>
      <c r="B992" s="14">
        <v>45309</v>
      </c>
      <c r="C992" s="13" t="s">
        <v>362</v>
      </c>
      <c r="D992" s="13" t="s">
        <v>386</v>
      </c>
      <c r="E992" s="13" t="s">
        <v>139</v>
      </c>
      <c r="F992" s="15">
        <v>10</v>
      </c>
      <c r="G992" s="15">
        <v>2290</v>
      </c>
      <c r="H992" s="15">
        <v>16.8</v>
      </c>
      <c r="I992" s="15">
        <v>19052.8</v>
      </c>
      <c r="J992" s="13" t="s">
        <v>140</v>
      </c>
      <c r="K992" s="13" t="s">
        <v>94</v>
      </c>
      <c r="L992" s="34" t="str">
        <f>VLOOKUP(D992,Products!$A$2:$F$61,3,FALSE)</f>
        <v>Beauty</v>
      </c>
      <c r="M992" s="34" t="str">
        <f>VLOOKUP(C992,Customers!$A$2:$F$301,5,FALSE)</f>
        <v>Corporate</v>
      </c>
      <c r="N992" s="34">
        <f>VLOOKUP(C992,Customers!$A$2:$F$301,3,FALSE)</f>
        <v>51</v>
      </c>
      <c r="O992" s="34" t="str">
        <f>VLOOKUP(E992,Sales_Reps!$A$2:$E$31,3,FALSE)</f>
        <v>North</v>
      </c>
      <c r="P992" s="13" t="s">
        <v>139</v>
      </c>
      <c r="Q992" s="34">
        <f t="shared" si="34"/>
        <v>589026.2899999998</v>
      </c>
      <c r="R992" s="34" t="str">
        <f>VLOOKUP(E992,Sales_Reps!$A$2:$E$100,3,FALSE)</f>
        <v>North</v>
      </c>
      <c r="S992" s="34" t="str">
        <f t="shared" si="35"/>
        <v>Beauty</v>
      </c>
      <c r="T992" s="38">
        <f>VLOOKUP(D992,Products!$A$2:$F$68,4,FALSE)</f>
        <v>1219</v>
      </c>
    </row>
    <row r="993" spans="1:20" x14ac:dyDescent="0.35">
      <c r="A993" s="13" t="s">
        <v>1474</v>
      </c>
      <c r="B993" s="14">
        <v>45493</v>
      </c>
      <c r="C993" s="13" t="s">
        <v>482</v>
      </c>
      <c r="D993" s="13" t="s">
        <v>270</v>
      </c>
      <c r="E993" s="13" t="s">
        <v>121</v>
      </c>
      <c r="F993" s="15">
        <v>3</v>
      </c>
      <c r="G993" s="15">
        <v>4610</v>
      </c>
      <c r="H993" s="15">
        <v>13.2</v>
      </c>
      <c r="I993" s="15">
        <v>12004.44</v>
      </c>
      <c r="J993" s="13" t="s">
        <v>93</v>
      </c>
      <c r="K993" s="13" t="s">
        <v>133</v>
      </c>
      <c r="L993" s="34" t="str">
        <f>VLOOKUP(D993,Products!$A$2:$F$61,3,FALSE)</f>
        <v>Home</v>
      </c>
      <c r="M993" s="34" t="str">
        <f>VLOOKUP(C993,Customers!$A$2:$F$301,5,FALSE)</f>
        <v>Corporate</v>
      </c>
      <c r="N993" s="34">
        <f>VLOOKUP(C993,Customers!$A$2:$F$301,3,FALSE)</f>
        <v>52</v>
      </c>
      <c r="O993" s="34" t="str">
        <f>VLOOKUP(E993,Sales_Reps!$A$2:$E$31,3,FALSE)</f>
        <v>East</v>
      </c>
      <c r="P993" s="13" t="s">
        <v>121</v>
      </c>
      <c r="Q993" s="34">
        <f t="shared" si="34"/>
        <v>971183.52000000014</v>
      </c>
      <c r="R993" s="34" t="str">
        <f>VLOOKUP(E993,Sales_Reps!$A$2:$E$100,3,FALSE)</f>
        <v>East</v>
      </c>
      <c r="S993" s="34" t="str">
        <f t="shared" si="35"/>
        <v>Home</v>
      </c>
      <c r="T993" s="38">
        <f>VLOOKUP(D993,Products!$A$2:$F$68,4,FALSE)</f>
        <v>1850</v>
      </c>
    </row>
    <row r="994" spans="1:20" x14ac:dyDescent="0.35">
      <c r="A994" s="13" t="s">
        <v>1475</v>
      </c>
      <c r="B994" s="14">
        <v>45356</v>
      </c>
      <c r="C994" s="13" t="s">
        <v>460</v>
      </c>
      <c r="D994" s="13" t="s">
        <v>355</v>
      </c>
      <c r="E994" s="13" t="s">
        <v>148</v>
      </c>
      <c r="F994" s="15">
        <v>1</v>
      </c>
      <c r="G994" s="15">
        <v>2510</v>
      </c>
      <c r="H994" s="15">
        <v>16.899999999999999</v>
      </c>
      <c r="I994" s="15">
        <v>2085.81</v>
      </c>
      <c r="J994" s="13" t="s">
        <v>87</v>
      </c>
      <c r="K994" s="13" t="s">
        <v>88</v>
      </c>
      <c r="L994" s="34" t="str">
        <f>VLOOKUP(D994,Products!$A$2:$F$61,3,FALSE)</f>
        <v>Apparel</v>
      </c>
      <c r="M994" s="34" t="str">
        <f>VLOOKUP(C994,Customers!$A$2:$F$301,5,FALSE)</f>
        <v>Corporate</v>
      </c>
      <c r="N994" s="34">
        <f>VLOOKUP(C994,Customers!$A$2:$F$301,3,FALSE)</f>
        <v>37</v>
      </c>
      <c r="O994" s="34" t="str">
        <f>VLOOKUP(E994,Sales_Reps!$A$2:$E$31,3,FALSE)</f>
        <v>North</v>
      </c>
      <c r="P994" s="13" t="s">
        <v>148</v>
      </c>
      <c r="Q994" s="34">
        <f t="shared" si="34"/>
        <v>986692.91</v>
      </c>
      <c r="R994" s="34" t="str">
        <f>VLOOKUP(E994,Sales_Reps!$A$2:$E$100,3,FALSE)</f>
        <v>North</v>
      </c>
      <c r="S994" s="34" t="str">
        <f t="shared" si="35"/>
        <v>Apparel</v>
      </c>
      <c r="T994" s="38">
        <f>VLOOKUP(D994,Products!$A$2:$F$68,4,FALSE)</f>
        <v>1075</v>
      </c>
    </row>
    <row r="995" spans="1:20" x14ac:dyDescent="0.35">
      <c r="A995" s="13" t="s">
        <v>1476</v>
      </c>
      <c r="B995" s="14">
        <v>45367</v>
      </c>
      <c r="C995" s="13" t="s">
        <v>643</v>
      </c>
      <c r="D995" s="13" t="s">
        <v>276</v>
      </c>
      <c r="E995" s="13" t="s">
        <v>204</v>
      </c>
      <c r="F995" s="15">
        <v>1</v>
      </c>
      <c r="G995" s="15">
        <v>3020</v>
      </c>
      <c r="H995" s="15">
        <v>26.7</v>
      </c>
      <c r="I995" s="15">
        <v>2213.66</v>
      </c>
      <c r="J995" s="13" t="s">
        <v>87</v>
      </c>
      <c r="K995" s="13" t="s">
        <v>112</v>
      </c>
      <c r="L995" s="34" t="str">
        <f>VLOOKUP(D995,Products!$A$2:$F$61,3,FALSE)</f>
        <v>Beauty</v>
      </c>
      <c r="M995" s="34" t="str">
        <f>VLOOKUP(C995,Customers!$A$2:$F$301,5,FALSE)</f>
        <v>SMB</v>
      </c>
      <c r="N995" s="34">
        <f>VLOOKUP(C995,Customers!$A$2:$F$301,3,FALSE)</f>
        <v>27</v>
      </c>
      <c r="O995" s="34" t="str">
        <f>VLOOKUP(E995,Sales_Reps!$A$2:$E$31,3,FALSE)</f>
        <v>South</v>
      </c>
      <c r="P995" s="13" t="s">
        <v>204</v>
      </c>
      <c r="Q995" s="34">
        <f t="shared" si="34"/>
        <v>914554.71999999986</v>
      </c>
      <c r="R995" s="34" t="str">
        <f>VLOOKUP(E995,Sales_Reps!$A$2:$E$100,3,FALSE)</f>
        <v>South</v>
      </c>
      <c r="S995" s="34" t="str">
        <f t="shared" si="35"/>
        <v>Beauty</v>
      </c>
      <c r="T995" s="38">
        <f>VLOOKUP(D995,Products!$A$2:$F$68,4,FALSE)</f>
        <v>1626</v>
      </c>
    </row>
    <row r="996" spans="1:20" x14ac:dyDescent="0.35">
      <c r="A996" s="13" t="s">
        <v>1477</v>
      </c>
      <c r="B996" s="14">
        <v>45313</v>
      </c>
      <c r="C996" s="13" t="s">
        <v>559</v>
      </c>
      <c r="D996" s="13" t="s">
        <v>147</v>
      </c>
      <c r="E996" s="13" t="s">
        <v>325</v>
      </c>
      <c r="F996" s="15">
        <v>6</v>
      </c>
      <c r="G996" s="15">
        <v>190</v>
      </c>
      <c r="H996" s="15">
        <v>7.1</v>
      </c>
      <c r="I996" s="15">
        <v>1059.06</v>
      </c>
      <c r="J996" s="13" t="s">
        <v>87</v>
      </c>
      <c r="K996" s="13" t="s">
        <v>88</v>
      </c>
      <c r="L996" s="34" t="str">
        <f>VLOOKUP(D996,Products!$A$2:$F$61,3,FALSE)</f>
        <v>Sports</v>
      </c>
      <c r="M996" s="34" t="str">
        <f>VLOOKUP(C996,Customers!$A$2:$F$301,5,FALSE)</f>
        <v>Retail</v>
      </c>
      <c r="N996" s="34">
        <f>VLOOKUP(C996,Customers!$A$2:$F$301,3,FALSE)</f>
        <v>62</v>
      </c>
      <c r="O996" s="34" t="str">
        <f>VLOOKUP(E996,Sales_Reps!$A$2:$E$31,3,FALSE)</f>
        <v>South</v>
      </c>
      <c r="P996" s="13" t="s">
        <v>325</v>
      </c>
      <c r="Q996" s="34">
        <f t="shared" si="34"/>
        <v>901394.32000000007</v>
      </c>
      <c r="R996" s="34" t="str">
        <f>VLOOKUP(E996,Sales_Reps!$A$2:$E$100,3,FALSE)</f>
        <v>South</v>
      </c>
      <c r="S996" s="34" t="str">
        <f t="shared" si="35"/>
        <v>Sports</v>
      </c>
      <c r="T996" s="38">
        <f>VLOOKUP(D996,Products!$A$2:$F$68,4,FALSE)</f>
        <v>147</v>
      </c>
    </row>
    <row r="997" spans="1:20" x14ac:dyDescent="0.35">
      <c r="A997" s="13" t="s">
        <v>1478</v>
      </c>
      <c r="B997" s="14">
        <v>45529</v>
      </c>
      <c r="C997" s="13" t="s">
        <v>1191</v>
      </c>
      <c r="D997" s="13" t="s">
        <v>295</v>
      </c>
      <c r="E997" s="13" t="s">
        <v>297</v>
      </c>
      <c r="F997" s="15">
        <v>6</v>
      </c>
      <c r="G997" s="15">
        <v>2030</v>
      </c>
      <c r="H997" s="15">
        <v>13.5</v>
      </c>
      <c r="I997" s="15">
        <v>10535.7</v>
      </c>
      <c r="J997" s="13" t="s">
        <v>140</v>
      </c>
      <c r="K997" s="13" t="s">
        <v>117</v>
      </c>
      <c r="L997" s="34" t="str">
        <f>VLOOKUP(D997,Products!$A$2:$F$61,3,FALSE)</f>
        <v>Home</v>
      </c>
      <c r="M997" s="34" t="str">
        <f>VLOOKUP(C997,Customers!$A$2:$F$301,5,FALSE)</f>
        <v>Retail</v>
      </c>
      <c r="N997" s="34">
        <f>VLOOKUP(C997,Customers!$A$2:$F$301,3,FALSE)</f>
        <v>36</v>
      </c>
      <c r="O997" s="34" t="str">
        <f>VLOOKUP(E997,Sales_Reps!$A$2:$E$31,3,FALSE)</f>
        <v>North</v>
      </c>
      <c r="P997" s="13" t="s">
        <v>297</v>
      </c>
      <c r="Q997" s="34">
        <f t="shared" si="34"/>
        <v>980063.65999999968</v>
      </c>
      <c r="R997" s="34" t="str">
        <f>VLOOKUP(E997,Sales_Reps!$A$2:$E$100,3,FALSE)</f>
        <v>North</v>
      </c>
      <c r="S997" s="34" t="str">
        <f t="shared" si="35"/>
        <v>Home</v>
      </c>
      <c r="T997" s="38">
        <f>VLOOKUP(D997,Products!$A$2:$F$68,4,FALSE)</f>
        <v>1143</v>
      </c>
    </row>
    <row r="998" spans="1:20" x14ac:dyDescent="0.35">
      <c r="A998" s="13" t="s">
        <v>1479</v>
      </c>
      <c r="B998" s="14">
        <v>45547</v>
      </c>
      <c r="C998" s="13" t="s">
        <v>828</v>
      </c>
      <c r="D998" s="13" t="s">
        <v>143</v>
      </c>
      <c r="E998" s="13" t="s">
        <v>325</v>
      </c>
      <c r="F998" s="15">
        <v>10</v>
      </c>
      <c r="G998" s="15">
        <v>3250</v>
      </c>
      <c r="H998" s="15">
        <v>8.6999999999999993</v>
      </c>
      <c r="I998" s="15">
        <v>29672.5</v>
      </c>
      <c r="J998" s="13" t="s">
        <v>87</v>
      </c>
      <c r="K998" s="13" t="s">
        <v>133</v>
      </c>
      <c r="L998" s="34" t="str">
        <f>VLOOKUP(D998,Products!$A$2:$F$61,3,FALSE)</f>
        <v>Home</v>
      </c>
      <c r="M998" s="34" t="str">
        <f>VLOOKUP(C998,Customers!$A$2:$F$301,5,FALSE)</f>
        <v>Retail</v>
      </c>
      <c r="N998" s="34">
        <f>VLOOKUP(C998,Customers!$A$2:$F$301,3,FALSE)</f>
        <v>52</v>
      </c>
      <c r="O998" s="34" t="str">
        <f>VLOOKUP(E998,Sales_Reps!$A$2:$E$31,3,FALSE)</f>
        <v>South</v>
      </c>
      <c r="P998" s="13" t="s">
        <v>325</v>
      </c>
      <c r="Q998" s="34">
        <f t="shared" si="34"/>
        <v>901394.32000000007</v>
      </c>
      <c r="R998" s="34" t="str">
        <f>VLOOKUP(E998,Sales_Reps!$A$2:$E$100,3,FALSE)</f>
        <v>South</v>
      </c>
      <c r="S998" s="34" t="str">
        <f t="shared" si="35"/>
        <v>Home</v>
      </c>
      <c r="T998" s="38">
        <f>VLOOKUP(D998,Products!$A$2:$F$68,4,FALSE)</f>
        <v>1556</v>
      </c>
    </row>
    <row r="999" spans="1:20" x14ac:dyDescent="0.35">
      <c r="A999" s="13" t="s">
        <v>1480</v>
      </c>
      <c r="B999" s="14">
        <v>45299</v>
      </c>
      <c r="C999" s="13" t="s">
        <v>442</v>
      </c>
      <c r="D999" s="13" t="s">
        <v>295</v>
      </c>
      <c r="E999" s="13" t="s">
        <v>229</v>
      </c>
      <c r="F999" s="15">
        <v>9</v>
      </c>
      <c r="G999" s="15">
        <v>2030</v>
      </c>
      <c r="H999" s="15">
        <v>29.3</v>
      </c>
      <c r="I999" s="15">
        <v>12916.89</v>
      </c>
      <c r="J999" s="13" t="s">
        <v>87</v>
      </c>
      <c r="K999" s="13" t="s">
        <v>88</v>
      </c>
      <c r="L999" s="34" t="str">
        <f>VLOOKUP(D999,Products!$A$2:$F$61,3,FALSE)</f>
        <v>Home</v>
      </c>
      <c r="M999" s="34" t="str">
        <f>VLOOKUP(C999,Customers!$A$2:$F$301,5,FALSE)</f>
        <v>Retail</v>
      </c>
      <c r="N999" s="34">
        <f>VLOOKUP(C999,Customers!$A$2:$F$301,3,FALSE)</f>
        <v>65</v>
      </c>
      <c r="O999" s="34" t="str">
        <f>VLOOKUP(E999,Sales_Reps!$A$2:$E$31,3,FALSE)</f>
        <v>West</v>
      </c>
      <c r="P999" s="13" t="s">
        <v>229</v>
      </c>
      <c r="Q999" s="34">
        <f t="shared" si="34"/>
        <v>1016696.8000000002</v>
      </c>
      <c r="R999" s="34" t="str">
        <f>VLOOKUP(E999,Sales_Reps!$A$2:$E$100,3,FALSE)</f>
        <v>West</v>
      </c>
      <c r="S999" s="34" t="str">
        <f t="shared" si="35"/>
        <v>Home</v>
      </c>
      <c r="T999" s="38">
        <f>VLOOKUP(D999,Products!$A$2:$F$68,4,FALSE)</f>
        <v>1143</v>
      </c>
    </row>
    <row r="1000" spans="1:20" x14ac:dyDescent="0.35">
      <c r="A1000" s="13" t="s">
        <v>1481</v>
      </c>
      <c r="B1000" s="14">
        <v>45380</v>
      </c>
      <c r="C1000" s="13" t="s">
        <v>1027</v>
      </c>
      <c r="D1000" s="13" t="s">
        <v>367</v>
      </c>
      <c r="E1000" s="13" t="s">
        <v>111</v>
      </c>
      <c r="F1000" s="15">
        <v>1</v>
      </c>
      <c r="G1000" s="15">
        <v>2380</v>
      </c>
      <c r="H1000" s="15">
        <v>12.9</v>
      </c>
      <c r="I1000" s="15">
        <v>2072.98</v>
      </c>
      <c r="J1000" s="13" t="s">
        <v>87</v>
      </c>
      <c r="K1000" s="13" t="s">
        <v>112</v>
      </c>
      <c r="L1000" s="34" t="str">
        <f>VLOOKUP(D1000,Products!$A$2:$F$61,3,FALSE)</f>
        <v>Grocery</v>
      </c>
      <c r="M1000" s="34" t="str">
        <f>VLOOKUP(C1000,Customers!$A$2:$F$301,5,FALSE)</f>
        <v>SMB</v>
      </c>
      <c r="N1000" s="34">
        <f>VLOOKUP(C1000,Customers!$A$2:$F$301,3,FALSE)</f>
        <v>47</v>
      </c>
      <c r="O1000" s="34" t="str">
        <f>VLOOKUP(E1000,Sales_Reps!$A$2:$E$31,3,FALSE)</f>
        <v>West</v>
      </c>
      <c r="P1000" s="13" t="s">
        <v>111</v>
      </c>
      <c r="Q1000" s="34">
        <f t="shared" si="34"/>
        <v>901298.89</v>
      </c>
      <c r="R1000" s="34" t="str">
        <f>VLOOKUP(E1000,Sales_Reps!$A$2:$E$100,3,FALSE)</f>
        <v>West</v>
      </c>
      <c r="S1000" s="34" t="str">
        <f t="shared" si="35"/>
        <v>Grocery</v>
      </c>
      <c r="T1000" s="38">
        <f>VLOOKUP(D1000,Products!$A$2:$F$68,4,FALSE)</f>
        <v>1182</v>
      </c>
    </row>
    <row r="1001" spans="1:20" x14ac:dyDescent="0.35">
      <c r="A1001" s="13" t="s">
        <v>1482</v>
      </c>
      <c r="B1001" s="14">
        <v>45521</v>
      </c>
      <c r="C1001" s="13" t="s">
        <v>539</v>
      </c>
      <c r="D1001" s="13" t="s">
        <v>452</v>
      </c>
      <c r="E1001" s="13" t="s">
        <v>116</v>
      </c>
      <c r="F1001" s="15">
        <v>10</v>
      </c>
      <c r="G1001" s="15">
        <v>3450</v>
      </c>
      <c r="H1001" s="15">
        <v>18.5</v>
      </c>
      <c r="I1001" s="15">
        <v>28117.5</v>
      </c>
      <c r="J1001" s="13" t="s">
        <v>87</v>
      </c>
      <c r="K1001" s="13" t="s">
        <v>133</v>
      </c>
      <c r="L1001" s="34" t="str">
        <f>VLOOKUP(D1001,Products!$A$2:$F$61,3,FALSE)</f>
        <v>Apparel</v>
      </c>
      <c r="M1001" s="34" t="str">
        <f>VLOOKUP(C1001,Customers!$A$2:$F$301,5,FALSE)</f>
        <v>Retail</v>
      </c>
      <c r="N1001" s="34">
        <f>VLOOKUP(C1001,Customers!$A$2:$F$301,3,FALSE)</f>
        <v>38</v>
      </c>
      <c r="O1001" s="34" t="str">
        <f>VLOOKUP(E1001,Sales_Reps!$A$2:$E$31,3,FALSE)</f>
        <v>West</v>
      </c>
      <c r="P1001" s="13" t="s">
        <v>116</v>
      </c>
      <c r="Q1001" s="34">
        <f t="shared" si="34"/>
        <v>819558.58</v>
      </c>
      <c r="R1001" s="34" t="str">
        <f>VLOOKUP(E1001,Sales_Reps!$A$2:$E$100,3,FALSE)</f>
        <v>West</v>
      </c>
      <c r="S1001" s="34" t="str">
        <f t="shared" si="35"/>
        <v>Apparel</v>
      </c>
      <c r="T1001" s="38">
        <f>VLOOKUP(D1001,Products!$A$2:$F$68,4,FALSE)</f>
        <v>1748</v>
      </c>
    </row>
    <row r="1002" spans="1:20" x14ac:dyDescent="0.35">
      <c r="A1002" s="13" t="s">
        <v>1483</v>
      </c>
      <c r="B1002" s="14">
        <v>45500</v>
      </c>
      <c r="C1002" s="13" t="s">
        <v>278</v>
      </c>
      <c r="D1002" s="13" t="s">
        <v>106</v>
      </c>
      <c r="E1002" s="13" t="s">
        <v>297</v>
      </c>
      <c r="F1002" s="15">
        <v>10</v>
      </c>
      <c r="G1002" s="15">
        <v>3160</v>
      </c>
      <c r="H1002" s="15">
        <v>26.3</v>
      </c>
      <c r="I1002" s="15">
        <v>23289.200000000001</v>
      </c>
      <c r="J1002" s="13" t="s">
        <v>87</v>
      </c>
      <c r="K1002" s="13" t="s">
        <v>133</v>
      </c>
      <c r="L1002" s="34" t="str">
        <f>VLOOKUP(D1002,Products!$A$2:$F$61,3,FALSE)</f>
        <v>Apparel</v>
      </c>
      <c r="M1002" s="34" t="str">
        <f>VLOOKUP(C1002,Customers!$A$2:$F$301,5,FALSE)</f>
        <v>Corporate</v>
      </c>
      <c r="N1002" s="34">
        <f>VLOOKUP(C1002,Customers!$A$2:$F$301,3,FALSE)</f>
        <v>29</v>
      </c>
      <c r="O1002" s="34" t="str">
        <f>VLOOKUP(E1002,Sales_Reps!$A$2:$E$31,3,FALSE)</f>
        <v>North</v>
      </c>
      <c r="P1002" s="13" t="s">
        <v>297</v>
      </c>
      <c r="Q1002" s="34">
        <f t="shared" si="34"/>
        <v>980063.65999999968</v>
      </c>
      <c r="R1002" s="34" t="str">
        <f>VLOOKUP(E1002,Sales_Reps!$A$2:$E$100,3,FALSE)</f>
        <v>North</v>
      </c>
      <c r="S1002" s="34" t="str">
        <f t="shared" si="35"/>
        <v>Apparel</v>
      </c>
      <c r="T1002" s="38">
        <f>VLOOKUP(D1002,Products!$A$2:$F$68,4,FALSE)</f>
        <v>1886</v>
      </c>
    </row>
    <row r="1003" spans="1:20" x14ac:dyDescent="0.35">
      <c r="A1003" s="13" t="s">
        <v>1484</v>
      </c>
      <c r="B1003" s="14">
        <v>45531</v>
      </c>
      <c r="C1003" s="13" t="s">
        <v>353</v>
      </c>
      <c r="D1003" s="13" t="s">
        <v>124</v>
      </c>
      <c r="E1003" s="13" t="s">
        <v>201</v>
      </c>
      <c r="F1003" s="15">
        <v>10</v>
      </c>
      <c r="G1003" s="15">
        <v>5490</v>
      </c>
      <c r="H1003" s="15">
        <v>22.7</v>
      </c>
      <c r="I1003" s="15">
        <v>42437.7</v>
      </c>
      <c r="J1003" s="13" t="s">
        <v>87</v>
      </c>
      <c r="K1003" s="13" t="s">
        <v>94</v>
      </c>
      <c r="L1003" s="34" t="str">
        <f>VLOOKUP(D1003,Products!$A$2:$F$61,3,FALSE)</f>
        <v>Home</v>
      </c>
      <c r="M1003" s="34" t="str">
        <f>VLOOKUP(C1003,Customers!$A$2:$F$301,5,FALSE)</f>
        <v>Retail</v>
      </c>
      <c r="N1003" s="34">
        <f>VLOOKUP(C1003,Customers!$A$2:$F$301,3,FALSE)</f>
        <v>60</v>
      </c>
      <c r="O1003" s="34" t="str">
        <f>VLOOKUP(E1003,Sales_Reps!$A$2:$E$31,3,FALSE)</f>
        <v>West</v>
      </c>
      <c r="P1003" s="13" t="s">
        <v>201</v>
      </c>
      <c r="Q1003" s="34">
        <f t="shared" si="34"/>
        <v>576305.08000000019</v>
      </c>
      <c r="R1003" s="34" t="str">
        <f>VLOOKUP(E1003,Sales_Reps!$A$2:$E$100,3,FALSE)</f>
        <v>West</v>
      </c>
      <c r="S1003" s="34" t="str">
        <f t="shared" si="35"/>
        <v>Home</v>
      </c>
      <c r="T1003" s="38">
        <f>VLOOKUP(D1003,Products!$A$2:$F$68,4,FALSE)</f>
        <v>2549</v>
      </c>
    </row>
    <row r="1004" spans="1:20" x14ac:dyDescent="0.35">
      <c r="A1004" s="13" t="s">
        <v>1485</v>
      </c>
      <c r="B1004" s="14">
        <v>45563</v>
      </c>
      <c r="C1004" s="13" t="s">
        <v>700</v>
      </c>
      <c r="D1004" s="13" t="s">
        <v>195</v>
      </c>
      <c r="E1004" s="13" t="s">
        <v>103</v>
      </c>
      <c r="F1004" s="15">
        <v>8</v>
      </c>
      <c r="G1004" s="15">
        <v>2860</v>
      </c>
      <c r="H1004" s="15">
        <v>14.3</v>
      </c>
      <c r="I1004" s="15">
        <v>19608.16</v>
      </c>
      <c r="J1004" s="13" t="s">
        <v>87</v>
      </c>
      <c r="K1004" s="13" t="s">
        <v>94</v>
      </c>
      <c r="L1004" s="34" t="str">
        <f>VLOOKUP(D1004,Products!$A$2:$F$61,3,FALSE)</f>
        <v>Sports</v>
      </c>
      <c r="M1004" s="34" t="str">
        <f>VLOOKUP(C1004,Customers!$A$2:$F$301,5,FALSE)</f>
        <v>SMB</v>
      </c>
      <c r="N1004" s="34">
        <f>VLOOKUP(C1004,Customers!$A$2:$F$301,3,FALSE)</f>
        <v>46</v>
      </c>
      <c r="O1004" s="34" t="str">
        <f>VLOOKUP(E1004,Sales_Reps!$A$2:$E$31,3,FALSE)</f>
        <v>North</v>
      </c>
      <c r="P1004" s="13" t="s">
        <v>103</v>
      </c>
      <c r="Q1004" s="34">
        <f t="shared" si="34"/>
        <v>1138648.73</v>
      </c>
      <c r="R1004" s="34" t="str">
        <f>VLOOKUP(E1004,Sales_Reps!$A$2:$E$100,3,FALSE)</f>
        <v>North</v>
      </c>
      <c r="S1004" s="34" t="str">
        <f t="shared" si="35"/>
        <v>Sports</v>
      </c>
      <c r="T1004" s="38">
        <f>VLOOKUP(D1004,Products!$A$2:$F$68,4,FALSE)</f>
        <v>2028</v>
      </c>
    </row>
    <row r="1005" spans="1:20" x14ac:dyDescent="0.35">
      <c r="A1005" s="13" t="s">
        <v>1486</v>
      </c>
      <c r="B1005" s="14">
        <v>45416</v>
      </c>
      <c r="C1005" s="13" t="s">
        <v>247</v>
      </c>
      <c r="D1005" s="13" t="s">
        <v>380</v>
      </c>
      <c r="E1005" s="13" t="s">
        <v>273</v>
      </c>
      <c r="F1005" s="15">
        <v>1</v>
      </c>
      <c r="G1005" s="15">
        <v>960</v>
      </c>
      <c r="H1005" s="15">
        <v>11.9</v>
      </c>
      <c r="I1005" s="15">
        <v>845.76</v>
      </c>
      <c r="J1005" s="13" t="s">
        <v>87</v>
      </c>
      <c r="K1005" s="13" t="s">
        <v>117</v>
      </c>
      <c r="L1005" s="34" t="str">
        <f>VLOOKUP(D1005,Products!$A$2:$F$61,3,FALSE)</f>
        <v>Beauty</v>
      </c>
      <c r="M1005" s="34" t="str">
        <f>VLOOKUP(C1005,Customers!$A$2:$F$301,5,FALSE)</f>
        <v>Retail</v>
      </c>
      <c r="N1005" s="34">
        <f>VLOOKUP(C1005,Customers!$A$2:$F$301,3,FALSE)</f>
        <v>34</v>
      </c>
      <c r="O1005" s="34" t="str">
        <f>VLOOKUP(E1005,Sales_Reps!$A$2:$E$31,3,FALSE)</f>
        <v>South</v>
      </c>
      <c r="P1005" s="13" t="s">
        <v>273</v>
      </c>
      <c r="Q1005" s="34">
        <f t="shared" si="34"/>
        <v>735207.75999999989</v>
      </c>
      <c r="R1005" s="34" t="str">
        <f>VLOOKUP(E1005,Sales_Reps!$A$2:$E$100,3,FALSE)</f>
        <v>South</v>
      </c>
      <c r="S1005" s="34" t="str">
        <f t="shared" si="35"/>
        <v>Beauty</v>
      </c>
      <c r="T1005" s="38">
        <f>VLOOKUP(D1005,Products!$A$2:$F$68,4,FALSE)</f>
        <v>675</v>
      </c>
    </row>
    <row r="1006" spans="1:20" x14ac:dyDescent="0.35">
      <c r="A1006" s="13" t="s">
        <v>1487</v>
      </c>
      <c r="B1006" s="14">
        <v>45430</v>
      </c>
      <c r="C1006" s="13" t="s">
        <v>752</v>
      </c>
      <c r="D1006" s="13" t="s">
        <v>164</v>
      </c>
      <c r="E1006" s="13" t="s">
        <v>86</v>
      </c>
      <c r="F1006" s="15">
        <v>3</v>
      </c>
      <c r="G1006" s="15">
        <v>1080</v>
      </c>
      <c r="H1006" s="15">
        <v>26</v>
      </c>
      <c r="I1006" s="15">
        <v>2397.6</v>
      </c>
      <c r="J1006" s="13" t="s">
        <v>87</v>
      </c>
      <c r="K1006" s="13" t="s">
        <v>117</v>
      </c>
      <c r="L1006" s="34" t="str">
        <f>VLOOKUP(D1006,Products!$A$2:$F$61,3,FALSE)</f>
        <v>Home</v>
      </c>
      <c r="M1006" s="34" t="str">
        <f>VLOOKUP(C1006,Customers!$A$2:$F$301,5,FALSE)</f>
        <v>Retail</v>
      </c>
      <c r="N1006" s="34">
        <f>VLOOKUP(C1006,Customers!$A$2:$F$301,3,FALSE)</f>
        <v>32</v>
      </c>
      <c r="O1006" s="34" t="str">
        <f>VLOOKUP(E1006,Sales_Reps!$A$2:$E$31,3,FALSE)</f>
        <v>North</v>
      </c>
      <c r="P1006" s="13" t="s">
        <v>86</v>
      </c>
      <c r="Q1006" s="34">
        <f t="shared" si="34"/>
        <v>855749.67999999982</v>
      </c>
      <c r="R1006" s="34" t="str">
        <f>VLOOKUP(E1006,Sales_Reps!$A$2:$E$100,3,FALSE)</f>
        <v>North</v>
      </c>
      <c r="S1006" s="34" t="str">
        <f t="shared" si="35"/>
        <v>Home</v>
      </c>
      <c r="T1006" s="38">
        <f>VLOOKUP(D1006,Products!$A$2:$F$68,4,FALSE)</f>
        <v>519</v>
      </c>
    </row>
    <row r="1007" spans="1:20" x14ac:dyDescent="0.35">
      <c r="A1007" s="13" t="s">
        <v>1488</v>
      </c>
      <c r="B1007" s="14">
        <v>45585</v>
      </c>
      <c r="C1007" s="13" t="s">
        <v>390</v>
      </c>
      <c r="D1007" s="13" t="s">
        <v>195</v>
      </c>
      <c r="E1007" s="13" t="s">
        <v>215</v>
      </c>
      <c r="F1007" s="15">
        <v>10</v>
      </c>
      <c r="G1007" s="15">
        <v>2860</v>
      </c>
      <c r="H1007" s="15">
        <v>13.1</v>
      </c>
      <c r="I1007" s="15">
        <v>24853.4</v>
      </c>
      <c r="J1007" s="13" t="s">
        <v>144</v>
      </c>
      <c r="K1007" s="13" t="s">
        <v>88</v>
      </c>
      <c r="L1007" s="34" t="str">
        <f>VLOOKUP(D1007,Products!$A$2:$F$61,3,FALSE)</f>
        <v>Sports</v>
      </c>
      <c r="M1007" s="34" t="str">
        <f>VLOOKUP(C1007,Customers!$A$2:$F$301,5,FALSE)</f>
        <v>SMB</v>
      </c>
      <c r="N1007" s="34">
        <f>VLOOKUP(C1007,Customers!$A$2:$F$301,3,FALSE)</f>
        <v>54</v>
      </c>
      <c r="O1007" s="34" t="str">
        <f>VLOOKUP(E1007,Sales_Reps!$A$2:$E$31,3,FALSE)</f>
        <v>North</v>
      </c>
      <c r="P1007" s="13" t="s">
        <v>215</v>
      </c>
      <c r="Q1007" s="34">
        <f t="shared" si="34"/>
        <v>789849.60000000009</v>
      </c>
      <c r="R1007" s="34" t="str">
        <f>VLOOKUP(E1007,Sales_Reps!$A$2:$E$100,3,FALSE)</f>
        <v>North</v>
      </c>
      <c r="S1007" s="34" t="str">
        <f t="shared" si="35"/>
        <v>Sports</v>
      </c>
      <c r="T1007" s="38">
        <f>VLOOKUP(D1007,Products!$A$2:$F$68,4,FALSE)</f>
        <v>2028</v>
      </c>
    </row>
    <row r="1008" spans="1:20" x14ac:dyDescent="0.35">
      <c r="A1008" s="13" t="s">
        <v>1489</v>
      </c>
      <c r="B1008" s="14">
        <v>45630</v>
      </c>
      <c r="C1008" s="13" t="s">
        <v>1361</v>
      </c>
      <c r="D1008" s="13" t="s">
        <v>237</v>
      </c>
      <c r="E1008" s="13" t="s">
        <v>215</v>
      </c>
      <c r="F1008" s="15">
        <v>3</v>
      </c>
      <c r="G1008" s="15">
        <v>3640</v>
      </c>
      <c r="H1008" s="15">
        <v>18.2</v>
      </c>
      <c r="I1008" s="15">
        <v>8932.56</v>
      </c>
      <c r="J1008" s="13" t="s">
        <v>87</v>
      </c>
      <c r="K1008" s="13" t="s">
        <v>94</v>
      </c>
      <c r="L1008" s="34" t="str">
        <f>VLOOKUP(D1008,Products!$A$2:$F$61,3,FALSE)</f>
        <v>Apparel</v>
      </c>
      <c r="M1008" s="34" t="str">
        <f>VLOOKUP(C1008,Customers!$A$2:$F$301,5,FALSE)</f>
        <v>Retail</v>
      </c>
      <c r="N1008" s="34">
        <f>VLOOKUP(C1008,Customers!$A$2:$F$301,3,FALSE)</f>
        <v>34</v>
      </c>
      <c r="O1008" s="34" t="str">
        <f>VLOOKUP(E1008,Sales_Reps!$A$2:$E$31,3,FALSE)</f>
        <v>North</v>
      </c>
      <c r="P1008" s="13" t="s">
        <v>215</v>
      </c>
      <c r="Q1008" s="34">
        <f t="shared" si="34"/>
        <v>789849.60000000009</v>
      </c>
      <c r="R1008" s="34" t="str">
        <f>VLOOKUP(E1008,Sales_Reps!$A$2:$E$100,3,FALSE)</f>
        <v>North</v>
      </c>
      <c r="S1008" s="34" t="str">
        <f t="shared" si="35"/>
        <v>Apparel</v>
      </c>
      <c r="T1008" s="38">
        <f>VLOOKUP(D1008,Products!$A$2:$F$68,4,FALSE)</f>
        <v>2611</v>
      </c>
    </row>
    <row r="1009" spans="1:20" x14ac:dyDescent="0.35">
      <c r="A1009" s="13" t="s">
        <v>1490</v>
      </c>
      <c r="B1009" s="14">
        <v>45405</v>
      </c>
      <c r="C1009" s="13" t="s">
        <v>206</v>
      </c>
      <c r="D1009" s="13" t="s">
        <v>173</v>
      </c>
      <c r="E1009" s="13" t="s">
        <v>303</v>
      </c>
      <c r="F1009" s="15">
        <v>3</v>
      </c>
      <c r="G1009" s="15">
        <v>2720</v>
      </c>
      <c r="H1009" s="15">
        <v>3.6</v>
      </c>
      <c r="I1009" s="15">
        <v>7866.24</v>
      </c>
      <c r="J1009" s="13" t="s">
        <v>87</v>
      </c>
      <c r="K1009" s="13" t="s">
        <v>133</v>
      </c>
      <c r="L1009" s="34" t="str">
        <f>VLOOKUP(D1009,Products!$A$2:$F$61,3,FALSE)</f>
        <v>Apparel</v>
      </c>
      <c r="M1009" s="34" t="str">
        <f>VLOOKUP(C1009,Customers!$A$2:$F$301,5,FALSE)</f>
        <v>SMB</v>
      </c>
      <c r="N1009" s="34">
        <f>VLOOKUP(C1009,Customers!$A$2:$F$301,3,FALSE)</f>
        <v>40</v>
      </c>
      <c r="O1009" s="34" t="str">
        <f>VLOOKUP(E1009,Sales_Reps!$A$2:$E$31,3,FALSE)</f>
        <v>East</v>
      </c>
      <c r="P1009" s="13" t="s">
        <v>303</v>
      </c>
      <c r="Q1009" s="34">
        <f t="shared" si="34"/>
        <v>1112289.6400000001</v>
      </c>
      <c r="R1009" s="34" t="str">
        <f>VLOOKUP(E1009,Sales_Reps!$A$2:$E$100,3,FALSE)</f>
        <v>East</v>
      </c>
      <c r="S1009" s="34" t="str">
        <f t="shared" si="35"/>
        <v>Apparel</v>
      </c>
      <c r="T1009" s="38">
        <f>VLOOKUP(D1009,Products!$A$2:$F$68,4,FALSE)</f>
        <v>1962</v>
      </c>
    </row>
    <row r="1010" spans="1:20" x14ac:dyDescent="0.35">
      <c r="A1010" s="13" t="s">
        <v>1491</v>
      </c>
      <c r="B1010" s="14">
        <v>45630</v>
      </c>
      <c r="C1010" s="13" t="s">
        <v>537</v>
      </c>
      <c r="D1010" s="13" t="s">
        <v>131</v>
      </c>
      <c r="E1010" s="13" t="s">
        <v>107</v>
      </c>
      <c r="F1010" s="15">
        <v>4</v>
      </c>
      <c r="G1010" s="15">
        <v>2270</v>
      </c>
      <c r="H1010" s="15">
        <v>18.399999999999999</v>
      </c>
      <c r="I1010" s="15">
        <v>7409.28</v>
      </c>
      <c r="J1010" s="13" t="s">
        <v>87</v>
      </c>
      <c r="K1010" s="13" t="s">
        <v>133</v>
      </c>
      <c r="L1010" s="34" t="str">
        <f>VLOOKUP(D1010,Products!$A$2:$F$61,3,FALSE)</f>
        <v>Grocery</v>
      </c>
      <c r="M1010" s="34" t="str">
        <f>VLOOKUP(C1010,Customers!$A$2:$F$301,5,FALSE)</f>
        <v>SMB</v>
      </c>
      <c r="N1010" s="34">
        <f>VLOOKUP(C1010,Customers!$A$2:$F$301,3,FALSE)</f>
        <v>48</v>
      </c>
      <c r="O1010" s="34" t="str">
        <f>VLOOKUP(E1010,Sales_Reps!$A$2:$E$31,3,FALSE)</f>
        <v>North</v>
      </c>
      <c r="P1010" s="13" t="s">
        <v>107</v>
      </c>
      <c r="Q1010" s="34">
        <f t="shared" si="34"/>
        <v>861553.33</v>
      </c>
      <c r="R1010" s="34" t="str">
        <f>VLOOKUP(E1010,Sales_Reps!$A$2:$E$100,3,FALSE)</f>
        <v>North</v>
      </c>
      <c r="S1010" s="34" t="str">
        <f t="shared" si="35"/>
        <v>Grocery</v>
      </c>
      <c r="T1010" s="38">
        <f>VLOOKUP(D1010,Products!$A$2:$F$68,4,FALSE)</f>
        <v>1203</v>
      </c>
    </row>
    <row r="1011" spans="1:20" x14ac:dyDescent="0.35">
      <c r="A1011" s="13" t="s">
        <v>1492</v>
      </c>
      <c r="B1011" s="14">
        <v>45483</v>
      </c>
      <c r="C1011" s="13" t="s">
        <v>1193</v>
      </c>
      <c r="D1011" s="13" t="s">
        <v>267</v>
      </c>
      <c r="E1011" s="13" t="s">
        <v>229</v>
      </c>
      <c r="F1011" s="15">
        <v>5</v>
      </c>
      <c r="G1011" s="15">
        <v>1220</v>
      </c>
      <c r="H1011" s="15">
        <v>13.9</v>
      </c>
      <c r="I1011" s="15">
        <v>5252.1</v>
      </c>
      <c r="J1011" s="13" t="s">
        <v>87</v>
      </c>
      <c r="K1011" s="13" t="s">
        <v>133</v>
      </c>
      <c r="L1011" s="34" t="str">
        <f>VLOOKUP(D1011,Products!$A$2:$F$61,3,FALSE)</f>
        <v>Electronics</v>
      </c>
      <c r="M1011" s="34" t="str">
        <f>VLOOKUP(C1011,Customers!$A$2:$F$301,5,FALSE)</f>
        <v>SMB</v>
      </c>
      <c r="N1011" s="34">
        <f>VLOOKUP(C1011,Customers!$A$2:$F$301,3,FALSE)</f>
        <v>25</v>
      </c>
      <c r="O1011" s="34" t="str">
        <f>VLOOKUP(E1011,Sales_Reps!$A$2:$E$31,3,FALSE)</f>
        <v>West</v>
      </c>
      <c r="P1011" s="13" t="s">
        <v>229</v>
      </c>
      <c r="Q1011" s="34">
        <f t="shared" si="34"/>
        <v>1016696.8000000002</v>
      </c>
      <c r="R1011" s="34" t="str">
        <f>VLOOKUP(E1011,Sales_Reps!$A$2:$E$100,3,FALSE)</f>
        <v>West</v>
      </c>
      <c r="S1011" s="34" t="str">
        <f t="shared" si="35"/>
        <v>Electronics</v>
      </c>
      <c r="T1011" s="38">
        <f>VLOOKUP(D1011,Products!$A$2:$F$68,4,FALSE)</f>
        <v>517</v>
      </c>
    </row>
    <row r="1012" spans="1:20" x14ac:dyDescent="0.35">
      <c r="A1012" s="13" t="s">
        <v>1493</v>
      </c>
      <c r="B1012" s="14">
        <v>45530</v>
      </c>
      <c r="C1012" s="13" t="s">
        <v>299</v>
      </c>
      <c r="D1012" s="13" t="s">
        <v>135</v>
      </c>
      <c r="E1012" s="13" t="s">
        <v>188</v>
      </c>
      <c r="F1012" s="15">
        <v>8</v>
      </c>
      <c r="G1012" s="15">
        <v>2640</v>
      </c>
      <c r="H1012" s="15">
        <v>17.3</v>
      </c>
      <c r="I1012" s="15">
        <v>17466.240000000002</v>
      </c>
      <c r="J1012" s="13" t="s">
        <v>87</v>
      </c>
      <c r="K1012" s="13" t="s">
        <v>133</v>
      </c>
      <c r="L1012" s="34" t="str">
        <f>VLOOKUP(D1012,Products!$A$2:$F$61,3,FALSE)</f>
        <v>Electronics</v>
      </c>
      <c r="M1012" s="34" t="str">
        <f>VLOOKUP(C1012,Customers!$A$2:$F$301,5,FALSE)</f>
        <v>Retail</v>
      </c>
      <c r="N1012" s="34">
        <f>VLOOKUP(C1012,Customers!$A$2:$F$301,3,FALSE)</f>
        <v>29</v>
      </c>
      <c r="O1012" s="34" t="str">
        <f>VLOOKUP(E1012,Sales_Reps!$A$2:$E$31,3,FALSE)</f>
        <v>South</v>
      </c>
      <c r="P1012" s="13" t="s">
        <v>188</v>
      </c>
      <c r="Q1012" s="34">
        <f t="shared" si="34"/>
        <v>1091740.1799999997</v>
      </c>
      <c r="R1012" s="34" t="str">
        <f>VLOOKUP(E1012,Sales_Reps!$A$2:$E$100,3,FALSE)</f>
        <v>South</v>
      </c>
      <c r="S1012" s="34" t="str">
        <f t="shared" si="35"/>
        <v>Electronics</v>
      </c>
      <c r="T1012" s="38">
        <f>VLOOKUP(D1012,Products!$A$2:$F$68,4,FALSE)</f>
        <v>1149</v>
      </c>
    </row>
    <row r="1013" spans="1:20" x14ac:dyDescent="0.35">
      <c r="A1013" s="13" t="s">
        <v>1494</v>
      </c>
      <c r="B1013" s="14">
        <v>45500</v>
      </c>
      <c r="C1013" s="13" t="s">
        <v>376</v>
      </c>
      <c r="D1013" s="13" t="s">
        <v>127</v>
      </c>
      <c r="E1013" s="13" t="s">
        <v>188</v>
      </c>
      <c r="F1013" s="15">
        <v>1</v>
      </c>
      <c r="G1013" s="15">
        <v>970</v>
      </c>
      <c r="H1013" s="15">
        <v>28</v>
      </c>
      <c r="I1013" s="15">
        <v>698.4</v>
      </c>
      <c r="J1013" s="13" t="s">
        <v>140</v>
      </c>
      <c r="K1013" s="13" t="s">
        <v>117</v>
      </c>
      <c r="L1013" s="34" t="str">
        <f>VLOOKUP(D1013,Products!$A$2:$F$61,3,FALSE)</f>
        <v>Grocery</v>
      </c>
      <c r="M1013" s="34" t="str">
        <f>VLOOKUP(C1013,Customers!$A$2:$F$301,5,FALSE)</f>
        <v>SMB</v>
      </c>
      <c r="N1013" s="34">
        <f>VLOOKUP(C1013,Customers!$A$2:$F$301,3,FALSE)</f>
        <v>44</v>
      </c>
      <c r="O1013" s="34" t="str">
        <f>VLOOKUP(E1013,Sales_Reps!$A$2:$E$31,3,FALSE)</f>
        <v>South</v>
      </c>
      <c r="P1013" s="13" t="s">
        <v>188</v>
      </c>
      <c r="Q1013" s="34">
        <f t="shared" si="34"/>
        <v>1091740.1799999997</v>
      </c>
      <c r="R1013" s="34" t="str">
        <f>VLOOKUP(E1013,Sales_Reps!$A$2:$E$100,3,FALSE)</f>
        <v>South</v>
      </c>
      <c r="S1013" s="34" t="str">
        <f t="shared" si="35"/>
        <v>Grocery</v>
      </c>
      <c r="T1013" s="38">
        <f>VLOOKUP(D1013,Products!$A$2:$F$68,4,FALSE)</f>
        <v>434</v>
      </c>
    </row>
    <row r="1014" spans="1:20" x14ac:dyDescent="0.35">
      <c r="A1014" s="13" t="s">
        <v>1495</v>
      </c>
      <c r="B1014" s="14">
        <v>45358</v>
      </c>
      <c r="C1014" s="13" t="s">
        <v>275</v>
      </c>
      <c r="D1014" s="13" t="s">
        <v>226</v>
      </c>
      <c r="E1014" s="13" t="s">
        <v>111</v>
      </c>
      <c r="F1014" s="15">
        <v>8</v>
      </c>
      <c r="G1014" s="15">
        <v>3730</v>
      </c>
      <c r="H1014" s="15">
        <v>2.1</v>
      </c>
      <c r="I1014" s="15">
        <v>29213.360000000001</v>
      </c>
      <c r="J1014" s="13" t="s">
        <v>144</v>
      </c>
      <c r="K1014" s="13" t="s">
        <v>88</v>
      </c>
      <c r="L1014" s="34" t="str">
        <f>VLOOKUP(D1014,Products!$A$2:$F$61,3,FALSE)</f>
        <v>Home</v>
      </c>
      <c r="M1014" s="34" t="str">
        <f>VLOOKUP(C1014,Customers!$A$2:$F$301,5,FALSE)</f>
        <v>Retail</v>
      </c>
      <c r="N1014" s="34">
        <f>VLOOKUP(C1014,Customers!$A$2:$F$301,3,FALSE)</f>
        <v>44</v>
      </c>
      <c r="O1014" s="34" t="str">
        <f>VLOOKUP(E1014,Sales_Reps!$A$2:$E$31,3,FALSE)</f>
        <v>West</v>
      </c>
      <c r="P1014" s="13" t="s">
        <v>111</v>
      </c>
      <c r="Q1014" s="34">
        <f t="shared" si="34"/>
        <v>901298.89</v>
      </c>
      <c r="R1014" s="34" t="str">
        <f>VLOOKUP(E1014,Sales_Reps!$A$2:$E$100,3,FALSE)</f>
        <v>West</v>
      </c>
      <c r="S1014" s="34" t="str">
        <f t="shared" si="35"/>
        <v>Home</v>
      </c>
      <c r="T1014" s="38">
        <f>VLOOKUP(D1014,Products!$A$2:$F$68,4,FALSE)</f>
        <v>2135</v>
      </c>
    </row>
    <row r="1015" spans="1:20" x14ac:dyDescent="0.35">
      <c r="A1015" s="13" t="s">
        <v>1496</v>
      </c>
      <c r="B1015" s="14">
        <v>45598</v>
      </c>
      <c r="C1015" s="13" t="s">
        <v>785</v>
      </c>
      <c r="D1015" s="13" t="s">
        <v>127</v>
      </c>
      <c r="E1015" s="13" t="s">
        <v>116</v>
      </c>
      <c r="F1015" s="15">
        <v>7</v>
      </c>
      <c r="G1015" s="15">
        <v>970</v>
      </c>
      <c r="H1015" s="15">
        <v>25.5</v>
      </c>
      <c r="I1015" s="15">
        <v>5058.55</v>
      </c>
      <c r="J1015" s="13" t="s">
        <v>87</v>
      </c>
      <c r="K1015" s="13" t="s">
        <v>88</v>
      </c>
      <c r="L1015" s="34" t="str">
        <f>VLOOKUP(D1015,Products!$A$2:$F$61,3,FALSE)</f>
        <v>Grocery</v>
      </c>
      <c r="M1015" s="34" t="str">
        <f>VLOOKUP(C1015,Customers!$A$2:$F$301,5,FALSE)</f>
        <v>Retail</v>
      </c>
      <c r="N1015" s="34">
        <f>VLOOKUP(C1015,Customers!$A$2:$F$301,3,FALSE)</f>
        <v>31</v>
      </c>
      <c r="O1015" s="34" t="str">
        <f>VLOOKUP(E1015,Sales_Reps!$A$2:$E$31,3,FALSE)</f>
        <v>West</v>
      </c>
      <c r="P1015" s="13" t="s">
        <v>116</v>
      </c>
      <c r="Q1015" s="34">
        <f t="shared" si="34"/>
        <v>819558.58</v>
      </c>
      <c r="R1015" s="34" t="str">
        <f>VLOOKUP(E1015,Sales_Reps!$A$2:$E$100,3,FALSE)</f>
        <v>West</v>
      </c>
      <c r="S1015" s="34" t="str">
        <f t="shared" si="35"/>
        <v>Grocery</v>
      </c>
      <c r="T1015" s="38">
        <f>VLOOKUP(D1015,Products!$A$2:$F$68,4,FALSE)</f>
        <v>434</v>
      </c>
    </row>
    <row r="1016" spans="1:20" x14ac:dyDescent="0.35">
      <c r="A1016" s="13" t="s">
        <v>1497</v>
      </c>
      <c r="B1016" s="14">
        <v>45318</v>
      </c>
      <c r="C1016" s="13" t="s">
        <v>359</v>
      </c>
      <c r="D1016" s="13" t="s">
        <v>187</v>
      </c>
      <c r="E1016" s="13" t="s">
        <v>285</v>
      </c>
      <c r="F1016" s="15">
        <v>6</v>
      </c>
      <c r="G1016" s="15">
        <v>3570</v>
      </c>
      <c r="H1016" s="15">
        <v>9.9</v>
      </c>
      <c r="I1016" s="15">
        <v>19299.419999999998</v>
      </c>
      <c r="J1016" s="13" t="s">
        <v>87</v>
      </c>
      <c r="K1016" s="13" t="s">
        <v>99</v>
      </c>
      <c r="L1016" s="34" t="str">
        <f>VLOOKUP(D1016,Products!$A$2:$F$61,3,FALSE)</f>
        <v>Electronics</v>
      </c>
      <c r="M1016" s="34" t="str">
        <f>VLOOKUP(C1016,Customers!$A$2:$F$301,5,FALSE)</f>
        <v>SMB</v>
      </c>
      <c r="N1016" s="34">
        <f>VLOOKUP(C1016,Customers!$A$2:$F$301,3,FALSE)</f>
        <v>28</v>
      </c>
      <c r="O1016" s="34" t="str">
        <f>VLOOKUP(E1016,Sales_Reps!$A$2:$E$31,3,FALSE)</f>
        <v>East</v>
      </c>
      <c r="P1016" s="13" t="s">
        <v>285</v>
      </c>
      <c r="Q1016" s="34">
        <f t="shared" si="34"/>
        <v>1069570.5400000003</v>
      </c>
      <c r="R1016" s="34" t="str">
        <f>VLOOKUP(E1016,Sales_Reps!$A$2:$E$100,3,FALSE)</f>
        <v>East</v>
      </c>
      <c r="S1016" s="34" t="str">
        <f t="shared" si="35"/>
        <v>Electronics</v>
      </c>
      <c r="T1016" s="38">
        <f>VLOOKUP(D1016,Products!$A$2:$F$68,4,FALSE)</f>
        <v>1665</v>
      </c>
    </row>
    <row r="1017" spans="1:20" x14ac:dyDescent="0.35">
      <c r="A1017" s="13" t="s">
        <v>1498</v>
      </c>
      <c r="B1017" s="14">
        <v>45524</v>
      </c>
      <c r="C1017" s="13" t="s">
        <v>1499</v>
      </c>
      <c r="D1017" s="13" t="s">
        <v>127</v>
      </c>
      <c r="E1017" s="13" t="s">
        <v>346</v>
      </c>
      <c r="F1017" s="15">
        <v>6</v>
      </c>
      <c r="G1017" s="15">
        <v>970</v>
      </c>
      <c r="H1017" s="15">
        <v>19.600000000000001</v>
      </c>
      <c r="I1017" s="15">
        <v>4679.28</v>
      </c>
      <c r="J1017" s="13" t="s">
        <v>87</v>
      </c>
      <c r="K1017" s="13" t="s">
        <v>94</v>
      </c>
      <c r="L1017" s="34" t="str">
        <f>VLOOKUP(D1017,Products!$A$2:$F$61,3,FALSE)</f>
        <v>Grocery</v>
      </c>
      <c r="M1017" s="34" t="str">
        <f>VLOOKUP(C1017,Customers!$A$2:$F$301,5,FALSE)</f>
        <v>Retail</v>
      </c>
      <c r="N1017" s="34">
        <f>VLOOKUP(C1017,Customers!$A$2:$F$301,3,FALSE)</f>
        <v>26</v>
      </c>
      <c r="O1017" s="34" t="str">
        <f>VLOOKUP(E1017,Sales_Reps!$A$2:$E$31,3,FALSE)</f>
        <v>South</v>
      </c>
      <c r="P1017" s="13" t="s">
        <v>346</v>
      </c>
      <c r="Q1017" s="34">
        <f t="shared" si="34"/>
        <v>814563.7100000002</v>
      </c>
      <c r="R1017" s="34" t="str">
        <f>VLOOKUP(E1017,Sales_Reps!$A$2:$E$100,3,FALSE)</f>
        <v>South</v>
      </c>
      <c r="S1017" s="34" t="str">
        <f t="shared" si="35"/>
        <v>Grocery</v>
      </c>
      <c r="T1017" s="38">
        <f>VLOOKUP(D1017,Products!$A$2:$F$68,4,FALSE)</f>
        <v>434</v>
      </c>
    </row>
    <row r="1018" spans="1:20" x14ac:dyDescent="0.35">
      <c r="A1018" s="13" t="s">
        <v>1500</v>
      </c>
      <c r="B1018" s="14">
        <v>45554</v>
      </c>
      <c r="C1018" s="13" t="s">
        <v>219</v>
      </c>
      <c r="D1018" s="13" t="s">
        <v>461</v>
      </c>
      <c r="E1018" s="13" t="s">
        <v>273</v>
      </c>
      <c r="F1018" s="15">
        <v>8</v>
      </c>
      <c r="G1018" s="15">
        <v>3780</v>
      </c>
      <c r="H1018" s="15">
        <v>26.5</v>
      </c>
      <c r="I1018" s="15">
        <v>22226.400000000001</v>
      </c>
      <c r="J1018" s="13" t="s">
        <v>87</v>
      </c>
      <c r="K1018" s="13" t="s">
        <v>99</v>
      </c>
      <c r="L1018" s="34" t="str">
        <f>VLOOKUP(D1018,Products!$A$2:$F$61,3,FALSE)</f>
        <v>Sports</v>
      </c>
      <c r="M1018" s="34" t="str">
        <f>VLOOKUP(C1018,Customers!$A$2:$F$301,5,FALSE)</f>
        <v>SMB</v>
      </c>
      <c r="N1018" s="34">
        <f>VLOOKUP(C1018,Customers!$A$2:$F$301,3,FALSE)</f>
        <v>50</v>
      </c>
      <c r="O1018" s="34" t="str">
        <f>VLOOKUP(E1018,Sales_Reps!$A$2:$E$31,3,FALSE)</f>
        <v>South</v>
      </c>
      <c r="P1018" s="13" t="s">
        <v>273</v>
      </c>
      <c r="Q1018" s="34">
        <f t="shared" si="34"/>
        <v>735207.75999999989</v>
      </c>
      <c r="R1018" s="34" t="str">
        <f>VLOOKUP(E1018,Sales_Reps!$A$2:$E$100,3,FALSE)</f>
        <v>South</v>
      </c>
      <c r="S1018" s="34" t="str">
        <f t="shared" si="35"/>
        <v>Sports</v>
      </c>
      <c r="T1018" s="38">
        <f>VLOOKUP(D1018,Products!$A$2:$F$68,4,FALSE)</f>
        <v>1860</v>
      </c>
    </row>
    <row r="1019" spans="1:20" x14ac:dyDescent="0.35">
      <c r="A1019" s="13" t="s">
        <v>1501</v>
      </c>
      <c r="B1019" s="14">
        <v>45528</v>
      </c>
      <c r="C1019" s="13" t="s">
        <v>921</v>
      </c>
      <c r="D1019" s="13" t="s">
        <v>151</v>
      </c>
      <c r="E1019" s="13" t="s">
        <v>273</v>
      </c>
      <c r="F1019" s="15">
        <v>6</v>
      </c>
      <c r="G1019" s="15">
        <v>2400</v>
      </c>
      <c r="H1019" s="15">
        <v>1.4</v>
      </c>
      <c r="I1019" s="15">
        <v>14198.4</v>
      </c>
      <c r="J1019" s="13" t="s">
        <v>87</v>
      </c>
      <c r="K1019" s="13" t="s">
        <v>117</v>
      </c>
      <c r="L1019" s="34" t="str">
        <f>VLOOKUP(D1019,Products!$A$2:$F$61,3,FALSE)</f>
        <v>Sports</v>
      </c>
      <c r="M1019" s="34" t="str">
        <f>VLOOKUP(C1019,Customers!$A$2:$F$301,5,FALSE)</f>
        <v>Retail</v>
      </c>
      <c r="N1019" s="34">
        <f>VLOOKUP(C1019,Customers!$A$2:$F$301,3,FALSE)</f>
        <v>28</v>
      </c>
      <c r="O1019" s="34" t="str">
        <f>VLOOKUP(E1019,Sales_Reps!$A$2:$E$31,3,FALSE)</f>
        <v>South</v>
      </c>
      <c r="P1019" s="13" t="s">
        <v>273</v>
      </c>
      <c r="Q1019" s="34">
        <f t="shared" si="34"/>
        <v>735207.75999999989</v>
      </c>
      <c r="R1019" s="34" t="str">
        <f>VLOOKUP(E1019,Sales_Reps!$A$2:$E$100,3,FALSE)</f>
        <v>South</v>
      </c>
      <c r="S1019" s="34" t="str">
        <f t="shared" si="35"/>
        <v>Sports</v>
      </c>
      <c r="T1019" s="38">
        <f>VLOOKUP(D1019,Products!$A$2:$F$68,4,FALSE)</f>
        <v>974</v>
      </c>
    </row>
    <row r="1020" spans="1:20" x14ac:dyDescent="0.35">
      <c r="A1020" s="13" t="s">
        <v>1502</v>
      </c>
      <c r="B1020" s="14">
        <v>45486</v>
      </c>
      <c r="C1020" s="13" t="s">
        <v>357</v>
      </c>
      <c r="D1020" s="13" t="s">
        <v>143</v>
      </c>
      <c r="E1020" s="13" t="s">
        <v>158</v>
      </c>
      <c r="F1020" s="15">
        <v>10</v>
      </c>
      <c r="G1020" s="15">
        <v>3250</v>
      </c>
      <c r="H1020" s="15">
        <v>19.3</v>
      </c>
      <c r="I1020" s="15">
        <v>26227.5</v>
      </c>
      <c r="J1020" s="13" t="s">
        <v>87</v>
      </c>
      <c r="K1020" s="13" t="s">
        <v>99</v>
      </c>
      <c r="L1020" s="34" t="str">
        <f>VLOOKUP(D1020,Products!$A$2:$F$61,3,FALSE)</f>
        <v>Home</v>
      </c>
      <c r="M1020" s="34" t="str">
        <f>VLOOKUP(C1020,Customers!$A$2:$F$301,5,FALSE)</f>
        <v>SMB</v>
      </c>
      <c r="N1020" s="34">
        <f>VLOOKUP(C1020,Customers!$A$2:$F$301,3,FALSE)</f>
        <v>38</v>
      </c>
      <c r="O1020" s="34" t="str">
        <f>VLOOKUP(E1020,Sales_Reps!$A$2:$E$31,3,FALSE)</f>
        <v>East</v>
      </c>
      <c r="P1020" s="13" t="s">
        <v>158</v>
      </c>
      <c r="Q1020" s="34">
        <f t="shared" si="34"/>
        <v>761507.17000000027</v>
      </c>
      <c r="R1020" s="34" t="str">
        <f>VLOOKUP(E1020,Sales_Reps!$A$2:$E$100,3,FALSE)</f>
        <v>East</v>
      </c>
      <c r="S1020" s="34" t="str">
        <f t="shared" si="35"/>
        <v>Home</v>
      </c>
      <c r="T1020" s="38">
        <f>VLOOKUP(D1020,Products!$A$2:$F$68,4,FALSE)</f>
        <v>1556</v>
      </c>
    </row>
    <row r="1021" spans="1:20" x14ac:dyDescent="0.35">
      <c r="A1021" s="13" t="s">
        <v>1503</v>
      </c>
      <c r="B1021" s="14">
        <v>45336</v>
      </c>
      <c r="C1021" s="13" t="s">
        <v>388</v>
      </c>
      <c r="D1021" s="13" t="s">
        <v>200</v>
      </c>
      <c r="E1021" s="13" t="s">
        <v>98</v>
      </c>
      <c r="F1021" s="15">
        <v>7</v>
      </c>
      <c r="G1021" s="15">
        <v>2760</v>
      </c>
      <c r="H1021" s="15">
        <v>23.6</v>
      </c>
      <c r="I1021" s="15">
        <v>14760.48</v>
      </c>
      <c r="J1021" s="13" t="s">
        <v>93</v>
      </c>
      <c r="K1021" s="13" t="s">
        <v>133</v>
      </c>
      <c r="L1021" s="34" t="str">
        <f>VLOOKUP(D1021,Products!$A$2:$F$61,3,FALSE)</f>
        <v>Grocery</v>
      </c>
      <c r="M1021" s="34" t="str">
        <f>VLOOKUP(C1021,Customers!$A$2:$F$301,5,FALSE)</f>
        <v>Retail</v>
      </c>
      <c r="N1021" s="34">
        <f>VLOOKUP(C1021,Customers!$A$2:$F$301,3,FALSE)</f>
        <v>44</v>
      </c>
      <c r="O1021" s="34" t="str">
        <f>VLOOKUP(E1021,Sales_Reps!$A$2:$E$31,3,FALSE)</f>
        <v>South</v>
      </c>
      <c r="P1021" s="13" t="s">
        <v>98</v>
      </c>
      <c r="Q1021" s="34">
        <f t="shared" si="34"/>
        <v>995713.54000000015</v>
      </c>
      <c r="R1021" s="34" t="str">
        <f>VLOOKUP(E1021,Sales_Reps!$A$2:$E$100,3,FALSE)</f>
        <v>South</v>
      </c>
      <c r="S1021" s="34" t="str">
        <f t="shared" si="35"/>
        <v>Grocery</v>
      </c>
      <c r="T1021" s="38">
        <f>VLOOKUP(D1021,Products!$A$2:$F$68,4,FALSE)</f>
        <v>1435</v>
      </c>
    </row>
    <row r="1022" spans="1:20" x14ac:dyDescent="0.35">
      <c r="A1022" s="13" t="s">
        <v>1504</v>
      </c>
      <c r="B1022" s="14">
        <v>45463</v>
      </c>
      <c r="C1022" s="13" t="s">
        <v>231</v>
      </c>
      <c r="D1022" s="13" t="s">
        <v>187</v>
      </c>
      <c r="E1022" s="13" t="s">
        <v>215</v>
      </c>
      <c r="F1022" s="15">
        <v>3</v>
      </c>
      <c r="G1022" s="15">
        <v>3570</v>
      </c>
      <c r="H1022" s="15">
        <v>26.3</v>
      </c>
      <c r="I1022" s="15">
        <v>7893.27</v>
      </c>
      <c r="J1022" s="13" t="s">
        <v>87</v>
      </c>
      <c r="K1022" s="13" t="s">
        <v>117</v>
      </c>
      <c r="L1022" s="34" t="str">
        <f>VLOOKUP(D1022,Products!$A$2:$F$61,3,FALSE)</f>
        <v>Electronics</v>
      </c>
      <c r="M1022" s="34" t="str">
        <f>VLOOKUP(C1022,Customers!$A$2:$F$301,5,FALSE)</f>
        <v>SMB</v>
      </c>
      <c r="N1022" s="34">
        <f>VLOOKUP(C1022,Customers!$A$2:$F$301,3,FALSE)</f>
        <v>64</v>
      </c>
      <c r="O1022" s="34" t="str">
        <f>VLOOKUP(E1022,Sales_Reps!$A$2:$E$31,3,FALSE)</f>
        <v>North</v>
      </c>
      <c r="P1022" s="13" t="s">
        <v>215</v>
      </c>
      <c r="Q1022" s="34">
        <f t="shared" si="34"/>
        <v>789849.60000000009</v>
      </c>
      <c r="R1022" s="34" t="str">
        <f>VLOOKUP(E1022,Sales_Reps!$A$2:$E$100,3,FALSE)</f>
        <v>North</v>
      </c>
      <c r="S1022" s="34" t="str">
        <f t="shared" si="35"/>
        <v>Electronics</v>
      </c>
      <c r="T1022" s="38">
        <f>VLOOKUP(D1022,Products!$A$2:$F$68,4,FALSE)</f>
        <v>1665</v>
      </c>
    </row>
    <row r="1023" spans="1:20" x14ac:dyDescent="0.35">
      <c r="A1023" s="13" t="s">
        <v>1505</v>
      </c>
      <c r="B1023" s="14">
        <v>45392</v>
      </c>
      <c r="C1023" s="13" t="s">
        <v>585</v>
      </c>
      <c r="D1023" s="13" t="s">
        <v>234</v>
      </c>
      <c r="E1023" s="13" t="s">
        <v>188</v>
      </c>
      <c r="F1023" s="15">
        <v>4</v>
      </c>
      <c r="G1023" s="15">
        <v>3780</v>
      </c>
      <c r="H1023" s="15">
        <v>10.1</v>
      </c>
      <c r="I1023" s="15">
        <v>13592.88</v>
      </c>
      <c r="J1023" s="13" t="s">
        <v>87</v>
      </c>
      <c r="K1023" s="13" t="s">
        <v>94</v>
      </c>
      <c r="L1023" s="34" t="str">
        <f>VLOOKUP(D1023,Products!$A$2:$F$61,3,FALSE)</f>
        <v>Grocery</v>
      </c>
      <c r="M1023" s="34" t="str">
        <f>VLOOKUP(C1023,Customers!$A$2:$F$301,5,FALSE)</f>
        <v>Retail</v>
      </c>
      <c r="N1023" s="34">
        <f>VLOOKUP(C1023,Customers!$A$2:$F$301,3,FALSE)</f>
        <v>26</v>
      </c>
      <c r="O1023" s="34" t="str">
        <f>VLOOKUP(E1023,Sales_Reps!$A$2:$E$31,3,FALSE)</f>
        <v>South</v>
      </c>
      <c r="P1023" s="13" t="s">
        <v>188</v>
      </c>
      <c r="Q1023" s="34">
        <f t="shared" si="34"/>
        <v>1091740.1799999997</v>
      </c>
      <c r="R1023" s="34" t="str">
        <f>VLOOKUP(E1023,Sales_Reps!$A$2:$E$100,3,FALSE)</f>
        <v>South</v>
      </c>
      <c r="S1023" s="34" t="str">
        <f t="shared" si="35"/>
        <v>Grocery</v>
      </c>
      <c r="T1023" s="38">
        <f>VLOOKUP(D1023,Products!$A$2:$F$68,4,FALSE)</f>
        <v>2436</v>
      </c>
    </row>
    <row r="1024" spans="1:20" x14ac:dyDescent="0.35">
      <c r="A1024" s="13" t="s">
        <v>1506</v>
      </c>
      <c r="B1024" s="14">
        <v>45600</v>
      </c>
      <c r="C1024" s="13" t="s">
        <v>602</v>
      </c>
      <c r="D1024" s="13" t="s">
        <v>120</v>
      </c>
      <c r="E1024" s="13" t="s">
        <v>121</v>
      </c>
      <c r="F1024" s="15">
        <v>10</v>
      </c>
      <c r="G1024" s="15">
        <v>1430</v>
      </c>
      <c r="H1024" s="15">
        <v>3.7</v>
      </c>
      <c r="I1024" s="15">
        <v>13770.9</v>
      </c>
      <c r="J1024" s="13" t="s">
        <v>87</v>
      </c>
      <c r="K1024" s="13" t="s">
        <v>94</v>
      </c>
      <c r="L1024" s="34" t="str">
        <f>VLOOKUP(D1024,Products!$A$2:$F$61,3,FALSE)</f>
        <v>Electronics</v>
      </c>
      <c r="M1024" s="34" t="str">
        <f>VLOOKUP(C1024,Customers!$A$2:$F$301,5,FALSE)</f>
        <v>Retail</v>
      </c>
      <c r="N1024" s="34">
        <f>VLOOKUP(C1024,Customers!$A$2:$F$301,3,FALSE)</f>
        <v>61</v>
      </c>
      <c r="O1024" s="34" t="str">
        <f>VLOOKUP(E1024,Sales_Reps!$A$2:$E$31,3,FALSE)</f>
        <v>East</v>
      </c>
      <c r="P1024" s="13" t="s">
        <v>121</v>
      </c>
      <c r="Q1024" s="34">
        <f t="shared" si="34"/>
        <v>971183.52000000014</v>
      </c>
      <c r="R1024" s="34" t="str">
        <f>VLOOKUP(E1024,Sales_Reps!$A$2:$E$100,3,FALSE)</f>
        <v>East</v>
      </c>
      <c r="S1024" s="34" t="str">
        <f t="shared" si="35"/>
        <v>Electronics</v>
      </c>
      <c r="T1024" s="38">
        <f>VLOOKUP(D1024,Products!$A$2:$F$68,4,FALSE)</f>
        <v>861</v>
      </c>
    </row>
    <row r="1025" spans="1:20" x14ac:dyDescent="0.35">
      <c r="A1025" s="13" t="s">
        <v>1507</v>
      </c>
      <c r="B1025" s="14">
        <v>45411</v>
      </c>
      <c r="C1025" s="13" t="s">
        <v>741</v>
      </c>
      <c r="D1025" s="13" t="s">
        <v>245</v>
      </c>
      <c r="E1025" s="13" t="s">
        <v>273</v>
      </c>
      <c r="F1025" s="15">
        <v>6</v>
      </c>
      <c r="G1025" s="15">
        <v>2270</v>
      </c>
      <c r="H1025" s="15">
        <v>7.9</v>
      </c>
      <c r="I1025" s="15">
        <v>12544.02</v>
      </c>
      <c r="J1025" s="13" t="s">
        <v>144</v>
      </c>
      <c r="K1025" s="13" t="s">
        <v>133</v>
      </c>
      <c r="L1025" s="34" t="str">
        <f>VLOOKUP(D1025,Products!$A$2:$F$61,3,FALSE)</f>
        <v>Grocery</v>
      </c>
      <c r="M1025" s="34" t="str">
        <f>VLOOKUP(C1025,Customers!$A$2:$F$301,5,FALSE)</f>
        <v>SMB</v>
      </c>
      <c r="N1025" s="34">
        <f>VLOOKUP(C1025,Customers!$A$2:$F$301,3,FALSE)</f>
        <v>29</v>
      </c>
      <c r="O1025" s="34" t="str">
        <f>VLOOKUP(E1025,Sales_Reps!$A$2:$E$31,3,FALSE)</f>
        <v>South</v>
      </c>
      <c r="P1025" s="13" t="s">
        <v>273</v>
      </c>
      <c r="Q1025" s="34">
        <f t="shared" si="34"/>
        <v>735207.75999999989</v>
      </c>
      <c r="R1025" s="34" t="str">
        <f>VLOOKUP(E1025,Sales_Reps!$A$2:$E$100,3,FALSE)</f>
        <v>South</v>
      </c>
      <c r="S1025" s="34" t="str">
        <f t="shared" si="35"/>
        <v>Grocery</v>
      </c>
      <c r="T1025" s="38">
        <f>VLOOKUP(D1025,Products!$A$2:$F$68,4,FALSE)</f>
        <v>1412</v>
      </c>
    </row>
    <row r="1026" spans="1:20" x14ac:dyDescent="0.35">
      <c r="A1026" s="13" t="s">
        <v>1508</v>
      </c>
      <c r="B1026" s="14">
        <v>45406</v>
      </c>
      <c r="C1026" s="13" t="s">
        <v>482</v>
      </c>
      <c r="D1026" s="13" t="s">
        <v>182</v>
      </c>
      <c r="E1026" s="13" t="s">
        <v>252</v>
      </c>
      <c r="F1026" s="15">
        <v>1</v>
      </c>
      <c r="G1026" s="15">
        <v>1010</v>
      </c>
      <c r="H1026" s="15">
        <v>6.9</v>
      </c>
      <c r="I1026" s="15">
        <v>940.31</v>
      </c>
      <c r="J1026" s="13" t="s">
        <v>93</v>
      </c>
      <c r="K1026" s="13" t="s">
        <v>133</v>
      </c>
      <c r="L1026" s="34" t="str">
        <f>VLOOKUP(D1026,Products!$A$2:$F$61,3,FALSE)</f>
        <v>Sports</v>
      </c>
      <c r="M1026" s="34" t="str">
        <f>VLOOKUP(C1026,Customers!$A$2:$F$301,5,FALSE)</f>
        <v>Corporate</v>
      </c>
      <c r="N1026" s="34">
        <f>VLOOKUP(C1026,Customers!$A$2:$F$301,3,FALSE)</f>
        <v>52</v>
      </c>
      <c r="O1026" s="34" t="str">
        <f>VLOOKUP(E1026,Sales_Reps!$A$2:$E$31,3,FALSE)</f>
        <v>South</v>
      </c>
      <c r="P1026" s="13" t="s">
        <v>252</v>
      </c>
      <c r="Q1026" s="34">
        <f t="shared" si="34"/>
        <v>811524.37999999989</v>
      </c>
      <c r="R1026" s="34" t="str">
        <f>VLOOKUP(E1026,Sales_Reps!$A$2:$E$100,3,FALSE)</f>
        <v>South</v>
      </c>
      <c r="S1026" s="34" t="str">
        <f t="shared" si="35"/>
        <v>Sports</v>
      </c>
      <c r="T1026" s="38">
        <f>VLOOKUP(D1026,Products!$A$2:$F$68,4,FALSE)</f>
        <v>516</v>
      </c>
    </row>
    <row r="1027" spans="1:20" x14ac:dyDescent="0.35">
      <c r="A1027" s="13" t="s">
        <v>1509</v>
      </c>
      <c r="B1027" s="14">
        <v>45411</v>
      </c>
      <c r="C1027" s="13" t="s">
        <v>175</v>
      </c>
      <c r="D1027" s="13" t="s">
        <v>195</v>
      </c>
      <c r="E1027" s="13" t="s">
        <v>98</v>
      </c>
      <c r="F1027" s="15">
        <v>2</v>
      </c>
      <c r="G1027" s="15">
        <v>2860</v>
      </c>
      <c r="H1027" s="15">
        <v>20.100000000000001</v>
      </c>
      <c r="I1027" s="15">
        <v>4570.28</v>
      </c>
      <c r="J1027" s="13" t="s">
        <v>87</v>
      </c>
      <c r="K1027" s="13" t="s">
        <v>133</v>
      </c>
      <c r="L1027" s="34" t="str">
        <f>VLOOKUP(D1027,Products!$A$2:$F$61,3,FALSE)</f>
        <v>Sports</v>
      </c>
      <c r="M1027" s="34" t="str">
        <f>VLOOKUP(C1027,Customers!$A$2:$F$301,5,FALSE)</f>
        <v>SMB</v>
      </c>
      <c r="N1027" s="34">
        <f>VLOOKUP(C1027,Customers!$A$2:$F$301,3,FALSE)</f>
        <v>40</v>
      </c>
      <c r="O1027" s="34" t="str">
        <f>VLOOKUP(E1027,Sales_Reps!$A$2:$E$31,3,FALSE)</f>
        <v>South</v>
      </c>
      <c r="P1027" s="13" t="s">
        <v>98</v>
      </c>
      <c r="Q1027" s="34">
        <f t="shared" ref="Q1027:Q1090" si="36">SUMIFS($I:$I,$E:$E,P1027)</f>
        <v>995713.54000000015</v>
      </c>
      <c r="R1027" s="34" t="str">
        <f>VLOOKUP(E1027,Sales_Reps!$A$2:$E$100,3,FALSE)</f>
        <v>South</v>
      </c>
      <c r="S1027" s="34" t="str">
        <f t="shared" ref="S1027:S1090" si="37">L1027</f>
        <v>Sports</v>
      </c>
      <c r="T1027" s="38">
        <f>VLOOKUP(D1027,Products!$A$2:$F$68,4,FALSE)</f>
        <v>2028</v>
      </c>
    </row>
    <row r="1028" spans="1:20" x14ac:dyDescent="0.35">
      <c r="A1028" s="13" t="s">
        <v>1510</v>
      </c>
      <c r="B1028" s="14">
        <v>45461</v>
      </c>
      <c r="C1028" s="13" t="s">
        <v>886</v>
      </c>
      <c r="D1028" s="13" t="s">
        <v>138</v>
      </c>
      <c r="E1028" s="13" t="s">
        <v>121</v>
      </c>
      <c r="F1028" s="15">
        <v>9</v>
      </c>
      <c r="G1028" s="15">
        <v>2600</v>
      </c>
      <c r="H1028" s="15">
        <v>15.9</v>
      </c>
      <c r="I1028" s="15">
        <v>19679.400000000001</v>
      </c>
      <c r="J1028" s="13" t="s">
        <v>140</v>
      </c>
      <c r="K1028" s="13" t="s">
        <v>94</v>
      </c>
      <c r="L1028" s="34" t="str">
        <f>VLOOKUP(D1028,Products!$A$2:$F$61,3,FALSE)</f>
        <v>Electronics</v>
      </c>
      <c r="M1028" s="34" t="str">
        <f>VLOOKUP(C1028,Customers!$A$2:$F$301,5,FALSE)</f>
        <v>Corporate</v>
      </c>
      <c r="N1028" s="34">
        <f>VLOOKUP(C1028,Customers!$A$2:$F$301,3,FALSE)</f>
        <v>44</v>
      </c>
      <c r="O1028" s="34" t="str">
        <f>VLOOKUP(E1028,Sales_Reps!$A$2:$E$31,3,FALSE)</f>
        <v>East</v>
      </c>
      <c r="P1028" s="13" t="s">
        <v>121</v>
      </c>
      <c r="Q1028" s="34">
        <f t="shared" si="36"/>
        <v>971183.52000000014</v>
      </c>
      <c r="R1028" s="34" t="str">
        <f>VLOOKUP(E1028,Sales_Reps!$A$2:$E$100,3,FALSE)</f>
        <v>East</v>
      </c>
      <c r="S1028" s="34" t="str">
        <f t="shared" si="37"/>
        <v>Electronics</v>
      </c>
      <c r="T1028" s="38">
        <f>VLOOKUP(D1028,Products!$A$2:$F$68,4,FALSE)</f>
        <v>1052</v>
      </c>
    </row>
    <row r="1029" spans="1:20" x14ac:dyDescent="0.35">
      <c r="A1029" s="13" t="s">
        <v>1511</v>
      </c>
      <c r="B1029" s="14">
        <v>45409</v>
      </c>
      <c r="C1029" s="13" t="s">
        <v>493</v>
      </c>
      <c r="D1029" s="13" t="s">
        <v>97</v>
      </c>
      <c r="E1029" s="13" t="s">
        <v>116</v>
      </c>
      <c r="F1029" s="15">
        <v>10</v>
      </c>
      <c r="G1029" s="15">
        <v>470</v>
      </c>
      <c r="H1029" s="15">
        <v>23.1</v>
      </c>
      <c r="I1029" s="15">
        <v>3614.3</v>
      </c>
      <c r="J1029" s="13" t="s">
        <v>93</v>
      </c>
      <c r="K1029" s="13" t="s">
        <v>88</v>
      </c>
      <c r="L1029" s="34" t="str">
        <f>VLOOKUP(D1029,Products!$A$2:$F$61,3,FALSE)</f>
        <v>Sports</v>
      </c>
      <c r="M1029" s="34" t="str">
        <f>VLOOKUP(C1029,Customers!$A$2:$F$301,5,FALSE)</f>
        <v>Retail</v>
      </c>
      <c r="N1029" s="34">
        <f>VLOOKUP(C1029,Customers!$A$2:$F$301,3,FALSE)</f>
        <v>57</v>
      </c>
      <c r="O1029" s="34" t="str">
        <f>VLOOKUP(E1029,Sales_Reps!$A$2:$E$31,3,FALSE)</f>
        <v>West</v>
      </c>
      <c r="P1029" s="13" t="s">
        <v>116</v>
      </c>
      <c r="Q1029" s="34">
        <f t="shared" si="36"/>
        <v>819558.58</v>
      </c>
      <c r="R1029" s="34" t="str">
        <f>VLOOKUP(E1029,Sales_Reps!$A$2:$E$100,3,FALSE)</f>
        <v>West</v>
      </c>
      <c r="S1029" s="34" t="str">
        <f t="shared" si="37"/>
        <v>Sports</v>
      </c>
      <c r="T1029" s="38">
        <f>VLOOKUP(D1029,Products!$A$2:$F$68,4,FALSE)</f>
        <v>302</v>
      </c>
    </row>
    <row r="1030" spans="1:20" x14ac:dyDescent="0.35">
      <c r="A1030" s="13" t="s">
        <v>1512</v>
      </c>
      <c r="B1030" s="14">
        <v>45495</v>
      </c>
      <c r="C1030" s="13" t="s">
        <v>166</v>
      </c>
      <c r="D1030" s="13" t="s">
        <v>203</v>
      </c>
      <c r="E1030" s="13" t="s">
        <v>252</v>
      </c>
      <c r="F1030" s="15">
        <v>10</v>
      </c>
      <c r="G1030" s="15">
        <v>660</v>
      </c>
      <c r="H1030" s="15">
        <v>9.4</v>
      </c>
      <c r="I1030" s="15">
        <v>5979.6</v>
      </c>
      <c r="J1030" s="13" t="s">
        <v>87</v>
      </c>
      <c r="K1030" s="13" t="s">
        <v>133</v>
      </c>
      <c r="L1030" s="34" t="str">
        <f>VLOOKUP(D1030,Products!$A$2:$F$61,3,FALSE)</f>
        <v>Home</v>
      </c>
      <c r="M1030" s="34" t="str">
        <f>VLOOKUP(C1030,Customers!$A$2:$F$301,5,FALSE)</f>
        <v>Retail</v>
      </c>
      <c r="N1030" s="34">
        <f>VLOOKUP(C1030,Customers!$A$2:$F$301,3,FALSE)</f>
        <v>32</v>
      </c>
      <c r="O1030" s="34" t="str">
        <f>VLOOKUP(E1030,Sales_Reps!$A$2:$E$31,3,FALSE)</f>
        <v>South</v>
      </c>
      <c r="P1030" s="13" t="s">
        <v>252</v>
      </c>
      <c r="Q1030" s="34">
        <f t="shared" si="36"/>
        <v>811524.37999999989</v>
      </c>
      <c r="R1030" s="34" t="str">
        <f>VLOOKUP(E1030,Sales_Reps!$A$2:$E$100,3,FALSE)</f>
        <v>South</v>
      </c>
      <c r="S1030" s="34" t="str">
        <f t="shared" si="37"/>
        <v>Home</v>
      </c>
      <c r="T1030" s="38">
        <f>VLOOKUP(D1030,Products!$A$2:$F$68,4,FALSE)</f>
        <v>329</v>
      </c>
    </row>
    <row r="1031" spans="1:20" x14ac:dyDescent="0.35">
      <c r="A1031" s="13" t="s">
        <v>1513</v>
      </c>
      <c r="B1031" s="14">
        <v>45307</v>
      </c>
      <c r="C1031" s="13" t="s">
        <v>479</v>
      </c>
      <c r="D1031" s="13" t="s">
        <v>267</v>
      </c>
      <c r="E1031" s="13" t="s">
        <v>154</v>
      </c>
      <c r="F1031" s="15">
        <v>5</v>
      </c>
      <c r="G1031" s="15">
        <v>1220</v>
      </c>
      <c r="H1031" s="15">
        <v>23.3</v>
      </c>
      <c r="I1031" s="15">
        <v>4678.7</v>
      </c>
      <c r="J1031" s="13" t="s">
        <v>87</v>
      </c>
      <c r="K1031" s="13" t="s">
        <v>88</v>
      </c>
      <c r="L1031" s="34" t="str">
        <f>VLOOKUP(D1031,Products!$A$2:$F$61,3,FALSE)</f>
        <v>Electronics</v>
      </c>
      <c r="M1031" s="34" t="str">
        <f>VLOOKUP(C1031,Customers!$A$2:$F$301,5,FALSE)</f>
        <v>SMB</v>
      </c>
      <c r="N1031" s="34">
        <f>VLOOKUP(C1031,Customers!$A$2:$F$301,3,FALSE)</f>
        <v>49</v>
      </c>
      <c r="O1031" s="34" t="str">
        <f>VLOOKUP(E1031,Sales_Reps!$A$2:$E$31,3,FALSE)</f>
        <v>East</v>
      </c>
      <c r="P1031" s="13" t="s">
        <v>154</v>
      </c>
      <c r="Q1031" s="34">
        <f t="shared" si="36"/>
        <v>983787.4800000001</v>
      </c>
      <c r="R1031" s="34" t="str">
        <f>VLOOKUP(E1031,Sales_Reps!$A$2:$E$100,3,FALSE)</f>
        <v>East</v>
      </c>
      <c r="S1031" s="34" t="str">
        <f t="shared" si="37"/>
        <v>Electronics</v>
      </c>
      <c r="T1031" s="38">
        <f>VLOOKUP(D1031,Products!$A$2:$F$68,4,FALSE)</f>
        <v>517</v>
      </c>
    </row>
    <row r="1032" spans="1:20" x14ac:dyDescent="0.35">
      <c r="A1032" s="13" t="s">
        <v>1514</v>
      </c>
      <c r="B1032" s="14">
        <v>45294</v>
      </c>
      <c r="C1032" s="13" t="s">
        <v>595</v>
      </c>
      <c r="D1032" s="13" t="s">
        <v>143</v>
      </c>
      <c r="E1032" s="13" t="s">
        <v>273</v>
      </c>
      <c r="F1032" s="15">
        <v>9</v>
      </c>
      <c r="G1032" s="15">
        <v>3250</v>
      </c>
      <c r="H1032" s="15">
        <v>19.600000000000001</v>
      </c>
      <c r="I1032" s="15">
        <v>23517</v>
      </c>
      <c r="J1032" s="13" t="s">
        <v>93</v>
      </c>
      <c r="K1032" s="13" t="s">
        <v>99</v>
      </c>
      <c r="L1032" s="34" t="str">
        <f>VLOOKUP(D1032,Products!$A$2:$F$61,3,FALSE)</f>
        <v>Home</v>
      </c>
      <c r="M1032" s="34" t="str">
        <f>VLOOKUP(C1032,Customers!$A$2:$F$301,5,FALSE)</f>
        <v>SMB</v>
      </c>
      <c r="N1032" s="34">
        <f>VLOOKUP(C1032,Customers!$A$2:$F$301,3,FALSE)</f>
        <v>48</v>
      </c>
      <c r="O1032" s="34" t="str">
        <f>VLOOKUP(E1032,Sales_Reps!$A$2:$E$31,3,FALSE)</f>
        <v>South</v>
      </c>
      <c r="P1032" s="13" t="s">
        <v>273</v>
      </c>
      <c r="Q1032" s="34">
        <f t="shared" si="36"/>
        <v>735207.75999999989</v>
      </c>
      <c r="R1032" s="34" t="str">
        <f>VLOOKUP(E1032,Sales_Reps!$A$2:$E$100,3,FALSE)</f>
        <v>South</v>
      </c>
      <c r="S1032" s="34" t="str">
        <f t="shared" si="37"/>
        <v>Home</v>
      </c>
      <c r="T1032" s="38">
        <f>VLOOKUP(D1032,Products!$A$2:$F$68,4,FALSE)</f>
        <v>1556</v>
      </c>
    </row>
    <row r="1033" spans="1:20" x14ac:dyDescent="0.35">
      <c r="A1033" s="13" t="s">
        <v>1515</v>
      </c>
      <c r="B1033" s="14">
        <v>45542</v>
      </c>
      <c r="C1033" s="13" t="s">
        <v>1191</v>
      </c>
      <c r="D1033" s="13" t="s">
        <v>292</v>
      </c>
      <c r="E1033" s="13" t="s">
        <v>303</v>
      </c>
      <c r="F1033" s="15">
        <v>7</v>
      </c>
      <c r="G1033" s="15">
        <v>620</v>
      </c>
      <c r="H1033" s="15">
        <v>29</v>
      </c>
      <c r="I1033" s="15">
        <v>3081.4</v>
      </c>
      <c r="J1033" s="13" t="s">
        <v>87</v>
      </c>
      <c r="K1033" s="13" t="s">
        <v>117</v>
      </c>
      <c r="L1033" s="34" t="str">
        <f>VLOOKUP(D1033,Products!$A$2:$F$61,3,FALSE)</f>
        <v>Apparel</v>
      </c>
      <c r="M1033" s="34" t="str">
        <f>VLOOKUP(C1033,Customers!$A$2:$F$301,5,FALSE)</f>
        <v>Retail</v>
      </c>
      <c r="N1033" s="34">
        <f>VLOOKUP(C1033,Customers!$A$2:$F$301,3,FALSE)</f>
        <v>36</v>
      </c>
      <c r="O1033" s="34" t="str">
        <f>VLOOKUP(E1033,Sales_Reps!$A$2:$E$31,3,FALSE)</f>
        <v>East</v>
      </c>
      <c r="P1033" s="13" t="s">
        <v>303</v>
      </c>
      <c r="Q1033" s="34">
        <f t="shared" si="36"/>
        <v>1112289.6400000001</v>
      </c>
      <c r="R1033" s="34" t="str">
        <f>VLOOKUP(E1033,Sales_Reps!$A$2:$E$100,3,FALSE)</f>
        <v>East</v>
      </c>
      <c r="S1033" s="34" t="str">
        <f t="shared" si="37"/>
        <v>Apparel</v>
      </c>
      <c r="T1033" s="38">
        <f>VLOOKUP(D1033,Products!$A$2:$F$68,4,FALSE)</f>
        <v>396</v>
      </c>
    </row>
    <row r="1034" spans="1:20" x14ac:dyDescent="0.35">
      <c r="A1034" s="13" t="s">
        <v>1516</v>
      </c>
      <c r="B1034" s="14">
        <v>45453</v>
      </c>
      <c r="C1034" s="13" t="s">
        <v>163</v>
      </c>
      <c r="D1034" s="13" t="s">
        <v>264</v>
      </c>
      <c r="E1034" s="13" t="s">
        <v>103</v>
      </c>
      <c r="F1034" s="15">
        <v>9</v>
      </c>
      <c r="G1034" s="15">
        <v>4070</v>
      </c>
      <c r="H1034" s="15">
        <v>16.2</v>
      </c>
      <c r="I1034" s="15">
        <v>30695.94</v>
      </c>
      <c r="J1034" s="13" t="s">
        <v>87</v>
      </c>
      <c r="K1034" s="13" t="s">
        <v>94</v>
      </c>
      <c r="L1034" s="34" t="str">
        <f>VLOOKUP(D1034,Products!$A$2:$F$61,3,FALSE)</f>
        <v>Grocery</v>
      </c>
      <c r="M1034" s="34" t="str">
        <f>VLOOKUP(C1034,Customers!$A$2:$F$301,5,FALSE)</f>
        <v>Retail</v>
      </c>
      <c r="N1034" s="34">
        <f>VLOOKUP(C1034,Customers!$A$2:$F$301,3,FALSE)</f>
        <v>49</v>
      </c>
      <c r="O1034" s="34" t="str">
        <f>VLOOKUP(E1034,Sales_Reps!$A$2:$E$31,3,FALSE)</f>
        <v>North</v>
      </c>
      <c r="P1034" s="13" t="s">
        <v>103</v>
      </c>
      <c r="Q1034" s="34">
        <f t="shared" si="36"/>
        <v>1138648.73</v>
      </c>
      <c r="R1034" s="34" t="str">
        <f>VLOOKUP(E1034,Sales_Reps!$A$2:$E$100,3,FALSE)</f>
        <v>North</v>
      </c>
      <c r="S1034" s="34" t="str">
        <f t="shared" si="37"/>
        <v>Grocery</v>
      </c>
      <c r="T1034" s="38">
        <f>VLOOKUP(D1034,Products!$A$2:$F$68,4,FALSE)</f>
        <v>2027</v>
      </c>
    </row>
    <row r="1035" spans="1:20" x14ac:dyDescent="0.35">
      <c r="A1035" s="13" t="s">
        <v>1517</v>
      </c>
      <c r="B1035" s="14">
        <v>45351</v>
      </c>
      <c r="C1035" s="13" t="s">
        <v>1000</v>
      </c>
      <c r="D1035" s="13" t="s">
        <v>106</v>
      </c>
      <c r="E1035" s="13" t="s">
        <v>86</v>
      </c>
      <c r="F1035" s="15">
        <v>8</v>
      </c>
      <c r="G1035" s="15">
        <v>3160</v>
      </c>
      <c r="H1035" s="15">
        <v>23.8</v>
      </c>
      <c r="I1035" s="15">
        <v>19263.36</v>
      </c>
      <c r="J1035" s="13" t="s">
        <v>87</v>
      </c>
      <c r="K1035" s="13" t="s">
        <v>117</v>
      </c>
      <c r="L1035" s="34" t="str">
        <f>VLOOKUP(D1035,Products!$A$2:$F$61,3,FALSE)</f>
        <v>Apparel</v>
      </c>
      <c r="M1035" s="34" t="str">
        <f>VLOOKUP(C1035,Customers!$A$2:$F$301,5,FALSE)</f>
        <v>Retail</v>
      </c>
      <c r="N1035" s="34">
        <f>VLOOKUP(C1035,Customers!$A$2:$F$301,3,FALSE)</f>
        <v>27</v>
      </c>
      <c r="O1035" s="34" t="str">
        <f>VLOOKUP(E1035,Sales_Reps!$A$2:$E$31,3,FALSE)</f>
        <v>North</v>
      </c>
      <c r="P1035" s="13" t="s">
        <v>86</v>
      </c>
      <c r="Q1035" s="34">
        <f t="shared" si="36"/>
        <v>855749.67999999982</v>
      </c>
      <c r="R1035" s="34" t="str">
        <f>VLOOKUP(E1035,Sales_Reps!$A$2:$E$100,3,FALSE)</f>
        <v>North</v>
      </c>
      <c r="S1035" s="34" t="str">
        <f t="shared" si="37"/>
        <v>Apparel</v>
      </c>
      <c r="T1035" s="38">
        <f>VLOOKUP(D1035,Products!$A$2:$F$68,4,FALSE)</f>
        <v>1886</v>
      </c>
    </row>
    <row r="1036" spans="1:20" x14ac:dyDescent="0.35">
      <c r="A1036" s="13" t="s">
        <v>1518</v>
      </c>
      <c r="B1036" s="14">
        <v>45422</v>
      </c>
      <c r="C1036" s="13" t="s">
        <v>105</v>
      </c>
      <c r="D1036" s="13" t="s">
        <v>338</v>
      </c>
      <c r="E1036" s="13" t="s">
        <v>285</v>
      </c>
      <c r="F1036" s="15">
        <v>3</v>
      </c>
      <c r="G1036" s="15">
        <v>2210</v>
      </c>
      <c r="H1036" s="15">
        <v>29.7</v>
      </c>
      <c r="I1036" s="15">
        <v>4660.8900000000003</v>
      </c>
      <c r="J1036" s="13" t="s">
        <v>87</v>
      </c>
      <c r="K1036" s="13" t="s">
        <v>94</v>
      </c>
      <c r="L1036" s="34" t="str">
        <f>VLOOKUP(D1036,Products!$A$2:$F$61,3,FALSE)</f>
        <v>Grocery</v>
      </c>
      <c r="M1036" s="34" t="str">
        <f>VLOOKUP(C1036,Customers!$A$2:$F$301,5,FALSE)</f>
        <v>Retail</v>
      </c>
      <c r="N1036" s="34">
        <f>VLOOKUP(C1036,Customers!$A$2:$F$301,3,FALSE)</f>
        <v>36</v>
      </c>
      <c r="O1036" s="34" t="str">
        <f>VLOOKUP(E1036,Sales_Reps!$A$2:$E$31,3,FALSE)</f>
        <v>East</v>
      </c>
      <c r="P1036" s="13" t="s">
        <v>285</v>
      </c>
      <c r="Q1036" s="34">
        <f t="shared" si="36"/>
        <v>1069570.5400000003</v>
      </c>
      <c r="R1036" s="34" t="str">
        <f>VLOOKUP(E1036,Sales_Reps!$A$2:$E$100,3,FALSE)</f>
        <v>East</v>
      </c>
      <c r="S1036" s="34" t="str">
        <f t="shared" si="37"/>
        <v>Grocery</v>
      </c>
      <c r="T1036" s="38">
        <f>VLOOKUP(D1036,Products!$A$2:$F$68,4,FALSE)</f>
        <v>1010</v>
      </c>
    </row>
    <row r="1037" spans="1:20" x14ac:dyDescent="0.35">
      <c r="A1037" s="13" t="s">
        <v>1519</v>
      </c>
      <c r="B1037" s="14">
        <v>45361</v>
      </c>
      <c r="C1037" s="13" t="s">
        <v>602</v>
      </c>
      <c r="D1037" s="13" t="s">
        <v>97</v>
      </c>
      <c r="E1037" s="13" t="s">
        <v>111</v>
      </c>
      <c r="F1037" s="15">
        <v>9</v>
      </c>
      <c r="G1037" s="15">
        <v>470</v>
      </c>
      <c r="H1037" s="15">
        <v>27.1</v>
      </c>
      <c r="I1037" s="15">
        <v>3083.67</v>
      </c>
      <c r="J1037" s="13" t="s">
        <v>87</v>
      </c>
      <c r="K1037" s="13" t="s">
        <v>94</v>
      </c>
      <c r="L1037" s="34" t="str">
        <f>VLOOKUP(D1037,Products!$A$2:$F$61,3,FALSE)</f>
        <v>Sports</v>
      </c>
      <c r="M1037" s="34" t="str">
        <f>VLOOKUP(C1037,Customers!$A$2:$F$301,5,FALSE)</f>
        <v>Retail</v>
      </c>
      <c r="N1037" s="34">
        <f>VLOOKUP(C1037,Customers!$A$2:$F$301,3,FALSE)</f>
        <v>61</v>
      </c>
      <c r="O1037" s="34" t="str">
        <f>VLOOKUP(E1037,Sales_Reps!$A$2:$E$31,3,FALSE)</f>
        <v>West</v>
      </c>
      <c r="P1037" s="13" t="s">
        <v>111</v>
      </c>
      <c r="Q1037" s="34">
        <f t="shared" si="36"/>
        <v>901298.89</v>
      </c>
      <c r="R1037" s="34" t="str">
        <f>VLOOKUP(E1037,Sales_Reps!$A$2:$E$100,3,FALSE)</f>
        <v>West</v>
      </c>
      <c r="S1037" s="34" t="str">
        <f t="shared" si="37"/>
        <v>Sports</v>
      </c>
      <c r="T1037" s="38">
        <f>VLOOKUP(D1037,Products!$A$2:$F$68,4,FALSE)</f>
        <v>302</v>
      </c>
    </row>
    <row r="1038" spans="1:20" x14ac:dyDescent="0.35">
      <c r="A1038" s="13" t="s">
        <v>1520</v>
      </c>
      <c r="B1038" s="14">
        <v>45622</v>
      </c>
      <c r="C1038" s="13" t="s">
        <v>289</v>
      </c>
      <c r="D1038" s="13" t="s">
        <v>110</v>
      </c>
      <c r="E1038" s="13" t="s">
        <v>192</v>
      </c>
      <c r="F1038" s="15">
        <v>6</v>
      </c>
      <c r="G1038" s="15">
        <v>370</v>
      </c>
      <c r="H1038" s="15">
        <v>5.4</v>
      </c>
      <c r="I1038" s="15">
        <v>2100.12</v>
      </c>
      <c r="J1038" s="13" t="s">
        <v>87</v>
      </c>
      <c r="K1038" s="13" t="s">
        <v>94</v>
      </c>
      <c r="L1038" s="34" t="str">
        <f>VLOOKUP(D1038,Products!$A$2:$F$61,3,FALSE)</f>
        <v>Home</v>
      </c>
      <c r="M1038" s="34" t="str">
        <f>VLOOKUP(C1038,Customers!$A$2:$F$301,5,FALSE)</f>
        <v>Retail</v>
      </c>
      <c r="N1038" s="34">
        <f>VLOOKUP(C1038,Customers!$A$2:$F$301,3,FALSE)</f>
        <v>38</v>
      </c>
      <c r="O1038" s="34" t="str">
        <f>VLOOKUP(E1038,Sales_Reps!$A$2:$E$31,3,FALSE)</f>
        <v>East</v>
      </c>
      <c r="P1038" s="13" t="s">
        <v>192</v>
      </c>
      <c r="Q1038" s="34">
        <f t="shared" si="36"/>
        <v>906107.71000000008</v>
      </c>
      <c r="R1038" s="34" t="str">
        <f>VLOOKUP(E1038,Sales_Reps!$A$2:$E$100,3,FALSE)</f>
        <v>East</v>
      </c>
      <c r="S1038" s="34" t="str">
        <f t="shared" si="37"/>
        <v>Home</v>
      </c>
      <c r="T1038" s="38">
        <f>VLOOKUP(D1038,Products!$A$2:$F$68,4,FALSE)</f>
        <v>288</v>
      </c>
    </row>
    <row r="1039" spans="1:20" x14ac:dyDescent="0.35">
      <c r="A1039" s="13" t="s">
        <v>1521</v>
      </c>
      <c r="B1039" s="14">
        <v>45496</v>
      </c>
      <c r="C1039" s="13" t="s">
        <v>613</v>
      </c>
      <c r="D1039" s="13" t="s">
        <v>461</v>
      </c>
      <c r="E1039" s="13" t="s">
        <v>303</v>
      </c>
      <c r="F1039" s="15">
        <v>10</v>
      </c>
      <c r="G1039" s="15">
        <v>3780</v>
      </c>
      <c r="H1039" s="15">
        <v>21.5</v>
      </c>
      <c r="I1039" s="15">
        <v>29673</v>
      </c>
      <c r="J1039" s="13" t="s">
        <v>93</v>
      </c>
      <c r="K1039" s="13" t="s">
        <v>112</v>
      </c>
      <c r="L1039" s="34" t="str">
        <f>VLOOKUP(D1039,Products!$A$2:$F$61,3,FALSE)</f>
        <v>Sports</v>
      </c>
      <c r="M1039" s="34" t="str">
        <f>VLOOKUP(C1039,Customers!$A$2:$F$301,5,FALSE)</f>
        <v>Retail</v>
      </c>
      <c r="N1039" s="34">
        <f>VLOOKUP(C1039,Customers!$A$2:$F$301,3,FALSE)</f>
        <v>44</v>
      </c>
      <c r="O1039" s="34" t="str">
        <f>VLOOKUP(E1039,Sales_Reps!$A$2:$E$31,3,FALSE)</f>
        <v>East</v>
      </c>
      <c r="P1039" s="13" t="s">
        <v>303</v>
      </c>
      <c r="Q1039" s="34">
        <f t="shared" si="36"/>
        <v>1112289.6400000001</v>
      </c>
      <c r="R1039" s="34" t="str">
        <f>VLOOKUP(E1039,Sales_Reps!$A$2:$E$100,3,FALSE)</f>
        <v>East</v>
      </c>
      <c r="S1039" s="34" t="str">
        <f t="shared" si="37"/>
        <v>Sports</v>
      </c>
      <c r="T1039" s="38">
        <f>VLOOKUP(D1039,Products!$A$2:$F$68,4,FALSE)</f>
        <v>1860</v>
      </c>
    </row>
    <row r="1040" spans="1:20" x14ac:dyDescent="0.35">
      <c r="A1040" s="13" t="s">
        <v>1522</v>
      </c>
      <c r="B1040" s="14">
        <v>45578</v>
      </c>
      <c r="C1040" s="13" t="s">
        <v>490</v>
      </c>
      <c r="D1040" s="13" t="s">
        <v>515</v>
      </c>
      <c r="E1040" s="13" t="s">
        <v>204</v>
      </c>
      <c r="F1040" s="15">
        <v>4</v>
      </c>
      <c r="G1040" s="15">
        <v>6940</v>
      </c>
      <c r="H1040" s="15">
        <v>3.9</v>
      </c>
      <c r="I1040" s="15">
        <v>26677.360000000001</v>
      </c>
      <c r="J1040" s="13" t="s">
        <v>140</v>
      </c>
      <c r="K1040" s="13" t="s">
        <v>99</v>
      </c>
      <c r="L1040" s="34" t="str">
        <f>VLOOKUP(D1040,Products!$A$2:$F$61,3,FALSE)</f>
        <v>Sports</v>
      </c>
      <c r="M1040" s="34" t="str">
        <f>VLOOKUP(C1040,Customers!$A$2:$F$301,5,FALSE)</f>
        <v>Retail</v>
      </c>
      <c r="N1040" s="34">
        <f>VLOOKUP(C1040,Customers!$A$2:$F$301,3,FALSE)</f>
        <v>59</v>
      </c>
      <c r="O1040" s="34" t="str">
        <f>VLOOKUP(E1040,Sales_Reps!$A$2:$E$31,3,FALSE)</f>
        <v>South</v>
      </c>
      <c r="P1040" s="13" t="s">
        <v>204</v>
      </c>
      <c r="Q1040" s="34">
        <f t="shared" si="36"/>
        <v>914554.71999999986</v>
      </c>
      <c r="R1040" s="34" t="str">
        <f>VLOOKUP(E1040,Sales_Reps!$A$2:$E$100,3,FALSE)</f>
        <v>South</v>
      </c>
      <c r="S1040" s="34" t="str">
        <f t="shared" si="37"/>
        <v>Sports</v>
      </c>
      <c r="T1040" s="38">
        <f>VLOOKUP(D1040,Products!$A$2:$F$68,4,FALSE)</f>
        <v>2827</v>
      </c>
    </row>
    <row r="1041" spans="1:20" x14ac:dyDescent="0.35">
      <c r="A1041" s="13" t="s">
        <v>1523</v>
      </c>
      <c r="B1041" s="14">
        <v>45476</v>
      </c>
      <c r="C1041" s="13" t="s">
        <v>533</v>
      </c>
      <c r="D1041" s="13" t="s">
        <v>226</v>
      </c>
      <c r="E1041" s="13" t="s">
        <v>285</v>
      </c>
      <c r="F1041" s="15">
        <v>3</v>
      </c>
      <c r="G1041" s="15">
        <v>3730</v>
      </c>
      <c r="H1041" s="15">
        <v>20.7</v>
      </c>
      <c r="I1041" s="15">
        <v>8873.67</v>
      </c>
      <c r="J1041" s="13" t="s">
        <v>87</v>
      </c>
      <c r="K1041" s="13" t="s">
        <v>99</v>
      </c>
      <c r="L1041" s="34" t="str">
        <f>VLOOKUP(D1041,Products!$A$2:$F$61,3,FALSE)</f>
        <v>Home</v>
      </c>
      <c r="M1041" s="34" t="str">
        <f>VLOOKUP(C1041,Customers!$A$2:$F$301,5,FALSE)</f>
        <v>SMB</v>
      </c>
      <c r="N1041" s="34">
        <f>VLOOKUP(C1041,Customers!$A$2:$F$301,3,FALSE)</f>
        <v>48</v>
      </c>
      <c r="O1041" s="34" t="str">
        <f>VLOOKUP(E1041,Sales_Reps!$A$2:$E$31,3,FALSE)</f>
        <v>East</v>
      </c>
      <c r="P1041" s="13" t="s">
        <v>285</v>
      </c>
      <c r="Q1041" s="34">
        <f t="shared" si="36"/>
        <v>1069570.5400000003</v>
      </c>
      <c r="R1041" s="34" t="str">
        <f>VLOOKUP(E1041,Sales_Reps!$A$2:$E$100,3,FALSE)</f>
        <v>East</v>
      </c>
      <c r="S1041" s="34" t="str">
        <f t="shared" si="37"/>
        <v>Home</v>
      </c>
      <c r="T1041" s="38">
        <f>VLOOKUP(D1041,Products!$A$2:$F$68,4,FALSE)</f>
        <v>2135</v>
      </c>
    </row>
    <row r="1042" spans="1:20" x14ac:dyDescent="0.35">
      <c r="A1042" s="13" t="s">
        <v>1524</v>
      </c>
      <c r="B1042" s="14">
        <v>45300</v>
      </c>
      <c r="C1042" s="13" t="s">
        <v>1055</v>
      </c>
      <c r="D1042" s="13" t="s">
        <v>443</v>
      </c>
      <c r="E1042" s="13" t="s">
        <v>111</v>
      </c>
      <c r="F1042" s="15">
        <v>8</v>
      </c>
      <c r="G1042" s="15">
        <v>5080</v>
      </c>
      <c r="H1042" s="15">
        <v>6.2</v>
      </c>
      <c r="I1042" s="15">
        <v>38120.32</v>
      </c>
      <c r="J1042" s="13" t="s">
        <v>87</v>
      </c>
      <c r="K1042" s="13" t="s">
        <v>112</v>
      </c>
      <c r="L1042" s="34" t="str">
        <f>VLOOKUP(D1042,Products!$A$2:$F$61,3,FALSE)</f>
        <v>Home</v>
      </c>
      <c r="M1042" s="34" t="str">
        <f>VLOOKUP(C1042,Customers!$A$2:$F$301,5,FALSE)</f>
        <v>Retail</v>
      </c>
      <c r="N1042" s="34">
        <f>VLOOKUP(C1042,Customers!$A$2:$F$301,3,FALSE)</f>
        <v>37</v>
      </c>
      <c r="O1042" s="34" t="str">
        <f>VLOOKUP(E1042,Sales_Reps!$A$2:$E$31,3,FALSE)</f>
        <v>West</v>
      </c>
      <c r="P1042" s="13" t="s">
        <v>111</v>
      </c>
      <c r="Q1042" s="34">
        <f t="shared" si="36"/>
        <v>901298.89</v>
      </c>
      <c r="R1042" s="34" t="str">
        <f>VLOOKUP(E1042,Sales_Reps!$A$2:$E$100,3,FALSE)</f>
        <v>West</v>
      </c>
      <c r="S1042" s="34" t="str">
        <f t="shared" si="37"/>
        <v>Home</v>
      </c>
      <c r="T1042" s="38">
        <f>VLOOKUP(D1042,Products!$A$2:$F$68,4,FALSE)</f>
        <v>2459</v>
      </c>
    </row>
    <row r="1043" spans="1:20" x14ac:dyDescent="0.35">
      <c r="A1043" s="13" t="s">
        <v>1525</v>
      </c>
      <c r="B1043" s="14">
        <v>45455</v>
      </c>
      <c r="C1043" s="13" t="s">
        <v>166</v>
      </c>
      <c r="D1043" s="13" t="s">
        <v>360</v>
      </c>
      <c r="E1043" s="13" t="s">
        <v>215</v>
      </c>
      <c r="F1043" s="15">
        <v>5</v>
      </c>
      <c r="G1043" s="15">
        <v>5410</v>
      </c>
      <c r="H1043" s="15">
        <v>5.2</v>
      </c>
      <c r="I1043" s="15">
        <v>25643.4</v>
      </c>
      <c r="J1043" s="13" t="s">
        <v>87</v>
      </c>
      <c r="K1043" s="13" t="s">
        <v>133</v>
      </c>
      <c r="L1043" s="34" t="str">
        <f>VLOOKUP(D1043,Products!$A$2:$F$61,3,FALSE)</f>
        <v>Sports</v>
      </c>
      <c r="M1043" s="34" t="str">
        <f>VLOOKUP(C1043,Customers!$A$2:$F$301,5,FALSE)</f>
        <v>Retail</v>
      </c>
      <c r="N1043" s="34">
        <f>VLOOKUP(C1043,Customers!$A$2:$F$301,3,FALSE)</f>
        <v>32</v>
      </c>
      <c r="O1043" s="34" t="str">
        <f>VLOOKUP(E1043,Sales_Reps!$A$2:$E$31,3,FALSE)</f>
        <v>North</v>
      </c>
      <c r="P1043" s="13" t="s">
        <v>215</v>
      </c>
      <c r="Q1043" s="34">
        <f t="shared" si="36"/>
        <v>789849.60000000009</v>
      </c>
      <c r="R1043" s="34" t="str">
        <f>VLOOKUP(E1043,Sales_Reps!$A$2:$E$100,3,FALSE)</f>
        <v>North</v>
      </c>
      <c r="S1043" s="34" t="str">
        <f t="shared" si="37"/>
        <v>Sports</v>
      </c>
      <c r="T1043" s="38">
        <f>VLOOKUP(D1043,Products!$A$2:$F$68,4,FALSE)</f>
        <v>2265</v>
      </c>
    </row>
    <row r="1044" spans="1:20" x14ac:dyDescent="0.35">
      <c r="A1044" s="13" t="s">
        <v>1526</v>
      </c>
      <c r="B1044" s="14">
        <v>45404</v>
      </c>
      <c r="C1044" s="13" t="s">
        <v>420</v>
      </c>
      <c r="D1044" s="13" t="s">
        <v>173</v>
      </c>
      <c r="E1044" s="13" t="s">
        <v>201</v>
      </c>
      <c r="F1044" s="15">
        <v>6</v>
      </c>
      <c r="G1044" s="15">
        <v>2720</v>
      </c>
      <c r="H1044" s="15">
        <v>29.8</v>
      </c>
      <c r="I1044" s="15">
        <v>11456.64</v>
      </c>
      <c r="J1044" s="13" t="s">
        <v>93</v>
      </c>
      <c r="K1044" s="13" t="s">
        <v>99</v>
      </c>
      <c r="L1044" s="34" t="str">
        <f>VLOOKUP(D1044,Products!$A$2:$F$61,3,FALSE)</f>
        <v>Apparel</v>
      </c>
      <c r="M1044" s="34" t="str">
        <f>VLOOKUP(C1044,Customers!$A$2:$F$301,5,FALSE)</f>
        <v>Retail</v>
      </c>
      <c r="N1044" s="34">
        <f>VLOOKUP(C1044,Customers!$A$2:$F$301,3,FALSE)</f>
        <v>44</v>
      </c>
      <c r="O1044" s="34" t="str">
        <f>VLOOKUP(E1044,Sales_Reps!$A$2:$E$31,3,FALSE)</f>
        <v>West</v>
      </c>
      <c r="P1044" s="13" t="s">
        <v>201</v>
      </c>
      <c r="Q1044" s="34">
        <f t="shared" si="36"/>
        <v>576305.08000000019</v>
      </c>
      <c r="R1044" s="34" t="str">
        <f>VLOOKUP(E1044,Sales_Reps!$A$2:$E$100,3,FALSE)</f>
        <v>West</v>
      </c>
      <c r="S1044" s="34" t="str">
        <f t="shared" si="37"/>
        <v>Apparel</v>
      </c>
      <c r="T1044" s="38">
        <f>VLOOKUP(D1044,Products!$A$2:$F$68,4,FALSE)</f>
        <v>1962</v>
      </c>
    </row>
    <row r="1045" spans="1:20" x14ac:dyDescent="0.35">
      <c r="A1045" s="13" t="s">
        <v>1527</v>
      </c>
      <c r="B1045" s="14">
        <v>45468</v>
      </c>
      <c r="C1045" s="13" t="s">
        <v>376</v>
      </c>
      <c r="D1045" s="13" t="s">
        <v>267</v>
      </c>
      <c r="E1045" s="13" t="s">
        <v>132</v>
      </c>
      <c r="F1045" s="15">
        <v>1</v>
      </c>
      <c r="G1045" s="15">
        <v>1220</v>
      </c>
      <c r="H1045" s="15">
        <v>22.6</v>
      </c>
      <c r="I1045" s="15">
        <v>944.28</v>
      </c>
      <c r="J1045" s="13" t="s">
        <v>87</v>
      </c>
      <c r="K1045" s="13" t="s">
        <v>117</v>
      </c>
      <c r="L1045" s="34" t="str">
        <f>VLOOKUP(D1045,Products!$A$2:$F$61,3,FALSE)</f>
        <v>Electronics</v>
      </c>
      <c r="M1045" s="34" t="str">
        <f>VLOOKUP(C1045,Customers!$A$2:$F$301,5,FALSE)</f>
        <v>SMB</v>
      </c>
      <c r="N1045" s="34">
        <f>VLOOKUP(C1045,Customers!$A$2:$F$301,3,FALSE)</f>
        <v>44</v>
      </c>
      <c r="O1045" s="34" t="str">
        <f>VLOOKUP(E1045,Sales_Reps!$A$2:$E$31,3,FALSE)</f>
        <v>South</v>
      </c>
      <c r="P1045" s="13" t="s">
        <v>132</v>
      </c>
      <c r="Q1045" s="34">
        <f t="shared" si="36"/>
        <v>880345.20000000007</v>
      </c>
      <c r="R1045" s="34" t="str">
        <f>VLOOKUP(E1045,Sales_Reps!$A$2:$E$100,3,FALSE)</f>
        <v>South</v>
      </c>
      <c r="S1045" s="34" t="str">
        <f t="shared" si="37"/>
        <v>Electronics</v>
      </c>
      <c r="T1045" s="38">
        <f>VLOOKUP(D1045,Products!$A$2:$F$68,4,FALSE)</f>
        <v>517</v>
      </c>
    </row>
    <row r="1046" spans="1:20" x14ac:dyDescent="0.35">
      <c r="A1046" s="13" t="s">
        <v>1528</v>
      </c>
      <c r="B1046" s="14">
        <v>45640</v>
      </c>
      <c r="C1046" s="13" t="s">
        <v>1529</v>
      </c>
      <c r="D1046" s="13" t="s">
        <v>184</v>
      </c>
      <c r="E1046" s="13" t="s">
        <v>107</v>
      </c>
      <c r="F1046" s="15">
        <v>10</v>
      </c>
      <c r="G1046" s="15">
        <v>4880</v>
      </c>
      <c r="H1046" s="15">
        <v>7.3</v>
      </c>
      <c r="I1046" s="15">
        <v>45237.599999999999</v>
      </c>
      <c r="J1046" s="13" t="s">
        <v>87</v>
      </c>
      <c r="K1046" s="13" t="s">
        <v>94</v>
      </c>
      <c r="L1046" s="34" t="str">
        <f>VLOOKUP(D1046,Products!$A$2:$F$61,3,FALSE)</f>
        <v>Beauty</v>
      </c>
      <c r="M1046" s="34" t="str">
        <f>VLOOKUP(C1046,Customers!$A$2:$F$301,5,FALSE)</f>
        <v>Retail</v>
      </c>
      <c r="N1046" s="34">
        <f>VLOOKUP(C1046,Customers!$A$2:$F$301,3,FALSE)</f>
        <v>31</v>
      </c>
      <c r="O1046" s="34" t="str">
        <f>VLOOKUP(E1046,Sales_Reps!$A$2:$E$31,3,FALSE)</f>
        <v>North</v>
      </c>
      <c r="P1046" s="13" t="s">
        <v>107</v>
      </c>
      <c r="Q1046" s="34">
        <f t="shared" si="36"/>
        <v>861553.33</v>
      </c>
      <c r="R1046" s="34" t="str">
        <f>VLOOKUP(E1046,Sales_Reps!$A$2:$E$100,3,FALSE)</f>
        <v>North</v>
      </c>
      <c r="S1046" s="34" t="str">
        <f t="shared" si="37"/>
        <v>Beauty</v>
      </c>
      <c r="T1046" s="38">
        <f>VLOOKUP(D1046,Products!$A$2:$F$68,4,FALSE)</f>
        <v>2768</v>
      </c>
    </row>
    <row r="1047" spans="1:20" x14ac:dyDescent="0.35">
      <c r="A1047" s="13" t="s">
        <v>1530</v>
      </c>
      <c r="B1047" s="14">
        <v>45450</v>
      </c>
      <c r="C1047" s="13" t="s">
        <v>872</v>
      </c>
      <c r="D1047" s="13" t="s">
        <v>245</v>
      </c>
      <c r="E1047" s="13" t="s">
        <v>158</v>
      </c>
      <c r="F1047" s="15">
        <v>10</v>
      </c>
      <c r="G1047" s="15">
        <v>2270</v>
      </c>
      <c r="H1047" s="15">
        <v>1.6</v>
      </c>
      <c r="I1047" s="15">
        <v>22336.799999999999</v>
      </c>
      <c r="J1047" s="13" t="s">
        <v>87</v>
      </c>
      <c r="K1047" s="13" t="s">
        <v>112</v>
      </c>
      <c r="L1047" s="34" t="str">
        <f>VLOOKUP(D1047,Products!$A$2:$F$61,3,FALSE)</f>
        <v>Grocery</v>
      </c>
      <c r="M1047" s="34" t="str">
        <f>VLOOKUP(C1047,Customers!$A$2:$F$301,5,FALSE)</f>
        <v>Corporate</v>
      </c>
      <c r="N1047" s="34">
        <f>VLOOKUP(C1047,Customers!$A$2:$F$301,3,FALSE)</f>
        <v>62</v>
      </c>
      <c r="O1047" s="34" t="str">
        <f>VLOOKUP(E1047,Sales_Reps!$A$2:$E$31,3,FALSE)</f>
        <v>East</v>
      </c>
      <c r="P1047" s="13" t="s">
        <v>158</v>
      </c>
      <c r="Q1047" s="34">
        <f t="shared" si="36"/>
        <v>761507.17000000027</v>
      </c>
      <c r="R1047" s="34" t="str">
        <f>VLOOKUP(E1047,Sales_Reps!$A$2:$E$100,3,FALSE)</f>
        <v>East</v>
      </c>
      <c r="S1047" s="34" t="str">
        <f t="shared" si="37"/>
        <v>Grocery</v>
      </c>
      <c r="T1047" s="38">
        <f>VLOOKUP(D1047,Products!$A$2:$F$68,4,FALSE)</f>
        <v>1412</v>
      </c>
    </row>
    <row r="1048" spans="1:20" x14ac:dyDescent="0.35">
      <c r="A1048" s="13" t="s">
        <v>1531</v>
      </c>
      <c r="B1048" s="14">
        <v>45589</v>
      </c>
      <c r="C1048" s="13" t="s">
        <v>407</v>
      </c>
      <c r="D1048" s="13" t="s">
        <v>127</v>
      </c>
      <c r="E1048" s="13" t="s">
        <v>148</v>
      </c>
      <c r="F1048" s="15">
        <v>8</v>
      </c>
      <c r="G1048" s="15">
        <v>970</v>
      </c>
      <c r="H1048" s="15">
        <v>13.1</v>
      </c>
      <c r="I1048" s="15">
        <v>6743.44</v>
      </c>
      <c r="J1048" s="13" t="s">
        <v>87</v>
      </c>
      <c r="K1048" s="13" t="s">
        <v>88</v>
      </c>
      <c r="L1048" s="34" t="str">
        <f>VLOOKUP(D1048,Products!$A$2:$F$61,3,FALSE)</f>
        <v>Grocery</v>
      </c>
      <c r="M1048" s="34" t="str">
        <f>VLOOKUP(C1048,Customers!$A$2:$F$301,5,FALSE)</f>
        <v>SMB</v>
      </c>
      <c r="N1048" s="34">
        <f>VLOOKUP(C1048,Customers!$A$2:$F$301,3,FALSE)</f>
        <v>53</v>
      </c>
      <c r="O1048" s="34" t="str">
        <f>VLOOKUP(E1048,Sales_Reps!$A$2:$E$31,3,FALSE)</f>
        <v>North</v>
      </c>
      <c r="P1048" s="13" t="s">
        <v>148</v>
      </c>
      <c r="Q1048" s="34">
        <f t="shared" si="36"/>
        <v>986692.91</v>
      </c>
      <c r="R1048" s="34" t="str">
        <f>VLOOKUP(E1048,Sales_Reps!$A$2:$E$100,3,FALSE)</f>
        <v>North</v>
      </c>
      <c r="S1048" s="34" t="str">
        <f t="shared" si="37"/>
        <v>Grocery</v>
      </c>
      <c r="T1048" s="38">
        <f>VLOOKUP(D1048,Products!$A$2:$F$68,4,FALSE)</f>
        <v>434</v>
      </c>
    </row>
    <row r="1049" spans="1:20" x14ac:dyDescent="0.35">
      <c r="A1049" s="13" t="s">
        <v>1532</v>
      </c>
      <c r="B1049" s="14">
        <v>45646</v>
      </c>
      <c r="C1049" s="13" t="s">
        <v>382</v>
      </c>
      <c r="D1049" s="13" t="s">
        <v>367</v>
      </c>
      <c r="E1049" s="13" t="s">
        <v>325</v>
      </c>
      <c r="F1049" s="15">
        <v>7</v>
      </c>
      <c r="G1049" s="15">
        <v>2380</v>
      </c>
      <c r="H1049" s="15">
        <v>10.6</v>
      </c>
      <c r="I1049" s="15">
        <v>14894.04</v>
      </c>
      <c r="J1049" s="13" t="s">
        <v>140</v>
      </c>
      <c r="K1049" s="13" t="s">
        <v>99</v>
      </c>
      <c r="L1049" s="34" t="str">
        <f>VLOOKUP(D1049,Products!$A$2:$F$61,3,FALSE)</f>
        <v>Grocery</v>
      </c>
      <c r="M1049" s="34" t="str">
        <f>VLOOKUP(C1049,Customers!$A$2:$F$301,5,FALSE)</f>
        <v>Corporate</v>
      </c>
      <c r="N1049" s="34">
        <f>VLOOKUP(C1049,Customers!$A$2:$F$301,3,FALSE)</f>
        <v>27</v>
      </c>
      <c r="O1049" s="34" t="str">
        <f>VLOOKUP(E1049,Sales_Reps!$A$2:$E$31,3,FALSE)</f>
        <v>South</v>
      </c>
      <c r="P1049" s="13" t="s">
        <v>325</v>
      </c>
      <c r="Q1049" s="34">
        <f t="shared" si="36"/>
        <v>901394.32000000007</v>
      </c>
      <c r="R1049" s="34" t="str">
        <f>VLOOKUP(E1049,Sales_Reps!$A$2:$E$100,3,FALSE)</f>
        <v>South</v>
      </c>
      <c r="S1049" s="34" t="str">
        <f t="shared" si="37"/>
        <v>Grocery</v>
      </c>
      <c r="T1049" s="38">
        <f>VLOOKUP(D1049,Products!$A$2:$F$68,4,FALSE)</f>
        <v>1182</v>
      </c>
    </row>
    <row r="1050" spans="1:20" x14ac:dyDescent="0.35">
      <c r="A1050" s="13" t="s">
        <v>1533</v>
      </c>
      <c r="B1050" s="14">
        <v>45488</v>
      </c>
      <c r="C1050" s="13" t="s">
        <v>1534</v>
      </c>
      <c r="D1050" s="13" t="s">
        <v>85</v>
      </c>
      <c r="E1050" s="13" t="s">
        <v>346</v>
      </c>
      <c r="F1050" s="15">
        <v>6</v>
      </c>
      <c r="G1050" s="15">
        <v>3620</v>
      </c>
      <c r="H1050" s="15">
        <v>21.3</v>
      </c>
      <c r="I1050" s="15">
        <v>17093.64</v>
      </c>
      <c r="J1050" s="13" t="s">
        <v>140</v>
      </c>
      <c r="K1050" s="13" t="s">
        <v>133</v>
      </c>
      <c r="L1050" s="34" t="str">
        <f>VLOOKUP(D1050,Products!$A$2:$F$61,3,FALSE)</f>
        <v>Apparel</v>
      </c>
      <c r="M1050" s="34" t="str">
        <f>VLOOKUP(C1050,Customers!$A$2:$F$301,5,FALSE)</f>
        <v>Corporate</v>
      </c>
      <c r="N1050" s="34">
        <f>VLOOKUP(C1050,Customers!$A$2:$F$301,3,FALSE)</f>
        <v>25</v>
      </c>
      <c r="O1050" s="34" t="str">
        <f>VLOOKUP(E1050,Sales_Reps!$A$2:$E$31,3,FALSE)</f>
        <v>South</v>
      </c>
      <c r="P1050" s="13" t="s">
        <v>346</v>
      </c>
      <c r="Q1050" s="34">
        <f t="shared" si="36"/>
        <v>814563.7100000002</v>
      </c>
      <c r="R1050" s="34" t="str">
        <f>VLOOKUP(E1050,Sales_Reps!$A$2:$E$100,3,FALSE)</f>
        <v>South</v>
      </c>
      <c r="S1050" s="34" t="str">
        <f t="shared" si="37"/>
        <v>Apparel</v>
      </c>
      <c r="T1050" s="38">
        <f>VLOOKUP(D1050,Products!$A$2:$F$68,4,FALSE)</f>
        <v>2509</v>
      </c>
    </row>
    <row r="1051" spans="1:20" x14ac:dyDescent="0.35">
      <c r="A1051" s="13" t="s">
        <v>1535</v>
      </c>
      <c r="B1051" s="14">
        <v>45555</v>
      </c>
      <c r="C1051" s="13" t="s">
        <v>490</v>
      </c>
      <c r="D1051" s="13" t="s">
        <v>264</v>
      </c>
      <c r="E1051" s="13" t="s">
        <v>343</v>
      </c>
      <c r="F1051" s="15">
        <v>3</v>
      </c>
      <c r="G1051" s="15">
        <v>4070</v>
      </c>
      <c r="H1051" s="15">
        <v>8.1999999999999993</v>
      </c>
      <c r="I1051" s="15">
        <v>11208.78</v>
      </c>
      <c r="J1051" s="13" t="s">
        <v>140</v>
      </c>
      <c r="K1051" s="13" t="s">
        <v>99</v>
      </c>
      <c r="L1051" s="34" t="str">
        <f>VLOOKUP(D1051,Products!$A$2:$F$61,3,FALSE)</f>
        <v>Grocery</v>
      </c>
      <c r="M1051" s="34" t="str">
        <f>VLOOKUP(C1051,Customers!$A$2:$F$301,5,FALSE)</f>
        <v>Retail</v>
      </c>
      <c r="N1051" s="34">
        <f>VLOOKUP(C1051,Customers!$A$2:$F$301,3,FALSE)</f>
        <v>59</v>
      </c>
      <c r="O1051" s="34" t="str">
        <f>VLOOKUP(E1051,Sales_Reps!$A$2:$E$31,3,FALSE)</f>
        <v>West</v>
      </c>
      <c r="P1051" s="13" t="s">
        <v>343</v>
      </c>
      <c r="Q1051" s="34">
        <f t="shared" si="36"/>
        <v>917092.61999999965</v>
      </c>
      <c r="R1051" s="34" t="str">
        <f>VLOOKUP(E1051,Sales_Reps!$A$2:$E$100,3,FALSE)</f>
        <v>West</v>
      </c>
      <c r="S1051" s="34" t="str">
        <f t="shared" si="37"/>
        <v>Grocery</v>
      </c>
      <c r="T1051" s="38">
        <f>VLOOKUP(D1051,Products!$A$2:$F$68,4,FALSE)</f>
        <v>2027</v>
      </c>
    </row>
    <row r="1052" spans="1:20" x14ac:dyDescent="0.35">
      <c r="A1052" s="13" t="s">
        <v>1536</v>
      </c>
      <c r="B1052" s="14">
        <v>45578</v>
      </c>
      <c r="C1052" s="13" t="s">
        <v>454</v>
      </c>
      <c r="D1052" s="13" t="s">
        <v>191</v>
      </c>
      <c r="E1052" s="13" t="s">
        <v>201</v>
      </c>
      <c r="F1052" s="15">
        <v>8</v>
      </c>
      <c r="G1052" s="15">
        <v>5100</v>
      </c>
      <c r="H1052" s="15">
        <v>26.9</v>
      </c>
      <c r="I1052" s="15">
        <v>29824.799999999999</v>
      </c>
      <c r="J1052" s="13" t="s">
        <v>87</v>
      </c>
      <c r="K1052" s="13" t="s">
        <v>133</v>
      </c>
      <c r="L1052" s="34" t="str">
        <f>VLOOKUP(D1052,Products!$A$2:$F$61,3,FALSE)</f>
        <v>Beauty</v>
      </c>
      <c r="M1052" s="34" t="str">
        <f>VLOOKUP(C1052,Customers!$A$2:$F$301,5,FALSE)</f>
        <v>Corporate</v>
      </c>
      <c r="N1052" s="34">
        <f>VLOOKUP(C1052,Customers!$A$2:$F$301,3,FALSE)</f>
        <v>43</v>
      </c>
      <c r="O1052" s="34" t="str">
        <f>VLOOKUP(E1052,Sales_Reps!$A$2:$E$31,3,FALSE)</f>
        <v>West</v>
      </c>
      <c r="P1052" s="13" t="s">
        <v>201</v>
      </c>
      <c r="Q1052" s="34">
        <f t="shared" si="36"/>
        <v>576305.08000000019</v>
      </c>
      <c r="R1052" s="34" t="str">
        <f>VLOOKUP(E1052,Sales_Reps!$A$2:$E$100,3,FALSE)</f>
        <v>West</v>
      </c>
      <c r="S1052" s="34" t="str">
        <f t="shared" si="37"/>
        <v>Beauty</v>
      </c>
      <c r="T1052" s="38">
        <f>VLOOKUP(D1052,Products!$A$2:$F$68,4,FALSE)</f>
        <v>2237</v>
      </c>
    </row>
    <row r="1053" spans="1:20" x14ac:dyDescent="0.35">
      <c r="A1053" s="13" t="s">
        <v>1288</v>
      </c>
      <c r="B1053" s="14">
        <v>45296</v>
      </c>
      <c r="C1053" s="13" t="s">
        <v>872</v>
      </c>
      <c r="D1053" s="13" t="s">
        <v>276</v>
      </c>
      <c r="E1053" s="13" t="s">
        <v>238</v>
      </c>
      <c r="F1053" s="15">
        <v>3</v>
      </c>
      <c r="G1053" s="15">
        <v>3020</v>
      </c>
      <c r="H1053" s="15">
        <v>18.5</v>
      </c>
      <c r="I1053" s="15">
        <v>7383.9</v>
      </c>
      <c r="J1053" s="13" t="s">
        <v>140</v>
      </c>
      <c r="K1053" s="13" t="s">
        <v>112</v>
      </c>
      <c r="L1053" s="34" t="str">
        <f>VLOOKUP(D1053,Products!$A$2:$F$61,3,FALSE)</f>
        <v>Beauty</v>
      </c>
      <c r="M1053" s="34" t="str">
        <f>VLOOKUP(C1053,Customers!$A$2:$F$301,5,FALSE)</f>
        <v>Corporate</v>
      </c>
      <c r="N1053" s="34">
        <f>VLOOKUP(C1053,Customers!$A$2:$F$301,3,FALSE)</f>
        <v>62</v>
      </c>
      <c r="O1053" s="34" t="str">
        <f>VLOOKUP(E1053,Sales_Reps!$A$2:$E$31,3,FALSE)</f>
        <v>East</v>
      </c>
      <c r="P1053" s="13" t="s">
        <v>238</v>
      </c>
      <c r="Q1053" s="34">
        <f t="shared" si="36"/>
        <v>780384.40999999992</v>
      </c>
      <c r="R1053" s="34" t="str">
        <f>VLOOKUP(E1053,Sales_Reps!$A$2:$E$100,3,FALSE)</f>
        <v>East</v>
      </c>
      <c r="S1053" s="34" t="str">
        <f t="shared" si="37"/>
        <v>Beauty</v>
      </c>
      <c r="T1053" s="38">
        <f>VLOOKUP(D1053,Products!$A$2:$F$68,4,FALSE)</f>
        <v>1626</v>
      </c>
    </row>
    <row r="1054" spans="1:20" x14ac:dyDescent="0.35">
      <c r="A1054" s="13" t="s">
        <v>1537</v>
      </c>
      <c r="B1054" s="14">
        <v>45564</v>
      </c>
      <c r="C1054" s="13" t="s">
        <v>1096</v>
      </c>
      <c r="D1054" s="13" t="s">
        <v>380</v>
      </c>
      <c r="E1054" s="13" t="s">
        <v>297</v>
      </c>
      <c r="F1054" s="15">
        <v>8</v>
      </c>
      <c r="G1054" s="15">
        <v>960</v>
      </c>
      <c r="H1054" s="15">
        <v>7.1</v>
      </c>
      <c r="I1054" s="15">
        <v>7134.72</v>
      </c>
      <c r="J1054" s="13" t="s">
        <v>87</v>
      </c>
      <c r="K1054" s="13" t="s">
        <v>88</v>
      </c>
      <c r="L1054" s="34" t="str">
        <f>VLOOKUP(D1054,Products!$A$2:$F$61,3,FALSE)</f>
        <v>Beauty</v>
      </c>
      <c r="M1054" s="34" t="str">
        <f>VLOOKUP(C1054,Customers!$A$2:$F$301,5,FALSE)</f>
        <v>Corporate</v>
      </c>
      <c r="N1054" s="34">
        <f>VLOOKUP(C1054,Customers!$A$2:$F$301,3,FALSE)</f>
        <v>42</v>
      </c>
      <c r="O1054" s="34" t="str">
        <f>VLOOKUP(E1054,Sales_Reps!$A$2:$E$31,3,FALSE)</f>
        <v>North</v>
      </c>
      <c r="P1054" s="13" t="s">
        <v>297</v>
      </c>
      <c r="Q1054" s="34">
        <f t="shared" si="36"/>
        <v>980063.65999999968</v>
      </c>
      <c r="R1054" s="34" t="str">
        <f>VLOOKUP(E1054,Sales_Reps!$A$2:$E$100,3,FALSE)</f>
        <v>North</v>
      </c>
      <c r="S1054" s="34" t="str">
        <f t="shared" si="37"/>
        <v>Beauty</v>
      </c>
      <c r="T1054" s="38">
        <f>VLOOKUP(D1054,Products!$A$2:$F$68,4,FALSE)</f>
        <v>675</v>
      </c>
    </row>
    <row r="1055" spans="1:20" x14ac:dyDescent="0.35">
      <c r="A1055" s="13" t="s">
        <v>1538</v>
      </c>
      <c r="B1055" s="14">
        <v>45383</v>
      </c>
      <c r="C1055" s="13" t="s">
        <v>602</v>
      </c>
      <c r="D1055" s="13" t="s">
        <v>443</v>
      </c>
      <c r="E1055" s="13" t="s">
        <v>188</v>
      </c>
      <c r="F1055" s="15">
        <v>8</v>
      </c>
      <c r="G1055" s="15">
        <v>5080</v>
      </c>
      <c r="H1055" s="15">
        <v>6.2</v>
      </c>
      <c r="I1055" s="15">
        <v>38120.32</v>
      </c>
      <c r="J1055" s="13" t="s">
        <v>87</v>
      </c>
      <c r="K1055" s="13" t="s">
        <v>94</v>
      </c>
      <c r="L1055" s="34" t="str">
        <f>VLOOKUP(D1055,Products!$A$2:$F$61,3,FALSE)</f>
        <v>Home</v>
      </c>
      <c r="M1055" s="34" t="str">
        <f>VLOOKUP(C1055,Customers!$A$2:$F$301,5,FALSE)</f>
        <v>Retail</v>
      </c>
      <c r="N1055" s="34">
        <f>VLOOKUP(C1055,Customers!$A$2:$F$301,3,FALSE)</f>
        <v>61</v>
      </c>
      <c r="O1055" s="34" t="str">
        <f>VLOOKUP(E1055,Sales_Reps!$A$2:$E$31,3,FALSE)</f>
        <v>South</v>
      </c>
      <c r="P1055" s="13" t="s">
        <v>188</v>
      </c>
      <c r="Q1055" s="34">
        <f t="shared" si="36"/>
        <v>1091740.1799999997</v>
      </c>
      <c r="R1055" s="34" t="str">
        <f>VLOOKUP(E1055,Sales_Reps!$A$2:$E$100,3,FALSE)</f>
        <v>South</v>
      </c>
      <c r="S1055" s="34" t="str">
        <f t="shared" si="37"/>
        <v>Home</v>
      </c>
      <c r="T1055" s="38">
        <f>VLOOKUP(D1055,Products!$A$2:$F$68,4,FALSE)</f>
        <v>2459</v>
      </c>
    </row>
    <row r="1056" spans="1:20" x14ac:dyDescent="0.35">
      <c r="A1056" s="13" t="s">
        <v>1539</v>
      </c>
      <c r="B1056" s="14">
        <v>45436</v>
      </c>
      <c r="C1056" s="13" t="s">
        <v>541</v>
      </c>
      <c r="D1056" s="13" t="s">
        <v>241</v>
      </c>
      <c r="E1056" s="13" t="s">
        <v>132</v>
      </c>
      <c r="F1056" s="15">
        <v>6</v>
      </c>
      <c r="G1056" s="15">
        <v>6080</v>
      </c>
      <c r="H1056" s="15">
        <v>25.8</v>
      </c>
      <c r="I1056" s="15">
        <v>27068.16</v>
      </c>
      <c r="J1056" s="13" t="s">
        <v>87</v>
      </c>
      <c r="K1056" s="13" t="s">
        <v>94</v>
      </c>
      <c r="L1056" s="34" t="str">
        <f>VLOOKUP(D1056,Products!$A$2:$F$61,3,FALSE)</f>
        <v>Beauty</v>
      </c>
      <c r="M1056" s="34" t="str">
        <f>VLOOKUP(C1056,Customers!$A$2:$F$301,5,FALSE)</f>
        <v>Corporate</v>
      </c>
      <c r="N1056" s="34">
        <f>VLOOKUP(C1056,Customers!$A$2:$F$301,3,FALSE)</f>
        <v>34</v>
      </c>
      <c r="O1056" s="34" t="str">
        <f>VLOOKUP(E1056,Sales_Reps!$A$2:$E$31,3,FALSE)</f>
        <v>South</v>
      </c>
      <c r="P1056" s="13" t="s">
        <v>132</v>
      </c>
      <c r="Q1056" s="34">
        <f t="shared" si="36"/>
        <v>880345.20000000007</v>
      </c>
      <c r="R1056" s="34" t="str">
        <f>VLOOKUP(E1056,Sales_Reps!$A$2:$E$100,3,FALSE)</f>
        <v>South</v>
      </c>
      <c r="S1056" s="34" t="str">
        <f t="shared" si="37"/>
        <v>Beauty</v>
      </c>
      <c r="T1056" s="38">
        <f>VLOOKUP(D1056,Products!$A$2:$F$68,4,FALSE)</f>
        <v>2617</v>
      </c>
    </row>
    <row r="1057" spans="1:20" x14ac:dyDescent="0.35">
      <c r="A1057" s="13" t="s">
        <v>1540</v>
      </c>
      <c r="B1057" s="14">
        <v>45544</v>
      </c>
      <c r="C1057" s="13" t="s">
        <v>539</v>
      </c>
      <c r="D1057" s="13" t="s">
        <v>259</v>
      </c>
      <c r="E1057" s="13" t="s">
        <v>132</v>
      </c>
      <c r="F1057" s="15">
        <v>5</v>
      </c>
      <c r="G1057" s="15">
        <v>1540</v>
      </c>
      <c r="H1057" s="15">
        <v>24.6</v>
      </c>
      <c r="I1057" s="15">
        <v>5805.8</v>
      </c>
      <c r="J1057" s="13" t="s">
        <v>87</v>
      </c>
      <c r="K1057" s="13" t="s">
        <v>133</v>
      </c>
      <c r="L1057" s="34" t="str">
        <f>VLOOKUP(D1057,Products!$A$2:$F$61,3,FALSE)</f>
        <v>Beauty</v>
      </c>
      <c r="M1057" s="34" t="str">
        <f>VLOOKUP(C1057,Customers!$A$2:$F$301,5,FALSE)</f>
        <v>Retail</v>
      </c>
      <c r="N1057" s="34">
        <f>VLOOKUP(C1057,Customers!$A$2:$F$301,3,FALSE)</f>
        <v>38</v>
      </c>
      <c r="O1057" s="34" t="str">
        <f>VLOOKUP(E1057,Sales_Reps!$A$2:$E$31,3,FALSE)</f>
        <v>South</v>
      </c>
      <c r="P1057" s="13" t="s">
        <v>132</v>
      </c>
      <c r="Q1057" s="34">
        <f t="shared" si="36"/>
        <v>880345.20000000007</v>
      </c>
      <c r="R1057" s="34" t="str">
        <f>VLOOKUP(E1057,Sales_Reps!$A$2:$E$100,3,FALSE)</f>
        <v>South</v>
      </c>
      <c r="S1057" s="34" t="str">
        <f t="shared" si="37"/>
        <v>Beauty</v>
      </c>
      <c r="T1057" s="38">
        <f>VLOOKUP(D1057,Products!$A$2:$F$68,4,FALSE)</f>
        <v>647</v>
      </c>
    </row>
    <row r="1058" spans="1:20" x14ac:dyDescent="0.35">
      <c r="A1058" s="13" t="s">
        <v>1541</v>
      </c>
      <c r="B1058" s="14">
        <v>45404</v>
      </c>
      <c r="C1058" s="13" t="s">
        <v>779</v>
      </c>
      <c r="D1058" s="13" t="s">
        <v>182</v>
      </c>
      <c r="E1058" s="13" t="s">
        <v>116</v>
      </c>
      <c r="F1058" s="15">
        <v>4</v>
      </c>
      <c r="G1058" s="15">
        <v>1010</v>
      </c>
      <c r="H1058" s="15">
        <v>2.9</v>
      </c>
      <c r="I1058" s="15">
        <v>3922.84</v>
      </c>
      <c r="J1058" s="13" t="s">
        <v>93</v>
      </c>
      <c r="K1058" s="13" t="s">
        <v>117</v>
      </c>
      <c r="L1058" s="34" t="str">
        <f>VLOOKUP(D1058,Products!$A$2:$F$61,3,FALSE)</f>
        <v>Sports</v>
      </c>
      <c r="M1058" s="34" t="str">
        <f>VLOOKUP(C1058,Customers!$A$2:$F$301,5,FALSE)</f>
        <v>Retail</v>
      </c>
      <c r="N1058" s="34">
        <f>VLOOKUP(C1058,Customers!$A$2:$F$301,3,FALSE)</f>
        <v>27</v>
      </c>
      <c r="O1058" s="34" t="str">
        <f>VLOOKUP(E1058,Sales_Reps!$A$2:$E$31,3,FALSE)</f>
        <v>West</v>
      </c>
      <c r="P1058" s="13" t="s">
        <v>116</v>
      </c>
      <c r="Q1058" s="34">
        <f t="shared" si="36"/>
        <v>819558.58</v>
      </c>
      <c r="R1058" s="34" t="str">
        <f>VLOOKUP(E1058,Sales_Reps!$A$2:$E$100,3,FALSE)</f>
        <v>West</v>
      </c>
      <c r="S1058" s="34" t="str">
        <f t="shared" si="37"/>
        <v>Sports</v>
      </c>
      <c r="T1058" s="38">
        <f>VLOOKUP(D1058,Products!$A$2:$F$68,4,FALSE)</f>
        <v>516</v>
      </c>
    </row>
    <row r="1059" spans="1:20" x14ac:dyDescent="0.35">
      <c r="A1059" s="13" t="s">
        <v>1542</v>
      </c>
      <c r="B1059" s="14">
        <v>45586</v>
      </c>
      <c r="C1059" s="13" t="s">
        <v>533</v>
      </c>
      <c r="D1059" s="13" t="s">
        <v>380</v>
      </c>
      <c r="E1059" s="13" t="s">
        <v>201</v>
      </c>
      <c r="F1059" s="15">
        <v>5</v>
      </c>
      <c r="G1059" s="15">
        <v>960</v>
      </c>
      <c r="H1059" s="15">
        <v>11.4</v>
      </c>
      <c r="I1059" s="15">
        <v>4252.8</v>
      </c>
      <c r="J1059" s="13" t="s">
        <v>87</v>
      </c>
      <c r="K1059" s="13" t="s">
        <v>99</v>
      </c>
      <c r="L1059" s="34" t="str">
        <f>VLOOKUP(D1059,Products!$A$2:$F$61,3,FALSE)</f>
        <v>Beauty</v>
      </c>
      <c r="M1059" s="34" t="str">
        <f>VLOOKUP(C1059,Customers!$A$2:$F$301,5,FALSE)</f>
        <v>SMB</v>
      </c>
      <c r="N1059" s="34">
        <f>VLOOKUP(C1059,Customers!$A$2:$F$301,3,FALSE)</f>
        <v>48</v>
      </c>
      <c r="O1059" s="34" t="str">
        <f>VLOOKUP(E1059,Sales_Reps!$A$2:$E$31,3,FALSE)</f>
        <v>West</v>
      </c>
      <c r="P1059" s="13" t="s">
        <v>201</v>
      </c>
      <c r="Q1059" s="34">
        <f t="shared" si="36"/>
        <v>576305.08000000019</v>
      </c>
      <c r="R1059" s="34" t="str">
        <f>VLOOKUP(E1059,Sales_Reps!$A$2:$E$100,3,FALSE)</f>
        <v>West</v>
      </c>
      <c r="S1059" s="34" t="str">
        <f t="shared" si="37"/>
        <v>Beauty</v>
      </c>
      <c r="T1059" s="38">
        <f>VLOOKUP(D1059,Products!$A$2:$F$68,4,FALSE)</f>
        <v>675</v>
      </c>
    </row>
    <row r="1060" spans="1:20" x14ac:dyDescent="0.35">
      <c r="A1060" s="13" t="s">
        <v>1543</v>
      </c>
      <c r="B1060" s="14">
        <v>45524</v>
      </c>
      <c r="C1060" s="13" t="s">
        <v>231</v>
      </c>
      <c r="D1060" s="13" t="s">
        <v>259</v>
      </c>
      <c r="E1060" s="13" t="s">
        <v>132</v>
      </c>
      <c r="F1060" s="15">
        <v>1</v>
      </c>
      <c r="G1060" s="15">
        <v>1540</v>
      </c>
      <c r="H1060" s="15">
        <v>5.6</v>
      </c>
      <c r="I1060" s="15">
        <v>1453.76</v>
      </c>
      <c r="J1060" s="13" t="s">
        <v>87</v>
      </c>
      <c r="K1060" s="13" t="s">
        <v>117</v>
      </c>
      <c r="L1060" s="34" t="str">
        <f>VLOOKUP(D1060,Products!$A$2:$F$61,3,FALSE)</f>
        <v>Beauty</v>
      </c>
      <c r="M1060" s="34" t="str">
        <f>VLOOKUP(C1060,Customers!$A$2:$F$301,5,FALSE)</f>
        <v>SMB</v>
      </c>
      <c r="N1060" s="34">
        <f>VLOOKUP(C1060,Customers!$A$2:$F$301,3,FALSE)</f>
        <v>64</v>
      </c>
      <c r="O1060" s="34" t="str">
        <f>VLOOKUP(E1060,Sales_Reps!$A$2:$E$31,3,FALSE)</f>
        <v>South</v>
      </c>
      <c r="P1060" s="13" t="s">
        <v>132</v>
      </c>
      <c r="Q1060" s="34">
        <f t="shared" si="36"/>
        <v>880345.20000000007</v>
      </c>
      <c r="R1060" s="34" t="str">
        <f>VLOOKUP(E1060,Sales_Reps!$A$2:$E$100,3,FALSE)</f>
        <v>South</v>
      </c>
      <c r="S1060" s="34" t="str">
        <f t="shared" si="37"/>
        <v>Beauty</v>
      </c>
      <c r="T1060" s="38">
        <f>VLOOKUP(D1060,Products!$A$2:$F$68,4,FALSE)</f>
        <v>647</v>
      </c>
    </row>
    <row r="1061" spans="1:20" x14ac:dyDescent="0.35">
      <c r="A1061" s="13" t="s">
        <v>1544</v>
      </c>
      <c r="B1061" s="14">
        <v>45397</v>
      </c>
      <c r="C1061" s="13" t="s">
        <v>1003</v>
      </c>
      <c r="D1061" s="13" t="s">
        <v>179</v>
      </c>
      <c r="E1061" s="13" t="s">
        <v>121</v>
      </c>
      <c r="F1061" s="15">
        <v>9</v>
      </c>
      <c r="G1061" s="15">
        <v>3350</v>
      </c>
      <c r="H1061" s="15">
        <v>2.1</v>
      </c>
      <c r="I1061" s="15">
        <v>29516.85</v>
      </c>
      <c r="J1061" s="13" t="s">
        <v>87</v>
      </c>
      <c r="K1061" s="13" t="s">
        <v>99</v>
      </c>
      <c r="L1061" s="34" t="str">
        <f>VLOOKUP(D1061,Products!$A$2:$F$61,3,FALSE)</f>
        <v>Beauty</v>
      </c>
      <c r="M1061" s="34" t="str">
        <f>VLOOKUP(C1061,Customers!$A$2:$F$301,5,FALSE)</f>
        <v>SMB</v>
      </c>
      <c r="N1061" s="34">
        <f>VLOOKUP(C1061,Customers!$A$2:$F$301,3,FALSE)</f>
        <v>45</v>
      </c>
      <c r="O1061" s="34" t="str">
        <f>VLOOKUP(E1061,Sales_Reps!$A$2:$E$31,3,FALSE)</f>
        <v>East</v>
      </c>
      <c r="P1061" s="13" t="s">
        <v>121</v>
      </c>
      <c r="Q1061" s="34">
        <f t="shared" si="36"/>
        <v>971183.52000000014</v>
      </c>
      <c r="R1061" s="34" t="str">
        <f>VLOOKUP(E1061,Sales_Reps!$A$2:$E$100,3,FALSE)</f>
        <v>East</v>
      </c>
      <c r="S1061" s="34" t="str">
        <f t="shared" si="37"/>
        <v>Beauty</v>
      </c>
      <c r="T1061" s="38">
        <f>VLOOKUP(D1061,Products!$A$2:$F$68,4,FALSE)</f>
        <v>1728</v>
      </c>
    </row>
    <row r="1062" spans="1:20" x14ac:dyDescent="0.35">
      <c r="A1062" s="13" t="s">
        <v>1545</v>
      </c>
      <c r="B1062" s="14">
        <v>45336</v>
      </c>
      <c r="C1062" s="13" t="s">
        <v>908</v>
      </c>
      <c r="D1062" s="13" t="s">
        <v>161</v>
      </c>
      <c r="E1062" s="13" t="s">
        <v>158</v>
      </c>
      <c r="F1062" s="15">
        <v>7</v>
      </c>
      <c r="G1062" s="15">
        <v>3450</v>
      </c>
      <c r="H1062" s="15">
        <v>4.7</v>
      </c>
      <c r="I1062" s="15">
        <v>23014.95</v>
      </c>
      <c r="J1062" s="13" t="s">
        <v>87</v>
      </c>
      <c r="K1062" s="13" t="s">
        <v>133</v>
      </c>
      <c r="L1062" s="34" t="str">
        <f>VLOOKUP(D1062,Products!$A$2:$F$61,3,FALSE)</f>
        <v>Sports</v>
      </c>
      <c r="M1062" s="34" t="str">
        <f>VLOOKUP(C1062,Customers!$A$2:$F$301,5,FALSE)</f>
        <v>Retail</v>
      </c>
      <c r="N1062" s="34">
        <f>VLOOKUP(C1062,Customers!$A$2:$F$301,3,FALSE)</f>
        <v>31</v>
      </c>
      <c r="O1062" s="34" t="str">
        <f>VLOOKUP(E1062,Sales_Reps!$A$2:$E$31,3,FALSE)</f>
        <v>East</v>
      </c>
      <c r="P1062" s="13" t="s">
        <v>158</v>
      </c>
      <c r="Q1062" s="34">
        <f t="shared" si="36"/>
        <v>761507.17000000027</v>
      </c>
      <c r="R1062" s="34" t="str">
        <f>VLOOKUP(E1062,Sales_Reps!$A$2:$E$100,3,FALSE)</f>
        <v>East</v>
      </c>
      <c r="S1062" s="34" t="str">
        <f t="shared" si="37"/>
        <v>Sports</v>
      </c>
      <c r="T1062" s="38">
        <f>VLOOKUP(D1062,Products!$A$2:$F$68,4,FALSE)</f>
        <v>2467</v>
      </c>
    </row>
    <row r="1063" spans="1:20" x14ac:dyDescent="0.35">
      <c r="A1063" s="13" t="s">
        <v>1546</v>
      </c>
      <c r="B1063" s="14">
        <v>45594</v>
      </c>
      <c r="C1063" s="13" t="s">
        <v>294</v>
      </c>
      <c r="D1063" s="13" t="s">
        <v>115</v>
      </c>
      <c r="E1063" s="13" t="s">
        <v>121</v>
      </c>
      <c r="F1063" s="15">
        <v>10</v>
      </c>
      <c r="G1063" s="15">
        <v>960</v>
      </c>
      <c r="H1063" s="15">
        <v>17.899999999999999</v>
      </c>
      <c r="I1063" s="15">
        <v>7881.6</v>
      </c>
      <c r="J1063" s="13" t="s">
        <v>87</v>
      </c>
      <c r="K1063" s="13" t="s">
        <v>133</v>
      </c>
      <c r="L1063" s="34" t="str">
        <f>VLOOKUP(D1063,Products!$A$2:$F$61,3,FALSE)</f>
        <v>Sports</v>
      </c>
      <c r="M1063" s="34" t="str">
        <f>VLOOKUP(C1063,Customers!$A$2:$F$301,5,FALSE)</f>
        <v>SMB</v>
      </c>
      <c r="N1063" s="34">
        <f>VLOOKUP(C1063,Customers!$A$2:$F$301,3,FALSE)</f>
        <v>43</v>
      </c>
      <c r="O1063" s="34" t="str">
        <f>VLOOKUP(E1063,Sales_Reps!$A$2:$E$31,3,FALSE)</f>
        <v>East</v>
      </c>
      <c r="P1063" s="13" t="s">
        <v>121</v>
      </c>
      <c r="Q1063" s="34">
        <f t="shared" si="36"/>
        <v>971183.52000000014</v>
      </c>
      <c r="R1063" s="34" t="str">
        <f>VLOOKUP(E1063,Sales_Reps!$A$2:$E$100,3,FALSE)</f>
        <v>East</v>
      </c>
      <c r="S1063" s="34" t="str">
        <f t="shared" si="37"/>
        <v>Sports</v>
      </c>
      <c r="T1063" s="38">
        <f>VLOOKUP(D1063,Products!$A$2:$F$68,4,FALSE)</f>
        <v>705</v>
      </c>
    </row>
    <row r="1064" spans="1:20" x14ac:dyDescent="0.35">
      <c r="A1064" s="13" t="s">
        <v>1547</v>
      </c>
      <c r="B1064" s="14">
        <v>45617</v>
      </c>
      <c r="C1064" s="13" t="s">
        <v>429</v>
      </c>
      <c r="D1064" s="13" t="s">
        <v>237</v>
      </c>
      <c r="E1064" s="13" t="s">
        <v>98</v>
      </c>
      <c r="F1064" s="15">
        <v>1</v>
      </c>
      <c r="G1064" s="15">
        <v>3640</v>
      </c>
      <c r="H1064" s="15">
        <v>8.8000000000000007</v>
      </c>
      <c r="I1064" s="15">
        <v>3319.68</v>
      </c>
      <c r="J1064" s="13" t="s">
        <v>87</v>
      </c>
      <c r="K1064" s="13" t="s">
        <v>117</v>
      </c>
      <c r="L1064" s="34" t="str">
        <f>VLOOKUP(D1064,Products!$A$2:$F$61,3,FALSE)</f>
        <v>Apparel</v>
      </c>
      <c r="M1064" s="34" t="str">
        <f>VLOOKUP(C1064,Customers!$A$2:$F$301,5,FALSE)</f>
        <v>Retail</v>
      </c>
      <c r="N1064" s="34">
        <f>VLOOKUP(C1064,Customers!$A$2:$F$301,3,FALSE)</f>
        <v>55</v>
      </c>
      <c r="O1064" s="34" t="str">
        <f>VLOOKUP(E1064,Sales_Reps!$A$2:$E$31,3,FALSE)</f>
        <v>South</v>
      </c>
      <c r="P1064" s="13" t="s">
        <v>98</v>
      </c>
      <c r="Q1064" s="34">
        <f t="shared" si="36"/>
        <v>995713.54000000015</v>
      </c>
      <c r="R1064" s="34" t="str">
        <f>VLOOKUP(E1064,Sales_Reps!$A$2:$E$100,3,FALSE)</f>
        <v>South</v>
      </c>
      <c r="S1064" s="34" t="str">
        <f t="shared" si="37"/>
        <v>Apparel</v>
      </c>
      <c r="T1064" s="38">
        <f>VLOOKUP(D1064,Products!$A$2:$F$68,4,FALSE)</f>
        <v>2611</v>
      </c>
    </row>
    <row r="1065" spans="1:20" x14ac:dyDescent="0.35">
      <c r="A1065" s="13" t="s">
        <v>1548</v>
      </c>
      <c r="B1065" s="14">
        <v>45378</v>
      </c>
      <c r="C1065" s="13" t="s">
        <v>779</v>
      </c>
      <c r="D1065" s="13" t="s">
        <v>338</v>
      </c>
      <c r="E1065" s="13" t="s">
        <v>238</v>
      </c>
      <c r="F1065" s="15">
        <v>1</v>
      </c>
      <c r="G1065" s="15">
        <v>2210</v>
      </c>
      <c r="H1065" s="15">
        <v>10.7</v>
      </c>
      <c r="I1065" s="15">
        <v>1973.53</v>
      </c>
      <c r="J1065" s="13" t="s">
        <v>87</v>
      </c>
      <c r="K1065" s="13" t="s">
        <v>117</v>
      </c>
      <c r="L1065" s="34" t="str">
        <f>VLOOKUP(D1065,Products!$A$2:$F$61,3,FALSE)</f>
        <v>Grocery</v>
      </c>
      <c r="M1065" s="34" t="str">
        <f>VLOOKUP(C1065,Customers!$A$2:$F$301,5,FALSE)</f>
        <v>Retail</v>
      </c>
      <c r="N1065" s="34">
        <f>VLOOKUP(C1065,Customers!$A$2:$F$301,3,FALSE)</f>
        <v>27</v>
      </c>
      <c r="O1065" s="34" t="str">
        <f>VLOOKUP(E1065,Sales_Reps!$A$2:$E$31,3,FALSE)</f>
        <v>East</v>
      </c>
      <c r="P1065" s="13" t="s">
        <v>238</v>
      </c>
      <c r="Q1065" s="34">
        <f t="shared" si="36"/>
        <v>780384.40999999992</v>
      </c>
      <c r="R1065" s="34" t="str">
        <f>VLOOKUP(E1065,Sales_Reps!$A$2:$E$100,3,FALSE)</f>
        <v>East</v>
      </c>
      <c r="S1065" s="34" t="str">
        <f t="shared" si="37"/>
        <v>Grocery</v>
      </c>
      <c r="T1065" s="38">
        <f>VLOOKUP(D1065,Products!$A$2:$F$68,4,FALSE)</f>
        <v>1010</v>
      </c>
    </row>
    <row r="1066" spans="1:20" x14ac:dyDescent="0.35">
      <c r="A1066" s="13" t="s">
        <v>1549</v>
      </c>
      <c r="B1066" s="14">
        <v>45318</v>
      </c>
      <c r="C1066" s="13" t="s">
        <v>101</v>
      </c>
      <c r="D1066" s="13" t="s">
        <v>226</v>
      </c>
      <c r="E1066" s="13" t="s">
        <v>92</v>
      </c>
      <c r="F1066" s="15">
        <v>2</v>
      </c>
      <c r="G1066" s="15">
        <v>3730</v>
      </c>
      <c r="H1066" s="15">
        <v>13.9</v>
      </c>
      <c r="I1066" s="15">
        <v>6423.06</v>
      </c>
      <c r="J1066" s="13" t="s">
        <v>87</v>
      </c>
      <c r="K1066" s="13" t="s">
        <v>99</v>
      </c>
      <c r="L1066" s="34" t="str">
        <f>VLOOKUP(D1066,Products!$A$2:$F$61,3,FALSE)</f>
        <v>Home</v>
      </c>
      <c r="M1066" s="34" t="str">
        <f>VLOOKUP(C1066,Customers!$A$2:$F$301,5,FALSE)</f>
        <v>Corporate</v>
      </c>
      <c r="N1066" s="34">
        <f>VLOOKUP(C1066,Customers!$A$2:$F$301,3,FALSE)</f>
        <v>46</v>
      </c>
      <c r="O1066" s="34" t="str">
        <f>VLOOKUP(E1066,Sales_Reps!$A$2:$E$31,3,FALSE)</f>
        <v>North</v>
      </c>
      <c r="P1066" s="13" t="s">
        <v>92</v>
      </c>
      <c r="Q1066" s="34">
        <f t="shared" si="36"/>
        <v>782445.33</v>
      </c>
      <c r="R1066" s="34" t="str">
        <f>VLOOKUP(E1066,Sales_Reps!$A$2:$E$100,3,FALSE)</f>
        <v>North</v>
      </c>
      <c r="S1066" s="34" t="str">
        <f t="shared" si="37"/>
        <v>Home</v>
      </c>
      <c r="T1066" s="38">
        <f>VLOOKUP(D1066,Products!$A$2:$F$68,4,FALSE)</f>
        <v>2135</v>
      </c>
    </row>
    <row r="1067" spans="1:20" x14ac:dyDescent="0.35">
      <c r="A1067" s="13" t="s">
        <v>1550</v>
      </c>
      <c r="B1067" s="14">
        <v>45542</v>
      </c>
      <c r="C1067" s="13" t="s">
        <v>427</v>
      </c>
      <c r="D1067" s="13" t="s">
        <v>360</v>
      </c>
      <c r="E1067" s="13" t="s">
        <v>132</v>
      </c>
      <c r="F1067" s="15">
        <v>7</v>
      </c>
      <c r="G1067" s="15">
        <v>5410</v>
      </c>
      <c r="H1067" s="15">
        <v>23.6</v>
      </c>
      <c r="I1067" s="15">
        <v>28932.68</v>
      </c>
      <c r="J1067" s="13" t="s">
        <v>87</v>
      </c>
      <c r="K1067" s="13" t="s">
        <v>88</v>
      </c>
      <c r="L1067" s="34" t="str">
        <f>VLOOKUP(D1067,Products!$A$2:$F$61,3,FALSE)</f>
        <v>Sports</v>
      </c>
      <c r="M1067" s="34" t="str">
        <f>VLOOKUP(C1067,Customers!$A$2:$F$301,5,FALSE)</f>
        <v>Corporate</v>
      </c>
      <c r="N1067" s="34">
        <f>VLOOKUP(C1067,Customers!$A$2:$F$301,3,FALSE)</f>
        <v>48</v>
      </c>
      <c r="O1067" s="34" t="str">
        <f>VLOOKUP(E1067,Sales_Reps!$A$2:$E$31,3,FALSE)</f>
        <v>South</v>
      </c>
      <c r="P1067" s="13" t="s">
        <v>132</v>
      </c>
      <c r="Q1067" s="34">
        <f t="shared" si="36"/>
        <v>880345.20000000007</v>
      </c>
      <c r="R1067" s="34" t="str">
        <f>VLOOKUP(E1067,Sales_Reps!$A$2:$E$100,3,FALSE)</f>
        <v>South</v>
      </c>
      <c r="S1067" s="34" t="str">
        <f t="shared" si="37"/>
        <v>Sports</v>
      </c>
      <c r="T1067" s="38">
        <f>VLOOKUP(D1067,Products!$A$2:$F$68,4,FALSE)</f>
        <v>2265</v>
      </c>
    </row>
    <row r="1068" spans="1:20" x14ac:dyDescent="0.35">
      <c r="A1068" s="13" t="s">
        <v>1551</v>
      </c>
      <c r="B1068" s="14">
        <v>45618</v>
      </c>
      <c r="C1068" s="13" t="s">
        <v>872</v>
      </c>
      <c r="D1068" s="13" t="s">
        <v>234</v>
      </c>
      <c r="E1068" s="13" t="s">
        <v>303</v>
      </c>
      <c r="F1068" s="15">
        <v>7</v>
      </c>
      <c r="G1068" s="15">
        <v>3780</v>
      </c>
      <c r="H1068" s="15">
        <v>8.5</v>
      </c>
      <c r="I1068" s="15">
        <v>24210.9</v>
      </c>
      <c r="J1068" s="13" t="s">
        <v>140</v>
      </c>
      <c r="K1068" s="13" t="s">
        <v>112</v>
      </c>
      <c r="L1068" s="34" t="str">
        <f>VLOOKUP(D1068,Products!$A$2:$F$61,3,FALSE)</f>
        <v>Grocery</v>
      </c>
      <c r="M1068" s="34" t="str">
        <f>VLOOKUP(C1068,Customers!$A$2:$F$301,5,FALSE)</f>
        <v>Corporate</v>
      </c>
      <c r="N1068" s="34">
        <f>VLOOKUP(C1068,Customers!$A$2:$F$301,3,FALSE)</f>
        <v>62</v>
      </c>
      <c r="O1068" s="34" t="str">
        <f>VLOOKUP(E1068,Sales_Reps!$A$2:$E$31,3,FALSE)</f>
        <v>East</v>
      </c>
      <c r="P1068" s="13" t="s">
        <v>303</v>
      </c>
      <c r="Q1068" s="34">
        <f t="shared" si="36"/>
        <v>1112289.6400000001</v>
      </c>
      <c r="R1068" s="34" t="str">
        <f>VLOOKUP(E1068,Sales_Reps!$A$2:$E$100,3,FALSE)</f>
        <v>East</v>
      </c>
      <c r="S1068" s="34" t="str">
        <f t="shared" si="37"/>
        <v>Grocery</v>
      </c>
      <c r="T1068" s="38">
        <f>VLOOKUP(D1068,Products!$A$2:$F$68,4,FALSE)</f>
        <v>2436</v>
      </c>
    </row>
    <row r="1069" spans="1:20" x14ac:dyDescent="0.35">
      <c r="A1069" s="13" t="s">
        <v>1552</v>
      </c>
      <c r="B1069" s="14">
        <v>45555</v>
      </c>
      <c r="C1069" s="13" t="s">
        <v>258</v>
      </c>
      <c r="D1069" s="13" t="s">
        <v>270</v>
      </c>
      <c r="E1069" s="13" t="s">
        <v>346</v>
      </c>
      <c r="F1069" s="15">
        <v>9</v>
      </c>
      <c r="G1069" s="15">
        <v>4610</v>
      </c>
      <c r="H1069" s="15">
        <v>26.6</v>
      </c>
      <c r="I1069" s="15">
        <v>30453.66</v>
      </c>
      <c r="J1069" s="13" t="s">
        <v>87</v>
      </c>
      <c r="K1069" s="13" t="s">
        <v>99</v>
      </c>
      <c r="L1069" s="34" t="str">
        <f>VLOOKUP(D1069,Products!$A$2:$F$61,3,FALSE)</f>
        <v>Home</v>
      </c>
      <c r="M1069" s="34" t="str">
        <f>VLOOKUP(C1069,Customers!$A$2:$F$301,5,FALSE)</f>
        <v>SMB</v>
      </c>
      <c r="N1069" s="34">
        <f>VLOOKUP(C1069,Customers!$A$2:$F$301,3,FALSE)</f>
        <v>55</v>
      </c>
      <c r="O1069" s="34" t="str">
        <f>VLOOKUP(E1069,Sales_Reps!$A$2:$E$31,3,FALSE)</f>
        <v>South</v>
      </c>
      <c r="P1069" s="13" t="s">
        <v>346</v>
      </c>
      <c r="Q1069" s="34">
        <f t="shared" si="36"/>
        <v>814563.7100000002</v>
      </c>
      <c r="R1069" s="34" t="str">
        <f>VLOOKUP(E1069,Sales_Reps!$A$2:$E$100,3,FALSE)</f>
        <v>South</v>
      </c>
      <c r="S1069" s="34" t="str">
        <f t="shared" si="37"/>
        <v>Home</v>
      </c>
      <c r="T1069" s="38">
        <f>VLOOKUP(D1069,Products!$A$2:$F$68,4,FALSE)</f>
        <v>1850</v>
      </c>
    </row>
    <row r="1070" spans="1:20" x14ac:dyDescent="0.35">
      <c r="A1070" s="13" t="s">
        <v>1553</v>
      </c>
      <c r="B1070" s="14">
        <v>45373</v>
      </c>
      <c r="C1070" s="13" t="s">
        <v>602</v>
      </c>
      <c r="D1070" s="13" t="s">
        <v>135</v>
      </c>
      <c r="E1070" s="13" t="s">
        <v>111</v>
      </c>
      <c r="F1070" s="15">
        <v>5</v>
      </c>
      <c r="G1070" s="15">
        <v>2640</v>
      </c>
      <c r="H1070" s="15">
        <v>1.5</v>
      </c>
      <c r="I1070" s="15">
        <v>13002</v>
      </c>
      <c r="J1070" s="13" t="s">
        <v>87</v>
      </c>
      <c r="K1070" s="13" t="s">
        <v>94</v>
      </c>
      <c r="L1070" s="34" t="str">
        <f>VLOOKUP(D1070,Products!$A$2:$F$61,3,FALSE)</f>
        <v>Electronics</v>
      </c>
      <c r="M1070" s="34" t="str">
        <f>VLOOKUP(C1070,Customers!$A$2:$F$301,5,FALSE)</f>
        <v>Retail</v>
      </c>
      <c r="N1070" s="34">
        <f>VLOOKUP(C1070,Customers!$A$2:$F$301,3,FALSE)</f>
        <v>61</v>
      </c>
      <c r="O1070" s="34" t="str">
        <f>VLOOKUP(E1070,Sales_Reps!$A$2:$E$31,3,FALSE)</f>
        <v>West</v>
      </c>
      <c r="P1070" s="13" t="s">
        <v>111</v>
      </c>
      <c r="Q1070" s="34">
        <f t="shared" si="36"/>
        <v>901298.89</v>
      </c>
      <c r="R1070" s="34" t="str">
        <f>VLOOKUP(E1070,Sales_Reps!$A$2:$E$100,3,FALSE)</f>
        <v>West</v>
      </c>
      <c r="S1070" s="34" t="str">
        <f t="shared" si="37"/>
        <v>Electronics</v>
      </c>
      <c r="T1070" s="38">
        <f>VLOOKUP(D1070,Products!$A$2:$F$68,4,FALSE)</f>
        <v>1149</v>
      </c>
    </row>
    <row r="1071" spans="1:20" x14ac:dyDescent="0.35">
      <c r="A1071" s="13" t="s">
        <v>1554</v>
      </c>
      <c r="B1071" s="14">
        <v>45515</v>
      </c>
      <c r="C1071" s="13" t="s">
        <v>223</v>
      </c>
      <c r="D1071" s="13" t="s">
        <v>85</v>
      </c>
      <c r="E1071" s="13" t="s">
        <v>132</v>
      </c>
      <c r="F1071" s="15">
        <v>3</v>
      </c>
      <c r="G1071" s="15">
        <v>3620</v>
      </c>
      <c r="H1071" s="15">
        <v>3.1</v>
      </c>
      <c r="I1071" s="15">
        <v>10523.34</v>
      </c>
      <c r="J1071" s="13" t="s">
        <v>87</v>
      </c>
      <c r="K1071" s="13" t="s">
        <v>99</v>
      </c>
      <c r="L1071" s="34" t="str">
        <f>VLOOKUP(D1071,Products!$A$2:$F$61,3,FALSE)</f>
        <v>Apparel</v>
      </c>
      <c r="M1071" s="34" t="str">
        <f>VLOOKUP(C1071,Customers!$A$2:$F$301,5,FALSE)</f>
        <v>Retail</v>
      </c>
      <c r="N1071" s="34">
        <f>VLOOKUP(C1071,Customers!$A$2:$F$301,3,FALSE)</f>
        <v>53</v>
      </c>
      <c r="O1071" s="34" t="str">
        <f>VLOOKUP(E1071,Sales_Reps!$A$2:$E$31,3,FALSE)</f>
        <v>South</v>
      </c>
      <c r="P1071" s="13" t="s">
        <v>132</v>
      </c>
      <c r="Q1071" s="34">
        <f t="shared" si="36"/>
        <v>880345.20000000007</v>
      </c>
      <c r="R1071" s="34" t="str">
        <f>VLOOKUP(E1071,Sales_Reps!$A$2:$E$100,3,FALSE)</f>
        <v>South</v>
      </c>
      <c r="S1071" s="34" t="str">
        <f t="shared" si="37"/>
        <v>Apparel</v>
      </c>
      <c r="T1071" s="38">
        <f>VLOOKUP(D1071,Products!$A$2:$F$68,4,FALSE)</f>
        <v>2509</v>
      </c>
    </row>
    <row r="1072" spans="1:20" x14ac:dyDescent="0.35">
      <c r="A1072" s="13" t="s">
        <v>1555</v>
      </c>
      <c r="B1072" s="14">
        <v>45530</v>
      </c>
      <c r="C1072" s="13" t="s">
        <v>797</v>
      </c>
      <c r="D1072" s="13" t="s">
        <v>97</v>
      </c>
      <c r="E1072" s="13" t="s">
        <v>303</v>
      </c>
      <c r="F1072" s="15">
        <v>5</v>
      </c>
      <c r="G1072" s="15">
        <v>470</v>
      </c>
      <c r="H1072" s="15">
        <v>10.6</v>
      </c>
      <c r="I1072" s="15">
        <v>2100.9</v>
      </c>
      <c r="J1072" s="13" t="s">
        <v>140</v>
      </c>
      <c r="K1072" s="13" t="s">
        <v>99</v>
      </c>
      <c r="L1072" s="34" t="str">
        <f>VLOOKUP(D1072,Products!$A$2:$F$61,3,FALSE)</f>
        <v>Sports</v>
      </c>
      <c r="M1072" s="34" t="str">
        <f>VLOOKUP(C1072,Customers!$A$2:$F$301,5,FALSE)</f>
        <v>Retail</v>
      </c>
      <c r="N1072" s="34">
        <f>VLOOKUP(C1072,Customers!$A$2:$F$301,3,FALSE)</f>
        <v>63</v>
      </c>
      <c r="O1072" s="34" t="str">
        <f>VLOOKUP(E1072,Sales_Reps!$A$2:$E$31,3,FALSE)</f>
        <v>East</v>
      </c>
      <c r="P1072" s="13" t="s">
        <v>303</v>
      </c>
      <c r="Q1072" s="34">
        <f t="shared" si="36"/>
        <v>1112289.6400000001</v>
      </c>
      <c r="R1072" s="34" t="str">
        <f>VLOOKUP(E1072,Sales_Reps!$A$2:$E$100,3,FALSE)</f>
        <v>East</v>
      </c>
      <c r="S1072" s="34" t="str">
        <f t="shared" si="37"/>
        <v>Sports</v>
      </c>
      <c r="T1072" s="38">
        <f>VLOOKUP(D1072,Products!$A$2:$F$68,4,FALSE)</f>
        <v>302</v>
      </c>
    </row>
    <row r="1073" spans="1:20" x14ac:dyDescent="0.35">
      <c r="A1073" s="13" t="s">
        <v>1556</v>
      </c>
      <c r="B1073" s="14">
        <v>45463</v>
      </c>
      <c r="C1073" s="13" t="s">
        <v>261</v>
      </c>
      <c r="D1073" s="13" t="s">
        <v>364</v>
      </c>
      <c r="E1073" s="13" t="s">
        <v>204</v>
      </c>
      <c r="F1073" s="15">
        <v>7</v>
      </c>
      <c r="G1073" s="15">
        <v>5330</v>
      </c>
      <c r="H1073" s="15">
        <v>25</v>
      </c>
      <c r="I1073" s="15">
        <v>27982.5</v>
      </c>
      <c r="J1073" s="13" t="s">
        <v>140</v>
      </c>
      <c r="K1073" s="13" t="s">
        <v>99</v>
      </c>
      <c r="L1073" s="34" t="str">
        <f>VLOOKUP(D1073,Products!$A$2:$F$61,3,FALSE)</f>
        <v>Electronics</v>
      </c>
      <c r="M1073" s="34" t="str">
        <f>VLOOKUP(C1073,Customers!$A$2:$F$301,5,FALSE)</f>
        <v>Retail</v>
      </c>
      <c r="N1073" s="34">
        <f>VLOOKUP(C1073,Customers!$A$2:$F$301,3,FALSE)</f>
        <v>54</v>
      </c>
      <c r="O1073" s="34" t="str">
        <f>VLOOKUP(E1073,Sales_Reps!$A$2:$E$31,3,FALSE)</f>
        <v>South</v>
      </c>
      <c r="P1073" s="13" t="s">
        <v>204</v>
      </c>
      <c r="Q1073" s="34">
        <f t="shared" si="36"/>
        <v>914554.71999999986</v>
      </c>
      <c r="R1073" s="34" t="str">
        <f>VLOOKUP(E1073,Sales_Reps!$A$2:$E$100,3,FALSE)</f>
        <v>South</v>
      </c>
      <c r="S1073" s="34" t="str">
        <f t="shared" si="37"/>
        <v>Electronics</v>
      </c>
      <c r="T1073" s="38">
        <f>VLOOKUP(D1073,Products!$A$2:$F$68,4,FALSE)</f>
        <v>2405</v>
      </c>
    </row>
    <row r="1074" spans="1:20" x14ac:dyDescent="0.35">
      <c r="A1074" s="13" t="s">
        <v>1557</v>
      </c>
      <c r="B1074" s="14">
        <v>45292</v>
      </c>
      <c r="C1074" s="13" t="s">
        <v>802</v>
      </c>
      <c r="D1074" s="13" t="s">
        <v>241</v>
      </c>
      <c r="E1074" s="13" t="s">
        <v>98</v>
      </c>
      <c r="F1074" s="15">
        <v>1</v>
      </c>
      <c r="G1074" s="15">
        <v>6080</v>
      </c>
      <c r="H1074" s="15">
        <v>27.8</v>
      </c>
      <c r="I1074" s="15">
        <v>4389.76</v>
      </c>
      <c r="J1074" s="13" t="s">
        <v>87</v>
      </c>
      <c r="K1074" s="13" t="s">
        <v>94</v>
      </c>
      <c r="L1074" s="34" t="str">
        <f>VLOOKUP(D1074,Products!$A$2:$F$61,3,FALSE)</f>
        <v>Beauty</v>
      </c>
      <c r="M1074" s="34" t="str">
        <f>VLOOKUP(C1074,Customers!$A$2:$F$301,5,FALSE)</f>
        <v>SMB</v>
      </c>
      <c r="N1074" s="34">
        <f>VLOOKUP(C1074,Customers!$A$2:$F$301,3,FALSE)</f>
        <v>39</v>
      </c>
      <c r="O1074" s="34" t="str">
        <f>VLOOKUP(E1074,Sales_Reps!$A$2:$E$31,3,FALSE)</f>
        <v>South</v>
      </c>
      <c r="P1074" s="13" t="s">
        <v>98</v>
      </c>
      <c r="Q1074" s="34">
        <f t="shared" si="36"/>
        <v>995713.54000000015</v>
      </c>
      <c r="R1074" s="34" t="str">
        <f>VLOOKUP(E1074,Sales_Reps!$A$2:$E$100,3,FALSE)</f>
        <v>South</v>
      </c>
      <c r="S1074" s="34" t="str">
        <f t="shared" si="37"/>
        <v>Beauty</v>
      </c>
      <c r="T1074" s="38">
        <f>VLOOKUP(D1074,Products!$A$2:$F$68,4,FALSE)</f>
        <v>2617</v>
      </c>
    </row>
    <row r="1075" spans="1:20" x14ac:dyDescent="0.35">
      <c r="A1075" s="13" t="s">
        <v>1558</v>
      </c>
      <c r="B1075" s="14">
        <v>45347</v>
      </c>
      <c r="C1075" s="13" t="s">
        <v>206</v>
      </c>
      <c r="D1075" s="13" t="s">
        <v>179</v>
      </c>
      <c r="E1075" s="13" t="s">
        <v>116</v>
      </c>
      <c r="F1075" s="15">
        <v>6</v>
      </c>
      <c r="G1075" s="15">
        <v>3350</v>
      </c>
      <c r="H1075" s="15">
        <v>12</v>
      </c>
      <c r="I1075" s="15">
        <v>17688</v>
      </c>
      <c r="J1075" s="13" t="s">
        <v>87</v>
      </c>
      <c r="K1075" s="13" t="s">
        <v>133</v>
      </c>
      <c r="L1075" s="34" t="str">
        <f>VLOOKUP(D1075,Products!$A$2:$F$61,3,FALSE)</f>
        <v>Beauty</v>
      </c>
      <c r="M1075" s="34" t="str">
        <f>VLOOKUP(C1075,Customers!$A$2:$F$301,5,FALSE)</f>
        <v>SMB</v>
      </c>
      <c r="N1075" s="34">
        <f>VLOOKUP(C1075,Customers!$A$2:$F$301,3,FALSE)</f>
        <v>40</v>
      </c>
      <c r="O1075" s="34" t="str">
        <f>VLOOKUP(E1075,Sales_Reps!$A$2:$E$31,3,FALSE)</f>
        <v>West</v>
      </c>
      <c r="P1075" s="13" t="s">
        <v>116</v>
      </c>
      <c r="Q1075" s="34">
        <f t="shared" si="36"/>
        <v>819558.58</v>
      </c>
      <c r="R1075" s="34" t="str">
        <f>VLOOKUP(E1075,Sales_Reps!$A$2:$E$100,3,FALSE)</f>
        <v>West</v>
      </c>
      <c r="S1075" s="34" t="str">
        <f t="shared" si="37"/>
        <v>Beauty</v>
      </c>
      <c r="T1075" s="38">
        <f>VLOOKUP(D1075,Products!$A$2:$F$68,4,FALSE)</f>
        <v>1728</v>
      </c>
    </row>
    <row r="1076" spans="1:20" x14ac:dyDescent="0.35">
      <c r="A1076" s="13" t="s">
        <v>1559</v>
      </c>
      <c r="B1076" s="14">
        <v>45592</v>
      </c>
      <c r="C1076" s="13" t="s">
        <v>1560</v>
      </c>
      <c r="D1076" s="13" t="s">
        <v>515</v>
      </c>
      <c r="E1076" s="13" t="s">
        <v>343</v>
      </c>
      <c r="F1076" s="15">
        <v>6</v>
      </c>
      <c r="G1076" s="15">
        <v>6940</v>
      </c>
      <c r="H1076" s="15">
        <v>20</v>
      </c>
      <c r="I1076" s="15">
        <v>33312</v>
      </c>
      <c r="J1076" s="13" t="s">
        <v>87</v>
      </c>
      <c r="K1076" s="13" t="s">
        <v>94</v>
      </c>
      <c r="L1076" s="34" t="str">
        <f>VLOOKUP(D1076,Products!$A$2:$F$61,3,FALSE)</f>
        <v>Sports</v>
      </c>
      <c r="M1076" s="34" t="e">
        <f>VLOOKUP(C1076,Customers!$A$2:$F$301,5,FALSE)</f>
        <v>#N/A</v>
      </c>
      <c r="N1076" s="34" t="e">
        <f>VLOOKUP(C1076,Customers!$A$2:$F$301,3,FALSE)</f>
        <v>#N/A</v>
      </c>
      <c r="O1076" s="34" t="str">
        <f>VLOOKUP(E1076,Sales_Reps!$A$2:$E$31,3,FALSE)</f>
        <v>West</v>
      </c>
      <c r="P1076" s="13" t="s">
        <v>343</v>
      </c>
      <c r="Q1076" s="34">
        <f t="shared" si="36"/>
        <v>917092.61999999965</v>
      </c>
      <c r="R1076" s="34" t="str">
        <f>VLOOKUP(E1076,Sales_Reps!$A$2:$E$100,3,FALSE)</f>
        <v>West</v>
      </c>
      <c r="S1076" s="34" t="str">
        <f t="shared" si="37"/>
        <v>Sports</v>
      </c>
      <c r="T1076" s="38">
        <f>VLOOKUP(D1076,Products!$A$2:$F$68,4,FALSE)</f>
        <v>2827</v>
      </c>
    </row>
    <row r="1077" spans="1:20" x14ac:dyDescent="0.35">
      <c r="A1077" s="13" t="s">
        <v>1561</v>
      </c>
      <c r="B1077" s="14">
        <v>45636</v>
      </c>
      <c r="C1077" s="13" t="s">
        <v>305</v>
      </c>
      <c r="D1077" s="13" t="s">
        <v>110</v>
      </c>
      <c r="E1077" s="13" t="s">
        <v>86</v>
      </c>
      <c r="F1077" s="15">
        <v>1</v>
      </c>
      <c r="G1077" s="15">
        <v>370</v>
      </c>
      <c r="H1077" s="15">
        <v>10</v>
      </c>
      <c r="I1077" s="15">
        <v>333</v>
      </c>
      <c r="J1077" s="13" t="s">
        <v>87</v>
      </c>
      <c r="K1077" s="13" t="s">
        <v>133</v>
      </c>
      <c r="L1077" s="34" t="str">
        <f>VLOOKUP(D1077,Products!$A$2:$F$61,3,FALSE)</f>
        <v>Home</v>
      </c>
      <c r="M1077" s="34" t="str">
        <f>VLOOKUP(C1077,Customers!$A$2:$F$301,5,FALSE)</f>
        <v>Corporate</v>
      </c>
      <c r="N1077" s="34">
        <f>VLOOKUP(C1077,Customers!$A$2:$F$301,3,FALSE)</f>
        <v>46</v>
      </c>
      <c r="O1077" s="34" t="str">
        <f>VLOOKUP(E1077,Sales_Reps!$A$2:$E$31,3,FALSE)</f>
        <v>North</v>
      </c>
      <c r="P1077" s="13" t="s">
        <v>86</v>
      </c>
      <c r="Q1077" s="34">
        <f t="shared" si="36"/>
        <v>855749.67999999982</v>
      </c>
      <c r="R1077" s="34" t="str">
        <f>VLOOKUP(E1077,Sales_Reps!$A$2:$E$100,3,FALSE)</f>
        <v>North</v>
      </c>
      <c r="S1077" s="34" t="str">
        <f t="shared" si="37"/>
        <v>Home</v>
      </c>
      <c r="T1077" s="38">
        <f>VLOOKUP(D1077,Products!$A$2:$F$68,4,FALSE)</f>
        <v>288</v>
      </c>
    </row>
    <row r="1078" spans="1:20" x14ac:dyDescent="0.35">
      <c r="A1078" s="13" t="s">
        <v>1562</v>
      </c>
      <c r="B1078" s="14">
        <v>45432</v>
      </c>
      <c r="C1078" s="13" t="s">
        <v>1016</v>
      </c>
      <c r="D1078" s="13" t="s">
        <v>124</v>
      </c>
      <c r="E1078" s="13" t="s">
        <v>192</v>
      </c>
      <c r="F1078" s="15">
        <v>2</v>
      </c>
      <c r="G1078" s="15">
        <v>5490</v>
      </c>
      <c r="H1078" s="15">
        <v>27.9</v>
      </c>
      <c r="I1078" s="15">
        <v>7916.58</v>
      </c>
      <c r="J1078" s="13" t="s">
        <v>87</v>
      </c>
      <c r="K1078" s="13" t="s">
        <v>117</v>
      </c>
      <c r="L1078" s="34" t="str">
        <f>VLOOKUP(D1078,Products!$A$2:$F$61,3,FALSE)</f>
        <v>Home</v>
      </c>
      <c r="M1078" s="34" t="str">
        <f>VLOOKUP(C1078,Customers!$A$2:$F$301,5,FALSE)</f>
        <v>SMB</v>
      </c>
      <c r="N1078" s="34">
        <f>VLOOKUP(C1078,Customers!$A$2:$F$301,3,FALSE)</f>
        <v>49</v>
      </c>
      <c r="O1078" s="34" t="str">
        <f>VLOOKUP(E1078,Sales_Reps!$A$2:$E$31,3,FALSE)</f>
        <v>East</v>
      </c>
      <c r="P1078" s="13" t="s">
        <v>192</v>
      </c>
      <c r="Q1078" s="34">
        <f t="shared" si="36"/>
        <v>906107.71000000008</v>
      </c>
      <c r="R1078" s="34" t="str">
        <f>VLOOKUP(E1078,Sales_Reps!$A$2:$E$100,3,FALSE)</f>
        <v>East</v>
      </c>
      <c r="S1078" s="34" t="str">
        <f t="shared" si="37"/>
        <v>Home</v>
      </c>
      <c r="T1078" s="38">
        <f>VLOOKUP(D1078,Products!$A$2:$F$68,4,FALSE)</f>
        <v>2549</v>
      </c>
    </row>
    <row r="1079" spans="1:20" x14ac:dyDescent="0.35">
      <c r="A1079" s="13" t="s">
        <v>1563</v>
      </c>
      <c r="B1079" s="14">
        <v>45479</v>
      </c>
      <c r="C1079" s="13" t="s">
        <v>1036</v>
      </c>
      <c r="D1079" s="13" t="s">
        <v>102</v>
      </c>
      <c r="E1079" s="13" t="s">
        <v>204</v>
      </c>
      <c r="F1079" s="15">
        <v>5</v>
      </c>
      <c r="G1079" s="15">
        <v>3660</v>
      </c>
      <c r="H1079" s="15">
        <v>4.5999999999999996</v>
      </c>
      <c r="I1079" s="15">
        <v>17458.2</v>
      </c>
      <c r="J1079" s="13" t="s">
        <v>87</v>
      </c>
      <c r="K1079" s="13" t="s">
        <v>112</v>
      </c>
      <c r="L1079" s="34" t="str">
        <f>VLOOKUP(D1079,Products!$A$2:$F$61,3,FALSE)</f>
        <v>Grocery</v>
      </c>
      <c r="M1079" s="34" t="str">
        <f>VLOOKUP(C1079,Customers!$A$2:$F$301,5,FALSE)</f>
        <v>Retail</v>
      </c>
      <c r="N1079" s="34">
        <f>VLOOKUP(C1079,Customers!$A$2:$F$301,3,FALSE)</f>
        <v>33</v>
      </c>
      <c r="O1079" s="34" t="str">
        <f>VLOOKUP(E1079,Sales_Reps!$A$2:$E$31,3,FALSE)</f>
        <v>South</v>
      </c>
      <c r="P1079" s="13" t="s">
        <v>204</v>
      </c>
      <c r="Q1079" s="34">
        <f t="shared" si="36"/>
        <v>914554.71999999986</v>
      </c>
      <c r="R1079" s="34" t="str">
        <f>VLOOKUP(E1079,Sales_Reps!$A$2:$E$100,3,FALSE)</f>
        <v>South</v>
      </c>
      <c r="S1079" s="34" t="str">
        <f t="shared" si="37"/>
        <v>Grocery</v>
      </c>
      <c r="T1079" s="38">
        <f>VLOOKUP(D1079,Products!$A$2:$F$68,4,FALSE)</f>
        <v>2214</v>
      </c>
    </row>
    <row r="1080" spans="1:20" x14ac:dyDescent="0.35">
      <c r="A1080" s="13" t="s">
        <v>1564</v>
      </c>
      <c r="B1080" s="14">
        <v>45563</v>
      </c>
      <c r="C1080" s="13" t="s">
        <v>172</v>
      </c>
      <c r="D1080" s="13" t="s">
        <v>282</v>
      </c>
      <c r="E1080" s="13" t="s">
        <v>229</v>
      </c>
      <c r="F1080" s="15">
        <v>6</v>
      </c>
      <c r="G1080" s="15">
        <v>300</v>
      </c>
      <c r="H1080" s="15">
        <v>9</v>
      </c>
      <c r="I1080" s="15">
        <v>1638</v>
      </c>
      <c r="J1080" s="13" t="s">
        <v>87</v>
      </c>
      <c r="K1080" s="13" t="s">
        <v>88</v>
      </c>
      <c r="L1080" s="34" t="str">
        <f>VLOOKUP(D1080,Products!$A$2:$F$61,3,FALSE)</f>
        <v>Electronics</v>
      </c>
      <c r="M1080" s="34" t="str">
        <f>VLOOKUP(C1080,Customers!$A$2:$F$301,5,FALSE)</f>
        <v>Retail</v>
      </c>
      <c r="N1080" s="34">
        <f>VLOOKUP(C1080,Customers!$A$2:$F$301,3,FALSE)</f>
        <v>50</v>
      </c>
      <c r="O1080" s="34" t="str">
        <f>VLOOKUP(E1080,Sales_Reps!$A$2:$E$31,3,FALSE)</f>
        <v>West</v>
      </c>
      <c r="P1080" s="13" t="s">
        <v>229</v>
      </c>
      <c r="Q1080" s="34">
        <f t="shared" si="36"/>
        <v>1016696.8000000002</v>
      </c>
      <c r="R1080" s="34" t="str">
        <f>VLOOKUP(E1080,Sales_Reps!$A$2:$E$100,3,FALSE)</f>
        <v>West</v>
      </c>
      <c r="S1080" s="34" t="str">
        <f t="shared" si="37"/>
        <v>Electronics</v>
      </c>
      <c r="T1080" s="38">
        <f>VLOOKUP(D1080,Products!$A$2:$F$68,4,FALSE)</f>
        <v>128</v>
      </c>
    </row>
    <row r="1081" spans="1:20" x14ac:dyDescent="0.35">
      <c r="A1081" s="13" t="s">
        <v>1565</v>
      </c>
      <c r="B1081" s="14">
        <v>45523</v>
      </c>
      <c r="C1081" s="13" t="s">
        <v>150</v>
      </c>
      <c r="D1081" s="13" t="s">
        <v>282</v>
      </c>
      <c r="E1081" s="13" t="s">
        <v>325</v>
      </c>
      <c r="F1081" s="15">
        <v>3</v>
      </c>
      <c r="G1081" s="15">
        <v>300</v>
      </c>
      <c r="H1081" s="15">
        <v>19.2</v>
      </c>
      <c r="I1081" s="15">
        <v>727.2</v>
      </c>
      <c r="J1081" s="13" t="s">
        <v>87</v>
      </c>
      <c r="K1081" s="13" t="s">
        <v>88</v>
      </c>
      <c r="L1081" s="34" t="str">
        <f>VLOOKUP(D1081,Products!$A$2:$F$61,3,FALSE)</f>
        <v>Electronics</v>
      </c>
      <c r="M1081" s="34" t="str">
        <f>VLOOKUP(C1081,Customers!$A$2:$F$301,5,FALSE)</f>
        <v>Retail</v>
      </c>
      <c r="N1081" s="34">
        <f>VLOOKUP(C1081,Customers!$A$2:$F$301,3,FALSE)</f>
        <v>63</v>
      </c>
      <c r="O1081" s="34" t="str">
        <f>VLOOKUP(E1081,Sales_Reps!$A$2:$E$31,3,FALSE)</f>
        <v>South</v>
      </c>
      <c r="P1081" s="13" t="s">
        <v>325</v>
      </c>
      <c r="Q1081" s="34">
        <f t="shared" si="36"/>
        <v>901394.32000000007</v>
      </c>
      <c r="R1081" s="34" t="str">
        <f>VLOOKUP(E1081,Sales_Reps!$A$2:$E$100,3,FALSE)</f>
        <v>South</v>
      </c>
      <c r="S1081" s="34" t="str">
        <f t="shared" si="37"/>
        <v>Electronics</v>
      </c>
      <c r="T1081" s="38">
        <f>VLOOKUP(D1081,Products!$A$2:$F$68,4,FALSE)</f>
        <v>128</v>
      </c>
    </row>
    <row r="1082" spans="1:20" x14ac:dyDescent="0.35">
      <c r="A1082" s="13" t="s">
        <v>1566</v>
      </c>
      <c r="B1082" s="14">
        <v>45537</v>
      </c>
      <c r="C1082" s="13" t="s">
        <v>90</v>
      </c>
      <c r="D1082" s="13" t="s">
        <v>380</v>
      </c>
      <c r="E1082" s="13" t="s">
        <v>98</v>
      </c>
      <c r="F1082" s="15">
        <v>6</v>
      </c>
      <c r="G1082" s="15">
        <v>960</v>
      </c>
      <c r="H1082" s="15">
        <v>29.3</v>
      </c>
      <c r="I1082" s="15">
        <v>4072.32</v>
      </c>
      <c r="J1082" s="13" t="s">
        <v>140</v>
      </c>
      <c r="K1082" s="13" t="s">
        <v>94</v>
      </c>
      <c r="L1082" s="34" t="str">
        <f>VLOOKUP(D1082,Products!$A$2:$F$61,3,FALSE)</f>
        <v>Beauty</v>
      </c>
      <c r="M1082" s="34" t="str">
        <f>VLOOKUP(C1082,Customers!$A$2:$F$301,5,FALSE)</f>
        <v>Retail</v>
      </c>
      <c r="N1082" s="34">
        <f>VLOOKUP(C1082,Customers!$A$2:$F$301,3,FALSE)</f>
        <v>39</v>
      </c>
      <c r="O1082" s="34" t="str">
        <f>VLOOKUP(E1082,Sales_Reps!$A$2:$E$31,3,FALSE)</f>
        <v>South</v>
      </c>
      <c r="P1082" s="13" t="s">
        <v>98</v>
      </c>
      <c r="Q1082" s="34">
        <f t="shared" si="36"/>
        <v>995713.54000000015</v>
      </c>
      <c r="R1082" s="34" t="str">
        <f>VLOOKUP(E1082,Sales_Reps!$A$2:$E$100,3,FALSE)</f>
        <v>South</v>
      </c>
      <c r="S1082" s="34" t="str">
        <f t="shared" si="37"/>
        <v>Beauty</v>
      </c>
      <c r="T1082" s="38">
        <f>VLOOKUP(D1082,Products!$A$2:$F$68,4,FALSE)</f>
        <v>675</v>
      </c>
    </row>
    <row r="1083" spans="1:20" x14ac:dyDescent="0.35">
      <c r="A1083" s="13" t="s">
        <v>1567</v>
      </c>
      <c r="B1083" s="14">
        <v>45383</v>
      </c>
      <c r="C1083" s="13" t="s">
        <v>447</v>
      </c>
      <c r="D1083" s="13" t="s">
        <v>245</v>
      </c>
      <c r="E1083" s="13" t="s">
        <v>111</v>
      </c>
      <c r="F1083" s="15">
        <v>1</v>
      </c>
      <c r="G1083" s="15">
        <v>2270</v>
      </c>
      <c r="H1083" s="15">
        <v>12.4</v>
      </c>
      <c r="I1083" s="15">
        <v>1988.52</v>
      </c>
      <c r="J1083" s="13" t="s">
        <v>87</v>
      </c>
      <c r="K1083" s="13" t="s">
        <v>112</v>
      </c>
      <c r="L1083" s="34" t="str">
        <f>VLOOKUP(D1083,Products!$A$2:$F$61,3,FALSE)</f>
        <v>Grocery</v>
      </c>
      <c r="M1083" s="34" t="str">
        <f>VLOOKUP(C1083,Customers!$A$2:$F$301,5,FALSE)</f>
        <v>Retail</v>
      </c>
      <c r="N1083" s="34">
        <f>VLOOKUP(C1083,Customers!$A$2:$F$301,3,FALSE)</f>
        <v>41</v>
      </c>
      <c r="O1083" s="34" t="str">
        <f>VLOOKUP(E1083,Sales_Reps!$A$2:$E$31,3,FALSE)</f>
        <v>West</v>
      </c>
      <c r="P1083" s="13" t="s">
        <v>111</v>
      </c>
      <c r="Q1083" s="34">
        <f t="shared" si="36"/>
        <v>901298.89</v>
      </c>
      <c r="R1083" s="34" t="str">
        <f>VLOOKUP(E1083,Sales_Reps!$A$2:$E$100,3,FALSE)</f>
        <v>West</v>
      </c>
      <c r="S1083" s="34" t="str">
        <f t="shared" si="37"/>
        <v>Grocery</v>
      </c>
      <c r="T1083" s="38">
        <f>VLOOKUP(D1083,Products!$A$2:$F$68,4,FALSE)</f>
        <v>1412</v>
      </c>
    </row>
    <row r="1084" spans="1:20" x14ac:dyDescent="0.35">
      <c r="A1084" s="13" t="s">
        <v>1568</v>
      </c>
      <c r="B1084" s="14">
        <v>45541</v>
      </c>
      <c r="C1084" s="13" t="s">
        <v>331</v>
      </c>
      <c r="D1084" s="13" t="s">
        <v>295</v>
      </c>
      <c r="E1084" s="13" t="s">
        <v>343</v>
      </c>
      <c r="F1084" s="15">
        <v>10</v>
      </c>
      <c r="G1084" s="15">
        <v>2030</v>
      </c>
      <c r="H1084" s="15">
        <v>4</v>
      </c>
      <c r="I1084" s="15">
        <v>19488</v>
      </c>
      <c r="J1084" s="13" t="s">
        <v>87</v>
      </c>
      <c r="K1084" s="13" t="s">
        <v>117</v>
      </c>
      <c r="L1084" s="34" t="str">
        <f>VLOOKUP(D1084,Products!$A$2:$F$61,3,FALSE)</f>
        <v>Home</v>
      </c>
      <c r="M1084" s="34" t="str">
        <f>VLOOKUP(C1084,Customers!$A$2:$F$301,5,FALSE)</f>
        <v>Corporate</v>
      </c>
      <c r="N1084" s="34">
        <f>VLOOKUP(C1084,Customers!$A$2:$F$301,3,FALSE)</f>
        <v>59</v>
      </c>
      <c r="O1084" s="34" t="str">
        <f>VLOOKUP(E1084,Sales_Reps!$A$2:$E$31,3,FALSE)</f>
        <v>West</v>
      </c>
      <c r="P1084" s="13" t="s">
        <v>343</v>
      </c>
      <c r="Q1084" s="34">
        <f t="shared" si="36"/>
        <v>917092.61999999965</v>
      </c>
      <c r="R1084" s="34" t="str">
        <f>VLOOKUP(E1084,Sales_Reps!$A$2:$E$100,3,FALSE)</f>
        <v>West</v>
      </c>
      <c r="S1084" s="34" t="str">
        <f t="shared" si="37"/>
        <v>Home</v>
      </c>
      <c r="T1084" s="38">
        <f>VLOOKUP(D1084,Products!$A$2:$F$68,4,FALSE)</f>
        <v>1143</v>
      </c>
    </row>
    <row r="1085" spans="1:20" x14ac:dyDescent="0.35">
      <c r="A1085" s="13" t="s">
        <v>1569</v>
      </c>
      <c r="B1085" s="14">
        <v>45609</v>
      </c>
      <c r="C1085" s="13" t="s">
        <v>902</v>
      </c>
      <c r="D1085" s="13" t="s">
        <v>164</v>
      </c>
      <c r="E1085" s="13" t="s">
        <v>158</v>
      </c>
      <c r="F1085" s="15">
        <v>9</v>
      </c>
      <c r="G1085" s="15">
        <v>1080</v>
      </c>
      <c r="H1085" s="15">
        <v>19.2</v>
      </c>
      <c r="I1085" s="15">
        <v>7853.76</v>
      </c>
      <c r="J1085" s="13" t="s">
        <v>93</v>
      </c>
      <c r="K1085" s="13" t="s">
        <v>112</v>
      </c>
      <c r="L1085" s="34" t="str">
        <f>VLOOKUP(D1085,Products!$A$2:$F$61,3,FALSE)</f>
        <v>Home</v>
      </c>
      <c r="M1085" s="34" t="str">
        <f>VLOOKUP(C1085,Customers!$A$2:$F$301,5,FALSE)</f>
        <v>Retail</v>
      </c>
      <c r="N1085" s="34">
        <f>VLOOKUP(C1085,Customers!$A$2:$F$301,3,FALSE)</f>
        <v>37</v>
      </c>
      <c r="O1085" s="34" t="str">
        <f>VLOOKUP(E1085,Sales_Reps!$A$2:$E$31,3,FALSE)</f>
        <v>East</v>
      </c>
      <c r="P1085" s="13" t="s">
        <v>158</v>
      </c>
      <c r="Q1085" s="34">
        <f t="shared" si="36"/>
        <v>761507.17000000027</v>
      </c>
      <c r="R1085" s="34" t="str">
        <f>VLOOKUP(E1085,Sales_Reps!$A$2:$E$100,3,FALSE)</f>
        <v>East</v>
      </c>
      <c r="S1085" s="34" t="str">
        <f t="shared" si="37"/>
        <v>Home</v>
      </c>
      <c r="T1085" s="38">
        <f>VLOOKUP(D1085,Products!$A$2:$F$68,4,FALSE)</f>
        <v>519</v>
      </c>
    </row>
    <row r="1086" spans="1:20" x14ac:dyDescent="0.35">
      <c r="A1086" s="13" t="s">
        <v>1570</v>
      </c>
      <c r="B1086" s="14">
        <v>45463</v>
      </c>
      <c r="C1086" s="13" t="s">
        <v>172</v>
      </c>
      <c r="D1086" s="13" t="s">
        <v>195</v>
      </c>
      <c r="E1086" s="13" t="s">
        <v>111</v>
      </c>
      <c r="F1086" s="15">
        <v>5</v>
      </c>
      <c r="G1086" s="15">
        <v>2860</v>
      </c>
      <c r="H1086" s="15">
        <v>25</v>
      </c>
      <c r="I1086" s="15">
        <v>10725</v>
      </c>
      <c r="J1086" s="13" t="s">
        <v>93</v>
      </c>
      <c r="K1086" s="13" t="s">
        <v>88</v>
      </c>
      <c r="L1086" s="34" t="str">
        <f>VLOOKUP(D1086,Products!$A$2:$F$61,3,FALSE)</f>
        <v>Sports</v>
      </c>
      <c r="M1086" s="34" t="str">
        <f>VLOOKUP(C1086,Customers!$A$2:$F$301,5,FALSE)</f>
        <v>Retail</v>
      </c>
      <c r="N1086" s="34">
        <f>VLOOKUP(C1086,Customers!$A$2:$F$301,3,FALSE)</f>
        <v>50</v>
      </c>
      <c r="O1086" s="34" t="str">
        <f>VLOOKUP(E1086,Sales_Reps!$A$2:$E$31,3,FALSE)</f>
        <v>West</v>
      </c>
      <c r="P1086" s="13" t="s">
        <v>111</v>
      </c>
      <c r="Q1086" s="34">
        <f t="shared" si="36"/>
        <v>901298.89</v>
      </c>
      <c r="R1086" s="34" t="str">
        <f>VLOOKUP(E1086,Sales_Reps!$A$2:$E$100,3,FALSE)</f>
        <v>West</v>
      </c>
      <c r="S1086" s="34" t="str">
        <f t="shared" si="37"/>
        <v>Sports</v>
      </c>
      <c r="T1086" s="38">
        <f>VLOOKUP(D1086,Products!$A$2:$F$68,4,FALSE)</f>
        <v>2028</v>
      </c>
    </row>
    <row r="1087" spans="1:20" x14ac:dyDescent="0.35">
      <c r="A1087" s="13" t="s">
        <v>1571</v>
      </c>
      <c r="B1087" s="14">
        <v>45588</v>
      </c>
      <c r="C1087" s="13" t="s">
        <v>101</v>
      </c>
      <c r="D1087" s="13" t="s">
        <v>131</v>
      </c>
      <c r="E1087" s="13" t="s">
        <v>325</v>
      </c>
      <c r="F1087" s="15">
        <v>6</v>
      </c>
      <c r="G1087" s="15">
        <v>2270</v>
      </c>
      <c r="H1087" s="15">
        <v>9.3000000000000007</v>
      </c>
      <c r="I1087" s="15">
        <v>12353.34</v>
      </c>
      <c r="J1087" s="13" t="s">
        <v>87</v>
      </c>
      <c r="K1087" s="13" t="s">
        <v>99</v>
      </c>
      <c r="L1087" s="34" t="str">
        <f>VLOOKUP(D1087,Products!$A$2:$F$61,3,FALSE)</f>
        <v>Grocery</v>
      </c>
      <c r="M1087" s="34" t="str">
        <f>VLOOKUP(C1087,Customers!$A$2:$F$301,5,FALSE)</f>
        <v>Corporate</v>
      </c>
      <c r="N1087" s="34">
        <f>VLOOKUP(C1087,Customers!$A$2:$F$301,3,FALSE)</f>
        <v>46</v>
      </c>
      <c r="O1087" s="34" t="str">
        <f>VLOOKUP(E1087,Sales_Reps!$A$2:$E$31,3,FALSE)</f>
        <v>South</v>
      </c>
      <c r="P1087" s="13" t="s">
        <v>325</v>
      </c>
      <c r="Q1087" s="34">
        <f t="shared" si="36"/>
        <v>901394.32000000007</v>
      </c>
      <c r="R1087" s="34" t="str">
        <f>VLOOKUP(E1087,Sales_Reps!$A$2:$E$100,3,FALSE)</f>
        <v>South</v>
      </c>
      <c r="S1087" s="34" t="str">
        <f t="shared" si="37"/>
        <v>Grocery</v>
      </c>
      <c r="T1087" s="38">
        <f>VLOOKUP(D1087,Products!$A$2:$F$68,4,FALSE)</f>
        <v>1203</v>
      </c>
    </row>
    <row r="1088" spans="1:20" x14ac:dyDescent="0.35">
      <c r="A1088" s="13" t="s">
        <v>1572</v>
      </c>
      <c r="B1088" s="14">
        <v>45328</v>
      </c>
      <c r="C1088" s="13" t="s">
        <v>635</v>
      </c>
      <c r="D1088" s="13" t="s">
        <v>173</v>
      </c>
      <c r="E1088" s="13" t="s">
        <v>116</v>
      </c>
      <c r="F1088" s="15">
        <v>1</v>
      </c>
      <c r="G1088" s="15">
        <v>2720</v>
      </c>
      <c r="H1088" s="15">
        <v>15.2</v>
      </c>
      <c r="I1088" s="15">
        <v>2306.56</v>
      </c>
      <c r="J1088" s="13" t="s">
        <v>87</v>
      </c>
      <c r="K1088" s="13" t="s">
        <v>99</v>
      </c>
      <c r="L1088" s="34" t="str">
        <f>VLOOKUP(D1088,Products!$A$2:$F$61,3,FALSE)</f>
        <v>Apparel</v>
      </c>
      <c r="M1088" s="34" t="str">
        <f>VLOOKUP(C1088,Customers!$A$2:$F$301,5,FALSE)</f>
        <v>Retail</v>
      </c>
      <c r="N1088" s="34">
        <f>VLOOKUP(C1088,Customers!$A$2:$F$301,3,FALSE)</f>
        <v>49</v>
      </c>
      <c r="O1088" s="34" t="str">
        <f>VLOOKUP(E1088,Sales_Reps!$A$2:$E$31,3,FALSE)</f>
        <v>West</v>
      </c>
      <c r="P1088" s="13" t="s">
        <v>116</v>
      </c>
      <c r="Q1088" s="34">
        <f t="shared" si="36"/>
        <v>819558.58</v>
      </c>
      <c r="R1088" s="34" t="str">
        <f>VLOOKUP(E1088,Sales_Reps!$A$2:$E$100,3,FALSE)</f>
        <v>West</v>
      </c>
      <c r="S1088" s="34" t="str">
        <f t="shared" si="37"/>
        <v>Apparel</v>
      </c>
      <c r="T1088" s="38">
        <f>VLOOKUP(D1088,Products!$A$2:$F$68,4,FALSE)</f>
        <v>1962</v>
      </c>
    </row>
    <row r="1089" spans="1:20" x14ac:dyDescent="0.35">
      <c r="A1089" s="13" t="s">
        <v>1573</v>
      </c>
      <c r="B1089" s="14">
        <v>45638</v>
      </c>
      <c r="C1089" s="13" t="s">
        <v>1038</v>
      </c>
      <c r="D1089" s="13" t="s">
        <v>248</v>
      </c>
      <c r="E1089" s="13" t="s">
        <v>92</v>
      </c>
      <c r="F1089" s="15">
        <v>10</v>
      </c>
      <c r="G1089" s="15">
        <v>3870</v>
      </c>
      <c r="H1089" s="15">
        <v>4.9000000000000004</v>
      </c>
      <c r="I1089" s="15">
        <v>36803.699999999997</v>
      </c>
      <c r="J1089" s="13" t="s">
        <v>140</v>
      </c>
      <c r="K1089" s="13" t="s">
        <v>117</v>
      </c>
      <c r="L1089" s="34" t="str">
        <f>VLOOKUP(D1089,Products!$A$2:$F$61,3,FALSE)</f>
        <v>Electronics</v>
      </c>
      <c r="M1089" s="34" t="str">
        <f>VLOOKUP(C1089,Customers!$A$2:$F$301,5,FALSE)</f>
        <v>Corporate</v>
      </c>
      <c r="N1089" s="34">
        <f>VLOOKUP(C1089,Customers!$A$2:$F$301,3,FALSE)</f>
        <v>55</v>
      </c>
      <c r="O1089" s="34" t="str">
        <f>VLOOKUP(E1089,Sales_Reps!$A$2:$E$31,3,FALSE)</f>
        <v>North</v>
      </c>
      <c r="P1089" s="13" t="s">
        <v>92</v>
      </c>
      <c r="Q1089" s="34">
        <f t="shared" si="36"/>
        <v>782445.33</v>
      </c>
      <c r="R1089" s="34" t="str">
        <f>VLOOKUP(E1089,Sales_Reps!$A$2:$E$100,3,FALSE)</f>
        <v>North</v>
      </c>
      <c r="S1089" s="34" t="str">
        <f t="shared" si="37"/>
        <v>Electronics</v>
      </c>
      <c r="T1089" s="38">
        <f>VLOOKUP(D1089,Products!$A$2:$F$68,4,FALSE)</f>
        <v>1559</v>
      </c>
    </row>
    <row r="1090" spans="1:20" x14ac:dyDescent="0.35">
      <c r="A1090" s="13" t="s">
        <v>1574</v>
      </c>
      <c r="B1090" s="14">
        <v>45332</v>
      </c>
      <c r="C1090" s="13" t="s">
        <v>1575</v>
      </c>
      <c r="D1090" s="13" t="s">
        <v>452</v>
      </c>
      <c r="E1090" s="13" t="s">
        <v>121</v>
      </c>
      <c r="F1090" s="15">
        <v>8</v>
      </c>
      <c r="G1090" s="15">
        <v>3450</v>
      </c>
      <c r="H1090" s="15">
        <v>20.6</v>
      </c>
      <c r="I1090" s="15">
        <v>21914.400000000001</v>
      </c>
      <c r="J1090" s="13" t="s">
        <v>87</v>
      </c>
      <c r="K1090" s="13" t="s">
        <v>133</v>
      </c>
      <c r="L1090" s="34" t="str">
        <f>VLOOKUP(D1090,Products!$A$2:$F$61,3,FALSE)</f>
        <v>Apparel</v>
      </c>
      <c r="M1090" s="34" t="str">
        <f>VLOOKUP(C1090,Customers!$A$2:$F$301,5,FALSE)</f>
        <v>Corporate</v>
      </c>
      <c r="N1090" s="34">
        <f>VLOOKUP(C1090,Customers!$A$2:$F$301,3,FALSE)</f>
        <v>60</v>
      </c>
      <c r="O1090" s="34" t="str">
        <f>VLOOKUP(E1090,Sales_Reps!$A$2:$E$31,3,FALSE)</f>
        <v>East</v>
      </c>
      <c r="P1090" s="13" t="s">
        <v>121</v>
      </c>
      <c r="Q1090" s="34">
        <f t="shared" si="36"/>
        <v>971183.52000000014</v>
      </c>
      <c r="R1090" s="34" t="str">
        <f>VLOOKUP(E1090,Sales_Reps!$A$2:$E$100,3,FALSE)</f>
        <v>East</v>
      </c>
      <c r="S1090" s="34" t="str">
        <f t="shared" si="37"/>
        <v>Apparel</v>
      </c>
      <c r="T1090" s="38">
        <f>VLOOKUP(D1090,Products!$A$2:$F$68,4,FALSE)</f>
        <v>1748</v>
      </c>
    </row>
    <row r="1091" spans="1:20" x14ac:dyDescent="0.35">
      <c r="A1091" s="13" t="s">
        <v>1576</v>
      </c>
      <c r="B1091" s="14">
        <v>45406</v>
      </c>
      <c r="C1091" s="13" t="s">
        <v>269</v>
      </c>
      <c r="D1091" s="13" t="s">
        <v>97</v>
      </c>
      <c r="E1091" s="13" t="s">
        <v>297</v>
      </c>
      <c r="F1091" s="15">
        <v>1</v>
      </c>
      <c r="G1091" s="15">
        <v>470</v>
      </c>
      <c r="H1091" s="15">
        <v>5.4</v>
      </c>
      <c r="I1091" s="15">
        <v>444.62</v>
      </c>
      <c r="J1091" s="13" t="s">
        <v>144</v>
      </c>
      <c r="K1091" s="13" t="s">
        <v>112</v>
      </c>
      <c r="L1091" s="34" t="str">
        <f>VLOOKUP(D1091,Products!$A$2:$F$61,3,FALSE)</f>
        <v>Sports</v>
      </c>
      <c r="M1091" s="34" t="str">
        <f>VLOOKUP(C1091,Customers!$A$2:$F$301,5,FALSE)</f>
        <v>Retail</v>
      </c>
      <c r="N1091" s="34">
        <f>VLOOKUP(C1091,Customers!$A$2:$F$301,3,FALSE)</f>
        <v>40</v>
      </c>
      <c r="O1091" s="34" t="str">
        <f>VLOOKUP(E1091,Sales_Reps!$A$2:$E$31,3,FALSE)</f>
        <v>North</v>
      </c>
      <c r="P1091" s="13" t="s">
        <v>297</v>
      </c>
      <c r="Q1091" s="34">
        <f t="shared" ref="Q1091:Q1154" si="38">SUMIFS($I:$I,$E:$E,P1091)</f>
        <v>980063.65999999968</v>
      </c>
      <c r="R1091" s="34" t="str">
        <f>VLOOKUP(E1091,Sales_Reps!$A$2:$E$100,3,FALSE)</f>
        <v>North</v>
      </c>
      <c r="S1091" s="34" t="str">
        <f t="shared" ref="S1091:S1154" si="39">L1091</f>
        <v>Sports</v>
      </c>
      <c r="T1091" s="38">
        <f>VLOOKUP(D1091,Products!$A$2:$F$68,4,FALSE)</f>
        <v>302</v>
      </c>
    </row>
    <row r="1092" spans="1:20" x14ac:dyDescent="0.35">
      <c r="A1092" s="13" t="s">
        <v>1577</v>
      </c>
      <c r="B1092" s="14">
        <v>45405</v>
      </c>
      <c r="C1092" s="13" t="s">
        <v>324</v>
      </c>
      <c r="D1092" s="13" t="s">
        <v>408</v>
      </c>
      <c r="E1092" s="13" t="s">
        <v>204</v>
      </c>
      <c r="F1092" s="15">
        <v>5</v>
      </c>
      <c r="G1092" s="15">
        <v>3970</v>
      </c>
      <c r="H1092" s="15">
        <v>5.8</v>
      </c>
      <c r="I1092" s="15">
        <v>18698.7</v>
      </c>
      <c r="J1092" s="13" t="s">
        <v>87</v>
      </c>
      <c r="K1092" s="13" t="s">
        <v>133</v>
      </c>
      <c r="L1092" s="34" t="str">
        <f>VLOOKUP(D1092,Products!$A$2:$F$61,3,FALSE)</f>
        <v>Electronics</v>
      </c>
      <c r="M1092" s="34" t="str">
        <f>VLOOKUP(C1092,Customers!$A$2:$F$301,5,FALSE)</f>
        <v>Retail</v>
      </c>
      <c r="N1092" s="34">
        <f>VLOOKUP(C1092,Customers!$A$2:$F$301,3,FALSE)</f>
        <v>28</v>
      </c>
      <c r="O1092" s="34" t="str">
        <f>VLOOKUP(E1092,Sales_Reps!$A$2:$E$31,3,FALSE)</f>
        <v>South</v>
      </c>
      <c r="P1092" s="13" t="s">
        <v>204</v>
      </c>
      <c r="Q1092" s="34">
        <f t="shared" si="38"/>
        <v>914554.71999999986</v>
      </c>
      <c r="R1092" s="34" t="str">
        <f>VLOOKUP(E1092,Sales_Reps!$A$2:$E$100,3,FALSE)</f>
        <v>South</v>
      </c>
      <c r="S1092" s="34" t="str">
        <f t="shared" si="39"/>
        <v>Electronics</v>
      </c>
      <c r="T1092" s="38">
        <f>VLOOKUP(D1092,Products!$A$2:$F$68,4,FALSE)</f>
        <v>2865</v>
      </c>
    </row>
    <row r="1093" spans="1:20" x14ac:dyDescent="0.35">
      <c r="A1093" s="13" t="s">
        <v>1578</v>
      </c>
      <c r="B1093" s="14">
        <v>45469</v>
      </c>
      <c r="C1093" s="13" t="s">
        <v>1006</v>
      </c>
      <c r="D1093" s="13" t="s">
        <v>191</v>
      </c>
      <c r="E1093" s="13" t="s">
        <v>325</v>
      </c>
      <c r="F1093" s="15">
        <v>2</v>
      </c>
      <c r="G1093" s="15">
        <v>5100</v>
      </c>
      <c r="H1093" s="15">
        <v>19.899999999999999</v>
      </c>
      <c r="I1093" s="15">
        <v>8170.2</v>
      </c>
      <c r="J1093" s="13" t="s">
        <v>87</v>
      </c>
      <c r="K1093" s="13" t="s">
        <v>117</v>
      </c>
      <c r="L1093" s="34" t="str">
        <f>VLOOKUP(D1093,Products!$A$2:$F$61,3,FALSE)</f>
        <v>Beauty</v>
      </c>
      <c r="M1093" s="34" t="str">
        <f>VLOOKUP(C1093,Customers!$A$2:$F$301,5,FALSE)</f>
        <v>SMB</v>
      </c>
      <c r="N1093" s="34">
        <f>VLOOKUP(C1093,Customers!$A$2:$F$301,3,FALSE)</f>
        <v>44</v>
      </c>
      <c r="O1093" s="34" t="str">
        <f>VLOOKUP(E1093,Sales_Reps!$A$2:$E$31,3,FALSE)</f>
        <v>South</v>
      </c>
      <c r="P1093" s="13" t="s">
        <v>325</v>
      </c>
      <c r="Q1093" s="34">
        <f t="shared" si="38"/>
        <v>901394.32000000007</v>
      </c>
      <c r="R1093" s="34" t="str">
        <f>VLOOKUP(E1093,Sales_Reps!$A$2:$E$100,3,FALSE)</f>
        <v>South</v>
      </c>
      <c r="S1093" s="34" t="str">
        <f t="shared" si="39"/>
        <v>Beauty</v>
      </c>
      <c r="T1093" s="38">
        <f>VLOOKUP(D1093,Products!$A$2:$F$68,4,FALSE)</f>
        <v>2237</v>
      </c>
    </row>
    <row r="1094" spans="1:20" x14ac:dyDescent="0.35">
      <c r="A1094" s="13" t="s">
        <v>1579</v>
      </c>
      <c r="B1094" s="14">
        <v>45656</v>
      </c>
      <c r="C1094" s="13" t="s">
        <v>493</v>
      </c>
      <c r="D1094" s="13" t="s">
        <v>157</v>
      </c>
      <c r="E1094" s="13" t="s">
        <v>215</v>
      </c>
      <c r="F1094" s="15">
        <v>6</v>
      </c>
      <c r="G1094" s="15">
        <v>3450</v>
      </c>
      <c r="H1094" s="15">
        <v>13</v>
      </c>
      <c r="I1094" s="15">
        <v>18009</v>
      </c>
      <c r="J1094" s="13" t="s">
        <v>87</v>
      </c>
      <c r="K1094" s="13" t="s">
        <v>88</v>
      </c>
      <c r="L1094" s="34" t="str">
        <f>VLOOKUP(D1094,Products!$A$2:$F$61,3,FALSE)</f>
        <v>Beauty</v>
      </c>
      <c r="M1094" s="34" t="str">
        <f>VLOOKUP(C1094,Customers!$A$2:$F$301,5,FALSE)</f>
        <v>Retail</v>
      </c>
      <c r="N1094" s="34">
        <f>VLOOKUP(C1094,Customers!$A$2:$F$301,3,FALSE)</f>
        <v>57</v>
      </c>
      <c r="O1094" s="34" t="str">
        <f>VLOOKUP(E1094,Sales_Reps!$A$2:$E$31,3,FALSE)</f>
        <v>North</v>
      </c>
      <c r="P1094" s="13" t="s">
        <v>215</v>
      </c>
      <c r="Q1094" s="34">
        <f t="shared" si="38"/>
        <v>789849.60000000009</v>
      </c>
      <c r="R1094" s="34" t="str">
        <f>VLOOKUP(E1094,Sales_Reps!$A$2:$E$100,3,FALSE)</f>
        <v>North</v>
      </c>
      <c r="S1094" s="34" t="str">
        <f t="shared" si="39"/>
        <v>Beauty</v>
      </c>
      <c r="T1094" s="38">
        <f>VLOOKUP(D1094,Products!$A$2:$F$68,4,FALSE)</f>
        <v>2420</v>
      </c>
    </row>
    <row r="1095" spans="1:20" x14ac:dyDescent="0.35">
      <c r="A1095" s="13" t="s">
        <v>1580</v>
      </c>
      <c r="B1095" s="14">
        <v>45653</v>
      </c>
      <c r="C1095" s="13" t="s">
        <v>1499</v>
      </c>
      <c r="D1095" s="13" t="s">
        <v>226</v>
      </c>
      <c r="E1095" s="13" t="s">
        <v>325</v>
      </c>
      <c r="F1095" s="15">
        <v>9</v>
      </c>
      <c r="G1095" s="15">
        <v>3730</v>
      </c>
      <c r="H1095" s="15">
        <v>15.5</v>
      </c>
      <c r="I1095" s="15">
        <v>28366.65</v>
      </c>
      <c r="J1095" s="13" t="s">
        <v>87</v>
      </c>
      <c r="K1095" s="13" t="s">
        <v>94</v>
      </c>
      <c r="L1095" s="34" t="str">
        <f>VLOOKUP(D1095,Products!$A$2:$F$61,3,FALSE)</f>
        <v>Home</v>
      </c>
      <c r="M1095" s="34" t="str">
        <f>VLOOKUP(C1095,Customers!$A$2:$F$301,5,FALSE)</f>
        <v>Retail</v>
      </c>
      <c r="N1095" s="34">
        <f>VLOOKUP(C1095,Customers!$A$2:$F$301,3,FALSE)</f>
        <v>26</v>
      </c>
      <c r="O1095" s="34" t="str">
        <f>VLOOKUP(E1095,Sales_Reps!$A$2:$E$31,3,FALSE)</f>
        <v>South</v>
      </c>
      <c r="P1095" s="13" t="s">
        <v>325</v>
      </c>
      <c r="Q1095" s="34">
        <f t="shared" si="38"/>
        <v>901394.32000000007</v>
      </c>
      <c r="R1095" s="34" t="str">
        <f>VLOOKUP(E1095,Sales_Reps!$A$2:$E$100,3,FALSE)</f>
        <v>South</v>
      </c>
      <c r="S1095" s="34" t="str">
        <f t="shared" si="39"/>
        <v>Home</v>
      </c>
      <c r="T1095" s="38">
        <f>VLOOKUP(D1095,Products!$A$2:$F$68,4,FALSE)</f>
        <v>2135</v>
      </c>
    </row>
    <row r="1096" spans="1:20" x14ac:dyDescent="0.35">
      <c r="A1096" s="13" t="s">
        <v>1581</v>
      </c>
      <c r="B1096" s="14">
        <v>45440</v>
      </c>
      <c r="C1096" s="13" t="s">
        <v>1575</v>
      </c>
      <c r="D1096" s="13" t="s">
        <v>380</v>
      </c>
      <c r="E1096" s="13" t="s">
        <v>192</v>
      </c>
      <c r="F1096" s="15">
        <v>5</v>
      </c>
      <c r="G1096" s="15">
        <v>960</v>
      </c>
      <c r="H1096" s="15">
        <v>9.3000000000000007</v>
      </c>
      <c r="I1096" s="15">
        <v>4353.6000000000004</v>
      </c>
      <c r="J1096" s="13" t="s">
        <v>87</v>
      </c>
      <c r="K1096" s="13" t="s">
        <v>133</v>
      </c>
      <c r="L1096" s="34" t="str">
        <f>VLOOKUP(D1096,Products!$A$2:$F$61,3,FALSE)</f>
        <v>Beauty</v>
      </c>
      <c r="M1096" s="34" t="str">
        <f>VLOOKUP(C1096,Customers!$A$2:$F$301,5,FALSE)</f>
        <v>Corporate</v>
      </c>
      <c r="N1096" s="34">
        <f>VLOOKUP(C1096,Customers!$A$2:$F$301,3,FALSE)</f>
        <v>60</v>
      </c>
      <c r="O1096" s="34" t="str">
        <f>VLOOKUP(E1096,Sales_Reps!$A$2:$E$31,3,FALSE)</f>
        <v>East</v>
      </c>
      <c r="P1096" s="13" t="s">
        <v>192</v>
      </c>
      <c r="Q1096" s="34">
        <f t="shared" si="38"/>
        <v>906107.71000000008</v>
      </c>
      <c r="R1096" s="34" t="str">
        <f>VLOOKUP(E1096,Sales_Reps!$A$2:$E$100,3,FALSE)</f>
        <v>East</v>
      </c>
      <c r="S1096" s="34" t="str">
        <f t="shared" si="39"/>
        <v>Beauty</v>
      </c>
      <c r="T1096" s="38">
        <f>VLOOKUP(D1096,Products!$A$2:$F$68,4,FALSE)</f>
        <v>675</v>
      </c>
    </row>
    <row r="1097" spans="1:20" x14ac:dyDescent="0.35">
      <c r="A1097" s="13" t="s">
        <v>1582</v>
      </c>
      <c r="B1097" s="14">
        <v>45511</v>
      </c>
      <c r="C1097" s="13" t="s">
        <v>781</v>
      </c>
      <c r="D1097" s="13" t="s">
        <v>443</v>
      </c>
      <c r="E1097" s="13" t="s">
        <v>107</v>
      </c>
      <c r="F1097" s="15">
        <v>3</v>
      </c>
      <c r="G1097" s="15">
        <v>5080</v>
      </c>
      <c r="H1097" s="15">
        <v>17.399999999999999</v>
      </c>
      <c r="I1097" s="15">
        <v>12588.24</v>
      </c>
      <c r="J1097" s="13" t="s">
        <v>140</v>
      </c>
      <c r="K1097" s="13" t="s">
        <v>99</v>
      </c>
      <c r="L1097" s="34" t="str">
        <f>VLOOKUP(D1097,Products!$A$2:$F$61,3,FALSE)</f>
        <v>Home</v>
      </c>
      <c r="M1097" s="34" t="str">
        <f>VLOOKUP(C1097,Customers!$A$2:$F$301,5,FALSE)</f>
        <v>SMB</v>
      </c>
      <c r="N1097" s="34">
        <f>VLOOKUP(C1097,Customers!$A$2:$F$301,3,FALSE)</f>
        <v>29</v>
      </c>
      <c r="O1097" s="34" t="str">
        <f>VLOOKUP(E1097,Sales_Reps!$A$2:$E$31,3,FALSE)</f>
        <v>North</v>
      </c>
      <c r="P1097" s="13" t="s">
        <v>107</v>
      </c>
      <c r="Q1097" s="34">
        <f t="shared" si="38"/>
        <v>861553.33</v>
      </c>
      <c r="R1097" s="34" t="str">
        <f>VLOOKUP(E1097,Sales_Reps!$A$2:$E$100,3,FALSE)</f>
        <v>North</v>
      </c>
      <c r="S1097" s="34" t="str">
        <f t="shared" si="39"/>
        <v>Home</v>
      </c>
      <c r="T1097" s="38">
        <f>VLOOKUP(D1097,Products!$A$2:$F$68,4,FALSE)</f>
        <v>2459</v>
      </c>
    </row>
    <row r="1098" spans="1:20" x14ac:dyDescent="0.35">
      <c r="A1098" s="13" t="s">
        <v>1583</v>
      </c>
      <c r="B1098" s="14">
        <v>45300</v>
      </c>
      <c r="C1098" s="13" t="s">
        <v>948</v>
      </c>
      <c r="D1098" s="13" t="s">
        <v>248</v>
      </c>
      <c r="E1098" s="13" t="s">
        <v>148</v>
      </c>
      <c r="F1098" s="15">
        <v>4</v>
      </c>
      <c r="G1098" s="15">
        <v>3870</v>
      </c>
      <c r="H1098" s="15">
        <v>20.5</v>
      </c>
      <c r="I1098" s="15">
        <v>12306.6</v>
      </c>
      <c r="J1098" s="13" t="s">
        <v>93</v>
      </c>
      <c r="K1098" s="13" t="s">
        <v>721</v>
      </c>
      <c r="L1098" s="34" t="str">
        <f>VLOOKUP(D1098,Products!$A$2:$F$61,3,FALSE)</f>
        <v>Electronics</v>
      </c>
      <c r="M1098" s="34" t="str">
        <f>VLOOKUP(C1098,Customers!$A$2:$F$301,5,FALSE)</f>
        <v>Retail</v>
      </c>
      <c r="N1098" s="34">
        <f>VLOOKUP(C1098,Customers!$A$2:$F$301,3,FALSE)</f>
        <v>65</v>
      </c>
      <c r="O1098" s="34" t="str">
        <f>VLOOKUP(E1098,Sales_Reps!$A$2:$E$31,3,FALSE)</f>
        <v>North</v>
      </c>
      <c r="P1098" s="13" t="s">
        <v>148</v>
      </c>
      <c r="Q1098" s="34">
        <f t="shared" si="38"/>
        <v>986692.91</v>
      </c>
      <c r="R1098" s="34" t="str">
        <f>VLOOKUP(E1098,Sales_Reps!$A$2:$E$100,3,FALSE)</f>
        <v>North</v>
      </c>
      <c r="S1098" s="34" t="str">
        <f t="shared" si="39"/>
        <v>Electronics</v>
      </c>
      <c r="T1098" s="38">
        <f>VLOOKUP(D1098,Products!$A$2:$F$68,4,FALSE)</f>
        <v>1559</v>
      </c>
    </row>
    <row r="1099" spans="1:20" x14ac:dyDescent="0.35">
      <c r="A1099" s="13" t="s">
        <v>1584</v>
      </c>
      <c r="B1099" s="14">
        <v>45528</v>
      </c>
      <c r="C1099" s="13" t="s">
        <v>427</v>
      </c>
      <c r="D1099" s="13" t="s">
        <v>461</v>
      </c>
      <c r="E1099" s="13" t="s">
        <v>116</v>
      </c>
      <c r="F1099" s="15">
        <v>1</v>
      </c>
      <c r="G1099" s="15">
        <v>3780</v>
      </c>
      <c r="H1099" s="15">
        <v>21.5</v>
      </c>
      <c r="I1099" s="15">
        <v>2967.3</v>
      </c>
      <c r="J1099" s="13" t="s">
        <v>87</v>
      </c>
      <c r="K1099" s="13" t="s">
        <v>88</v>
      </c>
      <c r="L1099" s="34" t="str">
        <f>VLOOKUP(D1099,Products!$A$2:$F$61,3,FALSE)</f>
        <v>Sports</v>
      </c>
      <c r="M1099" s="34" t="str">
        <f>VLOOKUP(C1099,Customers!$A$2:$F$301,5,FALSE)</f>
        <v>Corporate</v>
      </c>
      <c r="N1099" s="34">
        <f>VLOOKUP(C1099,Customers!$A$2:$F$301,3,FALSE)</f>
        <v>48</v>
      </c>
      <c r="O1099" s="34" t="str">
        <f>VLOOKUP(E1099,Sales_Reps!$A$2:$E$31,3,FALSE)</f>
        <v>West</v>
      </c>
      <c r="P1099" s="13" t="s">
        <v>116</v>
      </c>
      <c r="Q1099" s="34">
        <f t="shared" si="38"/>
        <v>819558.58</v>
      </c>
      <c r="R1099" s="34" t="str">
        <f>VLOOKUP(E1099,Sales_Reps!$A$2:$E$100,3,FALSE)</f>
        <v>West</v>
      </c>
      <c r="S1099" s="34" t="str">
        <f t="shared" si="39"/>
        <v>Sports</v>
      </c>
      <c r="T1099" s="38">
        <f>VLOOKUP(D1099,Products!$A$2:$F$68,4,FALSE)</f>
        <v>1860</v>
      </c>
    </row>
    <row r="1100" spans="1:20" x14ac:dyDescent="0.35">
      <c r="A1100" s="13" t="s">
        <v>1585</v>
      </c>
      <c r="B1100" s="14">
        <v>45622</v>
      </c>
      <c r="C1100" s="13" t="s">
        <v>114</v>
      </c>
      <c r="D1100" s="13" t="s">
        <v>248</v>
      </c>
      <c r="E1100" s="13" t="s">
        <v>238</v>
      </c>
      <c r="F1100" s="15">
        <v>3</v>
      </c>
      <c r="G1100" s="15">
        <v>3870</v>
      </c>
      <c r="H1100" s="15">
        <v>21.9</v>
      </c>
      <c r="I1100" s="15">
        <v>9067.41</v>
      </c>
      <c r="J1100" s="13" t="s">
        <v>93</v>
      </c>
      <c r="K1100" s="13" t="s">
        <v>117</v>
      </c>
      <c r="L1100" s="34" t="str">
        <f>VLOOKUP(D1100,Products!$A$2:$F$61,3,FALSE)</f>
        <v>Electronics</v>
      </c>
      <c r="M1100" s="34" t="str">
        <f>VLOOKUP(C1100,Customers!$A$2:$F$301,5,FALSE)</f>
        <v>Retail</v>
      </c>
      <c r="N1100" s="34">
        <f>VLOOKUP(C1100,Customers!$A$2:$F$301,3,FALSE)</f>
        <v>27</v>
      </c>
      <c r="O1100" s="34" t="str">
        <f>VLOOKUP(E1100,Sales_Reps!$A$2:$E$31,3,FALSE)</f>
        <v>East</v>
      </c>
      <c r="P1100" s="13" t="s">
        <v>238</v>
      </c>
      <c r="Q1100" s="34">
        <f t="shared" si="38"/>
        <v>780384.40999999992</v>
      </c>
      <c r="R1100" s="34" t="str">
        <f>VLOOKUP(E1100,Sales_Reps!$A$2:$E$100,3,FALSE)</f>
        <v>East</v>
      </c>
      <c r="S1100" s="34" t="str">
        <f t="shared" si="39"/>
        <v>Electronics</v>
      </c>
      <c r="T1100" s="38">
        <f>VLOOKUP(D1100,Products!$A$2:$F$68,4,FALSE)</f>
        <v>1559</v>
      </c>
    </row>
    <row r="1101" spans="1:20" x14ac:dyDescent="0.35">
      <c r="A1101" s="13" t="s">
        <v>1586</v>
      </c>
      <c r="B1101" s="14">
        <v>45463</v>
      </c>
      <c r="C1101" s="13" t="s">
        <v>233</v>
      </c>
      <c r="D1101" s="13" t="s">
        <v>295</v>
      </c>
      <c r="E1101" s="13" t="s">
        <v>204</v>
      </c>
      <c r="F1101" s="15">
        <v>4</v>
      </c>
      <c r="G1101" s="15">
        <v>2030</v>
      </c>
      <c r="H1101" s="15">
        <v>23.4</v>
      </c>
      <c r="I1101" s="15">
        <v>6219.92</v>
      </c>
      <c r="J1101" s="13" t="s">
        <v>87</v>
      </c>
      <c r="K1101" s="13" t="s">
        <v>88</v>
      </c>
      <c r="L1101" s="34" t="str">
        <f>VLOOKUP(D1101,Products!$A$2:$F$61,3,FALSE)</f>
        <v>Home</v>
      </c>
      <c r="M1101" s="34" t="str">
        <f>VLOOKUP(C1101,Customers!$A$2:$F$301,5,FALSE)</f>
        <v>SMB</v>
      </c>
      <c r="N1101" s="34">
        <f>VLOOKUP(C1101,Customers!$A$2:$F$301,3,FALSE)</f>
        <v>29</v>
      </c>
      <c r="O1101" s="34" t="str">
        <f>VLOOKUP(E1101,Sales_Reps!$A$2:$E$31,3,FALSE)</f>
        <v>South</v>
      </c>
      <c r="P1101" s="13" t="s">
        <v>204</v>
      </c>
      <c r="Q1101" s="34">
        <f t="shared" si="38"/>
        <v>914554.71999999986</v>
      </c>
      <c r="R1101" s="34" t="str">
        <f>VLOOKUP(E1101,Sales_Reps!$A$2:$E$100,3,FALSE)</f>
        <v>South</v>
      </c>
      <c r="S1101" s="34" t="str">
        <f t="shared" si="39"/>
        <v>Home</v>
      </c>
      <c r="T1101" s="38">
        <f>VLOOKUP(D1101,Products!$A$2:$F$68,4,FALSE)</f>
        <v>1143</v>
      </c>
    </row>
    <row r="1102" spans="1:20" x14ac:dyDescent="0.35">
      <c r="A1102" s="13" t="s">
        <v>1587</v>
      </c>
      <c r="B1102" s="14">
        <v>45407</v>
      </c>
      <c r="C1102" s="13" t="s">
        <v>595</v>
      </c>
      <c r="D1102" s="13" t="s">
        <v>338</v>
      </c>
      <c r="E1102" s="13" t="s">
        <v>148</v>
      </c>
      <c r="F1102" s="15">
        <v>6</v>
      </c>
      <c r="G1102" s="15">
        <v>2210</v>
      </c>
      <c r="H1102" s="15">
        <v>9.1</v>
      </c>
      <c r="I1102" s="15">
        <v>12053.34</v>
      </c>
      <c r="J1102" s="13" t="s">
        <v>87</v>
      </c>
      <c r="K1102" s="13" t="s">
        <v>99</v>
      </c>
      <c r="L1102" s="34" t="str">
        <f>VLOOKUP(D1102,Products!$A$2:$F$61,3,FALSE)</f>
        <v>Grocery</v>
      </c>
      <c r="M1102" s="34" t="str">
        <f>VLOOKUP(C1102,Customers!$A$2:$F$301,5,FALSE)</f>
        <v>SMB</v>
      </c>
      <c r="N1102" s="34">
        <f>VLOOKUP(C1102,Customers!$A$2:$F$301,3,FALSE)</f>
        <v>48</v>
      </c>
      <c r="O1102" s="34" t="str">
        <f>VLOOKUP(E1102,Sales_Reps!$A$2:$E$31,3,FALSE)</f>
        <v>North</v>
      </c>
      <c r="P1102" s="13" t="s">
        <v>148</v>
      </c>
      <c r="Q1102" s="34">
        <f t="shared" si="38"/>
        <v>986692.91</v>
      </c>
      <c r="R1102" s="34" t="str">
        <f>VLOOKUP(E1102,Sales_Reps!$A$2:$E$100,3,FALSE)</f>
        <v>North</v>
      </c>
      <c r="S1102" s="34" t="str">
        <f t="shared" si="39"/>
        <v>Grocery</v>
      </c>
      <c r="T1102" s="38">
        <f>VLOOKUP(D1102,Products!$A$2:$F$68,4,FALSE)</f>
        <v>1010</v>
      </c>
    </row>
    <row r="1103" spans="1:20" x14ac:dyDescent="0.35">
      <c r="A1103" s="13" t="s">
        <v>1588</v>
      </c>
      <c r="B1103" s="14">
        <v>45627</v>
      </c>
      <c r="C1103" s="13" t="s">
        <v>886</v>
      </c>
      <c r="D1103" s="13" t="s">
        <v>259</v>
      </c>
      <c r="E1103" s="13" t="s">
        <v>238</v>
      </c>
      <c r="F1103" s="15">
        <v>5</v>
      </c>
      <c r="G1103" s="15">
        <v>1540</v>
      </c>
      <c r="H1103" s="15">
        <v>18.100000000000001</v>
      </c>
      <c r="I1103" s="15">
        <v>6306.3</v>
      </c>
      <c r="J1103" s="13" t="s">
        <v>87</v>
      </c>
      <c r="K1103" s="13" t="s">
        <v>94</v>
      </c>
      <c r="L1103" s="34" t="str">
        <f>VLOOKUP(D1103,Products!$A$2:$F$61,3,FALSE)</f>
        <v>Beauty</v>
      </c>
      <c r="M1103" s="34" t="str">
        <f>VLOOKUP(C1103,Customers!$A$2:$F$301,5,FALSE)</f>
        <v>Corporate</v>
      </c>
      <c r="N1103" s="34">
        <f>VLOOKUP(C1103,Customers!$A$2:$F$301,3,FALSE)</f>
        <v>44</v>
      </c>
      <c r="O1103" s="34" t="str">
        <f>VLOOKUP(E1103,Sales_Reps!$A$2:$E$31,3,FALSE)</f>
        <v>East</v>
      </c>
      <c r="P1103" s="13" t="s">
        <v>238</v>
      </c>
      <c r="Q1103" s="34">
        <f t="shared" si="38"/>
        <v>780384.40999999992</v>
      </c>
      <c r="R1103" s="34" t="str">
        <f>VLOOKUP(E1103,Sales_Reps!$A$2:$E$100,3,FALSE)</f>
        <v>East</v>
      </c>
      <c r="S1103" s="34" t="str">
        <f t="shared" si="39"/>
        <v>Beauty</v>
      </c>
      <c r="T1103" s="38">
        <f>VLOOKUP(D1103,Products!$A$2:$F$68,4,FALSE)</f>
        <v>647</v>
      </c>
    </row>
    <row r="1104" spans="1:20" x14ac:dyDescent="0.35">
      <c r="A1104" s="13" t="s">
        <v>1589</v>
      </c>
      <c r="B1104" s="14">
        <v>45393</v>
      </c>
      <c r="C1104" s="13" t="s">
        <v>638</v>
      </c>
      <c r="D1104" s="13" t="s">
        <v>182</v>
      </c>
      <c r="E1104" s="13" t="s">
        <v>273</v>
      </c>
      <c r="F1104" s="15">
        <v>1</v>
      </c>
      <c r="G1104" s="15">
        <v>1010</v>
      </c>
      <c r="H1104" s="15">
        <v>7.3</v>
      </c>
      <c r="I1104" s="15">
        <v>936.27</v>
      </c>
      <c r="J1104" s="13" t="s">
        <v>87</v>
      </c>
      <c r="K1104" s="13" t="s">
        <v>99</v>
      </c>
      <c r="L1104" s="34" t="str">
        <f>VLOOKUP(D1104,Products!$A$2:$F$61,3,FALSE)</f>
        <v>Sports</v>
      </c>
      <c r="M1104" s="34" t="str">
        <f>VLOOKUP(C1104,Customers!$A$2:$F$301,5,FALSE)</f>
        <v>Retail</v>
      </c>
      <c r="N1104" s="34">
        <f>VLOOKUP(C1104,Customers!$A$2:$F$301,3,FALSE)</f>
        <v>43</v>
      </c>
      <c r="O1104" s="34" t="str">
        <f>VLOOKUP(E1104,Sales_Reps!$A$2:$E$31,3,FALSE)</f>
        <v>South</v>
      </c>
      <c r="P1104" s="13" t="s">
        <v>273</v>
      </c>
      <c r="Q1104" s="34">
        <f t="shared" si="38"/>
        <v>735207.75999999989</v>
      </c>
      <c r="R1104" s="34" t="str">
        <f>VLOOKUP(E1104,Sales_Reps!$A$2:$E$100,3,FALSE)</f>
        <v>South</v>
      </c>
      <c r="S1104" s="34" t="str">
        <f t="shared" si="39"/>
        <v>Sports</v>
      </c>
      <c r="T1104" s="38">
        <f>VLOOKUP(D1104,Products!$A$2:$F$68,4,FALSE)</f>
        <v>516</v>
      </c>
    </row>
    <row r="1105" spans="1:20" x14ac:dyDescent="0.35">
      <c r="A1105" s="13" t="s">
        <v>1590</v>
      </c>
      <c r="B1105" s="14">
        <v>45360</v>
      </c>
      <c r="C1105" s="13" t="s">
        <v>676</v>
      </c>
      <c r="D1105" s="13" t="s">
        <v>364</v>
      </c>
      <c r="E1105" s="13" t="s">
        <v>188</v>
      </c>
      <c r="F1105" s="15">
        <v>10</v>
      </c>
      <c r="G1105" s="15">
        <v>5330</v>
      </c>
      <c r="H1105" s="15">
        <v>27.3</v>
      </c>
      <c r="I1105" s="15">
        <v>38749.1</v>
      </c>
      <c r="J1105" s="13" t="s">
        <v>87</v>
      </c>
      <c r="K1105" s="13" t="s">
        <v>88</v>
      </c>
      <c r="L1105" s="34" t="str">
        <f>VLOOKUP(D1105,Products!$A$2:$F$61,3,FALSE)</f>
        <v>Electronics</v>
      </c>
      <c r="M1105" s="34" t="str">
        <f>VLOOKUP(C1105,Customers!$A$2:$F$301,5,FALSE)</f>
        <v>SMB</v>
      </c>
      <c r="N1105" s="34">
        <f>VLOOKUP(C1105,Customers!$A$2:$F$301,3,FALSE)</f>
        <v>35</v>
      </c>
      <c r="O1105" s="34" t="str">
        <f>VLOOKUP(E1105,Sales_Reps!$A$2:$E$31,3,FALSE)</f>
        <v>South</v>
      </c>
      <c r="P1105" s="13" t="s">
        <v>188</v>
      </c>
      <c r="Q1105" s="34">
        <f t="shared" si="38"/>
        <v>1091740.1799999997</v>
      </c>
      <c r="R1105" s="34" t="str">
        <f>VLOOKUP(E1105,Sales_Reps!$A$2:$E$100,3,FALSE)</f>
        <v>South</v>
      </c>
      <c r="S1105" s="34" t="str">
        <f t="shared" si="39"/>
        <v>Electronics</v>
      </c>
      <c r="T1105" s="38">
        <f>VLOOKUP(D1105,Products!$A$2:$F$68,4,FALSE)</f>
        <v>2405</v>
      </c>
    </row>
    <row r="1106" spans="1:20" x14ac:dyDescent="0.35">
      <c r="A1106" s="13" t="s">
        <v>1591</v>
      </c>
      <c r="B1106" s="14">
        <v>45548</v>
      </c>
      <c r="C1106" s="13" t="s">
        <v>405</v>
      </c>
      <c r="D1106" s="13" t="s">
        <v>187</v>
      </c>
      <c r="E1106" s="13" t="s">
        <v>285</v>
      </c>
      <c r="F1106" s="15">
        <v>7</v>
      </c>
      <c r="G1106" s="15">
        <v>3570</v>
      </c>
      <c r="H1106" s="15">
        <v>24.3</v>
      </c>
      <c r="I1106" s="15">
        <v>18917.43</v>
      </c>
      <c r="J1106" s="13" t="s">
        <v>87</v>
      </c>
      <c r="K1106" s="13" t="s">
        <v>94</v>
      </c>
      <c r="L1106" s="34" t="str">
        <f>VLOOKUP(D1106,Products!$A$2:$F$61,3,FALSE)</f>
        <v>Electronics</v>
      </c>
      <c r="M1106" s="34" t="str">
        <f>VLOOKUP(C1106,Customers!$A$2:$F$301,5,FALSE)</f>
        <v>Corporate</v>
      </c>
      <c r="N1106" s="34">
        <f>VLOOKUP(C1106,Customers!$A$2:$F$301,3,FALSE)</f>
        <v>24</v>
      </c>
      <c r="O1106" s="34" t="str">
        <f>VLOOKUP(E1106,Sales_Reps!$A$2:$E$31,3,FALSE)</f>
        <v>East</v>
      </c>
      <c r="P1106" s="13" t="s">
        <v>285</v>
      </c>
      <c r="Q1106" s="34">
        <f t="shared" si="38"/>
        <v>1069570.5400000003</v>
      </c>
      <c r="R1106" s="34" t="str">
        <f>VLOOKUP(E1106,Sales_Reps!$A$2:$E$100,3,FALSE)</f>
        <v>East</v>
      </c>
      <c r="S1106" s="34" t="str">
        <f t="shared" si="39"/>
        <v>Electronics</v>
      </c>
      <c r="T1106" s="38">
        <f>VLOOKUP(D1106,Products!$A$2:$F$68,4,FALSE)</f>
        <v>1665</v>
      </c>
    </row>
    <row r="1107" spans="1:20" x14ac:dyDescent="0.35">
      <c r="A1107" s="13" t="s">
        <v>1592</v>
      </c>
      <c r="B1107" s="14">
        <v>45569</v>
      </c>
      <c r="C1107" s="13" t="s">
        <v>369</v>
      </c>
      <c r="D1107" s="13" t="s">
        <v>179</v>
      </c>
      <c r="E1107" s="13" t="s">
        <v>238</v>
      </c>
      <c r="F1107" s="15">
        <v>1</v>
      </c>
      <c r="G1107" s="15">
        <v>3350</v>
      </c>
      <c r="H1107" s="15">
        <v>14.9</v>
      </c>
      <c r="I1107" s="15">
        <v>2850.85</v>
      </c>
      <c r="J1107" s="13" t="s">
        <v>87</v>
      </c>
      <c r="K1107" s="13" t="s">
        <v>94</v>
      </c>
      <c r="L1107" s="34" t="str">
        <f>VLOOKUP(D1107,Products!$A$2:$F$61,3,FALSE)</f>
        <v>Beauty</v>
      </c>
      <c r="M1107" s="34" t="str">
        <f>VLOOKUP(C1107,Customers!$A$2:$F$301,5,FALSE)</f>
        <v>SMB</v>
      </c>
      <c r="N1107" s="34">
        <f>VLOOKUP(C1107,Customers!$A$2:$F$301,3,FALSE)</f>
        <v>62</v>
      </c>
      <c r="O1107" s="34" t="str">
        <f>VLOOKUP(E1107,Sales_Reps!$A$2:$E$31,3,FALSE)</f>
        <v>East</v>
      </c>
      <c r="P1107" s="13" t="s">
        <v>238</v>
      </c>
      <c r="Q1107" s="34">
        <f t="shared" si="38"/>
        <v>780384.40999999992</v>
      </c>
      <c r="R1107" s="34" t="str">
        <f>VLOOKUP(E1107,Sales_Reps!$A$2:$E$100,3,FALSE)</f>
        <v>East</v>
      </c>
      <c r="S1107" s="34" t="str">
        <f t="shared" si="39"/>
        <v>Beauty</v>
      </c>
      <c r="T1107" s="38">
        <f>VLOOKUP(D1107,Products!$A$2:$F$68,4,FALSE)</f>
        <v>1728</v>
      </c>
    </row>
    <row r="1108" spans="1:20" x14ac:dyDescent="0.35">
      <c r="A1108" s="13" t="s">
        <v>1593</v>
      </c>
      <c r="B1108" s="14">
        <v>45541</v>
      </c>
      <c r="C1108" s="13" t="s">
        <v>615</v>
      </c>
      <c r="D1108" s="13" t="s">
        <v>355</v>
      </c>
      <c r="E1108" s="13" t="s">
        <v>154</v>
      </c>
      <c r="F1108" s="15">
        <v>2</v>
      </c>
      <c r="G1108" s="15">
        <v>2510</v>
      </c>
      <c r="H1108" s="15">
        <v>10.6</v>
      </c>
      <c r="I1108" s="15">
        <v>4487.88</v>
      </c>
      <c r="J1108" s="13" t="s">
        <v>87</v>
      </c>
      <c r="K1108" s="13" t="s">
        <v>112</v>
      </c>
      <c r="L1108" s="34" t="str">
        <f>VLOOKUP(D1108,Products!$A$2:$F$61,3,FALSE)</f>
        <v>Apparel</v>
      </c>
      <c r="M1108" s="34" t="str">
        <f>VLOOKUP(C1108,Customers!$A$2:$F$301,5,FALSE)</f>
        <v>Retail</v>
      </c>
      <c r="N1108" s="34">
        <f>VLOOKUP(C1108,Customers!$A$2:$F$301,3,FALSE)</f>
        <v>53</v>
      </c>
      <c r="O1108" s="34" t="str">
        <f>VLOOKUP(E1108,Sales_Reps!$A$2:$E$31,3,FALSE)</f>
        <v>East</v>
      </c>
      <c r="P1108" s="13" t="s">
        <v>154</v>
      </c>
      <c r="Q1108" s="34">
        <f t="shared" si="38"/>
        <v>983787.4800000001</v>
      </c>
      <c r="R1108" s="34" t="str">
        <f>VLOOKUP(E1108,Sales_Reps!$A$2:$E$100,3,FALSE)</f>
        <v>East</v>
      </c>
      <c r="S1108" s="34" t="str">
        <f t="shared" si="39"/>
        <v>Apparel</v>
      </c>
      <c r="T1108" s="38">
        <f>VLOOKUP(D1108,Products!$A$2:$F$68,4,FALSE)</f>
        <v>1075</v>
      </c>
    </row>
    <row r="1109" spans="1:20" x14ac:dyDescent="0.35">
      <c r="A1109" s="13" t="s">
        <v>1594</v>
      </c>
      <c r="B1109" s="14">
        <v>45369</v>
      </c>
      <c r="C1109" s="13" t="s">
        <v>160</v>
      </c>
      <c r="D1109" s="13" t="s">
        <v>127</v>
      </c>
      <c r="E1109" s="13" t="s">
        <v>111</v>
      </c>
      <c r="F1109" s="15">
        <v>5</v>
      </c>
      <c r="G1109" s="15">
        <v>970</v>
      </c>
      <c r="H1109" s="15">
        <v>6.8</v>
      </c>
      <c r="I1109" s="15">
        <v>4520.2</v>
      </c>
      <c r="J1109" s="13" t="s">
        <v>93</v>
      </c>
      <c r="K1109" s="13" t="s">
        <v>112</v>
      </c>
      <c r="L1109" s="34" t="str">
        <f>VLOOKUP(D1109,Products!$A$2:$F$61,3,FALSE)</f>
        <v>Grocery</v>
      </c>
      <c r="M1109" s="34" t="str">
        <f>VLOOKUP(C1109,Customers!$A$2:$F$301,5,FALSE)</f>
        <v>Retail</v>
      </c>
      <c r="N1109" s="34">
        <f>VLOOKUP(C1109,Customers!$A$2:$F$301,3,FALSE)</f>
        <v>54</v>
      </c>
      <c r="O1109" s="34" t="str">
        <f>VLOOKUP(E1109,Sales_Reps!$A$2:$E$31,3,FALSE)</f>
        <v>West</v>
      </c>
      <c r="P1109" s="13" t="s">
        <v>111</v>
      </c>
      <c r="Q1109" s="34">
        <f t="shared" si="38"/>
        <v>901298.89</v>
      </c>
      <c r="R1109" s="34" t="str">
        <f>VLOOKUP(E1109,Sales_Reps!$A$2:$E$100,3,FALSE)</f>
        <v>West</v>
      </c>
      <c r="S1109" s="34" t="str">
        <f t="shared" si="39"/>
        <v>Grocery</v>
      </c>
      <c r="T1109" s="38">
        <f>VLOOKUP(D1109,Products!$A$2:$F$68,4,FALSE)</f>
        <v>434</v>
      </c>
    </row>
    <row r="1110" spans="1:20" x14ac:dyDescent="0.35">
      <c r="A1110" s="13" t="s">
        <v>1595</v>
      </c>
      <c r="B1110" s="14">
        <v>45519</v>
      </c>
      <c r="C1110" s="13" t="s">
        <v>231</v>
      </c>
      <c r="D1110" s="13" t="s">
        <v>234</v>
      </c>
      <c r="E1110" s="13" t="s">
        <v>297</v>
      </c>
      <c r="F1110" s="15">
        <v>5</v>
      </c>
      <c r="G1110" s="15">
        <v>3780</v>
      </c>
      <c r="H1110" s="15">
        <v>16.600000000000001</v>
      </c>
      <c r="I1110" s="15">
        <v>15762.6</v>
      </c>
      <c r="J1110" s="13" t="s">
        <v>87</v>
      </c>
      <c r="K1110" s="13" t="s">
        <v>117</v>
      </c>
      <c r="L1110" s="34" t="str">
        <f>VLOOKUP(D1110,Products!$A$2:$F$61,3,FALSE)</f>
        <v>Grocery</v>
      </c>
      <c r="M1110" s="34" t="str">
        <f>VLOOKUP(C1110,Customers!$A$2:$F$301,5,FALSE)</f>
        <v>SMB</v>
      </c>
      <c r="N1110" s="34">
        <f>VLOOKUP(C1110,Customers!$A$2:$F$301,3,FALSE)</f>
        <v>64</v>
      </c>
      <c r="O1110" s="34" t="str">
        <f>VLOOKUP(E1110,Sales_Reps!$A$2:$E$31,3,FALSE)</f>
        <v>North</v>
      </c>
      <c r="P1110" s="13" t="s">
        <v>297</v>
      </c>
      <c r="Q1110" s="34">
        <f t="shared" si="38"/>
        <v>980063.65999999968</v>
      </c>
      <c r="R1110" s="34" t="str">
        <f>VLOOKUP(E1110,Sales_Reps!$A$2:$E$100,3,FALSE)</f>
        <v>North</v>
      </c>
      <c r="S1110" s="34" t="str">
        <f t="shared" si="39"/>
        <v>Grocery</v>
      </c>
      <c r="T1110" s="38">
        <f>VLOOKUP(D1110,Products!$A$2:$F$68,4,FALSE)</f>
        <v>2436</v>
      </c>
    </row>
    <row r="1111" spans="1:20" x14ac:dyDescent="0.35">
      <c r="A1111" s="13" t="s">
        <v>1596</v>
      </c>
      <c r="B1111" s="14">
        <v>45379</v>
      </c>
      <c r="C1111" s="13" t="s">
        <v>676</v>
      </c>
      <c r="D1111" s="13" t="s">
        <v>355</v>
      </c>
      <c r="E1111" s="13" t="s">
        <v>86</v>
      </c>
      <c r="F1111" s="15">
        <v>3</v>
      </c>
      <c r="G1111" s="15">
        <v>2510</v>
      </c>
      <c r="H1111" s="15">
        <v>24.9</v>
      </c>
      <c r="I1111" s="15">
        <v>5655.03</v>
      </c>
      <c r="J1111" s="13" t="s">
        <v>140</v>
      </c>
      <c r="K1111" s="13" t="s">
        <v>88</v>
      </c>
      <c r="L1111" s="34" t="str">
        <f>VLOOKUP(D1111,Products!$A$2:$F$61,3,FALSE)</f>
        <v>Apparel</v>
      </c>
      <c r="M1111" s="34" t="str">
        <f>VLOOKUP(C1111,Customers!$A$2:$F$301,5,FALSE)</f>
        <v>SMB</v>
      </c>
      <c r="N1111" s="34">
        <f>VLOOKUP(C1111,Customers!$A$2:$F$301,3,FALSE)</f>
        <v>35</v>
      </c>
      <c r="O1111" s="34" t="str">
        <f>VLOOKUP(E1111,Sales_Reps!$A$2:$E$31,3,FALSE)</f>
        <v>North</v>
      </c>
      <c r="P1111" s="13" t="s">
        <v>86</v>
      </c>
      <c r="Q1111" s="34">
        <f t="shared" si="38"/>
        <v>855749.67999999982</v>
      </c>
      <c r="R1111" s="34" t="str">
        <f>VLOOKUP(E1111,Sales_Reps!$A$2:$E$100,3,FALSE)</f>
        <v>North</v>
      </c>
      <c r="S1111" s="34" t="str">
        <f t="shared" si="39"/>
        <v>Apparel</v>
      </c>
      <c r="T1111" s="38">
        <f>VLOOKUP(D1111,Products!$A$2:$F$68,4,FALSE)</f>
        <v>1075</v>
      </c>
    </row>
    <row r="1112" spans="1:20" x14ac:dyDescent="0.35">
      <c r="A1112" s="13" t="s">
        <v>1597</v>
      </c>
      <c r="B1112" s="14">
        <v>45548</v>
      </c>
      <c r="C1112" s="13" t="s">
        <v>1361</v>
      </c>
      <c r="D1112" s="13" t="s">
        <v>295</v>
      </c>
      <c r="E1112" s="13" t="s">
        <v>107</v>
      </c>
      <c r="F1112" s="15">
        <v>3</v>
      </c>
      <c r="G1112" s="15">
        <v>2030</v>
      </c>
      <c r="H1112" s="15">
        <v>3.8</v>
      </c>
      <c r="I1112" s="15">
        <v>5858.58</v>
      </c>
      <c r="J1112" s="13" t="s">
        <v>87</v>
      </c>
      <c r="K1112" s="13" t="s">
        <v>94</v>
      </c>
      <c r="L1112" s="34" t="str">
        <f>VLOOKUP(D1112,Products!$A$2:$F$61,3,FALSE)</f>
        <v>Home</v>
      </c>
      <c r="M1112" s="34" t="str">
        <f>VLOOKUP(C1112,Customers!$A$2:$F$301,5,FALSE)</f>
        <v>Retail</v>
      </c>
      <c r="N1112" s="34">
        <f>VLOOKUP(C1112,Customers!$A$2:$F$301,3,FALSE)</f>
        <v>34</v>
      </c>
      <c r="O1112" s="34" t="str">
        <f>VLOOKUP(E1112,Sales_Reps!$A$2:$E$31,3,FALSE)</f>
        <v>North</v>
      </c>
      <c r="P1112" s="13" t="s">
        <v>107</v>
      </c>
      <c r="Q1112" s="34">
        <f t="shared" si="38"/>
        <v>861553.33</v>
      </c>
      <c r="R1112" s="34" t="str">
        <f>VLOOKUP(E1112,Sales_Reps!$A$2:$E$100,3,FALSE)</f>
        <v>North</v>
      </c>
      <c r="S1112" s="34" t="str">
        <f t="shared" si="39"/>
        <v>Home</v>
      </c>
      <c r="T1112" s="38">
        <f>VLOOKUP(D1112,Products!$A$2:$F$68,4,FALSE)</f>
        <v>1143</v>
      </c>
    </row>
    <row r="1113" spans="1:20" x14ac:dyDescent="0.35">
      <c r="A1113" s="13" t="s">
        <v>1598</v>
      </c>
      <c r="B1113" s="14">
        <v>45478</v>
      </c>
      <c r="C1113" s="13" t="s">
        <v>970</v>
      </c>
      <c r="D1113" s="13" t="s">
        <v>147</v>
      </c>
      <c r="E1113" s="13" t="s">
        <v>98</v>
      </c>
      <c r="F1113" s="15">
        <v>9</v>
      </c>
      <c r="G1113" s="15">
        <v>190</v>
      </c>
      <c r="H1113" s="15">
        <v>5.4</v>
      </c>
      <c r="I1113" s="15">
        <v>1617.66</v>
      </c>
      <c r="J1113" s="13" t="s">
        <v>87</v>
      </c>
      <c r="K1113" s="13" t="s">
        <v>112</v>
      </c>
      <c r="L1113" s="34" t="str">
        <f>VLOOKUP(D1113,Products!$A$2:$F$61,3,FALSE)</f>
        <v>Sports</v>
      </c>
      <c r="M1113" s="34" t="str">
        <f>VLOOKUP(C1113,Customers!$A$2:$F$301,5,FALSE)</f>
        <v>Retail</v>
      </c>
      <c r="N1113" s="34">
        <f>VLOOKUP(C1113,Customers!$A$2:$F$301,3,FALSE)</f>
        <v>40</v>
      </c>
      <c r="O1113" s="34" t="str">
        <f>VLOOKUP(E1113,Sales_Reps!$A$2:$E$31,3,FALSE)</f>
        <v>South</v>
      </c>
      <c r="P1113" s="13" t="s">
        <v>98</v>
      </c>
      <c r="Q1113" s="34">
        <f t="shared" si="38"/>
        <v>995713.54000000015</v>
      </c>
      <c r="R1113" s="34" t="str">
        <f>VLOOKUP(E1113,Sales_Reps!$A$2:$E$100,3,FALSE)</f>
        <v>South</v>
      </c>
      <c r="S1113" s="34" t="str">
        <f t="shared" si="39"/>
        <v>Sports</v>
      </c>
      <c r="T1113" s="38">
        <f>VLOOKUP(D1113,Products!$A$2:$F$68,4,FALSE)</f>
        <v>147</v>
      </c>
    </row>
    <row r="1114" spans="1:20" x14ac:dyDescent="0.35">
      <c r="A1114" s="13" t="s">
        <v>1599</v>
      </c>
      <c r="B1114" s="14">
        <v>45338</v>
      </c>
      <c r="C1114" s="13" t="s">
        <v>345</v>
      </c>
      <c r="D1114" s="13" t="s">
        <v>338</v>
      </c>
      <c r="E1114" s="13" t="s">
        <v>192</v>
      </c>
      <c r="F1114" s="15">
        <v>6</v>
      </c>
      <c r="G1114" s="15">
        <v>2210</v>
      </c>
      <c r="H1114" s="15">
        <v>29.4</v>
      </c>
      <c r="I1114" s="15">
        <v>9361.56</v>
      </c>
      <c r="J1114" s="13" t="s">
        <v>87</v>
      </c>
      <c r="K1114" s="13" t="s">
        <v>94</v>
      </c>
      <c r="L1114" s="34" t="str">
        <f>VLOOKUP(D1114,Products!$A$2:$F$61,3,FALSE)</f>
        <v>Grocery</v>
      </c>
      <c r="M1114" s="34" t="str">
        <f>VLOOKUP(C1114,Customers!$A$2:$F$301,5,FALSE)</f>
        <v>Corporate</v>
      </c>
      <c r="N1114" s="34">
        <f>VLOOKUP(C1114,Customers!$A$2:$F$301,3,FALSE)</f>
        <v>38</v>
      </c>
      <c r="O1114" s="34" t="str">
        <f>VLOOKUP(E1114,Sales_Reps!$A$2:$E$31,3,FALSE)</f>
        <v>East</v>
      </c>
      <c r="P1114" s="13" t="s">
        <v>192</v>
      </c>
      <c r="Q1114" s="34">
        <f t="shared" si="38"/>
        <v>906107.71000000008</v>
      </c>
      <c r="R1114" s="34" t="str">
        <f>VLOOKUP(E1114,Sales_Reps!$A$2:$E$100,3,FALSE)</f>
        <v>East</v>
      </c>
      <c r="S1114" s="34" t="str">
        <f t="shared" si="39"/>
        <v>Grocery</v>
      </c>
      <c r="T1114" s="38">
        <f>VLOOKUP(D1114,Products!$A$2:$F$68,4,FALSE)</f>
        <v>1010</v>
      </c>
    </row>
    <row r="1115" spans="1:20" x14ac:dyDescent="0.35">
      <c r="A1115" s="13" t="s">
        <v>1600</v>
      </c>
      <c r="B1115" s="14">
        <v>45546</v>
      </c>
      <c r="C1115" s="13" t="s">
        <v>420</v>
      </c>
      <c r="D1115" s="13" t="s">
        <v>237</v>
      </c>
      <c r="E1115" s="13" t="s">
        <v>92</v>
      </c>
      <c r="F1115" s="15">
        <v>4</v>
      </c>
      <c r="G1115" s="15">
        <v>3640</v>
      </c>
      <c r="H1115" s="15">
        <v>0.6</v>
      </c>
      <c r="I1115" s="15">
        <v>14472.64</v>
      </c>
      <c r="J1115" s="13" t="s">
        <v>87</v>
      </c>
      <c r="K1115" s="13" t="s">
        <v>99</v>
      </c>
      <c r="L1115" s="34" t="str">
        <f>VLOOKUP(D1115,Products!$A$2:$F$61,3,FALSE)</f>
        <v>Apparel</v>
      </c>
      <c r="M1115" s="34" t="str">
        <f>VLOOKUP(C1115,Customers!$A$2:$F$301,5,FALSE)</f>
        <v>Retail</v>
      </c>
      <c r="N1115" s="34">
        <f>VLOOKUP(C1115,Customers!$A$2:$F$301,3,FALSE)</f>
        <v>44</v>
      </c>
      <c r="O1115" s="34" t="str">
        <f>VLOOKUP(E1115,Sales_Reps!$A$2:$E$31,3,FALSE)</f>
        <v>North</v>
      </c>
      <c r="P1115" s="13" t="s">
        <v>92</v>
      </c>
      <c r="Q1115" s="34">
        <f t="shared" si="38"/>
        <v>782445.33</v>
      </c>
      <c r="R1115" s="34" t="str">
        <f>VLOOKUP(E1115,Sales_Reps!$A$2:$E$100,3,FALSE)</f>
        <v>North</v>
      </c>
      <c r="S1115" s="34" t="str">
        <f t="shared" si="39"/>
        <v>Apparel</v>
      </c>
      <c r="T1115" s="38">
        <f>VLOOKUP(D1115,Products!$A$2:$F$68,4,FALSE)</f>
        <v>2611</v>
      </c>
    </row>
    <row r="1116" spans="1:20" x14ac:dyDescent="0.35">
      <c r="A1116" s="13" t="s">
        <v>1601</v>
      </c>
      <c r="B1116" s="14">
        <v>45626</v>
      </c>
      <c r="C1116" s="13" t="s">
        <v>900</v>
      </c>
      <c r="D1116" s="13" t="s">
        <v>267</v>
      </c>
      <c r="E1116" s="13" t="s">
        <v>204</v>
      </c>
      <c r="F1116" s="15">
        <v>9</v>
      </c>
      <c r="G1116" s="15">
        <v>1220</v>
      </c>
      <c r="H1116" s="15">
        <v>24.1</v>
      </c>
      <c r="I1116" s="15">
        <v>8333.82</v>
      </c>
      <c r="J1116" s="13" t="s">
        <v>87</v>
      </c>
      <c r="K1116" s="13" t="s">
        <v>117</v>
      </c>
      <c r="L1116" s="34" t="str">
        <f>VLOOKUP(D1116,Products!$A$2:$F$61,3,FALSE)</f>
        <v>Electronics</v>
      </c>
      <c r="M1116" s="34" t="str">
        <f>VLOOKUP(C1116,Customers!$A$2:$F$301,5,FALSE)</f>
        <v>Retail</v>
      </c>
      <c r="N1116" s="34">
        <f>VLOOKUP(C1116,Customers!$A$2:$F$301,3,FALSE)</f>
        <v>35</v>
      </c>
      <c r="O1116" s="34" t="str">
        <f>VLOOKUP(E1116,Sales_Reps!$A$2:$E$31,3,FALSE)</f>
        <v>South</v>
      </c>
      <c r="P1116" s="13" t="s">
        <v>204</v>
      </c>
      <c r="Q1116" s="34">
        <f t="shared" si="38"/>
        <v>914554.71999999986</v>
      </c>
      <c r="R1116" s="34" t="str">
        <f>VLOOKUP(E1116,Sales_Reps!$A$2:$E$100,3,FALSE)</f>
        <v>South</v>
      </c>
      <c r="S1116" s="34" t="str">
        <f t="shared" si="39"/>
        <v>Electronics</v>
      </c>
      <c r="T1116" s="38">
        <f>VLOOKUP(D1116,Products!$A$2:$F$68,4,FALSE)</f>
        <v>517</v>
      </c>
    </row>
    <row r="1117" spans="1:20" x14ac:dyDescent="0.35">
      <c r="A1117" s="13" t="s">
        <v>1602</v>
      </c>
      <c r="B1117" s="14">
        <v>45402</v>
      </c>
      <c r="C1117" s="13" t="s">
        <v>585</v>
      </c>
      <c r="D1117" s="13" t="s">
        <v>515</v>
      </c>
      <c r="E1117" s="13" t="s">
        <v>204</v>
      </c>
      <c r="F1117" s="15">
        <v>2</v>
      </c>
      <c r="G1117" s="15">
        <v>6940</v>
      </c>
      <c r="H1117" s="15">
        <v>27</v>
      </c>
      <c r="I1117" s="15">
        <v>10132.4</v>
      </c>
      <c r="J1117" s="13" t="s">
        <v>87</v>
      </c>
      <c r="K1117" s="13" t="s">
        <v>94</v>
      </c>
      <c r="L1117" s="34" t="str">
        <f>VLOOKUP(D1117,Products!$A$2:$F$61,3,FALSE)</f>
        <v>Sports</v>
      </c>
      <c r="M1117" s="34" t="str">
        <f>VLOOKUP(C1117,Customers!$A$2:$F$301,5,FALSE)</f>
        <v>Retail</v>
      </c>
      <c r="N1117" s="34">
        <f>VLOOKUP(C1117,Customers!$A$2:$F$301,3,FALSE)</f>
        <v>26</v>
      </c>
      <c r="O1117" s="34" t="str">
        <f>VLOOKUP(E1117,Sales_Reps!$A$2:$E$31,3,FALSE)</f>
        <v>South</v>
      </c>
      <c r="P1117" s="13" t="s">
        <v>204</v>
      </c>
      <c r="Q1117" s="34">
        <f t="shared" si="38"/>
        <v>914554.71999999986</v>
      </c>
      <c r="R1117" s="34" t="str">
        <f>VLOOKUP(E1117,Sales_Reps!$A$2:$E$100,3,FALSE)</f>
        <v>South</v>
      </c>
      <c r="S1117" s="34" t="str">
        <f t="shared" si="39"/>
        <v>Sports</v>
      </c>
      <c r="T1117" s="38">
        <f>VLOOKUP(D1117,Products!$A$2:$F$68,4,FALSE)</f>
        <v>2827</v>
      </c>
    </row>
    <row r="1118" spans="1:20" x14ac:dyDescent="0.35">
      <c r="A1118" s="13" t="s">
        <v>1603</v>
      </c>
      <c r="B1118" s="14">
        <v>45604</v>
      </c>
      <c r="C1118" s="13" t="s">
        <v>357</v>
      </c>
      <c r="D1118" s="13" t="s">
        <v>195</v>
      </c>
      <c r="E1118" s="13" t="s">
        <v>132</v>
      </c>
      <c r="F1118" s="15">
        <v>6</v>
      </c>
      <c r="G1118" s="15">
        <v>2860</v>
      </c>
      <c r="H1118" s="15">
        <v>6.6</v>
      </c>
      <c r="I1118" s="15">
        <v>16027.44</v>
      </c>
      <c r="J1118" s="13" t="s">
        <v>87</v>
      </c>
      <c r="K1118" s="13" t="s">
        <v>99</v>
      </c>
      <c r="L1118" s="34" t="str">
        <f>VLOOKUP(D1118,Products!$A$2:$F$61,3,FALSE)</f>
        <v>Sports</v>
      </c>
      <c r="M1118" s="34" t="str">
        <f>VLOOKUP(C1118,Customers!$A$2:$F$301,5,FALSE)</f>
        <v>SMB</v>
      </c>
      <c r="N1118" s="34">
        <f>VLOOKUP(C1118,Customers!$A$2:$F$301,3,FALSE)</f>
        <v>38</v>
      </c>
      <c r="O1118" s="34" t="str">
        <f>VLOOKUP(E1118,Sales_Reps!$A$2:$E$31,3,FALSE)</f>
        <v>South</v>
      </c>
      <c r="P1118" s="13" t="s">
        <v>132</v>
      </c>
      <c r="Q1118" s="34">
        <f t="shared" si="38"/>
        <v>880345.20000000007</v>
      </c>
      <c r="R1118" s="34" t="str">
        <f>VLOOKUP(E1118,Sales_Reps!$A$2:$E$100,3,FALSE)</f>
        <v>South</v>
      </c>
      <c r="S1118" s="34" t="str">
        <f t="shared" si="39"/>
        <v>Sports</v>
      </c>
      <c r="T1118" s="38">
        <f>VLOOKUP(D1118,Products!$A$2:$F$68,4,FALSE)</f>
        <v>2028</v>
      </c>
    </row>
    <row r="1119" spans="1:20" x14ac:dyDescent="0.35">
      <c r="A1119" s="13" t="s">
        <v>1604</v>
      </c>
      <c r="B1119" s="14">
        <v>45545</v>
      </c>
      <c r="C1119" s="13" t="s">
        <v>186</v>
      </c>
      <c r="D1119" s="13" t="s">
        <v>173</v>
      </c>
      <c r="E1119" s="13" t="s">
        <v>303</v>
      </c>
      <c r="F1119" s="15">
        <v>5</v>
      </c>
      <c r="G1119" s="15">
        <v>2720</v>
      </c>
      <c r="H1119" s="15">
        <v>21.4</v>
      </c>
      <c r="I1119" s="15">
        <v>10689.6</v>
      </c>
      <c r="J1119" s="13" t="s">
        <v>87</v>
      </c>
      <c r="K1119" s="13" t="s">
        <v>94</v>
      </c>
      <c r="L1119" s="34" t="str">
        <f>VLOOKUP(D1119,Products!$A$2:$F$61,3,FALSE)</f>
        <v>Apparel</v>
      </c>
      <c r="M1119" s="34" t="str">
        <f>VLOOKUP(C1119,Customers!$A$2:$F$301,5,FALSE)</f>
        <v>SMB</v>
      </c>
      <c r="N1119" s="34">
        <f>VLOOKUP(C1119,Customers!$A$2:$F$301,3,FALSE)</f>
        <v>52</v>
      </c>
      <c r="O1119" s="34" t="str">
        <f>VLOOKUP(E1119,Sales_Reps!$A$2:$E$31,3,FALSE)</f>
        <v>East</v>
      </c>
      <c r="P1119" s="13" t="s">
        <v>303</v>
      </c>
      <c r="Q1119" s="34">
        <f t="shared" si="38"/>
        <v>1112289.6400000001</v>
      </c>
      <c r="R1119" s="34" t="str">
        <f>VLOOKUP(E1119,Sales_Reps!$A$2:$E$100,3,FALSE)</f>
        <v>East</v>
      </c>
      <c r="S1119" s="34" t="str">
        <f t="shared" si="39"/>
        <v>Apparel</v>
      </c>
      <c r="T1119" s="38">
        <f>VLOOKUP(D1119,Products!$A$2:$F$68,4,FALSE)</f>
        <v>1962</v>
      </c>
    </row>
    <row r="1120" spans="1:20" x14ac:dyDescent="0.35">
      <c r="A1120" s="13" t="s">
        <v>1605</v>
      </c>
      <c r="B1120" s="14">
        <v>45445</v>
      </c>
      <c r="C1120" s="13" t="s">
        <v>269</v>
      </c>
      <c r="D1120" s="13" t="s">
        <v>91</v>
      </c>
      <c r="E1120" s="13" t="s">
        <v>103</v>
      </c>
      <c r="F1120" s="15">
        <v>5</v>
      </c>
      <c r="G1120" s="15">
        <v>820</v>
      </c>
      <c r="H1120" s="15">
        <v>28.6</v>
      </c>
      <c r="I1120" s="15">
        <v>2927.4</v>
      </c>
      <c r="J1120" s="13" t="s">
        <v>87</v>
      </c>
      <c r="K1120" s="13" t="s">
        <v>112</v>
      </c>
      <c r="L1120" s="34" t="str">
        <f>VLOOKUP(D1120,Products!$A$2:$F$61,3,FALSE)</f>
        <v>Apparel</v>
      </c>
      <c r="M1120" s="34" t="str">
        <f>VLOOKUP(C1120,Customers!$A$2:$F$301,5,FALSE)</f>
        <v>Retail</v>
      </c>
      <c r="N1120" s="34">
        <f>VLOOKUP(C1120,Customers!$A$2:$F$301,3,FALSE)</f>
        <v>40</v>
      </c>
      <c r="O1120" s="34" t="str">
        <f>VLOOKUP(E1120,Sales_Reps!$A$2:$E$31,3,FALSE)</f>
        <v>North</v>
      </c>
      <c r="P1120" s="13" t="s">
        <v>103</v>
      </c>
      <c r="Q1120" s="34">
        <f t="shared" si="38"/>
        <v>1138648.73</v>
      </c>
      <c r="R1120" s="34" t="str">
        <f>VLOOKUP(E1120,Sales_Reps!$A$2:$E$100,3,FALSE)</f>
        <v>North</v>
      </c>
      <c r="S1120" s="34" t="str">
        <f t="shared" si="39"/>
        <v>Apparel</v>
      </c>
      <c r="T1120" s="38">
        <f>VLOOKUP(D1120,Products!$A$2:$F$68,4,FALSE)</f>
        <v>391</v>
      </c>
    </row>
    <row r="1121" spans="1:20" x14ac:dyDescent="0.35">
      <c r="A1121" s="13" t="s">
        <v>1606</v>
      </c>
      <c r="B1121" s="14">
        <v>45489</v>
      </c>
      <c r="C1121" s="13" t="s">
        <v>1308</v>
      </c>
      <c r="D1121" s="13" t="s">
        <v>386</v>
      </c>
      <c r="E1121" s="13" t="s">
        <v>285</v>
      </c>
      <c r="F1121" s="15">
        <v>6</v>
      </c>
      <c r="G1121" s="15">
        <v>2290</v>
      </c>
      <c r="H1121" s="15">
        <v>18.8</v>
      </c>
      <c r="I1121" s="15">
        <v>11156.88</v>
      </c>
      <c r="J1121" s="13" t="s">
        <v>87</v>
      </c>
      <c r="K1121" s="13" t="s">
        <v>94</v>
      </c>
      <c r="L1121" s="34" t="str">
        <f>VLOOKUP(D1121,Products!$A$2:$F$61,3,FALSE)</f>
        <v>Beauty</v>
      </c>
      <c r="M1121" s="34" t="str">
        <f>VLOOKUP(C1121,Customers!$A$2:$F$301,5,FALSE)</f>
        <v>SMB</v>
      </c>
      <c r="N1121" s="34">
        <f>VLOOKUP(C1121,Customers!$A$2:$F$301,3,FALSE)</f>
        <v>51</v>
      </c>
      <c r="O1121" s="34" t="str">
        <f>VLOOKUP(E1121,Sales_Reps!$A$2:$E$31,3,FALSE)</f>
        <v>East</v>
      </c>
      <c r="P1121" s="13" t="s">
        <v>285</v>
      </c>
      <c r="Q1121" s="34">
        <f t="shared" si="38"/>
        <v>1069570.5400000003</v>
      </c>
      <c r="R1121" s="34" t="str">
        <f>VLOOKUP(E1121,Sales_Reps!$A$2:$E$100,3,FALSE)</f>
        <v>East</v>
      </c>
      <c r="S1121" s="34" t="str">
        <f t="shared" si="39"/>
        <v>Beauty</v>
      </c>
      <c r="T1121" s="38">
        <f>VLOOKUP(D1121,Products!$A$2:$F$68,4,FALSE)</f>
        <v>1219</v>
      </c>
    </row>
    <row r="1122" spans="1:20" x14ac:dyDescent="0.35">
      <c r="A1122" s="13" t="s">
        <v>1607</v>
      </c>
      <c r="B1122" s="14">
        <v>45394</v>
      </c>
      <c r="C1122" s="13" t="s">
        <v>689</v>
      </c>
      <c r="D1122" s="13" t="s">
        <v>157</v>
      </c>
      <c r="E1122" s="13" t="s">
        <v>158</v>
      </c>
      <c r="F1122" s="15">
        <v>6</v>
      </c>
      <c r="G1122" s="15">
        <v>3450</v>
      </c>
      <c r="H1122" s="15">
        <v>28.4</v>
      </c>
      <c r="I1122" s="15">
        <v>14821.2</v>
      </c>
      <c r="J1122" s="13" t="s">
        <v>87</v>
      </c>
      <c r="K1122" s="13" t="s">
        <v>133</v>
      </c>
      <c r="L1122" s="34" t="str">
        <f>VLOOKUP(D1122,Products!$A$2:$F$61,3,FALSE)</f>
        <v>Beauty</v>
      </c>
      <c r="M1122" s="34" t="str">
        <f>VLOOKUP(C1122,Customers!$A$2:$F$301,5,FALSE)</f>
        <v>Retail</v>
      </c>
      <c r="N1122" s="34">
        <f>VLOOKUP(C1122,Customers!$A$2:$F$301,3,FALSE)</f>
        <v>28</v>
      </c>
      <c r="O1122" s="34" t="str">
        <f>VLOOKUP(E1122,Sales_Reps!$A$2:$E$31,3,FALSE)</f>
        <v>East</v>
      </c>
      <c r="P1122" s="13" t="s">
        <v>158</v>
      </c>
      <c r="Q1122" s="34">
        <f t="shared" si="38"/>
        <v>761507.17000000027</v>
      </c>
      <c r="R1122" s="34" t="str">
        <f>VLOOKUP(E1122,Sales_Reps!$A$2:$E$100,3,FALSE)</f>
        <v>East</v>
      </c>
      <c r="S1122" s="34" t="str">
        <f t="shared" si="39"/>
        <v>Beauty</v>
      </c>
      <c r="T1122" s="38">
        <f>VLOOKUP(D1122,Products!$A$2:$F$68,4,FALSE)</f>
        <v>2420</v>
      </c>
    </row>
    <row r="1123" spans="1:20" x14ac:dyDescent="0.35">
      <c r="A1123" s="13" t="s">
        <v>1608</v>
      </c>
      <c r="B1123" s="14">
        <v>45340</v>
      </c>
      <c r="C1123" s="13" t="s">
        <v>123</v>
      </c>
      <c r="D1123" s="13" t="s">
        <v>295</v>
      </c>
      <c r="E1123" s="13" t="s">
        <v>297</v>
      </c>
      <c r="F1123" s="15">
        <v>10</v>
      </c>
      <c r="G1123" s="15">
        <v>2030</v>
      </c>
      <c r="H1123" s="15">
        <v>8</v>
      </c>
      <c r="I1123" s="15">
        <v>18676</v>
      </c>
      <c r="J1123" s="13" t="s">
        <v>87</v>
      </c>
      <c r="K1123" s="13" t="s">
        <v>117</v>
      </c>
      <c r="L1123" s="34" t="str">
        <f>VLOOKUP(D1123,Products!$A$2:$F$61,3,FALSE)</f>
        <v>Home</v>
      </c>
      <c r="M1123" s="34" t="str">
        <f>VLOOKUP(C1123,Customers!$A$2:$F$301,5,FALSE)</f>
        <v>Retail</v>
      </c>
      <c r="N1123" s="34">
        <f>VLOOKUP(C1123,Customers!$A$2:$F$301,3,FALSE)</f>
        <v>42</v>
      </c>
      <c r="O1123" s="34" t="str">
        <f>VLOOKUP(E1123,Sales_Reps!$A$2:$E$31,3,FALSE)</f>
        <v>North</v>
      </c>
      <c r="P1123" s="13" t="s">
        <v>297</v>
      </c>
      <c r="Q1123" s="34">
        <f t="shared" si="38"/>
        <v>980063.65999999968</v>
      </c>
      <c r="R1123" s="34" t="str">
        <f>VLOOKUP(E1123,Sales_Reps!$A$2:$E$100,3,FALSE)</f>
        <v>North</v>
      </c>
      <c r="S1123" s="34" t="str">
        <f t="shared" si="39"/>
        <v>Home</v>
      </c>
      <c r="T1123" s="38">
        <f>VLOOKUP(D1123,Products!$A$2:$F$68,4,FALSE)</f>
        <v>1143</v>
      </c>
    </row>
    <row r="1124" spans="1:20" x14ac:dyDescent="0.35">
      <c r="A1124" s="13" t="s">
        <v>1609</v>
      </c>
      <c r="B1124" s="14">
        <v>45378</v>
      </c>
      <c r="C1124" s="13" t="s">
        <v>959</v>
      </c>
      <c r="D1124" s="13" t="s">
        <v>151</v>
      </c>
      <c r="E1124" s="13" t="s">
        <v>285</v>
      </c>
      <c r="F1124" s="15">
        <v>1</v>
      </c>
      <c r="G1124" s="15">
        <v>2400</v>
      </c>
      <c r="H1124" s="15">
        <v>9.6999999999999993</v>
      </c>
      <c r="I1124" s="15">
        <v>2167.1999999999998</v>
      </c>
      <c r="J1124" s="13" t="s">
        <v>87</v>
      </c>
      <c r="K1124" s="13" t="s">
        <v>112</v>
      </c>
      <c r="L1124" s="34" t="str">
        <f>VLOOKUP(D1124,Products!$A$2:$F$61,3,FALSE)</f>
        <v>Sports</v>
      </c>
      <c r="M1124" s="34" t="str">
        <f>VLOOKUP(C1124,Customers!$A$2:$F$301,5,FALSE)</f>
        <v>SMB</v>
      </c>
      <c r="N1124" s="34">
        <f>VLOOKUP(C1124,Customers!$A$2:$F$301,3,FALSE)</f>
        <v>65</v>
      </c>
      <c r="O1124" s="34" t="str">
        <f>VLOOKUP(E1124,Sales_Reps!$A$2:$E$31,3,FALSE)</f>
        <v>East</v>
      </c>
      <c r="P1124" s="13" t="s">
        <v>285</v>
      </c>
      <c r="Q1124" s="34">
        <f t="shared" si="38"/>
        <v>1069570.5400000003</v>
      </c>
      <c r="R1124" s="34" t="str">
        <f>VLOOKUP(E1124,Sales_Reps!$A$2:$E$100,3,FALSE)</f>
        <v>East</v>
      </c>
      <c r="S1124" s="34" t="str">
        <f t="shared" si="39"/>
        <v>Sports</v>
      </c>
      <c r="T1124" s="38">
        <f>VLOOKUP(D1124,Products!$A$2:$F$68,4,FALSE)</f>
        <v>974</v>
      </c>
    </row>
    <row r="1125" spans="1:20" x14ac:dyDescent="0.35">
      <c r="A1125" s="13" t="s">
        <v>1610</v>
      </c>
      <c r="B1125" s="14">
        <v>45369</v>
      </c>
      <c r="C1125" s="13" t="s">
        <v>643</v>
      </c>
      <c r="D1125" s="13" t="s">
        <v>295</v>
      </c>
      <c r="E1125" s="13" t="s">
        <v>98</v>
      </c>
      <c r="F1125" s="15">
        <v>4</v>
      </c>
      <c r="G1125" s="15">
        <v>2030</v>
      </c>
      <c r="H1125" s="15">
        <v>24.8</v>
      </c>
      <c r="I1125" s="15">
        <v>6106.24</v>
      </c>
      <c r="J1125" s="13" t="s">
        <v>93</v>
      </c>
      <c r="K1125" s="13" t="s">
        <v>112</v>
      </c>
      <c r="L1125" s="34" t="str">
        <f>VLOOKUP(D1125,Products!$A$2:$F$61,3,FALSE)</f>
        <v>Home</v>
      </c>
      <c r="M1125" s="34" t="str">
        <f>VLOOKUP(C1125,Customers!$A$2:$F$301,5,FALSE)</f>
        <v>SMB</v>
      </c>
      <c r="N1125" s="34">
        <f>VLOOKUP(C1125,Customers!$A$2:$F$301,3,FALSE)</f>
        <v>27</v>
      </c>
      <c r="O1125" s="34" t="str">
        <f>VLOOKUP(E1125,Sales_Reps!$A$2:$E$31,3,FALSE)</f>
        <v>South</v>
      </c>
      <c r="P1125" s="13" t="s">
        <v>98</v>
      </c>
      <c r="Q1125" s="34">
        <f t="shared" si="38"/>
        <v>995713.54000000015</v>
      </c>
      <c r="R1125" s="34" t="str">
        <f>VLOOKUP(E1125,Sales_Reps!$A$2:$E$100,3,FALSE)</f>
        <v>South</v>
      </c>
      <c r="S1125" s="34" t="str">
        <f t="shared" si="39"/>
        <v>Home</v>
      </c>
      <c r="T1125" s="38">
        <f>VLOOKUP(D1125,Products!$A$2:$F$68,4,FALSE)</f>
        <v>1143</v>
      </c>
    </row>
    <row r="1126" spans="1:20" x14ac:dyDescent="0.35">
      <c r="A1126" s="13" t="s">
        <v>1611</v>
      </c>
      <c r="B1126" s="14">
        <v>45513</v>
      </c>
      <c r="C1126" s="13" t="s">
        <v>178</v>
      </c>
      <c r="D1126" s="13" t="s">
        <v>351</v>
      </c>
      <c r="E1126" s="13" t="s">
        <v>297</v>
      </c>
      <c r="F1126" s="15">
        <v>5</v>
      </c>
      <c r="G1126" s="15">
        <v>4060</v>
      </c>
      <c r="H1126" s="15">
        <v>9.1</v>
      </c>
      <c r="I1126" s="15">
        <v>18452.7</v>
      </c>
      <c r="J1126" s="13" t="s">
        <v>93</v>
      </c>
      <c r="K1126" s="13" t="s">
        <v>94</v>
      </c>
      <c r="L1126" s="34" t="str">
        <f>VLOOKUP(D1126,Products!$A$2:$F$61,3,FALSE)</f>
        <v>Grocery</v>
      </c>
      <c r="M1126" s="34" t="str">
        <f>VLOOKUP(C1126,Customers!$A$2:$F$301,5,FALSE)</f>
        <v>Corporate</v>
      </c>
      <c r="N1126" s="34">
        <f>VLOOKUP(C1126,Customers!$A$2:$F$301,3,FALSE)</f>
        <v>55</v>
      </c>
      <c r="O1126" s="34" t="str">
        <f>VLOOKUP(E1126,Sales_Reps!$A$2:$E$31,3,FALSE)</f>
        <v>North</v>
      </c>
      <c r="P1126" s="13" t="s">
        <v>297</v>
      </c>
      <c r="Q1126" s="34">
        <f t="shared" si="38"/>
        <v>980063.65999999968</v>
      </c>
      <c r="R1126" s="34" t="str">
        <f>VLOOKUP(E1126,Sales_Reps!$A$2:$E$100,3,FALSE)</f>
        <v>North</v>
      </c>
      <c r="S1126" s="34" t="str">
        <f t="shared" si="39"/>
        <v>Grocery</v>
      </c>
      <c r="T1126" s="38">
        <f>VLOOKUP(D1126,Products!$A$2:$F$68,4,FALSE)</f>
        <v>2911</v>
      </c>
    </row>
    <row r="1127" spans="1:20" x14ac:dyDescent="0.35">
      <c r="A1127" s="13" t="s">
        <v>1612</v>
      </c>
      <c r="B1127" s="14">
        <v>45438</v>
      </c>
      <c r="C1127" s="13" t="s">
        <v>407</v>
      </c>
      <c r="D1127" s="13" t="s">
        <v>295</v>
      </c>
      <c r="E1127" s="13" t="s">
        <v>252</v>
      </c>
      <c r="F1127" s="15">
        <v>9</v>
      </c>
      <c r="G1127" s="15">
        <v>2030</v>
      </c>
      <c r="H1127" s="15">
        <v>15.9</v>
      </c>
      <c r="I1127" s="15">
        <v>15365.07</v>
      </c>
      <c r="J1127" s="13" t="s">
        <v>93</v>
      </c>
      <c r="K1127" s="13" t="s">
        <v>88</v>
      </c>
      <c r="L1127" s="34" t="str">
        <f>VLOOKUP(D1127,Products!$A$2:$F$61,3,FALSE)</f>
        <v>Home</v>
      </c>
      <c r="M1127" s="34" t="str">
        <f>VLOOKUP(C1127,Customers!$A$2:$F$301,5,FALSE)</f>
        <v>SMB</v>
      </c>
      <c r="N1127" s="34">
        <f>VLOOKUP(C1127,Customers!$A$2:$F$301,3,FALSE)</f>
        <v>53</v>
      </c>
      <c r="O1127" s="34" t="str">
        <f>VLOOKUP(E1127,Sales_Reps!$A$2:$E$31,3,FALSE)</f>
        <v>South</v>
      </c>
      <c r="P1127" s="13" t="s">
        <v>252</v>
      </c>
      <c r="Q1127" s="34">
        <f t="shared" si="38"/>
        <v>811524.37999999989</v>
      </c>
      <c r="R1127" s="34" t="str">
        <f>VLOOKUP(E1127,Sales_Reps!$A$2:$E$100,3,FALSE)</f>
        <v>South</v>
      </c>
      <c r="S1127" s="34" t="str">
        <f t="shared" si="39"/>
        <v>Home</v>
      </c>
      <c r="T1127" s="38">
        <f>VLOOKUP(D1127,Products!$A$2:$F$68,4,FALSE)</f>
        <v>1143</v>
      </c>
    </row>
    <row r="1128" spans="1:20" x14ac:dyDescent="0.35">
      <c r="A1128" s="13" t="s">
        <v>1613</v>
      </c>
      <c r="B1128" s="14">
        <v>45529</v>
      </c>
      <c r="C1128" s="13" t="s">
        <v>738</v>
      </c>
      <c r="D1128" s="13" t="s">
        <v>179</v>
      </c>
      <c r="E1128" s="13" t="s">
        <v>98</v>
      </c>
      <c r="F1128" s="15">
        <v>1</v>
      </c>
      <c r="G1128" s="15">
        <v>3350</v>
      </c>
      <c r="H1128" s="15">
        <v>23.2</v>
      </c>
      <c r="I1128" s="15">
        <v>2572.8000000000002</v>
      </c>
      <c r="J1128" s="13" t="s">
        <v>144</v>
      </c>
      <c r="K1128" s="13" t="s">
        <v>88</v>
      </c>
      <c r="L1128" s="34" t="str">
        <f>VLOOKUP(D1128,Products!$A$2:$F$61,3,FALSE)</f>
        <v>Beauty</v>
      </c>
      <c r="M1128" s="34" t="str">
        <f>VLOOKUP(C1128,Customers!$A$2:$F$301,5,FALSE)</f>
        <v>Retail</v>
      </c>
      <c r="N1128" s="34">
        <f>VLOOKUP(C1128,Customers!$A$2:$F$301,3,FALSE)</f>
        <v>36</v>
      </c>
      <c r="O1128" s="34" t="str">
        <f>VLOOKUP(E1128,Sales_Reps!$A$2:$E$31,3,FALSE)</f>
        <v>South</v>
      </c>
      <c r="P1128" s="13" t="s">
        <v>98</v>
      </c>
      <c r="Q1128" s="34">
        <f t="shared" si="38"/>
        <v>995713.54000000015</v>
      </c>
      <c r="R1128" s="34" t="str">
        <f>VLOOKUP(E1128,Sales_Reps!$A$2:$E$100,3,FALSE)</f>
        <v>South</v>
      </c>
      <c r="S1128" s="34" t="str">
        <f t="shared" si="39"/>
        <v>Beauty</v>
      </c>
      <c r="T1128" s="38">
        <f>VLOOKUP(D1128,Products!$A$2:$F$68,4,FALSE)</f>
        <v>1728</v>
      </c>
    </row>
    <row r="1129" spans="1:20" x14ac:dyDescent="0.35">
      <c r="A1129" s="13" t="s">
        <v>1614</v>
      </c>
      <c r="B1129" s="14">
        <v>45634</v>
      </c>
      <c r="C1129" s="13" t="s">
        <v>454</v>
      </c>
      <c r="D1129" s="13" t="s">
        <v>203</v>
      </c>
      <c r="E1129" s="13" t="s">
        <v>103</v>
      </c>
      <c r="F1129" s="15">
        <v>4</v>
      </c>
      <c r="G1129" s="15">
        <v>660</v>
      </c>
      <c r="H1129" s="15">
        <v>27.1</v>
      </c>
      <c r="I1129" s="15">
        <v>1924.56</v>
      </c>
      <c r="J1129" s="13" t="s">
        <v>87</v>
      </c>
      <c r="K1129" s="13" t="s">
        <v>133</v>
      </c>
      <c r="L1129" s="34" t="str">
        <f>VLOOKUP(D1129,Products!$A$2:$F$61,3,FALSE)</f>
        <v>Home</v>
      </c>
      <c r="M1129" s="34" t="str">
        <f>VLOOKUP(C1129,Customers!$A$2:$F$301,5,FALSE)</f>
        <v>Corporate</v>
      </c>
      <c r="N1129" s="34">
        <f>VLOOKUP(C1129,Customers!$A$2:$F$301,3,FALSE)</f>
        <v>43</v>
      </c>
      <c r="O1129" s="34" t="str">
        <f>VLOOKUP(E1129,Sales_Reps!$A$2:$E$31,3,FALSE)</f>
        <v>North</v>
      </c>
      <c r="P1129" s="13" t="s">
        <v>103</v>
      </c>
      <c r="Q1129" s="34">
        <f t="shared" si="38"/>
        <v>1138648.73</v>
      </c>
      <c r="R1129" s="34" t="str">
        <f>VLOOKUP(E1129,Sales_Reps!$A$2:$E$100,3,FALSE)</f>
        <v>North</v>
      </c>
      <c r="S1129" s="34" t="str">
        <f t="shared" si="39"/>
        <v>Home</v>
      </c>
      <c r="T1129" s="38">
        <f>VLOOKUP(D1129,Products!$A$2:$F$68,4,FALSE)</f>
        <v>329</v>
      </c>
    </row>
    <row r="1130" spans="1:20" x14ac:dyDescent="0.35">
      <c r="A1130" s="13" t="s">
        <v>1615</v>
      </c>
      <c r="B1130" s="14">
        <v>45441</v>
      </c>
      <c r="C1130" s="13" t="s">
        <v>261</v>
      </c>
      <c r="D1130" s="13" t="s">
        <v>276</v>
      </c>
      <c r="E1130" s="13" t="s">
        <v>98</v>
      </c>
      <c r="F1130" s="15">
        <v>3</v>
      </c>
      <c r="G1130" s="15">
        <v>3020</v>
      </c>
      <c r="H1130" s="15">
        <v>7.2</v>
      </c>
      <c r="I1130" s="15">
        <v>8407.68</v>
      </c>
      <c r="J1130" s="13" t="s">
        <v>87</v>
      </c>
      <c r="K1130" s="13" t="s">
        <v>99</v>
      </c>
      <c r="L1130" s="34" t="str">
        <f>VLOOKUP(D1130,Products!$A$2:$F$61,3,FALSE)</f>
        <v>Beauty</v>
      </c>
      <c r="M1130" s="34" t="str">
        <f>VLOOKUP(C1130,Customers!$A$2:$F$301,5,FALSE)</f>
        <v>Retail</v>
      </c>
      <c r="N1130" s="34">
        <f>VLOOKUP(C1130,Customers!$A$2:$F$301,3,FALSE)</f>
        <v>54</v>
      </c>
      <c r="O1130" s="34" t="str">
        <f>VLOOKUP(E1130,Sales_Reps!$A$2:$E$31,3,FALSE)</f>
        <v>South</v>
      </c>
      <c r="P1130" s="13" t="s">
        <v>98</v>
      </c>
      <c r="Q1130" s="34">
        <f t="shared" si="38"/>
        <v>995713.54000000015</v>
      </c>
      <c r="R1130" s="34" t="str">
        <f>VLOOKUP(E1130,Sales_Reps!$A$2:$E$100,3,FALSE)</f>
        <v>South</v>
      </c>
      <c r="S1130" s="34" t="str">
        <f t="shared" si="39"/>
        <v>Beauty</v>
      </c>
      <c r="T1130" s="38">
        <f>VLOOKUP(D1130,Products!$A$2:$F$68,4,FALSE)</f>
        <v>1626</v>
      </c>
    </row>
    <row r="1131" spans="1:20" x14ac:dyDescent="0.35">
      <c r="A1131" s="13" t="s">
        <v>1616</v>
      </c>
      <c r="B1131" s="14">
        <v>45409</v>
      </c>
      <c r="C1131" s="13" t="s">
        <v>565</v>
      </c>
      <c r="D1131" s="13" t="s">
        <v>279</v>
      </c>
      <c r="E1131" s="13" t="s">
        <v>103</v>
      </c>
      <c r="F1131" s="15">
        <v>3</v>
      </c>
      <c r="G1131" s="15">
        <v>2660</v>
      </c>
      <c r="H1131" s="15">
        <v>0.2</v>
      </c>
      <c r="I1131" s="15">
        <v>7964.04</v>
      </c>
      <c r="J1131" s="13" t="s">
        <v>87</v>
      </c>
      <c r="K1131" s="13" t="s">
        <v>112</v>
      </c>
      <c r="L1131" s="34" t="str">
        <f>VLOOKUP(D1131,Products!$A$2:$F$61,3,FALSE)</f>
        <v>Electronics</v>
      </c>
      <c r="M1131" s="34" t="str">
        <f>VLOOKUP(C1131,Customers!$A$2:$F$301,5,FALSE)</f>
        <v>SMB</v>
      </c>
      <c r="N1131" s="34">
        <f>VLOOKUP(C1131,Customers!$A$2:$F$301,3,FALSE)</f>
        <v>61</v>
      </c>
      <c r="O1131" s="34" t="str">
        <f>VLOOKUP(E1131,Sales_Reps!$A$2:$E$31,3,FALSE)</f>
        <v>North</v>
      </c>
      <c r="P1131" s="13" t="s">
        <v>103</v>
      </c>
      <c r="Q1131" s="34">
        <f t="shared" si="38"/>
        <v>1138648.73</v>
      </c>
      <c r="R1131" s="34" t="str">
        <f>VLOOKUP(E1131,Sales_Reps!$A$2:$E$100,3,FALSE)</f>
        <v>North</v>
      </c>
      <c r="S1131" s="34" t="str">
        <f t="shared" si="39"/>
        <v>Electronics</v>
      </c>
      <c r="T1131" s="38">
        <f>VLOOKUP(D1131,Products!$A$2:$F$68,4,FALSE)</f>
        <v>1259</v>
      </c>
    </row>
    <row r="1132" spans="1:20" x14ac:dyDescent="0.35">
      <c r="A1132" s="13" t="s">
        <v>1617</v>
      </c>
      <c r="B1132" s="14">
        <v>45650</v>
      </c>
      <c r="C1132" s="13" t="s">
        <v>956</v>
      </c>
      <c r="D1132" s="13" t="s">
        <v>182</v>
      </c>
      <c r="E1132" s="13" t="s">
        <v>103</v>
      </c>
      <c r="F1132" s="15">
        <v>4</v>
      </c>
      <c r="G1132" s="15">
        <v>1010</v>
      </c>
      <c r="H1132" s="15">
        <v>3.1</v>
      </c>
      <c r="I1132" s="15">
        <v>3914.76</v>
      </c>
      <c r="J1132" s="13" t="s">
        <v>87</v>
      </c>
      <c r="K1132" s="13" t="s">
        <v>112</v>
      </c>
      <c r="L1132" s="34" t="str">
        <f>VLOOKUP(D1132,Products!$A$2:$F$61,3,FALSE)</f>
        <v>Sports</v>
      </c>
      <c r="M1132" s="34" t="str">
        <f>VLOOKUP(C1132,Customers!$A$2:$F$301,5,FALSE)</f>
        <v>Retail</v>
      </c>
      <c r="N1132" s="34">
        <f>VLOOKUP(C1132,Customers!$A$2:$F$301,3,FALSE)</f>
        <v>49</v>
      </c>
      <c r="O1132" s="34" t="str">
        <f>VLOOKUP(E1132,Sales_Reps!$A$2:$E$31,3,FALSE)</f>
        <v>North</v>
      </c>
      <c r="P1132" s="13" t="s">
        <v>103</v>
      </c>
      <c r="Q1132" s="34">
        <f t="shared" si="38"/>
        <v>1138648.73</v>
      </c>
      <c r="R1132" s="34" t="str">
        <f>VLOOKUP(E1132,Sales_Reps!$A$2:$E$100,3,FALSE)</f>
        <v>North</v>
      </c>
      <c r="S1132" s="34" t="str">
        <f t="shared" si="39"/>
        <v>Sports</v>
      </c>
      <c r="T1132" s="38">
        <f>VLOOKUP(D1132,Products!$A$2:$F$68,4,FALSE)</f>
        <v>516</v>
      </c>
    </row>
    <row r="1133" spans="1:20" x14ac:dyDescent="0.35">
      <c r="A1133" s="13" t="s">
        <v>1618</v>
      </c>
      <c r="B1133" s="14">
        <v>45380</v>
      </c>
      <c r="C1133" s="13" t="s">
        <v>952</v>
      </c>
      <c r="D1133" s="13" t="s">
        <v>124</v>
      </c>
      <c r="E1133" s="13" t="s">
        <v>238</v>
      </c>
      <c r="F1133" s="15">
        <v>5</v>
      </c>
      <c r="G1133" s="15">
        <v>5490</v>
      </c>
      <c r="H1133" s="15">
        <v>3.6</v>
      </c>
      <c r="I1133" s="15">
        <v>26461.8</v>
      </c>
      <c r="J1133" s="13" t="s">
        <v>87</v>
      </c>
      <c r="K1133" s="13" t="s">
        <v>133</v>
      </c>
      <c r="L1133" s="34" t="str">
        <f>VLOOKUP(D1133,Products!$A$2:$F$61,3,FALSE)</f>
        <v>Home</v>
      </c>
      <c r="M1133" s="34" t="str">
        <f>VLOOKUP(C1133,Customers!$A$2:$F$301,5,FALSE)</f>
        <v>Retail</v>
      </c>
      <c r="N1133" s="34">
        <f>VLOOKUP(C1133,Customers!$A$2:$F$301,3,FALSE)</f>
        <v>35</v>
      </c>
      <c r="O1133" s="34" t="str">
        <f>VLOOKUP(E1133,Sales_Reps!$A$2:$E$31,3,FALSE)</f>
        <v>East</v>
      </c>
      <c r="P1133" s="13" t="s">
        <v>238</v>
      </c>
      <c r="Q1133" s="34">
        <f t="shared" si="38"/>
        <v>780384.40999999992</v>
      </c>
      <c r="R1133" s="34" t="str">
        <f>VLOOKUP(E1133,Sales_Reps!$A$2:$E$100,3,FALSE)</f>
        <v>East</v>
      </c>
      <c r="S1133" s="34" t="str">
        <f t="shared" si="39"/>
        <v>Home</v>
      </c>
      <c r="T1133" s="38">
        <f>VLOOKUP(D1133,Products!$A$2:$F$68,4,FALSE)</f>
        <v>2549</v>
      </c>
    </row>
    <row r="1134" spans="1:20" x14ac:dyDescent="0.35">
      <c r="A1134" s="13" t="s">
        <v>1619</v>
      </c>
      <c r="B1134" s="14">
        <v>45322</v>
      </c>
      <c r="C1134" s="13" t="s">
        <v>160</v>
      </c>
      <c r="D1134" s="13" t="s">
        <v>151</v>
      </c>
      <c r="E1134" s="13" t="s">
        <v>121</v>
      </c>
      <c r="F1134" s="15">
        <v>1</v>
      </c>
      <c r="G1134" s="15">
        <v>2400</v>
      </c>
      <c r="H1134" s="15">
        <v>24.3</v>
      </c>
      <c r="I1134" s="15">
        <v>1816.8</v>
      </c>
      <c r="J1134" s="13" t="s">
        <v>87</v>
      </c>
      <c r="K1134" s="13" t="s">
        <v>112</v>
      </c>
      <c r="L1134" s="34" t="str">
        <f>VLOOKUP(D1134,Products!$A$2:$F$61,3,FALSE)</f>
        <v>Sports</v>
      </c>
      <c r="M1134" s="34" t="str">
        <f>VLOOKUP(C1134,Customers!$A$2:$F$301,5,FALSE)</f>
        <v>Retail</v>
      </c>
      <c r="N1134" s="34">
        <f>VLOOKUP(C1134,Customers!$A$2:$F$301,3,FALSE)</f>
        <v>54</v>
      </c>
      <c r="O1134" s="34" t="str">
        <f>VLOOKUP(E1134,Sales_Reps!$A$2:$E$31,3,FALSE)</f>
        <v>East</v>
      </c>
      <c r="P1134" s="13" t="s">
        <v>121</v>
      </c>
      <c r="Q1134" s="34">
        <f t="shared" si="38"/>
        <v>971183.52000000014</v>
      </c>
      <c r="R1134" s="34" t="str">
        <f>VLOOKUP(E1134,Sales_Reps!$A$2:$E$100,3,FALSE)</f>
        <v>East</v>
      </c>
      <c r="S1134" s="34" t="str">
        <f t="shared" si="39"/>
        <v>Sports</v>
      </c>
      <c r="T1134" s="38">
        <f>VLOOKUP(D1134,Products!$A$2:$F$68,4,FALSE)</f>
        <v>974</v>
      </c>
    </row>
    <row r="1135" spans="1:20" x14ac:dyDescent="0.35">
      <c r="A1135" s="13" t="s">
        <v>1620</v>
      </c>
      <c r="B1135" s="14">
        <v>45532</v>
      </c>
      <c r="C1135" s="13" t="s">
        <v>359</v>
      </c>
      <c r="D1135" s="13" t="s">
        <v>203</v>
      </c>
      <c r="E1135" s="13" t="s">
        <v>204</v>
      </c>
      <c r="F1135" s="15">
        <v>8</v>
      </c>
      <c r="G1135" s="15">
        <v>660</v>
      </c>
      <c r="H1135" s="15">
        <v>19.8</v>
      </c>
      <c r="I1135" s="15">
        <v>4234.5600000000004</v>
      </c>
      <c r="J1135" s="13" t="s">
        <v>87</v>
      </c>
      <c r="K1135" s="13" t="s">
        <v>99</v>
      </c>
      <c r="L1135" s="34" t="str">
        <f>VLOOKUP(D1135,Products!$A$2:$F$61,3,FALSE)</f>
        <v>Home</v>
      </c>
      <c r="M1135" s="34" t="str">
        <f>VLOOKUP(C1135,Customers!$A$2:$F$301,5,FALSE)</f>
        <v>SMB</v>
      </c>
      <c r="N1135" s="34">
        <f>VLOOKUP(C1135,Customers!$A$2:$F$301,3,FALSE)</f>
        <v>28</v>
      </c>
      <c r="O1135" s="34" t="str">
        <f>VLOOKUP(E1135,Sales_Reps!$A$2:$E$31,3,FALSE)</f>
        <v>South</v>
      </c>
      <c r="P1135" s="13" t="s">
        <v>204</v>
      </c>
      <c r="Q1135" s="34">
        <f t="shared" si="38"/>
        <v>914554.71999999986</v>
      </c>
      <c r="R1135" s="34" t="str">
        <f>VLOOKUP(E1135,Sales_Reps!$A$2:$E$100,3,FALSE)</f>
        <v>South</v>
      </c>
      <c r="S1135" s="34" t="str">
        <f t="shared" si="39"/>
        <v>Home</v>
      </c>
      <c r="T1135" s="38">
        <f>VLOOKUP(D1135,Products!$A$2:$F$68,4,FALSE)</f>
        <v>329</v>
      </c>
    </row>
    <row r="1136" spans="1:20" x14ac:dyDescent="0.35">
      <c r="A1136" s="13" t="s">
        <v>1621</v>
      </c>
      <c r="B1136" s="14">
        <v>45504</v>
      </c>
      <c r="C1136" s="13" t="s">
        <v>1294</v>
      </c>
      <c r="D1136" s="13" t="s">
        <v>364</v>
      </c>
      <c r="E1136" s="13" t="s">
        <v>346</v>
      </c>
      <c r="F1136" s="15">
        <v>9</v>
      </c>
      <c r="G1136" s="15">
        <v>5330</v>
      </c>
      <c r="H1136" s="15">
        <v>16.5</v>
      </c>
      <c r="I1136" s="15">
        <v>40054.949999999997</v>
      </c>
      <c r="J1136" s="13" t="s">
        <v>87</v>
      </c>
      <c r="K1136" s="13" t="s">
        <v>94</v>
      </c>
      <c r="L1136" s="34" t="str">
        <f>VLOOKUP(D1136,Products!$A$2:$F$61,3,FALSE)</f>
        <v>Electronics</v>
      </c>
      <c r="M1136" s="34" t="str">
        <f>VLOOKUP(C1136,Customers!$A$2:$F$301,5,FALSE)</f>
        <v>SMB</v>
      </c>
      <c r="N1136" s="34">
        <f>VLOOKUP(C1136,Customers!$A$2:$F$301,3,FALSE)</f>
        <v>43</v>
      </c>
      <c r="O1136" s="34" t="str">
        <f>VLOOKUP(E1136,Sales_Reps!$A$2:$E$31,3,FALSE)</f>
        <v>South</v>
      </c>
      <c r="P1136" s="13" t="s">
        <v>346</v>
      </c>
      <c r="Q1136" s="34">
        <f t="shared" si="38"/>
        <v>814563.7100000002</v>
      </c>
      <c r="R1136" s="34" t="str">
        <f>VLOOKUP(E1136,Sales_Reps!$A$2:$E$100,3,FALSE)</f>
        <v>South</v>
      </c>
      <c r="S1136" s="34" t="str">
        <f t="shared" si="39"/>
        <v>Electronics</v>
      </c>
      <c r="T1136" s="38">
        <f>VLOOKUP(D1136,Products!$A$2:$F$68,4,FALSE)</f>
        <v>2405</v>
      </c>
    </row>
    <row r="1137" spans="1:20" x14ac:dyDescent="0.35">
      <c r="A1137" s="13" t="s">
        <v>1290</v>
      </c>
      <c r="B1137" s="14">
        <v>45516</v>
      </c>
      <c r="C1137" s="13" t="s">
        <v>589</v>
      </c>
      <c r="D1137" s="13" t="s">
        <v>138</v>
      </c>
      <c r="E1137" s="13" t="s">
        <v>86</v>
      </c>
      <c r="F1137" s="15">
        <v>5</v>
      </c>
      <c r="G1137" s="15">
        <v>2600</v>
      </c>
      <c r="H1137" s="15">
        <v>0.3</v>
      </c>
      <c r="I1137" s="15">
        <v>12961</v>
      </c>
      <c r="J1137" s="13" t="s">
        <v>87</v>
      </c>
      <c r="K1137" s="13" t="s">
        <v>94</v>
      </c>
      <c r="L1137" s="34" t="str">
        <f>VLOOKUP(D1137,Products!$A$2:$F$61,3,FALSE)</f>
        <v>Electronics</v>
      </c>
      <c r="M1137" s="34" t="str">
        <f>VLOOKUP(C1137,Customers!$A$2:$F$301,5,FALSE)</f>
        <v>Corporate</v>
      </c>
      <c r="N1137" s="34">
        <f>VLOOKUP(C1137,Customers!$A$2:$F$301,3,FALSE)</f>
        <v>30</v>
      </c>
      <c r="O1137" s="34" t="str">
        <f>VLOOKUP(E1137,Sales_Reps!$A$2:$E$31,3,FALSE)</f>
        <v>North</v>
      </c>
      <c r="P1137" s="13" t="s">
        <v>86</v>
      </c>
      <c r="Q1137" s="34">
        <f t="shared" si="38"/>
        <v>855749.67999999982</v>
      </c>
      <c r="R1137" s="34" t="str">
        <f>VLOOKUP(E1137,Sales_Reps!$A$2:$E$100,3,FALSE)</f>
        <v>North</v>
      </c>
      <c r="S1137" s="34" t="str">
        <f t="shared" si="39"/>
        <v>Electronics</v>
      </c>
      <c r="T1137" s="38">
        <f>VLOOKUP(D1137,Products!$A$2:$F$68,4,FALSE)</f>
        <v>1052</v>
      </c>
    </row>
    <row r="1138" spans="1:20" x14ac:dyDescent="0.35">
      <c r="A1138" s="13" t="s">
        <v>1622</v>
      </c>
      <c r="B1138" s="14">
        <v>45462</v>
      </c>
      <c r="C1138" s="13" t="s">
        <v>1623</v>
      </c>
      <c r="D1138" s="13" t="s">
        <v>443</v>
      </c>
      <c r="E1138" s="13" t="s">
        <v>303</v>
      </c>
      <c r="F1138" s="15">
        <v>4</v>
      </c>
      <c r="G1138" s="15">
        <v>5080</v>
      </c>
      <c r="H1138" s="15">
        <v>13.8</v>
      </c>
      <c r="I1138" s="15">
        <v>17515.84</v>
      </c>
      <c r="J1138" s="13" t="s">
        <v>93</v>
      </c>
      <c r="K1138" s="13" t="s">
        <v>117</v>
      </c>
      <c r="L1138" s="34" t="str">
        <f>VLOOKUP(D1138,Products!$A$2:$F$61,3,FALSE)</f>
        <v>Home</v>
      </c>
      <c r="M1138" s="34" t="str">
        <f>VLOOKUP(C1138,Customers!$A$2:$F$301,5,FALSE)</f>
        <v>Retail</v>
      </c>
      <c r="N1138" s="34">
        <f>VLOOKUP(C1138,Customers!$A$2:$F$301,3,FALSE)</f>
        <v>53</v>
      </c>
      <c r="O1138" s="34" t="str">
        <f>VLOOKUP(E1138,Sales_Reps!$A$2:$E$31,3,FALSE)</f>
        <v>East</v>
      </c>
      <c r="P1138" s="13" t="s">
        <v>303</v>
      </c>
      <c r="Q1138" s="34">
        <f t="shared" si="38"/>
        <v>1112289.6400000001</v>
      </c>
      <c r="R1138" s="34" t="str">
        <f>VLOOKUP(E1138,Sales_Reps!$A$2:$E$100,3,FALSE)</f>
        <v>East</v>
      </c>
      <c r="S1138" s="34" t="str">
        <f t="shared" si="39"/>
        <v>Home</v>
      </c>
      <c r="T1138" s="38">
        <f>VLOOKUP(D1138,Products!$A$2:$F$68,4,FALSE)</f>
        <v>2459</v>
      </c>
    </row>
    <row r="1139" spans="1:20" x14ac:dyDescent="0.35">
      <c r="A1139" s="13" t="s">
        <v>1624</v>
      </c>
      <c r="B1139" s="14">
        <v>45597</v>
      </c>
      <c r="C1139" s="13" t="s">
        <v>1250</v>
      </c>
      <c r="D1139" s="13" t="s">
        <v>367</v>
      </c>
      <c r="E1139" s="13" t="s">
        <v>297</v>
      </c>
      <c r="F1139" s="15">
        <v>7</v>
      </c>
      <c r="G1139" s="15">
        <v>2380</v>
      </c>
      <c r="H1139" s="15">
        <v>15.5</v>
      </c>
      <c r="I1139" s="15">
        <v>14077.7</v>
      </c>
      <c r="J1139" s="13" t="s">
        <v>87</v>
      </c>
      <c r="K1139" s="13" t="s">
        <v>88</v>
      </c>
      <c r="L1139" s="34" t="str">
        <f>VLOOKUP(D1139,Products!$A$2:$F$61,3,FALSE)</f>
        <v>Grocery</v>
      </c>
      <c r="M1139" s="34" t="str">
        <f>VLOOKUP(C1139,Customers!$A$2:$F$301,5,FALSE)</f>
        <v>Retail</v>
      </c>
      <c r="N1139" s="34">
        <f>VLOOKUP(C1139,Customers!$A$2:$F$301,3,FALSE)</f>
        <v>44</v>
      </c>
      <c r="O1139" s="34" t="str">
        <f>VLOOKUP(E1139,Sales_Reps!$A$2:$E$31,3,FALSE)</f>
        <v>North</v>
      </c>
      <c r="P1139" s="13" t="s">
        <v>297</v>
      </c>
      <c r="Q1139" s="34">
        <f t="shared" si="38"/>
        <v>980063.65999999968</v>
      </c>
      <c r="R1139" s="34" t="str">
        <f>VLOOKUP(E1139,Sales_Reps!$A$2:$E$100,3,FALSE)</f>
        <v>North</v>
      </c>
      <c r="S1139" s="34" t="str">
        <f t="shared" si="39"/>
        <v>Grocery</v>
      </c>
      <c r="T1139" s="38">
        <f>VLOOKUP(D1139,Products!$A$2:$F$68,4,FALSE)</f>
        <v>1182</v>
      </c>
    </row>
    <row r="1140" spans="1:20" x14ac:dyDescent="0.35">
      <c r="A1140" s="13" t="s">
        <v>1625</v>
      </c>
      <c r="B1140" s="14">
        <v>45648</v>
      </c>
      <c r="C1140" s="13" t="s">
        <v>247</v>
      </c>
      <c r="D1140" s="13" t="s">
        <v>184</v>
      </c>
      <c r="E1140" s="13" t="s">
        <v>103</v>
      </c>
      <c r="F1140" s="15">
        <v>3</v>
      </c>
      <c r="G1140" s="15">
        <v>4880</v>
      </c>
      <c r="H1140" s="15">
        <v>6.1</v>
      </c>
      <c r="I1140" s="15">
        <v>13746.96</v>
      </c>
      <c r="J1140" s="13" t="s">
        <v>87</v>
      </c>
      <c r="K1140" s="13" t="s">
        <v>117</v>
      </c>
      <c r="L1140" s="34" t="str">
        <f>VLOOKUP(D1140,Products!$A$2:$F$61,3,FALSE)</f>
        <v>Beauty</v>
      </c>
      <c r="M1140" s="34" t="str">
        <f>VLOOKUP(C1140,Customers!$A$2:$F$301,5,FALSE)</f>
        <v>Retail</v>
      </c>
      <c r="N1140" s="34">
        <f>VLOOKUP(C1140,Customers!$A$2:$F$301,3,FALSE)</f>
        <v>34</v>
      </c>
      <c r="O1140" s="34" t="str">
        <f>VLOOKUP(E1140,Sales_Reps!$A$2:$E$31,3,FALSE)</f>
        <v>North</v>
      </c>
      <c r="P1140" s="13" t="s">
        <v>103</v>
      </c>
      <c r="Q1140" s="34">
        <f t="shared" si="38"/>
        <v>1138648.73</v>
      </c>
      <c r="R1140" s="34" t="str">
        <f>VLOOKUP(E1140,Sales_Reps!$A$2:$E$100,3,FALSE)</f>
        <v>North</v>
      </c>
      <c r="S1140" s="34" t="str">
        <f t="shared" si="39"/>
        <v>Beauty</v>
      </c>
      <c r="T1140" s="38">
        <f>VLOOKUP(D1140,Products!$A$2:$F$68,4,FALSE)</f>
        <v>2768</v>
      </c>
    </row>
    <row r="1141" spans="1:20" x14ac:dyDescent="0.35">
      <c r="A1141" s="13" t="s">
        <v>1626</v>
      </c>
      <c r="B1141" s="14">
        <v>45355</v>
      </c>
      <c r="C1141" s="13" t="s">
        <v>764</v>
      </c>
      <c r="D1141" s="13" t="s">
        <v>179</v>
      </c>
      <c r="E1141" s="13" t="s">
        <v>204</v>
      </c>
      <c r="F1141" s="15">
        <v>2</v>
      </c>
      <c r="G1141" s="15">
        <v>3350</v>
      </c>
      <c r="H1141" s="15">
        <v>17.2</v>
      </c>
      <c r="I1141" s="15">
        <v>5547.6</v>
      </c>
      <c r="J1141" s="13" t="s">
        <v>87</v>
      </c>
      <c r="K1141" s="13" t="s">
        <v>94</v>
      </c>
      <c r="L1141" s="34" t="str">
        <f>VLOOKUP(D1141,Products!$A$2:$F$61,3,FALSE)</f>
        <v>Beauty</v>
      </c>
      <c r="M1141" s="34" t="str">
        <f>VLOOKUP(C1141,Customers!$A$2:$F$301,5,FALSE)</f>
        <v>SMB</v>
      </c>
      <c r="N1141" s="34">
        <f>VLOOKUP(C1141,Customers!$A$2:$F$301,3,FALSE)</f>
        <v>26</v>
      </c>
      <c r="O1141" s="34" t="str">
        <f>VLOOKUP(E1141,Sales_Reps!$A$2:$E$31,3,FALSE)</f>
        <v>South</v>
      </c>
      <c r="P1141" s="13" t="s">
        <v>204</v>
      </c>
      <c r="Q1141" s="34">
        <f t="shared" si="38"/>
        <v>914554.71999999986</v>
      </c>
      <c r="R1141" s="34" t="str">
        <f>VLOOKUP(E1141,Sales_Reps!$A$2:$E$100,3,FALSE)</f>
        <v>South</v>
      </c>
      <c r="S1141" s="34" t="str">
        <f t="shared" si="39"/>
        <v>Beauty</v>
      </c>
      <c r="T1141" s="38">
        <f>VLOOKUP(D1141,Products!$A$2:$F$68,4,FALSE)</f>
        <v>1728</v>
      </c>
    </row>
    <row r="1142" spans="1:20" x14ac:dyDescent="0.35">
      <c r="A1142" s="13" t="s">
        <v>1627</v>
      </c>
      <c r="B1142" s="14">
        <v>45331</v>
      </c>
      <c r="C1142" s="13" t="s">
        <v>1628</v>
      </c>
      <c r="D1142" s="13" t="s">
        <v>127</v>
      </c>
      <c r="E1142" s="13" t="s">
        <v>116</v>
      </c>
      <c r="F1142" s="15">
        <v>5</v>
      </c>
      <c r="G1142" s="15">
        <v>970</v>
      </c>
      <c r="H1142" s="15">
        <v>23.6</v>
      </c>
      <c r="I1142" s="15">
        <v>3705.4</v>
      </c>
      <c r="J1142" s="13" t="s">
        <v>87</v>
      </c>
      <c r="K1142" s="13" t="s">
        <v>94</v>
      </c>
      <c r="L1142" s="34" t="str">
        <f>VLOOKUP(D1142,Products!$A$2:$F$61,3,FALSE)</f>
        <v>Grocery</v>
      </c>
      <c r="M1142" s="34" t="str">
        <f>VLOOKUP(C1142,Customers!$A$2:$F$301,5,FALSE)</f>
        <v>Retail</v>
      </c>
      <c r="N1142" s="34">
        <f>VLOOKUP(C1142,Customers!$A$2:$F$301,3,FALSE)</f>
        <v>35</v>
      </c>
      <c r="O1142" s="34" t="str">
        <f>VLOOKUP(E1142,Sales_Reps!$A$2:$E$31,3,FALSE)</f>
        <v>West</v>
      </c>
      <c r="P1142" s="13" t="s">
        <v>116</v>
      </c>
      <c r="Q1142" s="34">
        <f t="shared" si="38"/>
        <v>819558.58</v>
      </c>
      <c r="R1142" s="34" t="str">
        <f>VLOOKUP(E1142,Sales_Reps!$A$2:$E$100,3,FALSE)</f>
        <v>West</v>
      </c>
      <c r="S1142" s="34" t="str">
        <f t="shared" si="39"/>
        <v>Grocery</v>
      </c>
      <c r="T1142" s="38">
        <f>VLOOKUP(D1142,Products!$A$2:$F$68,4,FALSE)</f>
        <v>434</v>
      </c>
    </row>
    <row r="1143" spans="1:20" x14ac:dyDescent="0.35">
      <c r="A1143" s="13" t="s">
        <v>1629</v>
      </c>
      <c r="B1143" s="14">
        <v>45632</v>
      </c>
      <c r="C1143" s="13" t="s">
        <v>318</v>
      </c>
      <c r="D1143" s="13" t="s">
        <v>282</v>
      </c>
      <c r="E1143" s="13" t="s">
        <v>285</v>
      </c>
      <c r="F1143" s="15">
        <v>5</v>
      </c>
      <c r="G1143" s="15">
        <v>300</v>
      </c>
      <c r="H1143" s="15">
        <v>3.8</v>
      </c>
      <c r="I1143" s="15">
        <v>1443</v>
      </c>
      <c r="J1143" s="13" t="s">
        <v>87</v>
      </c>
      <c r="K1143" s="13" t="s">
        <v>94</v>
      </c>
      <c r="L1143" s="34" t="str">
        <f>VLOOKUP(D1143,Products!$A$2:$F$61,3,FALSE)</f>
        <v>Electronics</v>
      </c>
      <c r="M1143" s="34" t="str">
        <f>VLOOKUP(C1143,Customers!$A$2:$F$301,5,FALSE)</f>
        <v>SMB</v>
      </c>
      <c r="N1143" s="34">
        <f>VLOOKUP(C1143,Customers!$A$2:$F$301,3,FALSE)</f>
        <v>57</v>
      </c>
      <c r="O1143" s="34" t="str">
        <f>VLOOKUP(E1143,Sales_Reps!$A$2:$E$31,3,FALSE)</f>
        <v>East</v>
      </c>
      <c r="P1143" s="13" t="s">
        <v>285</v>
      </c>
      <c r="Q1143" s="34">
        <f t="shared" si="38"/>
        <v>1069570.5400000003</v>
      </c>
      <c r="R1143" s="34" t="str">
        <f>VLOOKUP(E1143,Sales_Reps!$A$2:$E$100,3,FALSE)</f>
        <v>East</v>
      </c>
      <c r="S1143" s="34" t="str">
        <f t="shared" si="39"/>
        <v>Electronics</v>
      </c>
      <c r="T1143" s="38">
        <f>VLOOKUP(D1143,Products!$A$2:$F$68,4,FALSE)</f>
        <v>128</v>
      </c>
    </row>
    <row r="1144" spans="1:20" x14ac:dyDescent="0.35">
      <c r="A1144" s="13" t="s">
        <v>1630</v>
      </c>
      <c r="B1144" s="14">
        <v>45358</v>
      </c>
      <c r="C1144" s="13" t="s">
        <v>559</v>
      </c>
      <c r="D1144" s="13" t="s">
        <v>408</v>
      </c>
      <c r="E1144" s="13" t="s">
        <v>92</v>
      </c>
      <c r="F1144" s="15">
        <v>9</v>
      </c>
      <c r="G1144" s="15">
        <v>3970</v>
      </c>
      <c r="H1144" s="15">
        <v>0.8</v>
      </c>
      <c r="I1144" s="15">
        <v>35444.160000000003</v>
      </c>
      <c r="J1144" s="13" t="s">
        <v>87</v>
      </c>
      <c r="K1144" s="13" t="s">
        <v>88</v>
      </c>
      <c r="L1144" s="34" t="str">
        <f>VLOOKUP(D1144,Products!$A$2:$F$61,3,FALSE)</f>
        <v>Electronics</v>
      </c>
      <c r="M1144" s="34" t="str">
        <f>VLOOKUP(C1144,Customers!$A$2:$F$301,5,FALSE)</f>
        <v>Retail</v>
      </c>
      <c r="N1144" s="34">
        <f>VLOOKUP(C1144,Customers!$A$2:$F$301,3,FALSE)</f>
        <v>62</v>
      </c>
      <c r="O1144" s="34" t="str">
        <f>VLOOKUP(E1144,Sales_Reps!$A$2:$E$31,3,FALSE)</f>
        <v>North</v>
      </c>
      <c r="P1144" s="13" t="s">
        <v>92</v>
      </c>
      <c r="Q1144" s="34">
        <f t="shared" si="38"/>
        <v>782445.33</v>
      </c>
      <c r="R1144" s="34" t="str">
        <f>VLOOKUP(E1144,Sales_Reps!$A$2:$E$100,3,FALSE)</f>
        <v>North</v>
      </c>
      <c r="S1144" s="34" t="str">
        <f t="shared" si="39"/>
        <v>Electronics</v>
      </c>
      <c r="T1144" s="38">
        <f>VLOOKUP(D1144,Products!$A$2:$F$68,4,FALSE)</f>
        <v>2865</v>
      </c>
    </row>
    <row r="1145" spans="1:20" x14ac:dyDescent="0.35">
      <c r="A1145" s="13" t="s">
        <v>1631</v>
      </c>
      <c r="B1145" s="14">
        <v>45440</v>
      </c>
      <c r="C1145" s="13" t="s">
        <v>1121</v>
      </c>
      <c r="D1145" s="13" t="s">
        <v>173</v>
      </c>
      <c r="E1145" s="13" t="s">
        <v>252</v>
      </c>
      <c r="F1145" s="15">
        <v>4</v>
      </c>
      <c r="G1145" s="15">
        <v>2720</v>
      </c>
      <c r="H1145" s="15">
        <v>12.7</v>
      </c>
      <c r="I1145" s="15">
        <v>9498.24</v>
      </c>
      <c r="J1145" s="13" t="s">
        <v>87</v>
      </c>
      <c r="K1145" s="13" t="s">
        <v>112</v>
      </c>
      <c r="L1145" s="34" t="str">
        <f>VLOOKUP(D1145,Products!$A$2:$F$61,3,FALSE)</f>
        <v>Apparel</v>
      </c>
      <c r="M1145" s="34" t="str">
        <f>VLOOKUP(C1145,Customers!$A$2:$F$301,5,FALSE)</f>
        <v>Corporate</v>
      </c>
      <c r="N1145" s="34">
        <f>VLOOKUP(C1145,Customers!$A$2:$F$301,3,FALSE)</f>
        <v>46</v>
      </c>
      <c r="O1145" s="34" t="str">
        <f>VLOOKUP(E1145,Sales_Reps!$A$2:$E$31,3,FALSE)</f>
        <v>South</v>
      </c>
      <c r="P1145" s="13" t="s">
        <v>252</v>
      </c>
      <c r="Q1145" s="34">
        <f t="shared" si="38"/>
        <v>811524.37999999989</v>
      </c>
      <c r="R1145" s="34" t="str">
        <f>VLOOKUP(E1145,Sales_Reps!$A$2:$E$100,3,FALSE)</f>
        <v>South</v>
      </c>
      <c r="S1145" s="34" t="str">
        <f t="shared" si="39"/>
        <v>Apparel</v>
      </c>
      <c r="T1145" s="38">
        <f>VLOOKUP(D1145,Products!$A$2:$F$68,4,FALSE)</f>
        <v>1962</v>
      </c>
    </row>
    <row r="1146" spans="1:20" x14ac:dyDescent="0.35">
      <c r="A1146" s="13" t="s">
        <v>1632</v>
      </c>
      <c r="B1146" s="14">
        <v>45412</v>
      </c>
      <c r="C1146" s="13" t="s">
        <v>275</v>
      </c>
      <c r="D1146" s="13" t="s">
        <v>292</v>
      </c>
      <c r="E1146" s="13" t="s">
        <v>158</v>
      </c>
      <c r="F1146" s="15">
        <v>3</v>
      </c>
      <c r="G1146" s="15">
        <v>620</v>
      </c>
      <c r="H1146" s="15">
        <v>5.5</v>
      </c>
      <c r="I1146" s="15">
        <v>1757.7</v>
      </c>
      <c r="J1146" s="13" t="s">
        <v>87</v>
      </c>
      <c r="K1146" s="13" t="s">
        <v>88</v>
      </c>
      <c r="L1146" s="34" t="str">
        <f>VLOOKUP(D1146,Products!$A$2:$F$61,3,FALSE)</f>
        <v>Apparel</v>
      </c>
      <c r="M1146" s="34" t="str">
        <f>VLOOKUP(C1146,Customers!$A$2:$F$301,5,FALSE)</f>
        <v>Retail</v>
      </c>
      <c r="N1146" s="34">
        <f>VLOOKUP(C1146,Customers!$A$2:$F$301,3,FALSE)</f>
        <v>44</v>
      </c>
      <c r="O1146" s="34" t="str">
        <f>VLOOKUP(E1146,Sales_Reps!$A$2:$E$31,3,FALSE)</f>
        <v>East</v>
      </c>
      <c r="P1146" s="13" t="s">
        <v>158</v>
      </c>
      <c r="Q1146" s="34">
        <f t="shared" si="38"/>
        <v>761507.17000000027</v>
      </c>
      <c r="R1146" s="34" t="str">
        <f>VLOOKUP(E1146,Sales_Reps!$A$2:$E$100,3,FALSE)</f>
        <v>East</v>
      </c>
      <c r="S1146" s="34" t="str">
        <f t="shared" si="39"/>
        <v>Apparel</v>
      </c>
      <c r="T1146" s="38">
        <f>VLOOKUP(D1146,Products!$A$2:$F$68,4,FALSE)</f>
        <v>396</v>
      </c>
    </row>
    <row r="1147" spans="1:20" x14ac:dyDescent="0.35">
      <c r="A1147" s="13" t="s">
        <v>1633</v>
      </c>
      <c r="B1147" s="14">
        <v>45479</v>
      </c>
      <c r="C1147" s="13" t="s">
        <v>178</v>
      </c>
      <c r="D1147" s="13" t="s">
        <v>259</v>
      </c>
      <c r="E1147" s="13" t="s">
        <v>116</v>
      </c>
      <c r="F1147" s="15">
        <v>2</v>
      </c>
      <c r="G1147" s="15">
        <v>1540</v>
      </c>
      <c r="H1147" s="15">
        <v>2.2000000000000002</v>
      </c>
      <c r="I1147" s="15">
        <v>3012.24</v>
      </c>
      <c r="J1147" s="13" t="s">
        <v>93</v>
      </c>
      <c r="K1147" s="13" t="s">
        <v>94</v>
      </c>
      <c r="L1147" s="34" t="str">
        <f>VLOOKUP(D1147,Products!$A$2:$F$61,3,FALSE)</f>
        <v>Beauty</v>
      </c>
      <c r="M1147" s="34" t="str">
        <f>VLOOKUP(C1147,Customers!$A$2:$F$301,5,FALSE)</f>
        <v>Corporate</v>
      </c>
      <c r="N1147" s="34">
        <f>VLOOKUP(C1147,Customers!$A$2:$F$301,3,FALSE)</f>
        <v>55</v>
      </c>
      <c r="O1147" s="34" t="str">
        <f>VLOOKUP(E1147,Sales_Reps!$A$2:$E$31,3,FALSE)</f>
        <v>West</v>
      </c>
      <c r="P1147" s="13" t="s">
        <v>116</v>
      </c>
      <c r="Q1147" s="34">
        <f t="shared" si="38"/>
        <v>819558.58</v>
      </c>
      <c r="R1147" s="34" t="str">
        <f>VLOOKUP(E1147,Sales_Reps!$A$2:$E$100,3,FALSE)</f>
        <v>West</v>
      </c>
      <c r="S1147" s="34" t="str">
        <f t="shared" si="39"/>
        <v>Beauty</v>
      </c>
      <c r="T1147" s="38">
        <f>VLOOKUP(D1147,Products!$A$2:$F$68,4,FALSE)</f>
        <v>647</v>
      </c>
    </row>
    <row r="1148" spans="1:20" x14ac:dyDescent="0.35">
      <c r="A1148" s="13" t="s">
        <v>1634</v>
      </c>
      <c r="B1148" s="14">
        <v>45534</v>
      </c>
      <c r="C1148" s="13" t="s">
        <v>312</v>
      </c>
      <c r="D1148" s="13" t="s">
        <v>386</v>
      </c>
      <c r="E1148" s="13" t="s">
        <v>201</v>
      </c>
      <c r="F1148" s="15">
        <v>1</v>
      </c>
      <c r="G1148" s="15">
        <v>2290</v>
      </c>
      <c r="H1148" s="15">
        <v>24.4</v>
      </c>
      <c r="I1148" s="15">
        <v>1731.24</v>
      </c>
      <c r="J1148" s="13" t="s">
        <v>140</v>
      </c>
      <c r="K1148" s="13" t="s">
        <v>133</v>
      </c>
      <c r="L1148" s="34" t="str">
        <f>VLOOKUP(D1148,Products!$A$2:$F$61,3,FALSE)</f>
        <v>Beauty</v>
      </c>
      <c r="M1148" s="34" t="str">
        <f>VLOOKUP(C1148,Customers!$A$2:$F$301,5,FALSE)</f>
        <v>Retail</v>
      </c>
      <c r="N1148" s="34">
        <f>VLOOKUP(C1148,Customers!$A$2:$F$301,3,FALSE)</f>
        <v>46</v>
      </c>
      <c r="O1148" s="34" t="str">
        <f>VLOOKUP(E1148,Sales_Reps!$A$2:$E$31,3,FALSE)</f>
        <v>West</v>
      </c>
      <c r="P1148" s="13" t="s">
        <v>201</v>
      </c>
      <c r="Q1148" s="34">
        <f t="shared" si="38"/>
        <v>576305.08000000019</v>
      </c>
      <c r="R1148" s="34" t="str">
        <f>VLOOKUP(E1148,Sales_Reps!$A$2:$E$100,3,FALSE)</f>
        <v>West</v>
      </c>
      <c r="S1148" s="34" t="str">
        <f t="shared" si="39"/>
        <v>Beauty</v>
      </c>
      <c r="T1148" s="38">
        <f>VLOOKUP(D1148,Products!$A$2:$F$68,4,FALSE)</f>
        <v>1219</v>
      </c>
    </row>
    <row r="1149" spans="1:20" x14ac:dyDescent="0.35">
      <c r="A1149" s="13" t="s">
        <v>1635</v>
      </c>
      <c r="B1149" s="14">
        <v>45313</v>
      </c>
      <c r="C1149" s="13" t="s">
        <v>725</v>
      </c>
      <c r="D1149" s="13" t="s">
        <v>173</v>
      </c>
      <c r="E1149" s="13" t="s">
        <v>303</v>
      </c>
      <c r="F1149" s="15">
        <v>8</v>
      </c>
      <c r="G1149" s="15">
        <v>2720</v>
      </c>
      <c r="H1149" s="15">
        <v>1.7</v>
      </c>
      <c r="I1149" s="15">
        <v>21390.080000000002</v>
      </c>
      <c r="J1149" s="13" t="s">
        <v>87</v>
      </c>
      <c r="K1149" s="13" t="s">
        <v>99</v>
      </c>
      <c r="L1149" s="34" t="str">
        <f>VLOOKUP(D1149,Products!$A$2:$F$61,3,FALSE)</f>
        <v>Apparel</v>
      </c>
      <c r="M1149" s="34" t="str">
        <f>VLOOKUP(C1149,Customers!$A$2:$F$301,5,FALSE)</f>
        <v>SMB</v>
      </c>
      <c r="N1149" s="34">
        <f>VLOOKUP(C1149,Customers!$A$2:$F$301,3,FALSE)</f>
        <v>26</v>
      </c>
      <c r="O1149" s="34" t="str">
        <f>VLOOKUP(E1149,Sales_Reps!$A$2:$E$31,3,FALSE)</f>
        <v>East</v>
      </c>
      <c r="P1149" s="13" t="s">
        <v>303</v>
      </c>
      <c r="Q1149" s="34">
        <f t="shared" si="38"/>
        <v>1112289.6400000001</v>
      </c>
      <c r="R1149" s="34" t="str">
        <f>VLOOKUP(E1149,Sales_Reps!$A$2:$E$100,3,FALSE)</f>
        <v>East</v>
      </c>
      <c r="S1149" s="34" t="str">
        <f t="shared" si="39"/>
        <v>Apparel</v>
      </c>
      <c r="T1149" s="38">
        <f>VLOOKUP(D1149,Products!$A$2:$F$68,4,FALSE)</f>
        <v>1962</v>
      </c>
    </row>
    <row r="1150" spans="1:20" x14ac:dyDescent="0.35">
      <c r="A1150" s="13" t="s">
        <v>1636</v>
      </c>
      <c r="B1150" s="14">
        <v>45390</v>
      </c>
      <c r="C1150" s="13" t="s">
        <v>1534</v>
      </c>
      <c r="D1150" s="13" t="s">
        <v>351</v>
      </c>
      <c r="E1150" s="13" t="s">
        <v>154</v>
      </c>
      <c r="F1150" s="15">
        <v>4</v>
      </c>
      <c r="G1150" s="15">
        <v>4060</v>
      </c>
      <c r="H1150" s="15">
        <v>19.600000000000001</v>
      </c>
      <c r="I1150" s="15">
        <v>13056.96</v>
      </c>
      <c r="J1150" s="13" t="s">
        <v>140</v>
      </c>
      <c r="K1150" s="13" t="s">
        <v>133</v>
      </c>
      <c r="L1150" s="34" t="str">
        <f>VLOOKUP(D1150,Products!$A$2:$F$61,3,FALSE)</f>
        <v>Grocery</v>
      </c>
      <c r="M1150" s="34" t="str">
        <f>VLOOKUP(C1150,Customers!$A$2:$F$301,5,FALSE)</f>
        <v>Corporate</v>
      </c>
      <c r="N1150" s="34">
        <f>VLOOKUP(C1150,Customers!$A$2:$F$301,3,FALSE)</f>
        <v>25</v>
      </c>
      <c r="O1150" s="34" t="str">
        <f>VLOOKUP(E1150,Sales_Reps!$A$2:$E$31,3,FALSE)</f>
        <v>East</v>
      </c>
      <c r="P1150" s="13" t="s">
        <v>154</v>
      </c>
      <c r="Q1150" s="34">
        <f t="shared" si="38"/>
        <v>983787.4800000001</v>
      </c>
      <c r="R1150" s="34" t="str">
        <f>VLOOKUP(E1150,Sales_Reps!$A$2:$E$100,3,FALSE)</f>
        <v>East</v>
      </c>
      <c r="S1150" s="34" t="str">
        <f t="shared" si="39"/>
        <v>Grocery</v>
      </c>
      <c r="T1150" s="38">
        <f>VLOOKUP(D1150,Products!$A$2:$F$68,4,FALSE)</f>
        <v>2911</v>
      </c>
    </row>
    <row r="1151" spans="1:20" x14ac:dyDescent="0.35">
      <c r="A1151" s="13" t="s">
        <v>1637</v>
      </c>
      <c r="B1151" s="14">
        <v>45370</v>
      </c>
      <c r="C1151" s="13" t="s">
        <v>342</v>
      </c>
      <c r="D1151" s="13" t="s">
        <v>187</v>
      </c>
      <c r="E1151" s="13" t="s">
        <v>346</v>
      </c>
      <c r="F1151" s="15">
        <v>8</v>
      </c>
      <c r="G1151" s="15">
        <v>3570</v>
      </c>
      <c r="H1151" s="15">
        <v>10.8</v>
      </c>
      <c r="I1151" s="15">
        <v>25475.52</v>
      </c>
      <c r="J1151" s="13" t="s">
        <v>87</v>
      </c>
      <c r="K1151" s="13" t="s">
        <v>94</v>
      </c>
      <c r="L1151" s="34" t="str">
        <f>VLOOKUP(D1151,Products!$A$2:$F$61,3,FALSE)</f>
        <v>Electronics</v>
      </c>
      <c r="M1151" s="34" t="str">
        <f>VLOOKUP(C1151,Customers!$A$2:$F$301,5,FALSE)</f>
        <v>Retail</v>
      </c>
      <c r="N1151" s="34">
        <f>VLOOKUP(C1151,Customers!$A$2:$F$301,3,FALSE)</f>
        <v>26</v>
      </c>
      <c r="O1151" s="34" t="str">
        <f>VLOOKUP(E1151,Sales_Reps!$A$2:$E$31,3,FALSE)</f>
        <v>South</v>
      </c>
      <c r="P1151" s="13" t="s">
        <v>346</v>
      </c>
      <c r="Q1151" s="34">
        <f t="shared" si="38"/>
        <v>814563.7100000002</v>
      </c>
      <c r="R1151" s="34" t="str">
        <f>VLOOKUP(E1151,Sales_Reps!$A$2:$E$100,3,FALSE)</f>
        <v>South</v>
      </c>
      <c r="S1151" s="34" t="str">
        <f t="shared" si="39"/>
        <v>Electronics</v>
      </c>
      <c r="T1151" s="38">
        <f>VLOOKUP(D1151,Products!$A$2:$F$68,4,FALSE)</f>
        <v>1665</v>
      </c>
    </row>
    <row r="1152" spans="1:20" x14ac:dyDescent="0.35">
      <c r="A1152" s="13" t="s">
        <v>1638</v>
      </c>
      <c r="B1152" s="14">
        <v>45324</v>
      </c>
      <c r="C1152" s="13" t="s">
        <v>429</v>
      </c>
      <c r="D1152" s="13" t="s">
        <v>161</v>
      </c>
      <c r="E1152" s="13" t="s">
        <v>139</v>
      </c>
      <c r="F1152" s="15">
        <v>10</v>
      </c>
      <c r="G1152" s="15">
        <v>3450</v>
      </c>
      <c r="H1152" s="15">
        <v>13.5</v>
      </c>
      <c r="I1152" s="15">
        <v>29842.5</v>
      </c>
      <c r="J1152" s="13" t="s">
        <v>93</v>
      </c>
      <c r="K1152" s="13" t="s">
        <v>117</v>
      </c>
      <c r="L1152" s="34" t="str">
        <f>VLOOKUP(D1152,Products!$A$2:$F$61,3,FALSE)</f>
        <v>Sports</v>
      </c>
      <c r="M1152" s="34" t="str">
        <f>VLOOKUP(C1152,Customers!$A$2:$F$301,5,FALSE)</f>
        <v>Retail</v>
      </c>
      <c r="N1152" s="34">
        <f>VLOOKUP(C1152,Customers!$A$2:$F$301,3,FALSE)</f>
        <v>55</v>
      </c>
      <c r="O1152" s="34" t="str">
        <f>VLOOKUP(E1152,Sales_Reps!$A$2:$E$31,3,FALSE)</f>
        <v>North</v>
      </c>
      <c r="P1152" s="13" t="s">
        <v>139</v>
      </c>
      <c r="Q1152" s="34">
        <f t="shared" si="38"/>
        <v>589026.2899999998</v>
      </c>
      <c r="R1152" s="34" t="str">
        <f>VLOOKUP(E1152,Sales_Reps!$A$2:$E$100,3,FALSE)</f>
        <v>North</v>
      </c>
      <c r="S1152" s="34" t="str">
        <f t="shared" si="39"/>
        <v>Sports</v>
      </c>
      <c r="T1152" s="38">
        <f>VLOOKUP(D1152,Products!$A$2:$F$68,4,FALSE)</f>
        <v>2467</v>
      </c>
    </row>
    <row r="1153" spans="1:20" x14ac:dyDescent="0.35">
      <c r="A1153" s="13" t="s">
        <v>1639</v>
      </c>
      <c r="B1153" s="14">
        <v>45469</v>
      </c>
      <c r="C1153" s="13" t="s">
        <v>420</v>
      </c>
      <c r="D1153" s="13" t="s">
        <v>135</v>
      </c>
      <c r="E1153" s="13" t="s">
        <v>86</v>
      </c>
      <c r="F1153" s="15">
        <v>10</v>
      </c>
      <c r="G1153" s="15">
        <v>2640</v>
      </c>
      <c r="H1153" s="15">
        <v>29.8</v>
      </c>
      <c r="I1153" s="15">
        <v>18532.8</v>
      </c>
      <c r="J1153" s="13" t="s">
        <v>87</v>
      </c>
      <c r="K1153" s="13" t="s">
        <v>99</v>
      </c>
      <c r="L1153" s="34" t="str">
        <f>VLOOKUP(D1153,Products!$A$2:$F$61,3,FALSE)</f>
        <v>Electronics</v>
      </c>
      <c r="M1153" s="34" t="str">
        <f>VLOOKUP(C1153,Customers!$A$2:$F$301,5,FALSE)</f>
        <v>Retail</v>
      </c>
      <c r="N1153" s="34">
        <f>VLOOKUP(C1153,Customers!$A$2:$F$301,3,FALSE)</f>
        <v>44</v>
      </c>
      <c r="O1153" s="34" t="str">
        <f>VLOOKUP(E1153,Sales_Reps!$A$2:$E$31,3,FALSE)</f>
        <v>North</v>
      </c>
      <c r="P1153" s="13" t="s">
        <v>86</v>
      </c>
      <c r="Q1153" s="34">
        <f t="shared" si="38"/>
        <v>855749.67999999982</v>
      </c>
      <c r="R1153" s="34" t="str">
        <f>VLOOKUP(E1153,Sales_Reps!$A$2:$E$100,3,FALSE)</f>
        <v>North</v>
      </c>
      <c r="S1153" s="34" t="str">
        <f t="shared" si="39"/>
        <v>Electronics</v>
      </c>
      <c r="T1153" s="38">
        <f>VLOOKUP(D1153,Products!$A$2:$F$68,4,FALSE)</f>
        <v>1149</v>
      </c>
    </row>
    <row r="1154" spans="1:20" x14ac:dyDescent="0.35">
      <c r="A1154" s="13" t="s">
        <v>1640</v>
      </c>
      <c r="B1154" s="14">
        <v>45619</v>
      </c>
      <c r="C1154" s="13" t="s">
        <v>254</v>
      </c>
      <c r="D1154" s="13" t="s">
        <v>110</v>
      </c>
      <c r="E1154" s="13" t="s">
        <v>204</v>
      </c>
      <c r="F1154" s="15">
        <v>3</v>
      </c>
      <c r="G1154" s="15">
        <v>370</v>
      </c>
      <c r="H1154" s="15">
        <v>25.5</v>
      </c>
      <c r="I1154" s="15">
        <v>826.95</v>
      </c>
      <c r="J1154" s="13" t="s">
        <v>87</v>
      </c>
      <c r="K1154" s="13" t="s">
        <v>94</v>
      </c>
      <c r="L1154" s="34" t="str">
        <f>VLOOKUP(D1154,Products!$A$2:$F$61,3,FALSE)</f>
        <v>Home</v>
      </c>
      <c r="M1154" s="34" t="str">
        <f>VLOOKUP(C1154,Customers!$A$2:$F$301,5,FALSE)</f>
        <v>Retail</v>
      </c>
      <c r="N1154" s="34">
        <f>VLOOKUP(C1154,Customers!$A$2:$F$301,3,FALSE)</f>
        <v>24</v>
      </c>
      <c r="O1154" s="34" t="str">
        <f>VLOOKUP(E1154,Sales_Reps!$A$2:$E$31,3,FALSE)</f>
        <v>South</v>
      </c>
      <c r="P1154" s="13" t="s">
        <v>204</v>
      </c>
      <c r="Q1154" s="34">
        <f t="shared" si="38"/>
        <v>914554.71999999986</v>
      </c>
      <c r="R1154" s="34" t="str">
        <f>VLOOKUP(E1154,Sales_Reps!$A$2:$E$100,3,FALSE)</f>
        <v>South</v>
      </c>
      <c r="S1154" s="34" t="str">
        <f t="shared" si="39"/>
        <v>Home</v>
      </c>
      <c r="T1154" s="38">
        <f>VLOOKUP(D1154,Products!$A$2:$F$68,4,FALSE)</f>
        <v>288</v>
      </c>
    </row>
    <row r="1155" spans="1:20" x14ac:dyDescent="0.35">
      <c r="A1155" s="13" t="s">
        <v>1641</v>
      </c>
      <c r="B1155" s="14">
        <v>45627</v>
      </c>
      <c r="C1155" s="13" t="s">
        <v>504</v>
      </c>
      <c r="D1155" s="13" t="s">
        <v>267</v>
      </c>
      <c r="E1155" s="13" t="s">
        <v>170</v>
      </c>
      <c r="F1155" s="15">
        <v>3</v>
      </c>
      <c r="G1155" s="15">
        <v>1220</v>
      </c>
      <c r="H1155" s="15">
        <v>7.7</v>
      </c>
      <c r="I1155" s="15">
        <v>3378.18</v>
      </c>
      <c r="J1155" s="13" t="s">
        <v>93</v>
      </c>
      <c r="K1155" s="13" t="s">
        <v>117</v>
      </c>
      <c r="L1155" s="34" t="str">
        <f>VLOOKUP(D1155,Products!$A$2:$F$61,3,FALSE)</f>
        <v>Electronics</v>
      </c>
      <c r="M1155" s="34" t="str">
        <f>VLOOKUP(C1155,Customers!$A$2:$F$301,5,FALSE)</f>
        <v>Corporate</v>
      </c>
      <c r="N1155" s="34">
        <f>VLOOKUP(C1155,Customers!$A$2:$F$301,3,FALSE)</f>
        <v>36</v>
      </c>
      <c r="O1155" s="34" t="str">
        <f>VLOOKUP(E1155,Sales_Reps!$A$2:$E$31,3,FALSE)</f>
        <v>West</v>
      </c>
      <c r="P1155" s="13" t="s">
        <v>170</v>
      </c>
      <c r="Q1155" s="34">
        <f t="shared" ref="Q1155:Q1218" si="40">SUMIFS($I:$I,$E:$E,P1155)</f>
        <v>747624.36999999988</v>
      </c>
      <c r="R1155" s="34" t="str">
        <f>VLOOKUP(E1155,Sales_Reps!$A$2:$E$100,3,FALSE)</f>
        <v>West</v>
      </c>
      <c r="S1155" s="34" t="str">
        <f t="shared" ref="S1155:S1218" si="41">L1155</f>
        <v>Electronics</v>
      </c>
      <c r="T1155" s="38">
        <f>VLOOKUP(D1155,Products!$A$2:$F$68,4,FALSE)</f>
        <v>517</v>
      </c>
    </row>
    <row r="1156" spans="1:20" x14ac:dyDescent="0.35">
      <c r="A1156" s="13" t="s">
        <v>1642</v>
      </c>
      <c r="B1156" s="14">
        <v>45499</v>
      </c>
      <c r="C1156" s="13" t="s">
        <v>457</v>
      </c>
      <c r="D1156" s="13" t="s">
        <v>135</v>
      </c>
      <c r="E1156" s="13" t="s">
        <v>285</v>
      </c>
      <c r="F1156" s="15">
        <v>1</v>
      </c>
      <c r="G1156" s="15">
        <v>2640</v>
      </c>
      <c r="H1156" s="15">
        <v>23.6</v>
      </c>
      <c r="I1156" s="15">
        <v>2016.96</v>
      </c>
      <c r="J1156" s="13" t="s">
        <v>87</v>
      </c>
      <c r="K1156" s="13" t="s">
        <v>88</v>
      </c>
      <c r="L1156" s="34" t="str">
        <f>VLOOKUP(D1156,Products!$A$2:$F$61,3,FALSE)</f>
        <v>Electronics</v>
      </c>
      <c r="M1156" s="34" t="str">
        <f>VLOOKUP(C1156,Customers!$A$2:$F$301,5,FALSE)</f>
        <v>Retail</v>
      </c>
      <c r="N1156" s="34">
        <f>VLOOKUP(C1156,Customers!$A$2:$F$301,3,FALSE)</f>
        <v>29</v>
      </c>
      <c r="O1156" s="34" t="str">
        <f>VLOOKUP(E1156,Sales_Reps!$A$2:$E$31,3,FALSE)</f>
        <v>East</v>
      </c>
      <c r="P1156" s="13" t="s">
        <v>285</v>
      </c>
      <c r="Q1156" s="34">
        <f t="shared" si="40"/>
        <v>1069570.5400000003</v>
      </c>
      <c r="R1156" s="34" t="str">
        <f>VLOOKUP(E1156,Sales_Reps!$A$2:$E$100,3,FALSE)</f>
        <v>East</v>
      </c>
      <c r="S1156" s="34" t="str">
        <f t="shared" si="41"/>
        <v>Electronics</v>
      </c>
      <c r="T1156" s="38">
        <f>VLOOKUP(D1156,Products!$A$2:$F$68,4,FALSE)</f>
        <v>1149</v>
      </c>
    </row>
    <row r="1157" spans="1:20" x14ac:dyDescent="0.35">
      <c r="A1157" s="13" t="s">
        <v>1643</v>
      </c>
      <c r="B1157" s="14">
        <v>45563</v>
      </c>
      <c r="C1157" s="13" t="s">
        <v>109</v>
      </c>
      <c r="D1157" s="13" t="s">
        <v>191</v>
      </c>
      <c r="E1157" s="13" t="s">
        <v>273</v>
      </c>
      <c r="F1157" s="15">
        <v>9</v>
      </c>
      <c r="G1157" s="15">
        <v>5100</v>
      </c>
      <c r="H1157" s="15">
        <v>9.5</v>
      </c>
      <c r="I1157" s="15">
        <v>41539.5</v>
      </c>
      <c r="J1157" s="13" t="s">
        <v>87</v>
      </c>
      <c r="K1157" s="13" t="s">
        <v>112</v>
      </c>
      <c r="L1157" s="34" t="str">
        <f>VLOOKUP(D1157,Products!$A$2:$F$61,3,FALSE)</f>
        <v>Beauty</v>
      </c>
      <c r="M1157" s="34" t="str">
        <f>VLOOKUP(C1157,Customers!$A$2:$F$301,5,FALSE)</f>
        <v>Retail</v>
      </c>
      <c r="N1157" s="34">
        <f>VLOOKUP(C1157,Customers!$A$2:$F$301,3,FALSE)</f>
        <v>36</v>
      </c>
      <c r="O1157" s="34" t="str">
        <f>VLOOKUP(E1157,Sales_Reps!$A$2:$E$31,3,FALSE)</f>
        <v>South</v>
      </c>
      <c r="P1157" s="13" t="s">
        <v>273</v>
      </c>
      <c r="Q1157" s="34">
        <f t="shared" si="40"/>
        <v>735207.75999999989</v>
      </c>
      <c r="R1157" s="34" t="str">
        <f>VLOOKUP(E1157,Sales_Reps!$A$2:$E$100,3,FALSE)</f>
        <v>South</v>
      </c>
      <c r="S1157" s="34" t="str">
        <f t="shared" si="41"/>
        <v>Beauty</v>
      </c>
      <c r="T1157" s="38">
        <f>VLOOKUP(D1157,Products!$A$2:$F$68,4,FALSE)</f>
        <v>2237</v>
      </c>
    </row>
    <row r="1158" spans="1:20" x14ac:dyDescent="0.35">
      <c r="A1158" s="13" t="s">
        <v>1644</v>
      </c>
      <c r="B1158" s="14">
        <v>45435</v>
      </c>
      <c r="C1158" s="13" t="s">
        <v>764</v>
      </c>
      <c r="D1158" s="13" t="s">
        <v>241</v>
      </c>
      <c r="E1158" s="13" t="s">
        <v>107</v>
      </c>
      <c r="F1158" s="15">
        <v>7</v>
      </c>
      <c r="G1158" s="15">
        <v>6080</v>
      </c>
      <c r="H1158" s="15">
        <v>17.5</v>
      </c>
      <c r="I1158" s="15">
        <v>35112</v>
      </c>
      <c r="J1158" s="13" t="s">
        <v>87</v>
      </c>
      <c r="K1158" s="13" t="s">
        <v>94</v>
      </c>
      <c r="L1158" s="34" t="str">
        <f>VLOOKUP(D1158,Products!$A$2:$F$61,3,FALSE)</f>
        <v>Beauty</v>
      </c>
      <c r="M1158" s="34" t="str">
        <f>VLOOKUP(C1158,Customers!$A$2:$F$301,5,FALSE)</f>
        <v>SMB</v>
      </c>
      <c r="N1158" s="34">
        <f>VLOOKUP(C1158,Customers!$A$2:$F$301,3,FALSE)</f>
        <v>26</v>
      </c>
      <c r="O1158" s="34" t="str">
        <f>VLOOKUP(E1158,Sales_Reps!$A$2:$E$31,3,FALSE)</f>
        <v>North</v>
      </c>
      <c r="P1158" s="13" t="s">
        <v>107</v>
      </c>
      <c r="Q1158" s="34">
        <f t="shared" si="40"/>
        <v>861553.33</v>
      </c>
      <c r="R1158" s="34" t="str">
        <f>VLOOKUP(E1158,Sales_Reps!$A$2:$E$100,3,FALSE)</f>
        <v>North</v>
      </c>
      <c r="S1158" s="34" t="str">
        <f t="shared" si="41"/>
        <v>Beauty</v>
      </c>
      <c r="T1158" s="38">
        <f>VLOOKUP(D1158,Products!$A$2:$F$68,4,FALSE)</f>
        <v>2617</v>
      </c>
    </row>
    <row r="1159" spans="1:20" x14ac:dyDescent="0.35">
      <c r="A1159" s="13" t="s">
        <v>1645</v>
      </c>
      <c r="B1159" s="14">
        <v>45602</v>
      </c>
      <c r="C1159" s="13" t="s">
        <v>487</v>
      </c>
      <c r="D1159" s="13" t="s">
        <v>282</v>
      </c>
      <c r="E1159" s="13" t="s">
        <v>201</v>
      </c>
      <c r="F1159" s="15">
        <v>1</v>
      </c>
      <c r="G1159" s="15">
        <v>300</v>
      </c>
      <c r="H1159" s="15">
        <v>26.9</v>
      </c>
      <c r="I1159" s="15">
        <v>219.3</v>
      </c>
      <c r="J1159" s="13" t="s">
        <v>87</v>
      </c>
      <c r="K1159" s="13" t="s">
        <v>88</v>
      </c>
      <c r="L1159" s="34" t="str">
        <f>VLOOKUP(D1159,Products!$A$2:$F$61,3,FALSE)</f>
        <v>Electronics</v>
      </c>
      <c r="M1159" s="34" t="str">
        <f>VLOOKUP(C1159,Customers!$A$2:$F$301,5,FALSE)</f>
        <v>Corporate</v>
      </c>
      <c r="N1159" s="34">
        <f>VLOOKUP(C1159,Customers!$A$2:$F$301,3,FALSE)</f>
        <v>29</v>
      </c>
      <c r="O1159" s="34" t="str">
        <f>VLOOKUP(E1159,Sales_Reps!$A$2:$E$31,3,FALSE)</f>
        <v>West</v>
      </c>
      <c r="P1159" s="13" t="s">
        <v>201</v>
      </c>
      <c r="Q1159" s="34">
        <f t="shared" si="40"/>
        <v>576305.08000000019</v>
      </c>
      <c r="R1159" s="34" t="str">
        <f>VLOOKUP(E1159,Sales_Reps!$A$2:$E$100,3,FALSE)</f>
        <v>West</v>
      </c>
      <c r="S1159" s="34" t="str">
        <f t="shared" si="41"/>
        <v>Electronics</v>
      </c>
      <c r="T1159" s="38">
        <f>VLOOKUP(D1159,Products!$A$2:$F$68,4,FALSE)</f>
        <v>128</v>
      </c>
    </row>
    <row r="1160" spans="1:20" x14ac:dyDescent="0.35">
      <c r="A1160" s="13" t="s">
        <v>1646</v>
      </c>
      <c r="B1160" s="14">
        <v>45650</v>
      </c>
      <c r="C1160" s="13" t="s">
        <v>388</v>
      </c>
      <c r="D1160" s="13" t="s">
        <v>276</v>
      </c>
      <c r="E1160" s="13" t="s">
        <v>192</v>
      </c>
      <c r="F1160" s="15">
        <v>6</v>
      </c>
      <c r="G1160" s="15">
        <v>3020</v>
      </c>
      <c r="H1160" s="15">
        <v>28.5</v>
      </c>
      <c r="I1160" s="15">
        <v>12955.8</v>
      </c>
      <c r="J1160" s="13" t="s">
        <v>87</v>
      </c>
      <c r="K1160" s="13" t="s">
        <v>133</v>
      </c>
      <c r="L1160" s="34" t="str">
        <f>VLOOKUP(D1160,Products!$A$2:$F$61,3,FALSE)</f>
        <v>Beauty</v>
      </c>
      <c r="M1160" s="34" t="str">
        <f>VLOOKUP(C1160,Customers!$A$2:$F$301,5,FALSE)</f>
        <v>Retail</v>
      </c>
      <c r="N1160" s="34">
        <f>VLOOKUP(C1160,Customers!$A$2:$F$301,3,FALSE)</f>
        <v>44</v>
      </c>
      <c r="O1160" s="34" t="str">
        <f>VLOOKUP(E1160,Sales_Reps!$A$2:$E$31,3,FALSE)</f>
        <v>East</v>
      </c>
      <c r="P1160" s="13" t="s">
        <v>192</v>
      </c>
      <c r="Q1160" s="34">
        <f t="shared" si="40"/>
        <v>906107.71000000008</v>
      </c>
      <c r="R1160" s="34" t="str">
        <f>VLOOKUP(E1160,Sales_Reps!$A$2:$E$100,3,FALSE)</f>
        <v>East</v>
      </c>
      <c r="S1160" s="34" t="str">
        <f t="shared" si="41"/>
        <v>Beauty</v>
      </c>
      <c r="T1160" s="38">
        <f>VLOOKUP(D1160,Products!$A$2:$F$68,4,FALSE)</f>
        <v>1626</v>
      </c>
    </row>
    <row r="1161" spans="1:20" x14ac:dyDescent="0.35">
      <c r="A1161" s="13" t="s">
        <v>1647</v>
      </c>
      <c r="B1161" s="14">
        <v>45294</v>
      </c>
      <c r="C1161" s="13" t="s">
        <v>219</v>
      </c>
      <c r="D1161" s="13" t="s">
        <v>282</v>
      </c>
      <c r="E1161" s="13" t="s">
        <v>303</v>
      </c>
      <c r="F1161" s="15">
        <v>8</v>
      </c>
      <c r="G1161" s="15">
        <v>300</v>
      </c>
      <c r="H1161" s="15">
        <v>1.2</v>
      </c>
      <c r="I1161" s="15">
        <v>2371.1999999999998</v>
      </c>
      <c r="J1161" s="13" t="s">
        <v>87</v>
      </c>
      <c r="K1161" s="13" t="s">
        <v>99</v>
      </c>
      <c r="L1161" s="34" t="str">
        <f>VLOOKUP(D1161,Products!$A$2:$F$61,3,FALSE)</f>
        <v>Electronics</v>
      </c>
      <c r="M1161" s="34" t="str">
        <f>VLOOKUP(C1161,Customers!$A$2:$F$301,5,FALSE)</f>
        <v>SMB</v>
      </c>
      <c r="N1161" s="34">
        <f>VLOOKUP(C1161,Customers!$A$2:$F$301,3,FALSE)</f>
        <v>50</v>
      </c>
      <c r="O1161" s="34" t="str">
        <f>VLOOKUP(E1161,Sales_Reps!$A$2:$E$31,3,FALSE)</f>
        <v>East</v>
      </c>
      <c r="P1161" s="13" t="s">
        <v>303</v>
      </c>
      <c r="Q1161" s="34">
        <f t="shared" si="40"/>
        <v>1112289.6400000001</v>
      </c>
      <c r="R1161" s="34" t="str">
        <f>VLOOKUP(E1161,Sales_Reps!$A$2:$E$100,3,FALSE)</f>
        <v>East</v>
      </c>
      <c r="S1161" s="34" t="str">
        <f t="shared" si="41"/>
        <v>Electronics</v>
      </c>
      <c r="T1161" s="38">
        <f>VLOOKUP(D1161,Products!$A$2:$F$68,4,FALSE)</f>
        <v>128</v>
      </c>
    </row>
    <row r="1162" spans="1:20" x14ac:dyDescent="0.35">
      <c r="A1162" s="13" t="s">
        <v>1648</v>
      </c>
      <c r="B1162" s="14">
        <v>45523</v>
      </c>
      <c r="C1162" s="13" t="s">
        <v>837</v>
      </c>
      <c r="D1162" s="13" t="s">
        <v>179</v>
      </c>
      <c r="E1162" s="13" t="s">
        <v>273</v>
      </c>
      <c r="F1162" s="15">
        <v>9</v>
      </c>
      <c r="G1162" s="15">
        <v>3350</v>
      </c>
      <c r="H1162" s="15">
        <v>0.6</v>
      </c>
      <c r="I1162" s="15">
        <v>29969.1</v>
      </c>
      <c r="J1162" s="13" t="s">
        <v>144</v>
      </c>
      <c r="K1162" s="13" t="s">
        <v>117</v>
      </c>
      <c r="L1162" s="34" t="str">
        <f>VLOOKUP(D1162,Products!$A$2:$F$61,3,FALSE)</f>
        <v>Beauty</v>
      </c>
      <c r="M1162" s="34" t="str">
        <f>VLOOKUP(C1162,Customers!$A$2:$F$301,5,FALSE)</f>
        <v>Retail</v>
      </c>
      <c r="N1162" s="34">
        <f>VLOOKUP(C1162,Customers!$A$2:$F$301,3,FALSE)</f>
        <v>37</v>
      </c>
      <c r="O1162" s="34" t="str">
        <f>VLOOKUP(E1162,Sales_Reps!$A$2:$E$31,3,FALSE)</f>
        <v>South</v>
      </c>
      <c r="P1162" s="13" t="s">
        <v>273</v>
      </c>
      <c r="Q1162" s="34">
        <f t="shared" si="40"/>
        <v>735207.75999999989</v>
      </c>
      <c r="R1162" s="34" t="str">
        <f>VLOOKUP(E1162,Sales_Reps!$A$2:$E$100,3,FALSE)</f>
        <v>South</v>
      </c>
      <c r="S1162" s="34" t="str">
        <f t="shared" si="41"/>
        <v>Beauty</v>
      </c>
      <c r="T1162" s="38">
        <f>VLOOKUP(D1162,Products!$A$2:$F$68,4,FALSE)</f>
        <v>1728</v>
      </c>
    </row>
    <row r="1163" spans="1:20" x14ac:dyDescent="0.35">
      <c r="A1163" s="13" t="s">
        <v>1649</v>
      </c>
      <c r="B1163" s="14">
        <v>45479</v>
      </c>
      <c r="C1163" s="13" t="s">
        <v>1003</v>
      </c>
      <c r="D1163" s="13" t="s">
        <v>264</v>
      </c>
      <c r="E1163" s="13" t="s">
        <v>116</v>
      </c>
      <c r="F1163" s="15">
        <v>4</v>
      </c>
      <c r="G1163" s="15">
        <v>4070</v>
      </c>
      <c r="H1163" s="15">
        <v>10.1</v>
      </c>
      <c r="I1163" s="15">
        <v>14635.72</v>
      </c>
      <c r="J1163" s="13" t="s">
        <v>87</v>
      </c>
      <c r="K1163" s="13" t="s">
        <v>99</v>
      </c>
      <c r="L1163" s="34" t="str">
        <f>VLOOKUP(D1163,Products!$A$2:$F$61,3,FALSE)</f>
        <v>Grocery</v>
      </c>
      <c r="M1163" s="34" t="str">
        <f>VLOOKUP(C1163,Customers!$A$2:$F$301,5,FALSE)</f>
        <v>SMB</v>
      </c>
      <c r="N1163" s="34">
        <f>VLOOKUP(C1163,Customers!$A$2:$F$301,3,FALSE)</f>
        <v>45</v>
      </c>
      <c r="O1163" s="34" t="str">
        <f>VLOOKUP(E1163,Sales_Reps!$A$2:$E$31,3,FALSE)</f>
        <v>West</v>
      </c>
      <c r="P1163" s="13" t="s">
        <v>116</v>
      </c>
      <c r="Q1163" s="34">
        <f t="shared" si="40"/>
        <v>819558.58</v>
      </c>
      <c r="R1163" s="34" t="str">
        <f>VLOOKUP(E1163,Sales_Reps!$A$2:$E$100,3,FALSE)</f>
        <v>West</v>
      </c>
      <c r="S1163" s="34" t="str">
        <f t="shared" si="41"/>
        <v>Grocery</v>
      </c>
      <c r="T1163" s="38">
        <f>VLOOKUP(D1163,Products!$A$2:$F$68,4,FALSE)</f>
        <v>2027</v>
      </c>
    </row>
    <row r="1164" spans="1:20" x14ac:dyDescent="0.35">
      <c r="A1164" s="13" t="s">
        <v>1650</v>
      </c>
      <c r="B1164" s="14">
        <v>45614</v>
      </c>
      <c r="C1164" s="13" t="s">
        <v>1308</v>
      </c>
      <c r="D1164" s="13" t="s">
        <v>461</v>
      </c>
      <c r="E1164" s="13" t="s">
        <v>116</v>
      </c>
      <c r="F1164" s="15">
        <v>9</v>
      </c>
      <c r="G1164" s="15">
        <v>3780</v>
      </c>
      <c r="H1164" s="15">
        <v>27.8</v>
      </c>
      <c r="I1164" s="15">
        <v>24562.44</v>
      </c>
      <c r="J1164" s="13" t="s">
        <v>140</v>
      </c>
      <c r="K1164" s="13" t="s">
        <v>94</v>
      </c>
      <c r="L1164" s="34" t="str">
        <f>VLOOKUP(D1164,Products!$A$2:$F$61,3,FALSE)</f>
        <v>Sports</v>
      </c>
      <c r="M1164" s="34" t="str">
        <f>VLOOKUP(C1164,Customers!$A$2:$F$301,5,FALSE)</f>
        <v>SMB</v>
      </c>
      <c r="N1164" s="34">
        <f>VLOOKUP(C1164,Customers!$A$2:$F$301,3,FALSE)</f>
        <v>51</v>
      </c>
      <c r="O1164" s="34" t="str">
        <f>VLOOKUP(E1164,Sales_Reps!$A$2:$E$31,3,FALSE)</f>
        <v>West</v>
      </c>
      <c r="P1164" s="13" t="s">
        <v>116</v>
      </c>
      <c r="Q1164" s="34">
        <f t="shared" si="40"/>
        <v>819558.58</v>
      </c>
      <c r="R1164" s="34" t="str">
        <f>VLOOKUP(E1164,Sales_Reps!$A$2:$E$100,3,FALSE)</f>
        <v>West</v>
      </c>
      <c r="S1164" s="34" t="str">
        <f t="shared" si="41"/>
        <v>Sports</v>
      </c>
      <c r="T1164" s="38">
        <f>VLOOKUP(D1164,Products!$A$2:$F$68,4,FALSE)</f>
        <v>1860</v>
      </c>
    </row>
    <row r="1165" spans="1:20" x14ac:dyDescent="0.35">
      <c r="A1165" s="13" t="s">
        <v>1651</v>
      </c>
      <c r="B1165" s="14">
        <v>45407</v>
      </c>
      <c r="C1165" s="13" t="s">
        <v>194</v>
      </c>
      <c r="D1165" s="13" t="s">
        <v>164</v>
      </c>
      <c r="E1165" s="13" t="s">
        <v>170</v>
      </c>
      <c r="F1165" s="15">
        <v>6</v>
      </c>
      <c r="G1165" s="15">
        <v>1080</v>
      </c>
      <c r="H1165" s="15">
        <v>17.5</v>
      </c>
      <c r="I1165" s="15">
        <v>5346</v>
      </c>
      <c r="J1165" s="13" t="s">
        <v>87</v>
      </c>
      <c r="K1165" s="13" t="s">
        <v>88</v>
      </c>
      <c r="L1165" s="34" t="str">
        <f>VLOOKUP(D1165,Products!$A$2:$F$61,3,FALSE)</f>
        <v>Home</v>
      </c>
      <c r="M1165" s="34" t="str">
        <f>VLOOKUP(C1165,Customers!$A$2:$F$301,5,FALSE)</f>
        <v>SMB</v>
      </c>
      <c r="N1165" s="34">
        <f>VLOOKUP(C1165,Customers!$A$2:$F$301,3,FALSE)</f>
        <v>44</v>
      </c>
      <c r="O1165" s="34" t="str">
        <f>VLOOKUP(E1165,Sales_Reps!$A$2:$E$31,3,FALSE)</f>
        <v>West</v>
      </c>
      <c r="P1165" s="13" t="s">
        <v>170</v>
      </c>
      <c r="Q1165" s="34">
        <f t="shared" si="40"/>
        <v>747624.36999999988</v>
      </c>
      <c r="R1165" s="34" t="str">
        <f>VLOOKUP(E1165,Sales_Reps!$A$2:$E$100,3,FALSE)</f>
        <v>West</v>
      </c>
      <c r="S1165" s="34" t="str">
        <f t="shared" si="41"/>
        <v>Home</v>
      </c>
      <c r="T1165" s="38">
        <f>VLOOKUP(D1165,Products!$A$2:$F$68,4,FALSE)</f>
        <v>519</v>
      </c>
    </row>
    <row r="1166" spans="1:20" x14ac:dyDescent="0.35">
      <c r="A1166" s="13" t="s">
        <v>1652</v>
      </c>
      <c r="B1166" s="14">
        <v>45603</v>
      </c>
      <c r="C1166" s="13" t="s">
        <v>429</v>
      </c>
      <c r="D1166" s="13" t="s">
        <v>138</v>
      </c>
      <c r="E1166" s="13" t="s">
        <v>154</v>
      </c>
      <c r="F1166" s="15">
        <v>3</v>
      </c>
      <c r="G1166" s="15">
        <v>2600</v>
      </c>
      <c r="H1166" s="15">
        <v>1.9</v>
      </c>
      <c r="I1166" s="15">
        <v>7651.8</v>
      </c>
      <c r="J1166" s="13" t="s">
        <v>87</v>
      </c>
      <c r="K1166" s="13" t="s">
        <v>117</v>
      </c>
      <c r="L1166" s="34" t="str">
        <f>VLOOKUP(D1166,Products!$A$2:$F$61,3,FALSE)</f>
        <v>Electronics</v>
      </c>
      <c r="M1166" s="34" t="str">
        <f>VLOOKUP(C1166,Customers!$A$2:$F$301,5,FALSE)</f>
        <v>Retail</v>
      </c>
      <c r="N1166" s="34">
        <f>VLOOKUP(C1166,Customers!$A$2:$F$301,3,FALSE)</f>
        <v>55</v>
      </c>
      <c r="O1166" s="34" t="str">
        <f>VLOOKUP(E1166,Sales_Reps!$A$2:$E$31,3,FALSE)</f>
        <v>East</v>
      </c>
      <c r="P1166" s="13" t="s">
        <v>154</v>
      </c>
      <c r="Q1166" s="34">
        <f t="shared" si="40"/>
        <v>983787.4800000001</v>
      </c>
      <c r="R1166" s="34" t="str">
        <f>VLOOKUP(E1166,Sales_Reps!$A$2:$E$100,3,FALSE)</f>
        <v>East</v>
      </c>
      <c r="S1166" s="34" t="str">
        <f t="shared" si="41"/>
        <v>Electronics</v>
      </c>
      <c r="T1166" s="38">
        <f>VLOOKUP(D1166,Products!$A$2:$F$68,4,FALSE)</f>
        <v>1052</v>
      </c>
    </row>
    <row r="1167" spans="1:20" x14ac:dyDescent="0.35">
      <c r="A1167" s="13" t="s">
        <v>1653</v>
      </c>
      <c r="B1167" s="14">
        <v>45375</v>
      </c>
      <c r="C1167" s="13" t="s">
        <v>797</v>
      </c>
      <c r="D1167" s="13" t="s">
        <v>173</v>
      </c>
      <c r="E1167" s="13" t="s">
        <v>107</v>
      </c>
      <c r="F1167" s="15">
        <v>5</v>
      </c>
      <c r="G1167" s="15">
        <v>2720</v>
      </c>
      <c r="H1167" s="15">
        <v>1.8</v>
      </c>
      <c r="I1167" s="15">
        <v>13355.2</v>
      </c>
      <c r="J1167" s="13" t="s">
        <v>140</v>
      </c>
      <c r="K1167" s="13" t="s">
        <v>99</v>
      </c>
      <c r="L1167" s="34" t="str">
        <f>VLOOKUP(D1167,Products!$A$2:$F$61,3,FALSE)</f>
        <v>Apparel</v>
      </c>
      <c r="M1167" s="34" t="str">
        <f>VLOOKUP(C1167,Customers!$A$2:$F$301,5,FALSE)</f>
        <v>Retail</v>
      </c>
      <c r="N1167" s="34">
        <f>VLOOKUP(C1167,Customers!$A$2:$F$301,3,FALSE)</f>
        <v>63</v>
      </c>
      <c r="O1167" s="34" t="str">
        <f>VLOOKUP(E1167,Sales_Reps!$A$2:$E$31,3,FALSE)</f>
        <v>North</v>
      </c>
      <c r="P1167" s="13" t="s">
        <v>107</v>
      </c>
      <c r="Q1167" s="34">
        <f t="shared" si="40"/>
        <v>861553.33</v>
      </c>
      <c r="R1167" s="34" t="str">
        <f>VLOOKUP(E1167,Sales_Reps!$A$2:$E$100,3,FALSE)</f>
        <v>North</v>
      </c>
      <c r="S1167" s="34" t="str">
        <f t="shared" si="41"/>
        <v>Apparel</v>
      </c>
      <c r="T1167" s="38">
        <f>VLOOKUP(D1167,Products!$A$2:$F$68,4,FALSE)</f>
        <v>1962</v>
      </c>
    </row>
    <row r="1168" spans="1:20" x14ac:dyDescent="0.35">
      <c r="A1168" s="13" t="s">
        <v>1654</v>
      </c>
      <c r="B1168" s="14">
        <v>45485</v>
      </c>
      <c r="C1168" s="13" t="s">
        <v>378</v>
      </c>
      <c r="D1168" s="13" t="s">
        <v>102</v>
      </c>
      <c r="E1168" s="13" t="s">
        <v>325</v>
      </c>
      <c r="F1168" s="15">
        <v>8</v>
      </c>
      <c r="G1168" s="15">
        <v>3660</v>
      </c>
      <c r="H1168" s="15">
        <v>29.5</v>
      </c>
      <c r="I1168" s="15">
        <v>20642.400000000001</v>
      </c>
      <c r="J1168" s="13" t="s">
        <v>87</v>
      </c>
      <c r="K1168" s="13" t="s">
        <v>94</v>
      </c>
      <c r="L1168" s="34" t="str">
        <f>VLOOKUP(D1168,Products!$A$2:$F$61,3,FALSE)</f>
        <v>Grocery</v>
      </c>
      <c r="M1168" s="34" t="str">
        <f>VLOOKUP(C1168,Customers!$A$2:$F$301,5,FALSE)</f>
        <v>SMB</v>
      </c>
      <c r="N1168" s="34">
        <f>VLOOKUP(C1168,Customers!$A$2:$F$301,3,FALSE)</f>
        <v>53</v>
      </c>
      <c r="O1168" s="34" t="str">
        <f>VLOOKUP(E1168,Sales_Reps!$A$2:$E$31,3,FALSE)</f>
        <v>South</v>
      </c>
      <c r="P1168" s="13" t="s">
        <v>325</v>
      </c>
      <c r="Q1168" s="34">
        <f t="shared" si="40"/>
        <v>901394.32000000007</v>
      </c>
      <c r="R1168" s="34" t="str">
        <f>VLOOKUP(E1168,Sales_Reps!$A$2:$E$100,3,FALSE)</f>
        <v>South</v>
      </c>
      <c r="S1168" s="34" t="str">
        <f t="shared" si="41"/>
        <v>Grocery</v>
      </c>
      <c r="T1168" s="38">
        <f>VLOOKUP(D1168,Products!$A$2:$F$68,4,FALSE)</f>
        <v>2214</v>
      </c>
    </row>
    <row r="1169" spans="1:20" x14ac:dyDescent="0.35">
      <c r="A1169" s="13" t="s">
        <v>1655</v>
      </c>
      <c r="B1169" s="14">
        <v>45567</v>
      </c>
      <c r="C1169" s="13" t="s">
        <v>385</v>
      </c>
      <c r="D1169" s="13" t="s">
        <v>176</v>
      </c>
      <c r="E1169" s="13" t="s">
        <v>92</v>
      </c>
      <c r="F1169" s="15">
        <v>9</v>
      </c>
      <c r="G1169" s="15">
        <v>1650</v>
      </c>
      <c r="H1169" s="15">
        <v>19.8</v>
      </c>
      <c r="I1169" s="15">
        <v>11909.7</v>
      </c>
      <c r="J1169" s="13" t="s">
        <v>144</v>
      </c>
      <c r="K1169" s="13" t="s">
        <v>117</v>
      </c>
      <c r="L1169" s="34" t="str">
        <f>VLOOKUP(D1169,Products!$A$2:$F$61,3,FALSE)</f>
        <v>Beauty</v>
      </c>
      <c r="M1169" s="34" t="str">
        <f>VLOOKUP(C1169,Customers!$A$2:$F$301,5,FALSE)</f>
        <v>Retail</v>
      </c>
      <c r="N1169" s="34">
        <f>VLOOKUP(C1169,Customers!$A$2:$F$301,3,FALSE)</f>
        <v>23</v>
      </c>
      <c r="O1169" s="34" t="str">
        <f>VLOOKUP(E1169,Sales_Reps!$A$2:$E$31,3,FALSE)</f>
        <v>North</v>
      </c>
      <c r="P1169" s="13" t="s">
        <v>92</v>
      </c>
      <c r="Q1169" s="34">
        <f t="shared" si="40"/>
        <v>782445.33</v>
      </c>
      <c r="R1169" s="34" t="str">
        <f>VLOOKUP(E1169,Sales_Reps!$A$2:$E$100,3,FALSE)</f>
        <v>North</v>
      </c>
      <c r="S1169" s="34" t="str">
        <f t="shared" si="41"/>
        <v>Beauty</v>
      </c>
      <c r="T1169" s="38">
        <f>VLOOKUP(D1169,Products!$A$2:$F$68,4,FALSE)</f>
        <v>1222</v>
      </c>
    </row>
    <row r="1170" spans="1:20" x14ac:dyDescent="0.35">
      <c r="A1170" s="13" t="s">
        <v>1656</v>
      </c>
      <c r="B1170" s="14">
        <v>45502</v>
      </c>
      <c r="C1170" s="13" t="s">
        <v>333</v>
      </c>
      <c r="D1170" s="13" t="s">
        <v>195</v>
      </c>
      <c r="E1170" s="13" t="s">
        <v>121</v>
      </c>
      <c r="F1170" s="15">
        <v>3</v>
      </c>
      <c r="G1170" s="15">
        <v>2860</v>
      </c>
      <c r="H1170" s="15">
        <v>22.7</v>
      </c>
      <c r="I1170" s="15">
        <v>6632.34</v>
      </c>
      <c r="J1170" s="13" t="s">
        <v>87</v>
      </c>
      <c r="K1170" s="13" t="s">
        <v>133</v>
      </c>
      <c r="L1170" s="34" t="str">
        <f>VLOOKUP(D1170,Products!$A$2:$F$61,3,FALSE)</f>
        <v>Sports</v>
      </c>
      <c r="M1170" s="34" t="str">
        <f>VLOOKUP(C1170,Customers!$A$2:$F$301,5,FALSE)</f>
        <v>SMB</v>
      </c>
      <c r="N1170" s="34">
        <f>VLOOKUP(C1170,Customers!$A$2:$F$301,3,FALSE)</f>
        <v>65</v>
      </c>
      <c r="O1170" s="34" t="str">
        <f>VLOOKUP(E1170,Sales_Reps!$A$2:$E$31,3,FALSE)</f>
        <v>East</v>
      </c>
      <c r="P1170" s="13" t="s">
        <v>121</v>
      </c>
      <c r="Q1170" s="34">
        <f t="shared" si="40"/>
        <v>971183.52000000014</v>
      </c>
      <c r="R1170" s="34" t="str">
        <f>VLOOKUP(E1170,Sales_Reps!$A$2:$E$100,3,FALSE)</f>
        <v>East</v>
      </c>
      <c r="S1170" s="34" t="str">
        <f t="shared" si="41"/>
        <v>Sports</v>
      </c>
      <c r="T1170" s="38">
        <f>VLOOKUP(D1170,Products!$A$2:$F$68,4,FALSE)</f>
        <v>2028</v>
      </c>
    </row>
    <row r="1171" spans="1:20" x14ac:dyDescent="0.35">
      <c r="A1171" s="13" t="s">
        <v>1657</v>
      </c>
      <c r="B1171" s="14">
        <v>45429</v>
      </c>
      <c r="C1171" s="13" t="s">
        <v>1047</v>
      </c>
      <c r="D1171" s="13" t="s">
        <v>161</v>
      </c>
      <c r="E1171" s="13" t="s">
        <v>111</v>
      </c>
      <c r="F1171" s="15">
        <v>4</v>
      </c>
      <c r="G1171" s="15">
        <v>3450</v>
      </c>
      <c r="H1171" s="15">
        <v>9.1999999999999993</v>
      </c>
      <c r="I1171" s="15">
        <v>12530.4</v>
      </c>
      <c r="J1171" s="13" t="s">
        <v>87</v>
      </c>
      <c r="K1171" s="13" t="s">
        <v>133</v>
      </c>
      <c r="L1171" s="34" t="str">
        <f>VLOOKUP(D1171,Products!$A$2:$F$61,3,FALSE)</f>
        <v>Sports</v>
      </c>
      <c r="M1171" s="34" t="str">
        <f>VLOOKUP(C1171,Customers!$A$2:$F$301,5,FALSE)</f>
        <v>Retail</v>
      </c>
      <c r="N1171" s="34">
        <f>VLOOKUP(C1171,Customers!$A$2:$F$301,3,FALSE)</f>
        <v>41</v>
      </c>
      <c r="O1171" s="34" t="str">
        <f>VLOOKUP(E1171,Sales_Reps!$A$2:$E$31,3,FALSE)</f>
        <v>West</v>
      </c>
      <c r="P1171" s="13" t="s">
        <v>111</v>
      </c>
      <c r="Q1171" s="34">
        <f t="shared" si="40"/>
        <v>901298.89</v>
      </c>
      <c r="R1171" s="34" t="str">
        <f>VLOOKUP(E1171,Sales_Reps!$A$2:$E$100,3,FALSE)</f>
        <v>West</v>
      </c>
      <c r="S1171" s="34" t="str">
        <f t="shared" si="41"/>
        <v>Sports</v>
      </c>
      <c r="T1171" s="38">
        <f>VLOOKUP(D1171,Products!$A$2:$F$68,4,FALSE)</f>
        <v>2467</v>
      </c>
    </row>
    <row r="1172" spans="1:20" x14ac:dyDescent="0.35">
      <c r="A1172" s="13" t="s">
        <v>1658</v>
      </c>
      <c r="B1172" s="14">
        <v>45405</v>
      </c>
      <c r="C1172" s="13" t="s">
        <v>275</v>
      </c>
      <c r="D1172" s="13" t="s">
        <v>295</v>
      </c>
      <c r="E1172" s="13" t="s">
        <v>148</v>
      </c>
      <c r="F1172" s="15">
        <v>4</v>
      </c>
      <c r="G1172" s="15">
        <v>2030</v>
      </c>
      <c r="H1172" s="15">
        <v>17.100000000000001</v>
      </c>
      <c r="I1172" s="15">
        <v>6731.48</v>
      </c>
      <c r="J1172" s="13" t="s">
        <v>87</v>
      </c>
      <c r="K1172" s="13" t="s">
        <v>88</v>
      </c>
      <c r="L1172" s="34" t="str">
        <f>VLOOKUP(D1172,Products!$A$2:$F$61,3,FALSE)</f>
        <v>Home</v>
      </c>
      <c r="M1172" s="34" t="str">
        <f>VLOOKUP(C1172,Customers!$A$2:$F$301,5,FALSE)</f>
        <v>Retail</v>
      </c>
      <c r="N1172" s="34">
        <f>VLOOKUP(C1172,Customers!$A$2:$F$301,3,FALSE)</f>
        <v>44</v>
      </c>
      <c r="O1172" s="34" t="str">
        <f>VLOOKUP(E1172,Sales_Reps!$A$2:$E$31,3,FALSE)</f>
        <v>North</v>
      </c>
      <c r="P1172" s="13" t="s">
        <v>148</v>
      </c>
      <c r="Q1172" s="34">
        <f t="shared" si="40"/>
        <v>986692.91</v>
      </c>
      <c r="R1172" s="34" t="str">
        <f>VLOOKUP(E1172,Sales_Reps!$A$2:$E$100,3,FALSE)</f>
        <v>North</v>
      </c>
      <c r="S1172" s="34" t="str">
        <f t="shared" si="41"/>
        <v>Home</v>
      </c>
      <c r="T1172" s="38">
        <f>VLOOKUP(D1172,Products!$A$2:$F$68,4,FALSE)</f>
        <v>1143</v>
      </c>
    </row>
    <row r="1173" spans="1:20" x14ac:dyDescent="0.35">
      <c r="A1173" s="13" t="s">
        <v>1659</v>
      </c>
      <c r="B1173" s="14">
        <v>45401</v>
      </c>
      <c r="C1173" s="13" t="s">
        <v>413</v>
      </c>
      <c r="D1173" s="13" t="s">
        <v>245</v>
      </c>
      <c r="E1173" s="13" t="s">
        <v>346</v>
      </c>
      <c r="F1173" s="15">
        <v>4</v>
      </c>
      <c r="G1173" s="15">
        <v>2270</v>
      </c>
      <c r="H1173" s="15">
        <v>27.3</v>
      </c>
      <c r="I1173" s="15">
        <v>6601.16</v>
      </c>
      <c r="J1173" s="13" t="s">
        <v>87</v>
      </c>
      <c r="K1173" s="13" t="s">
        <v>88</v>
      </c>
      <c r="L1173" s="34" t="str">
        <f>VLOOKUP(D1173,Products!$A$2:$F$61,3,FALSE)</f>
        <v>Grocery</v>
      </c>
      <c r="M1173" s="34" t="str">
        <f>VLOOKUP(C1173,Customers!$A$2:$F$301,5,FALSE)</f>
        <v>Retail</v>
      </c>
      <c r="N1173" s="34">
        <f>VLOOKUP(C1173,Customers!$A$2:$F$301,3,FALSE)</f>
        <v>22</v>
      </c>
      <c r="O1173" s="34" t="str">
        <f>VLOOKUP(E1173,Sales_Reps!$A$2:$E$31,3,FALSE)</f>
        <v>South</v>
      </c>
      <c r="P1173" s="13" t="s">
        <v>346</v>
      </c>
      <c r="Q1173" s="34">
        <f t="shared" si="40"/>
        <v>814563.7100000002</v>
      </c>
      <c r="R1173" s="34" t="str">
        <f>VLOOKUP(E1173,Sales_Reps!$A$2:$E$100,3,FALSE)</f>
        <v>South</v>
      </c>
      <c r="S1173" s="34" t="str">
        <f t="shared" si="41"/>
        <v>Grocery</v>
      </c>
      <c r="T1173" s="38">
        <f>VLOOKUP(D1173,Products!$A$2:$F$68,4,FALSE)</f>
        <v>1412</v>
      </c>
    </row>
    <row r="1174" spans="1:20" x14ac:dyDescent="0.35">
      <c r="A1174" s="13" t="s">
        <v>1660</v>
      </c>
      <c r="B1174" s="14">
        <v>45373</v>
      </c>
      <c r="C1174" s="13" t="s">
        <v>465</v>
      </c>
      <c r="D1174" s="13" t="s">
        <v>443</v>
      </c>
      <c r="E1174" s="13" t="s">
        <v>252</v>
      </c>
      <c r="F1174" s="15">
        <v>9</v>
      </c>
      <c r="G1174" s="15">
        <v>5080</v>
      </c>
      <c r="H1174" s="15">
        <v>10.9</v>
      </c>
      <c r="I1174" s="15">
        <v>40736.519999999997</v>
      </c>
      <c r="J1174" s="13" t="s">
        <v>87</v>
      </c>
      <c r="K1174" s="13" t="s">
        <v>112</v>
      </c>
      <c r="L1174" s="34" t="str">
        <f>VLOOKUP(D1174,Products!$A$2:$F$61,3,FALSE)</f>
        <v>Home</v>
      </c>
      <c r="M1174" s="34" t="str">
        <f>VLOOKUP(C1174,Customers!$A$2:$F$301,5,FALSE)</f>
        <v>Retail</v>
      </c>
      <c r="N1174" s="34">
        <f>VLOOKUP(C1174,Customers!$A$2:$F$301,3,FALSE)</f>
        <v>61</v>
      </c>
      <c r="O1174" s="34" t="str">
        <f>VLOOKUP(E1174,Sales_Reps!$A$2:$E$31,3,FALSE)</f>
        <v>South</v>
      </c>
      <c r="P1174" s="13" t="s">
        <v>252</v>
      </c>
      <c r="Q1174" s="34">
        <f t="shared" si="40"/>
        <v>811524.37999999989</v>
      </c>
      <c r="R1174" s="34" t="str">
        <f>VLOOKUP(E1174,Sales_Reps!$A$2:$E$100,3,FALSE)</f>
        <v>South</v>
      </c>
      <c r="S1174" s="34" t="str">
        <f t="shared" si="41"/>
        <v>Home</v>
      </c>
      <c r="T1174" s="38">
        <f>VLOOKUP(D1174,Products!$A$2:$F$68,4,FALSE)</f>
        <v>2459</v>
      </c>
    </row>
    <row r="1175" spans="1:20" x14ac:dyDescent="0.35">
      <c r="A1175" s="13" t="s">
        <v>1661</v>
      </c>
      <c r="B1175" s="14">
        <v>45602</v>
      </c>
      <c r="C1175" s="13" t="s">
        <v>785</v>
      </c>
      <c r="D1175" s="13" t="s">
        <v>264</v>
      </c>
      <c r="E1175" s="13" t="s">
        <v>229</v>
      </c>
      <c r="F1175" s="15">
        <v>8</v>
      </c>
      <c r="G1175" s="15">
        <v>4070</v>
      </c>
      <c r="H1175" s="15">
        <v>17.7</v>
      </c>
      <c r="I1175" s="15">
        <v>26796.880000000001</v>
      </c>
      <c r="J1175" s="13" t="s">
        <v>87</v>
      </c>
      <c r="K1175" s="13" t="s">
        <v>88</v>
      </c>
      <c r="L1175" s="34" t="str">
        <f>VLOOKUP(D1175,Products!$A$2:$F$61,3,FALSE)</f>
        <v>Grocery</v>
      </c>
      <c r="M1175" s="34" t="str">
        <f>VLOOKUP(C1175,Customers!$A$2:$F$301,5,FALSE)</f>
        <v>Retail</v>
      </c>
      <c r="N1175" s="34">
        <f>VLOOKUP(C1175,Customers!$A$2:$F$301,3,FALSE)</f>
        <v>31</v>
      </c>
      <c r="O1175" s="34" t="str">
        <f>VLOOKUP(E1175,Sales_Reps!$A$2:$E$31,3,FALSE)</f>
        <v>West</v>
      </c>
      <c r="P1175" s="13" t="s">
        <v>229</v>
      </c>
      <c r="Q1175" s="34">
        <f t="shared" si="40"/>
        <v>1016696.8000000002</v>
      </c>
      <c r="R1175" s="34" t="str">
        <f>VLOOKUP(E1175,Sales_Reps!$A$2:$E$100,3,FALSE)</f>
        <v>West</v>
      </c>
      <c r="S1175" s="34" t="str">
        <f t="shared" si="41"/>
        <v>Grocery</v>
      </c>
      <c r="T1175" s="38">
        <f>VLOOKUP(D1175,Products!$A$2:$F$68,4,FALSE)</f>
        <v>2027</v>
      </c>
    </row>
    <row r="1176" spans="1:20" x14ac:dyDescent="0.35">
      <c r="A1176" s="13" t="s">
        <v>1662</v>
      </c>
      <c r="B1176" s="14">
        <v>45372</v>
      </c>
      <c r="C1176" s="13" t="s">
        <v>422</v>
      </c>
      <c r="D1176" s="13" t="s">
        <v>259</v>
      </c>
      <c r="E1176" s="13" t="s">
        <v>92</v>
      </c>
      <c r="F1176" s="15">
        <v>1</v>
      </c>
      <c r="G1176" s="15">
        <v>1540</v>
      </c>
      <c r="H1176" s="15">
        <v>0.9</v>
      </c>
      <c r="I1176" s="15">
        <v>1526.14</v>
      </c>
      <c r="J1176" s="13" t="s">
        <v>87</v>
      </c>
      <c r="K1176" s="13" t="s">
        <v>94</v>
      </c>
      <c r="L1176" s="34" t="str">
        <f>VLOOKUP(D1176,Products!$A$2:$F$61,3,FALSE)</f>
        <v>Beauty</v>
      </c>
      <c r="M1176" s="34" t="str">
        <f>VLOOKUP(C1176,Customers!$A$2:$F$301,5,FALSE)</f>
        <v>SMB</v>
      </c>
      <c r="N1176" s="34">
        <f>VLOOKUP(C1176,Customers!$A$2:$F$301,3,FALSE)</f>
        <v>64</v>
      </c>
      <c r="O1176" s="34" t="str">
        <f>VLOOKUP(E1176,Sales_Reps!$A$2:$E$31,3,FALSE)</f>
        <v>North</v>
      </c>
      <c r="P1176" s="13" t="s">
        <v>92</v>
      </c>
      <c r="Q1176" s="34">
        <f t="shared" si="40"/>
        <v>782445.33</v>
      </c>
      <c r="R1176" s="34" t="str">
        <f>VLOOKUP(E1176,Sales_Reps!$A$2:$E$100,3,FALSE)</f>
        <v>North</v>
      </c>
      <c r="S1176" s="34" t="str">
        <f t="shared" si="41"/>
        <v>Beauty</v>
      </c>
      <c r="T1176" s="38">
        <f>VLOOKUP(D1176,Products!$A$2:$F$68,4,FALSE)</f>
        <v>647</v>
      </c>
    </row>
    <row r="1177" spans="1:20" x14ac:dyDescent="0.35">
      <c r="A1177" s="13" t="s">
        <v>1663</v>
      </c>
      <c r="B1177" s="14">
        <v>45416</v>
      </c>
      <c r="C1177" s="13" t="s">
        <v>1664</v>
      </c>
      <c r="D1177" s="13" t="s">
        <v>191</v>
      </c>
      <c r="E1177" s="13" t="s">
        <v>116</v>
      </c>
      <c r="F1177" s="15">
        <v>10</v>
      </c>
      <c r="G1177" s="15">
        <v>5100</v>
      </c>
      <c r="H1177" s="15">
        <v>3</v>
      </c>
      <c r="I1177" s="15">
        <v>49470</v>
      </c>
      <c r="J1177" s="13" t="s">
        <v>87</v>
      </c>
      <c r="K1177" s="13" t="s">
        <v>117</v>
      </c>
      <c r="L1177" s="34" t="str">
        <f>VLOOKUP(D1177,Products!$A$2:$F$61,3,FALSE)</f>
        <v>Beauty</v>
      </c>
      <c r="M1177" s="34" t="str">
        <f>VLOOKUP(C1177,Customers!$A$2:$F$301,5,FALSE)</f>
        <v>Retail</v>
      </c>
      <c r="N1177" s="34">
        <f>VLOOKUP(C1177,Customers!$A$2:$F$301,3,FALSE)</f>
        <v>48</v>
      </c>
      <c r="O1177" s="34" t="str">
        <f>VLOOKUP(E1177,Sales_Reps!$A$2:$E$31,3,FALSE)</f>
        <v>West</v>
      </c>
      <c r="P1177" s="13" t="s">
        <v>116</v>
      </c>
      <c r="Q1177" s="34">
        <f t="shared" si="40"/>
        <v>819558.58</v>
      </c>
      <c r="R1177" s="34" t="str">
        <f>VLOOKUP(E1177,Sales_Reps!$A$2:$E$100,3,FALSE)</f>
        <v>West</v>
      </c>
      <c r="S1177" s="34" t="str">
        <f t="shared" si="41"/>
        <v>Beauty</v>
      </c>
      <c r="T1177" s="38">
        <f>VLOOKUP(D1177,Products!$A$2:$F$68,4,FALSE)</f>
        <v>2237</v>
      </c>
    </row>
    <row r="1178" spans="1:20" x14ac:dyDescent="0.35">
      <c r="A1178" s="13" t="s">
        <v>1665</v>
      </c>
      <c r="B1178" s="14">
        <v>45656</v>
      </c>
      <c r="C1178" s="13" t="s">
        <v>580</v>
      </c>
      <c r="D1178" s="13" t="s">
        <v>85</v>
      </c>
      <c r="E1178" s="13" t="s">
        <v>103</v>
      </c>
      <c r="F1178" s="15">
        <v>6</v>
      </c>
      <c r="G1178" s="15">
        <v>3620</v>
      </c>
      <c r="H1178" s="15">
        <v>20.2</v>
      </c>
      <c r="I1178" s="15">
        <v>17332.560000000001</v>
      </c>
      <c r="J1178" s="13" t="s">
        <v>87</v>
      </c>
      <c r="K1178" s="13" t="s">
        <v>88</v>
      </c>
      <c r="L1178" s="34" t="str">
        <f>VLOOKUP(D1178,Products!$A$2:$F$61,3,FALSE)</f>
        <v>Apparel</v>
      </c>
      <c r="M1178" s="34" t="str">
        <f>VLOOKUP(C1178,Customers!$A$2:$F$301,5,FALSE)</f>
        <v>Corporate</v>
      </c>
      <c r="N1178" s="34">
        <f>VLOOKUP(C1178,Customers!$A$2:$F$301,3,FALSE)</f>
        <v>40</v>
      </c>
      <c r="O1178" s="34" t="str">
        <f>VLOOKUP(E1178,Sales_Reps!$A$2:$E$31,3,FALSE)</f>
        <v>North</v>
      </c>
      <c r="P1178" s="13" t="s">
        <v>103</v>
      </c>
      <c r="Q1178" s="34">
        <f t="shared" si="40"/>
        <v>1138648.73</v>
      </c>
      <c r="R1178" s="34" t="str">
        <f>VLOOKUP(E1178,Sales_Reps!$A$2:$E$100,3,FALSE)</f>
        <v>North</v>
      </c>
      <c r="S1178" s="34" t="str">
        <f t="shared" si="41"/>
        <v>Apparel</v>
      </c>
      <c r="T1178" s="38">
        <f>VLOOKUP(D1178,Products!$A$2:$F$68,4,FALSE)</f>
        <v>2509</v>
      </c>
    </row>
    <row r="1179" spans="1:20" x14ac:dyDescent="0.35">
      <c r="A1179" s="13" t="s">
        <v>1666</v>
      </c>
      <c r="B1179" s="14">
        <v>45324</v>
      </c>
      <c r="C1179" s="13" t="s">
        <v>126</v>
      </c>
      <c r="D1179" s="13" t="s">
        <v>184</v>
      </c>
      <c r="E1179" s="13" t="s">
        <v>148</v>
      </c>
      <c r="F1179" s="15">
        <v>7</v>
      </c>
      <c r="G1179" s="15">
        <v>4880</v>
      </c>
      <c r="H1179" s="15">
        <v>5</v>
      </c>
      <c r="I1179" s="15">
        <v>32452</v>
      </c>
      <c r="J1179" s="13" t="s">
        <v>87</v>
      </c>
      <c r="K1179" s="13" t="s">
        <v>88</v>
      </c>
      <c r="L1179" s="34" t="str">
        <f>VLOOKUP(D1179,Products!$A$2:$F$61,3,FALSE)</f>
        <v>Beauty</v>
      </c>
      <c r="M1179" s="34" t="str">
        <f>VLOOKUP(C1179,Customers!$A$2:$F$301,5,FALSE)</f>
        <v>Retail</v>
      </c>
      <c r="N1179" s="34">
        <f>VLOOKUP(C1179,Customers!$A$2:$F$301,3,FALSE)</f>
        <v>56</v>
      </c>
      <c r="O1179" s="34" t="str">
        <f>VLOOKUP(E1179,Sales_Reps!$A$2:$E$31,3,FALSE)</f>
        <v>North</v>
      </c>
      <c r="P1179" s="13" t="s">
        <v>148</v>
      </c>
      <c r="Q1179" s="34">
        <f t="shared" si="40"/>
        <v>986692.91</v>
      </c>
      <c r="R1179" s="34" t="str">
        <f>VLOOKUP(E1179,Sales_Reps!$A$2:$E$100,3,FALSE)</f>
        <v>North</v>
      </c>
      <c r="S1179" s="34" t="str">
        <f t="shared" si="41"/>
        <v>Beauty</v>
      </c>
      <c r="T1179" s="38">
        <f>VLOOKUP(D1179,Products!$A$2:$F$68,4,FALSE)</f>
        <v>2768</v>
      </c>
    </row>
    <row r="1180" spans="1:20" x14ac:dyDescent="0.35">
      <c r="A1180" s="13" t="s">
        <v>1667</v>
      </c>
      <c r="B1180" s="14">
        <v>45472</v>
      </c>
      <c r="C1180" s="13" t="s">
        <v>194</v>
      </c>
      <c r="D1180" s="13" t="s">
        <v>135</v>
      </c>
      <c r="E1180" s="13" t="s">
        <v>116</v>
      </c>
      <c r="F1180" s="15">
        <v>1</v>
      </c>
      <c r="G1180" s="15">
        <v>2640</v>
      </c>
      <c r="H1180" s="15">
        <v>4.0999999999999996</v>
      </c>
      <c r="I1180" s="15">
        <v>2531.7600000000002</v>
      </c>
      <c r="J1180" s="13" t="s">
        <v>87</v>
      </c>
      <c r="K1180" s="13" t="s">
        <v>88</v>
      </c>
      <c r="L1180" s="34" t="str">
        <f>VLOOKUP(D1180,Products!$A$2:$F$61,3,FALSE)</f>
        <v>Electronics</v>
      </c>
      <c r="M1180" s="34" t="str">
        <f>VLOOKUP(C1180,Customers!$A$2:$F$301,5,FALSE)</f>
        <v>SMB</v>
      </c>
      <c r="N1180" s="34">
        <f>VLOOKUP(C1180,Customers!$A$2:$F$301,3,FALSE)</f>
        <v>44</v>
      </c>
      <c r="O1180" s="34" t="str">
        <f>VLOOKUP(E1180,Sales_Reps!$A$2:$E$31,3,FALSE)</f>
        <v>West</v>
      </c>
      <c r="P1180" s="13" t="s">
        <v>116</v>
      </c>
      <c r="Q1180" s="34">
        <f t="shared" si="40"/>
        <v>819558.58</v>
      </c>
      <c r="R1180" s="34" t="str">
        <f>VLOOKUP(E1180,Sales_Reps!$A$2:$E$100,3,FALSE)</f>
        <v>West</v>
      </c>
      <c r="S1180" s="34" t="str">
        <f t="shared" si="41"/>
        <v>Electronics</v>
      </c>
      <c r="T1180" s="38">
        <f>VLOOKUP(D1180,Products!$A$2:$F$68,4,FALSE)</f>
        <v>1149</v>
      </c>
    </row>
    <row r="1181" spans="1:20" x14ac:dyDescent="0.35">
      <c r="A1181" s="13" t="s">
        <v>1668</v>
      </c>
      <c r="B1181" s="14">
        <v>45508</v>
      </c>
      <c r="C1181" s="13" t="s">
        <v>263</v>
      </c>
      <c r="D1181" s="13" t="s">
        <v>264</v>
      </c>
      <c r="E1181" s="13" t="s">
        <v>192</v>
      </c>
      <c r="F1181" s="15">
        <v>9</v>
      </c>
      <c r="G1181" s="15">
        <v>4070</v>
      </c>
      <c r="H1181" s="15">
        <v>4.4000000000000004</v>
      </c>
      <c r="I1181" s="15">
        <v>35018.28</v>
      </c>
      <c r="J1181" s="13" t="s">
        <v>87</v>
      </c>
      <c r="K1181" s="13" t="s">
        <v>133</v>
      </c>
      <c r="L1181" s="34" t="str">
        <f>VLOOKUP(D1181,Products!$A$2:$F$61,3,FALSE)</f>
        <v>Grocery</v>
      </c>
      <c r="M1181" s="34" t="str">
        <f>VLOOKUP(C1181,Customers!$A$2:$F$301,5,FALSE)</f>
        <v>Retail</v>
      </c>
      <c r="N1181" s="34">
        <f>VLOOKUP(C1181,Customers!$A$2:$F$301,3,FALSE)</f>
        <v>53</v>
      </c>
      <c r="O1181" s="34" t="str">
        <f>VLOOKUP(E1181,Sales_Reps!$A$2:$E$31,3,FALSE)</f>
        <v>East</v>
      </c>
      <c r="P1181" s="13" t="s">
        <v>192</v>
      </c>
      <c r="Q1181" s="34">
        <f t="shared" si="40"/>
        <v>906107.71000000008</v>
      </c>
      <c r="R1181" s="34" t="str">
        <f>VLOOKUP(E1181,Sales_Reps!$A$2:$E$100,3,FALSE)</f>
        <v>East</v>
      </c>
      <c r="S1181" s="34" t="str">
        <f t="shared" si="41"/>
        <v>Grocery</v>
      </c>
      <c r="T1181" s="38">
        <f>VLOOKUP(D1181,Products!$A$2:$F$68,4,FALSE)</f>
        <v>2027</v>
      </c>
    </row>
    <row r="1182" spans="1:20" x14ac:dyDescent="0.35">
      <c r="A1182" s="13" t="s">
        <v>1669</v>
      </c>
      <c r="B1182" s="14">
        <v>45617</v>
      </c>
      <c r="C1182" s="13" t="s">
        <v>328</v>
      </c>
      <c r="D1182" s="13" t="s">
        <v>187</v>
      </c>
      <c r="E1182" s="13" t="s">
        <v>111</v>
      </c>
      <c r="F1182" s="15">
        <v>9</v>
      </c>
      <c r="G1182" s="15">
        <v>3570</v>
      </c>
      <c r="H1182" s="15">
        <v>24.8</v>
      </c>
      <c r="I1182" s="15">
        <v>24161.759999999998</v>
      </c>
      <c r="J1182" s="13" t="s">
        <v>87</v>
      </c>
      <c r="K1182" s="13" t="s">
        <v>94</v>
      </c>
      <c r="L1182" s="34" t="str">
        <f>VLOOKUP(D1182,Products!$A$2:$F$61,3,FALSE)</f>
        <v>Electronics</v>
      </c>
      <c r="M1182" s="34" t="str">
        <f>VLOOKUP(C1182,Customers!$A$2:$F$301,5,FALSE)</f>
        <v>Retail</v>
      </c>
      <c r="N1182" s="34">
        <f>VLOOKUP(C1182,Customers!$A$2:$F$301,3,FALSE)</f>
        <v>28</v>
      </c>
      <c r="O1182" s="34" t="str">
        <f>VLOOKUP(E1182,Sales_Reps!$A$2:$E$31,3,FALSE)</f>
        <v>West</v>
      </c>
      <c r="P1182" s="13" t="s">
        <v>111</v>
      </c>
      <c r="Q1182" s="34">
        <f t="shared" si="40"/>
        <v>901298.89</v>
      </c>
      <c r="R1182" s="34" t="str">
        <f>VLOOKUP(E1182,Sales_Reps!$A$2:$E$100,3,FALSE)</f>
        <v>West</v>
      </c>
      <c r="S1182" s="34" t="str">
        <f t="shared" si="41"/>
        <v>Electronics</v>
      </c>
      <c r="T1182" s="38">
        <f>VLOOKUP(D1182,Products!$A$2:$F$68,4,FALSE)</f>
        <v>1665</v>
      </c>
    </row>
    <row r="1183" spans="1:20" x14ac:dyDescent="0.35">
      <c r="A1183" s="13" t="s">
        <v>1670</v>
      </c>
      <c r="B1183" s="14">
        <v>45470</v>
      </c>
      <c r="C1183" s="13" t="s">
        <v>272</v>
      </c>
      <c r="D1183" s="13" t="s">
        <v>179</v>
      </c>
      <c r="E1183" s="13" t="s">
        <v>92</v>
      </c>
      <c r="F1183" s="15">
        <v>10</v>
      </c>
      <c r="G1183" s="15">
        <v>3350</v>
      </c>
      <c r="H1183" s="15">
        <v>25.1</v>
      </c>
      <c r="I1183" s="15">
        <v>25091.5</v>
      </c>
      <c r="J1183" s="13" t="s">
        <v>140</v>
      </c>
      <c r="K1183" s="13" t="s">
        <v>94</v>
      </c>
      <c r="L1183" s="34" t="str">
        <f>VLOOKUP(D1183,Products!$A$2:$F$61,3,FALSE)</f>
        <v>Beauty</v>
      </c>
      <c r="M1183" s="34" t="str">
        <f>VLOOKUP(C1183,Customers!$A$2:$F$301,5,FALSE)</f>
        <v>SMB</v>
      </c>
      <c r="N1183" s="34">
        <f>VLOOKUP(C1183,Customers!$A$2:$F$301,3,FALSE)</f>
        <v>55</v>
      </c>
      <c r="O1183" s="34" t="str">
        <f>VLOOKUP(E1183,Sales_Reps!$A$2:$E$31,3,FALSE)</f>
        <v>North</v>
      </c>
      <c r="P1183" s="13" t="s">
        <v>92</v>
      </c>
      <c r="Q1183" s="34">
        <f t="shared" si="40"/>
        <v>782445.33</v>
      </c>
      <c r="R1183" s="34" t="str">
        <f>VLOOKUP(E1183,Sales_Reps!$A$2:$E$100,3,FALSE)</f>
        <v>North</v>
      </c>
      <c r="S1183" s="34" t="str">
        <f t="shared" si="41"/>
        <v>Beauty</v>
      </c>
      <c r="T1183" s="38">
        <f>VLOOKUP(D1183,Products!$A$2:$F$68,4,FALSE)</f>
        <v>1728</v>
      </c>
    </row>
    <row r="1184" spans="1:20" x14ac:dyDescent="0.35">
      <c r="A1184" s="13" t="s">
        <v>1671</v>
      </c>
      <c r="B1184" s="14">
        <v>45307</v>
      </c>
      <c r="C1184" s="13" t="s">
        <v>717</v>
      </c>
      <c r="D1184" s="13" t="s">
        <v>461</v>
      </c>
      <c r="E1184" s="13" t="s">
        <v>111</v>
      </c>
      <c r="F1184" s="15">
        <v>3</v>
      </c>
      <c r="G1184" s="15">
        <v>3780</v>
      </c>
      <c r="H1184" s="15">
        <v>3.8</v>
      </c>
      <c r="I1184" s="15">
        <v>10909.08</v>
      </c>
      <c r="J1184" s="13" t="s">
        <v>87</v>
      </c>
      <c r="K1184" s="13" t="s">
        <v>94</v>
      </c>
      <c r="L1184" s="34" t="str">
        <f>VLOOKUP(D1184,Products!$A$2:$F$61,3,FALSE)</f>
        <v>Sports</v>
      </c>
      <c r="M1184" s="34" t="str">
        <f>VLOOKUP(C1184,Customers!$A$2:$F$301,5,FALSE)</f>
        <v>Retail</v>
      </c>
      <c r="N1184" s="34">
        <f>VLOOKUP(C1184,Customers!$A$2:$F$301,3,FALSE)</f>
        <v>24</v>
      </c>
      <c r="O1184" s="34" t="str">
        <f>VLOOKUP(E1184,Sales_Reps!$A$2:$E$31,3,FALSE)</f>
        <v>West</v>
      </c>
      <c r="P1184" s="13" t="s">
        <v>111</v>
      </c>
      <c r="Q1184" s="34">
        <f t="shared" si="40"/>
        <v>901298.89</v>
      </c>
      <c r="R1184" s="34" t="str">
        <f>VLOOKUP(E1184,Sales_Reps!$A$2:$E$100,3,FALSE)</f>
        <v>West</v>
      </c>
      <c r="S1184" s="34" t="str">
        <f t="shared" si="41"/>
        <v>Sports</v>
      </c>
      <c r="T1184" s="38">
        <f>VLOOKUP(D1184,Products!$A$2:$F$68,4,FALSE)</f>
        <v>1860</v>
      </c>
    </row>
    <row r="1185" spans="1:20" x14ac:dyDescent="0.35">
      <c r="A1185" s="13" t="s">
        <v>1672</v>
      </c>
      <c r="B1185" s="14">
        <v>45651</v>
      </c>
      <c r="C1185" s="13" t="s">
        <v>703</v>
      </c>
      <c r="D1185" s="13" t="s">
        <v>187</v>
      </c>
      <c r="E1185" s="13" t="s">
        <v>107</v>
      </c>
      <c r="F1185" s="15">
        <v>4</v>
      </c>
      <c r="G1185" s="15">
        <v>3570</v>
      </c>
      <c r="H1185" s="15">
        <v>0.9</v>
      </c>
      <c r="I1185" s="15">
        <v>14151.48</v>
      </c>
      <c r="J1185" s="13" t="s">
        <v>93</v>
      </c>
      <c r="K1185" s="13" t="s">
        <v>88</v>
      </c>
      <c r="L1185" s="34" t="str">
        <f>VLOOKUP(D1185,Products!$A$2:$F$61,3,FALSE)</f>
        <v>Electronics</v>
      </c>
      <c r="M1185" s="34" t="str">
        <f>VLOOKUP(C1185,Customers!$A$2:$F$301,5,FALSE)</f>
        <v>Corporate</v>
      </c>
      <c r="N1185" s="34">
        <f>VLOOKUP(C1185,Customers!$A$2:$F$301,3,FALSE)</f>
        <v>52</v>
      </c>
      <c r="O1185" s="34" t="str">
        <f>VLOOKUP(E1185,Sales_Reps!$A$2:$E$31,3,FALSE)</f>
        <v>North</v>
      </c>
      <c r="P1185" s="13" t="s">
        <v>107</v>
      </c>
      <c r="Q1185" s="34">
        <f t="shared" si="40"/>
        <v>861553.33</v>
      </c>
      <c r="R1185" s="34" t="str">
        <f>VLOOKUP(E1185,Sales_Reps!$A$2:$E$100,3,FALSE)</f>
        <v>North</v>
      </c>
      <c r="S1185" s="34" t="str">
        <f t="shared" si="41"/>
        <v>Electronics</v>
      </c>
      <c r="T1185" s="38">
        <f>VLOOKUP(D1185,Products!$A$2:$F$68,4,FALSE)</f>
        <v>1665</v>
      </c>
    </row>
    <row r="1186" spans="1:20" x14ac:dyDescent="0.35">
      <c r="A1186" s="13" t="s">
        <v>1163</v>
      </c>
      <c r="B1186" s="14">
        <v>45436</v>
      </c>
      <c r="C1186" s="13" t="s">
        <v>420</v>
      </c>
      <c r="D1186" s="13" t="s">
        <v>195</v>
      </c>
      <c r="E1186" s="13" t="s">
        <v>116</v>
      </c>
      <c r="F1186" s="15">
        <v>5</v>
      </c>
      <c r="G1186" s="15">
        <v>2860</v>
      </c>
      <c r="H1186" s="15">
        <v>20.100000000000001</v>
      </c>
      <c r="I1186" s="15">
        <v>11425.7</v>
      </c>
      <c r="J1186" s="13" t="s">
        <v>87</v>
      </c>
      <c r="K1186" s="13" t="s">
        <v>99</v>
      </c>
      <c r="L1186" s="34" t="str">
        <f>VLOOKUP(D1186,Products!$A$2:$F$61,3,FALSE)</f>
        <v>Sports</v>
      </c>
      <c r="M1186" s="34" t="str">
        <f>VLOOKUP(C1186,Customers!$A$2:$F$301,5,FALSE)</f>
        <v>Retail</v>
      </c>
      <c r="N1186" s="34">
        <f>VLOOKUP(C1186,Customers!$A$2:$F$301,3,FALSE)</f>
        <v>44</v>
      </c>
      <c r="O1186" s="34" t="str">
        <f>VLOOKUP(E1186,Sales_Reps!$A$2:$E$31,3,FALSE)</f>
        <v>West</v>
      </c>
      <c r="P1186" s="13" t="s">
        <v>116</v>
      </c>
      <c r="Q1186" s="34">
        <f t="shared" si="40"/>
        <v>819558.58</v>
      </c>
      <c r="R1186" s="34" t="str">
        <f>VLOOKUP(E1186,Sales_Reps!$A$2:$E$100,3,FALSE)</f>
        <v>West</v>
      </c>
      <c r="S1186" s="34" t="str">
        <f t="shared" si="41"/>
        <v>Sports</v>
      </c>
      <c r="T1186" s="38">
        <f>VLOOKUP(D1186,Products!$A$2:$F$68,4,FALSE)</f>
        <v>2028</v>
      </c>
    </row>
    <row r="1187" spans="1:20" x14ac:dyDescent="0.35">
      <c r="A1187" s="13" t="s">
        <v>1673</v>
      </c>
      <c r="B1187" s="14">
        <v>45518</v>
      </c>
      <c r="C1187" s="13" t="s">
        <v>684</v>
      </c>
      <c r="D1187" s="13" t="s">
        <v>292</v>
      </c>
      <c r="E1187" s="13" t="s">
        <v>148</v>
      </c>
      <c r="F1187" s="15">
        <v>1</v>
      </c>
      <c r="G1187" s="15">
        <v>620</v>
      </c>
      <c r="H1187" s="15">
        <v>1.1000000000000001</v>
      </c>
      <c r="I1187" s="15">
        <v>613.17999999999995</v>
      </c>
      <c r="J1187" s="13" t="s">
        <v>140</v>
      </c>
      <c r="K1187" s="13" t="s">
        <v>99</v>
      </c>
      <c r="L1187" s="34" t="str">
        <f>VLOOKUP(D1187,Products!$A$2:$F$61,3,FALSE)</f>
        <v>Apparel</v>
      </c>
      <c r="M1187" s="34" t="str">
        <f>VLOOKUP(C1187,Customers!$A$2:$F$301,5,FALSE)</f>
        <v>Retail</v>
      </c>
      <c r="N1187" s="34">
        <f>VLOOKUP(C1187,Customers!$A$2:$F$301,3,FALSE)</f>
        <v>41</v>
      </c>
      <c r="O1187" s="34" t="str">
        <f>VLOOKUP(E1187,Sales_Reps!$A$2:$E$31,3,FALSE)</f>
        <v>North</v>
      </c>
      <c r="P1187" s="13" t="s">
        <v>148</v>
      </c>
      <c r="Q1187" s="34">
        <f t="shared" si="40"/>
        <v>986692.91</v>
      </c>
      <c r="R1187" s="34" t="str">
        <f>VLOOKUP(E1187,Sales_Reps!$A$2:$E$100,3,FALSE)</f>
        <v>North</v>
      </c>
      <c r="S1187" s="34" t="str">
        <f t="shared" si="41"/>
        <v>Apparel</v>
      </c>
      <c r="T1187" s="38">
        <f>VLOOKUP(D1187,Products!$A$2:$F$68,4,FALSE)</f>
        <v>396</v>
      </c>
    </row>
    <row r="1188" spans="1:20" x14ac:dyDescent="0.35">
      <c r="A1188" s="13" t="s">
        <v>1674</v>
      </c>
      <c r="B1188" s="14">
        <v>45432</v>
      </c>
      <c r="C1188" s="13" t="s">
        <v>194</v>
      </c>
      <c r="D1188" s="13" t="s">
        <v>187</v>
      </c>
      <c r="E1188" s="13" t="s">
        <v>325</v>
      </c>
      <c r="F1188" s="15">
        <v>1</v>
      </c>
      <c r="G1188" s="15">
        <v>3570</v>
      </c>
      <c r="H1188" s="15">
        <v>11.1</v>
      </c>
      <c r="I1188" s="15">
        <v>3173.73</v>
      </c>
      <c r="J1188" s="13" t="s">
        <v>140</v>
      </c>
      <c r="K1188" s="13" t="s">
        <v>88</v>
      </c>
      <c r="L1188" s="34" t="str">
        <f>VLOOKUP(D1188,Products!$A$2:$F$61,3,FALSE)</f>
        <v>Electronics</v>
      </c>
      <c r="M1188" s="34" t="str">
        <f>VLOOKUP(C1188,Customers!$A$2:$F$301,5,FALSE)</f>
        <v>SMB</v>
      </c>
      <c r="N1188" s="34">
        <f>VLOOKUP(C1188,Customers!$A$2:$F$301,3,FALSE)</f>
        <v>44</v>
      </c>
      <c r="O1188" s="34" t="str">
        <f>VLOOKUP(E1188,Sales_Reps!$A$2:$E$31,3,FALSE)</f>
        <v>South</v>
      </c>
      <c r="P1188" s="13" t="s">
        <v>325</v>
      </c>
      <c r="Q1188" s="34">
        <f t="shared" si="40"/>
        <v>901394.32000000007</v>
      </c>
      <c r="R1188" s="34" t="str">
        <f>VLOOKUP(E1188,Sales_Reps!$A$2:$E$100,3,FALSE)</f>
        <v>South</v>
      </c>
      <c r="S1188" s="34" t="str">
        <f t="shared" si="41"/>
        <v>Electronics</v>
      </c>
      <c r="T1188" s="38">
        <f>VLOOKUP(D1188,Products!$A$2:$F$68,4,FALSE)</f>
        <v>1665</v>
      </c>
    </row>
    <row r="1189" spans="1:20" x14ac:dyDescent="0.35">
      <c r="A1189" s="13" t="s">
        <v>1675</v>
      </c>
      <c r="B1189" s="14">
        <v>45551</v>
      </c>
      <c r="C1189" s="13" t="s">
        <v>662</v>
      </c>
      <c r="D1189" s="13" t="s">
        <v>364</v>
      </c>
      <c r="E1189" s="13" t="s">
        <v>325</v>
      </c>
      <c r="F1189" s="15">
        <v>1</v>
      </c>
      <c r="G1189" s="15">
        <v>5330</v>
      </c>
      <c r="H1189" s="15">
        <v>3.5</v>
      </c>
      <c r="I1189" s="15">
        <v>5143.45</v>
      </c>
      <c r="J1189" s="13" t="s">
        <v>87</v>
      </c>
      <c r="K1189" s="13" t="s">
        <v>94</v>
      </c>
      <c r="L1189" s="34" t="str">
        <f>VLOOKUP(D1189,Products!$A$2:$F$61,3,FALSE)</f>
        <v>Electronics</v>
      </c>
      <c r="M1189" s="34" t="str">
        <f>VLOOKUP(C1189,Customers!$A$2:$F$301,5,FALSE)</f>
        <v>Corporate</v>
      </c>
      <c r="N1189" s="34">
        <f>VLOOKUP(C1189,Customers!$A$2:$F$301,3,FALSE)</f>
        <v>41</v>
      </c>
      <c r="O1189" s="34" t="str">
        <f>VLOOKUP(E1189,Sales_Reps!$A$2:$E$31,3,FALSE)</f>
        <v>South</v>
      </c>
      <c r="P1189" s="13" t="s">
        <v>325</v>
      </c>
      <c r="Q1189" s="34">
        <f t="shared" si="40"/>
        <v>901394.32000000007</v>
      </c>
      <c r="R1189" s="34" t="str">
        <f>VLOOKUP(E1189,Sales_Reps!$A$2:$E$100,3,FALSE)</f>
        <v>South</v>
      </c>
      <c r="S1189" s="34" t="str">
        <f t="shared" si="41"/>
        <v>Electronics</v>
      </c>
      <c r="T1189" s="38">
        <f>VLOOKUP(D1189,Products!$A$2:$F$68,4,FALSE)</f>
        <v>2405</v>
      </c>
    </row>
    <row r="1190" spans="1:20" x14ac:dyDescent="0.35">
      <c r="A1190" s="13" t="s">
        <v>1676</v>
      </c>
      <c r="B1190" s="14">
        <v>45348</v>
      </c>
      <c r="C1190" s="13" t="s">
        <v>350</v>
      </c>
      <c r="D1190" s="13" t="s">
        <v>360</v>
      </c>
      <c r="E1190" s="13" t="s">
        <v>303</v>
      </c>
      <c r="F1190" s="15">
        <v>7</v>
      </c>
      <c r="G1190" s="15">
        <v>5410</v>
      </c>
      <c r="H1190" s="15">
        <v>26.2</v>
      </c>
      <c r="I1190" s="15">
        <v>27948.06</v>
      </c>
      <c r="J1190" s="13" t="s">
        <v>87</v>
      </c>
      <c r="K1190" s="13" t="s">
        <v>112</v>
      </c>
      <c r="L1190" s="34" t="str">
        <f>VLOOKUP(D1190,Products!$A$2:$F$61,3,FALSE)</f>
        <v>Sports</v>
      </c>
      <c r="M1190" s="34" t="str">
        <f>VLOOKUP(C1190,Customers!$A$2:$F$301,5,FALSE)</f>
        <v>SMB</v>
      </c>
      <c r="N1190" s="34">
        <f>VLOOKUP(C1190,Customers!$A$2:$F$301,3,FALSE)</f>
        <v>22</v>
      </c>
      <c r="O1190" s="34" t="str">
        <f>VLOOKUP(E1190,Sales_Reps!$A$2:$E$31,3,FALSE)</f>
        <v>East</v>
      </c>
      <c r="P1190" s="13" t="s">
        <v>303</v>
      </c>
      <c r="Q1190" s="34">
        <f t="shared" si="40"/>
        <v>1112289.6400000001</v>
      </c>
      <c r="R1190" s="34" t="str">
        <f>VLOOKUP(E1190,Sales_Reps!$A$2:$E$100,3,FALSE)</f>
        <v>East</v>
      </c>
      <c r="S1190" s="34" t="str">
        <f t="shared" si="41"/>
        <v>Sports</v>
      </c>
      <c r="T1190" s="38">
        <f>VLOOKUP(D1190,Products!$A$2:$F$68,4,FALSE)</f>
        <v>2265</v>
      </c>
    </row>
    <row r="1191" spans="1:20" x14ac:dyDescent="0.35">
      <c r="A1191" s="13" t="s">
        <v>1677</v>
      </c>
      <c r="B1191" s="14">
        <v>45374</v>
      </c>
      <c r="C1191" s="13" t="s">
        <v>1231</v>
      </c>
      <c r="D1191" s="13" t="s">
        <v>443</v>
      </c>
      <c r="E1191" s="13" t="s">
        <v>346</v>
      </c>
      <c r="F1191" s="15">
        <v>10</v>
      </c>
      <c r="G1191" s="15">
        <v>5080</v>
      </c>
      <c r="H1191" s="15">
        <v>3.7</v>
      </c>
      <c r="I1191" s="15">
        <v>48920.4</v>
      </c>
      <c r="J1191" s="13" t="s">
        <v>93</v>
      </c>
      <c r="K1191" s="13" t="s">
        <v>88</v>
      </c>
      <c r="L1191" s="34" t="str">
        <f>VLOOKUP(D1191,Products!$A$2:$F$61,3,FALSE)</f>
        <v>Home</v>
      </c>
      <c r="M1191" s="34" t="str">
        <f>VLOOKUP(C1191,Customers!$A$2:$F$301,5,FALSE)</f>
        <v>Retail</v>
      </c>
      <c r="N1191" s="34">
        <f>VLOOKUP(C1191,Customers!$A$2:$F$301,3,FALSE)</f>
        <v>42</v>
      </c>
      <c r="O1191" s="34" t="str">
        <f>VLOOKUP(E1191,Sales_Reps!$A$2:$E$31,3,FALSE)</f>
        <v>South</v>
      </c>
      <c r="P1191" s="13" t="s">
        <v>346</v>
      </c>
      <c r="Q1191" s="34">
        <f t="shared" si="40"/>
        <v>814563.7100000002</v>
      </c>
      <c r="R1191" s="34" t="str">
        <f>VLOOKUP(E1191,Sales_Reps!$A$2:$E$100,3,FALSE)</f>
        <v>South</v>
      </c>
      <c r="S1191" s="34" t="str">
        <f t="shared" si="41"/>
        <v>Home</v>
      </c>
      <c r="T1191" s="38">
        <f>VLOOKUP(D1191,Products!$A$2:$F$68,4,FALSE)</f>
        <v>2459</v>
      </c>
    </row>
    <row r="1192" spans="1:20" x14ac:dyDescent="0.35">
      <c r="A1192" s="13" t="s">
        <v>1678</v>
      </c>
      <c r="B1192" s="14">
        <v>45370</v>
      </c>
      <c r="C1192" s="13" t="s">
        <v>714</v>
      </c>
      <c r="D1192" s="13" t="s">
        <v>187</v>
      </c>
      <c r="E1192" s="13" t="s">
        <v>92</v>
      </c>
      <c r="F1192" s="15">
        <v>9</v>
      </c>
      <c r="G1192" s="15">
        <v>3570</v>
      </c>
      <c r="H1192" s="15">
        <v>5.6</v>
      </c>
      <c r="I1192" s="15">
        <v>30330.720000000001</v>
      </c>
      <c r="J1192" s="13" t="s">
        <v>87</v>
      </c>
      <c r="K1192" s="13" t="s">
        <v>99</v>
      </c>
      <c r="L1192" s="34" t="str">
        <f>VLOOKUP(D1192,Products!$A$2:$F$61,3,FALSE)</f>
        <v>Electronics</v>
      </c>
      <c r="M1192" s="34" t="str">
        <f>VLOOKUP(C1192,Customers!$A$2:$F$301,5,FALSE)</f>
        <v>Retail</v>
      </c>
      <c r="N1192" s="34">
        <f>VLOOKUP(C1192,Customers!$A$2:$F$301,3,FALSE)</f>
        <v>24</v>
      </c>
      <c r="O1192" s="34" t="str">
        <f>VLOOKUP(E1192,Sales_Reps!$A$2:$E$31,3,FALSE)</f>
        <v>North</v>
      </c>
      <c r="P1192" s="13" t="s">
        <v>92</v>
      </c>
      <c r="Q1192" s="34">
        <f t="shared" si="40"/>
        <v>782445.33</v>
      </c>
      <c r="R1192" s="34" t="str">
        <f>VLOOKUP(E1192,Sales_Reps!$A$2:$E$100,3,FALSE)</f>
        <v>North</v>
      </c>
      <c r="S1192" s="34" t="str">
        <f t="shared" si="41"/>
        <v>Electronics</v>
      </c>
      <c r="T1192" s="38">
        <f>VLOOKUP(D1192,Products!$A$2:$F$68,4,FALSE)</f>
        <v>1665</v>
      </c>
    </row>
    <row r="1193" spans="1:20" x14ac:dyDescent="0.35">
      <c r="A1193" s="13" t="s">
        <v>1679</v>
      </c>
      <c r="B1193" s="14">
        <v>45656</v>
      </c>
      <c r="C1193" s="13" t="s">
        <v>604</v>
      </c>
      <c r="D1193" s="13" t="s">
        <v>127</v>
      </c>
      <c r="E1193" s="13" t="s">
        <v>285</v>
      </c>
      <c r="F1193" s="15">
        <v>9</v>
      </c>
      <c r="G1193" s="15">
        <v>970</v>
      </c>
      <c r="H1193" s="15">
        <v>19.5</v>
      </c>
      <c r="I1193" s="15">
        <v>7027.65</v>
      </c>
      <c r="J1193" s="13" t="s">
        <v>87</v>
      </c>
      <c r="K1193" s="13" t="s">
        <v>117</v>
      </c>
      <c r="L1193" s="34" t="str">
        <f>VLOOKUP(D1193,Products!$A$2:$F$61,3,FALSE)</f>
        <v>Grocery</v>
      </c>
      <c r="M1193" s="34" t="str">
        <f>VLOOKUP(C1193,Customers!$A$2:$F$301,5,FALSE)</f>
        <v>Retail</v>
      </c>
      <c r="N1193" s="34">
        <f>VLOOKUP(C1193,Customers!$A$2:$F$301,3,FALSE)</f>
        <v>34</v>
      </c>
      <c r="O1193" s="34" t="str">
        <f>VLOOKUP(E1193,Sales_Reps!$A$2:$E$31,3,FALSE)</f>
        <v>East</v>
      </c>
      <c r="P1193" s="13" t="s">
        <v>285</v>
      </c>
      <c r="Q1193" s="34">
        <f t="shared" si="40"/>
        <v>1069570.5400000003</v>
      </c>
      <c r="R1193" s="34" t="str">
        <f>VLOOKUP(E1193,Sales_Reps!$A$2:$E$100,3,FALSE)</f>
        <v>East</v>
      </c>
      <c r="S1193" s="34" t="str">
        <f t="shared" si="41"/>
        <v>Grocery</v>
      </c>
      <c r="T1193" s="38">
        <f>VLOOKUP(D1193,Products!$A$2:$F$68,4,FALSE)</f>
        <v>434</v>
      </c>
    </row>
    <row r="1194" spans="1:20" x14ac:dyDescent="0.35">
      <c r="A1194" s="13" t="s">
        <v>1680</v>
      </c>
      <c r="B1194" s="14">
        <v>45357</v>
      </c>
      <c r="C1194" s="13" t="s">
        <v>420</v>
      </c>
      <c r="D1194" s="13" t="s">
        <v>282</v>
      </c>
      <c r="E1194" s="13" t="s">
        <v>204</v>
      </c>
      <c r="F1194" s="15">
        <v>10</v>
      </c>
      <c r="G1194" s="15">
        <v>300</v>
      </c>
      <c r="H1194" s="15">
        <v>23</v>
      </c>
      <c r="I1194" s="15">
        <v>2310</v>
      </c>
      <c r="J1194" s="13" t="s">
        <v>140</v>
      </c>
      <c r="K1194" s="13" t="s">
        <v>99</v>
      </c>
      <c r="L1194" s="34" t="str">
        <f>VLOOKUP(D1194,Products!$A$2:$F$61,3,FALSE)</f>
        <v>Electronics</v>
      </c>
      <c r="M1194" s="34" t="str">
        <f>VLOOKUP(C1194,Customers!$A$2:$F$301,5,FALSE)</f>
        <v>Retail</v>
      </c>
      <c r="N1194" s="34">
        <f>VLOOKUP(C1194,Customers!$A$2:$F$301,3,FALSE)</f>
        <v>44</v>
      </c>
      <c r="O1194" s="34" t="str">
        <f>VLOOKUP(E1194,Sales_Reps!$A$2:$E$31,3,FALSE)</f>
        <v>South</v>
      </c>
      <c r="P1194" s="13" t="s">
        <v>204</v>
      </c>
      <c r="Q1194" s="34">
        <f t="shared" si="40"/>
        <v>914554.71999999986</v>
      </c>
      <c r="R1194" s="34" t="str">
        <f>VLOOKUP(E1194,Sales_Reps!$A$2:$E$100,3,FALSE)</f>
        <v>South</v>
      </c>
      <c r="S1194" s="34" t="str">
        <f t="shared" si="41"/>
        <v>Electronics</v>
      </c>
      <c r="T1194" s="38">
        <f>VLOOKUP(D1194,Products!$A$2:$F$68,4,FALSE)</f>
        <v>128</v>
      </c>
    </row>
    <row r="1195" spans="1:20" x14ac:dyDescent="0.35">
      <c r="A1195" s="13" t="s">
        <v>1681</v>
      </c>
      <c r="B1195" s="14">
        <v>45479</v>
      </c>
      <c r="C1195" s="13" t="s">
        <v>425</v>
      </c>
      <c r="D1195" s="13" t="s">
        <v>241</v>
      </c>
      <c r="E1195" s="13" t="s">
        <v>148</v>
      </c>
      <c r="F1195" s="15">
        <v>10</v>
      </c>
      <c r="G1195" s="15">
        <v>6080</v>
      </c>
      <c r="H1195" s="15">
        <v>3.9</v>
      </c>
      <c r="I1195" s="15">
        <v>58428.800000000003</v>
      </c>
      <c r="J1195" s="13" t="s">
        <v>87</v>
      </c>
      <c r="K1195" s="13" t="s">
        <v>94</v>
      </c>
      <c r="L1195" s="34" t="str">
        <f>VLOOKUP(D1195,Products!$A$2:$F$61,3,FALSE)</f>
        <v>Beauty</v>
      </c>
      <c r="M1195" s="34" t="str">
        <f>VLOOKUP(C1195,Customers!$A$2:$F$301,5,FALSE)</f>
        <v>SMB</v>
      </c>
      <c r="N1195" s="34">
        <f>VLOOKUP(C1195,Customers!$A$2:$F$301,3,FALSE)</f>
        <v>64</v>
      </c>
      <c r="O1195" s="34" t="str">
        <f>VLOOKUP(E1195,Sales_Reps!$A$2:$E$31,3,FALSE)</f>
        <v>North</v>
      </c>
      <c r="P1195" s="13" t="s">
        <v>148</v>
      </c>
      <c r="Q1195" s="34">
        <f t="shared" si="40"/>
        <v>986692.91</v>
      </c>
      <c r="R1195" s="34" t="str">
        <f>VLOOKUP(E1195,Sales_Reps!$A$2:$E$100,3,FALSE)</f>
        <v>North</v>
      </c>
      <c r="S1195" s="34" t="str">
        <f t="shared" si="41"/>
        <v>Beauty</v>
      </c>
      <c r="T1195" s="38">
        <f>VLOOKUP(D1195,Products!$A$2:$F$68,4,FALSE)</f>
        <v>2617</v>
      </c>
    </row>
    <row r="1196" spans="1:20" x14ac:dyDescent="0.35">
      <c r="A1196" s="13" t="s">
        <v>909</v>
      </c>
      <c r="B1196" s="14">
        <v>45539</v>
      </c>
      <c r="C1196" s="13" t="s">
        <v>142</v>
      </c>
      <c r="D1196" s="13" t="s">
        <v>191</v>
      </c>
      <c r="E1196" s="13" t="s">
        <v>273</v>
      </c>
      <c r="F1196" s="15">
        <v>2</v>
      </c>
      <c r="G1196" s="15">
        <v>5100</v>
      </c>
      <c r="H1196" s="15">
        <v>11</v>
      </c>
      <c r="I1196" s="15">
        <v>9078</v>
      </c>
      <c r="J1196" s="13" t="s">
        <v>87</v>
      </c>
      <c r="K1196" s="13" t="s">
        <v>88</v>
      </c>
      <c r="L1196" s="34" t="str">
        <f>VLOOKUP(D1196,Products!$A$2:$F$61,3,FALSE)</f>
        <v>Beauty</v>
      </c>
      <c r="M1196" s="34" t="str">
        <f>VLOOKUP(C1196,Customers!$A$2:$F$301,5,FALSE)</f>
        <v>SMB</v>
      </c>
      <c r="N1196" s="34">
        <f>VLOOKUP(C1196,Customers!$A$2:$F$301,3,FALSE)</f>
        <v>39</v>
      </c>
      <c r="O1196" s="34" t="str">
        <f>VLOOKUP(E1196,Sales_Reps!$A$2:$E$31,3,FALSE)</f>
        <v>South</v>
      </c>
      <c r="P1196" s="13" t="s">
        <v>273</v>
      </c>
      <c r="Q1196" s="34">
        <f t="shared" si="40"/>
        <v>735207.75999999989</v>
      </c>
      <c r="R1196" s="34" t="str">
        <f>VLOOKUP(E1196,Sales_Reps!$A$2:$E$100,3,FALSE)</f>
        <v>South</v>
      </c>
      <c r="S1196" s="34" t="str">
        <f t="shared" si="41"/>
        <v>Beauty</v>
      </c>
      <c r="T1196" s="38">
        <f>VLOOKUP(D1196,Products!$A$2:$F$68,4,FALSE)</f>
        <v>2237</v>
      </c>
    </row>
    <row r="1197" spans="1:20" x14ac:dyDescent="0.35">
      <c r="A1197" s="13" t="s">
        <v>1682</v>
      </c>
      <c r="B1197" s="14">
        <v>45394</v>
      </c>
      <c r="C1197" s="13" t="s">
        <v>371</v>
      </c>
      <c r="D1197" s="13" t="s">
        <v>452</v>
      </c>
      <c r="E1197" s="13" t="s">
        <v>121</v>
      </c>
      <c r="F1197" s="15">
        <v>9</v>
      </c>
      <c r="G1197" s="15">
        <v>3450</v>
      </c>
      <c r="H1197" s="15">
        <v>23.7</v>
      </c>
      <c r="I1197" s="15">
        <v>23691.15</v>
      </c>
      <c r="J1197" s="13" t="s">
        <v>87</v>
      </c>
      <c r="K1197" s="13" t="s">
        <v>112</v>
      </c>
      <c r="L1197" s="34" t="str">
        <f>VLOOKUP(D1197,Products!$A$2:$F$61,3,FALSE)</f>
        <v>Apparel</v>
      </c>
      <c r="M1197" s="34" t="str">
        <f>VLOOKUP(C1197,Customers!$A$2:$F$301,5,FALSE)</f>
        <v>Retail</v>
      </c>
      <c r="N1197" s="34">
        <f>VLOOKUP(C1197,Customers!$A$2:$F$301,3,FALSE)</f>
        <v>42</v>
      </c>
      <c r="O1197" s="34" t="str">
        <f>VLOOKUP(E1197,Sales_Reps!$A$2:$E$31,3,FALSE)</f>
        <v>East</v>
      </c>
      <c r="P1197" s="13" t="s">
        <v>121</v>
      </c>
      <c r="Q1197" s="34">
        <f t="shared" si="40"/>
        <v>971183.52000000014</v>
      </c>
      <c r="R1197" s="34" t="str">
        <f>VLOOKUP(E1197,Sales_Reps!$A$2:$E$100,3,FALSE)</f>
        <v>East</v>
      </c>
      <c r="S1197" s="34" t="str">
        <f t="shared" si="41"/>
        <v>Apparel</v>
      </c>
      <c r="T1197" s="38">
        <f>VLOOKUP(D1197,Products!$A$2:$F$68,4,FALSE)</f>
        <v>1748</v>
      </c>
    </row>
    <row r="1198" spans="1:20" x14ac:dyDescent="0.35">
      <c r="A1198" s="13" t="s">
        <v>1683</v>
      </c>
      <c r="B1198" s="14">
        <v>45335</v>
      </c>
      <c r="C1198" s="13" t="s">
        <v>759</v>
      </c>
      <c r="D1198" s="13" t="s">
        <v>167</v>
      </c>
      <c r="E1198" s="13" t="s">
        <v>273</v>
      </c>
      <c r="F1198" s="15">
        <v>5</v>
      </c>
      <c r="G1198" s="15">
        <v>2480</v>
      </c>
      <c r="H1198" s="15">
        <v>20.399999999999999</v>
      </c>
      <c r="I1198" s="15">
        <v>9870.4</v>
      </c>
      <c r="J1198" s="13" t="s">
        <v>87</v>
      </c>
      <c r="K1198" s="13" t="s">
        <v>117</v>
      </c>
      <c r="L1198" s="34" t="str">
        <f>VLOOKUP(D1198,Products!$A$2:$F$61,3,FALSE)</f>
        <v>Apparel</v>
      </c>
      <c r="M1198" s="34" t="str">
        <f>VLOOKUP(C1198,Customers!$A$2:$F$301,5,FALSE)</f>
        <v>Retail</v>
      </c>
      <c r="N1198" s="34">
        <f>VLOOKUP(C1198,Customers!$A$2:$F$301,3,FALSE)</f>
        <v>29</v>
      </c>
      <c r="O1198" s="34" t="str">
        <f>VLOOKUP(E1198,Sales_Reps!$A$2:$E$31,3,FALSE)</f>
        <v>South</v>
      </c>
      <c r="P1198" s="13" t="s">
        <v>273</v>
      </c>
      <c r="Q1198" s="34">
        <f t="shared" si="40"/>
        <v>735207.75999999989</v>
      </c>
      <c r="R1198" s="34" t="str">
        <f>VLOOKUP(E1198,Sales_Reps!$A$2:$E$100,3,FALSE)</f>
        <v>South</v>
      </c>
      <c r="S1198" s="34" t="str">
        <f t="shared" si="41"/>
        <v>Apparel</v>
      </c>
      <c r="T1198" s="38">
        <f>VLOOKUP(D1198,Products!$A$2:$F$68,4,FALSE)</f>
        <v>1173</v>
      </c>
    </row>
    <row r="1199" spans="1:20" x14ac:dyDescent="0.35">
      <c r="A1199" s="13" t="s">
        <v>1684</v>
      </c>
      <c r="B1199" s="14">
        <v>45334</v>
      </c>
      <c r="C1199" s="13" t="s">
        <v>266</v>
      </c>
      <c r="D1199" s="13" t="s">
        <v>147</v>
      </c>
      <c r="E1199" s="13" t="s">
        <v>132</v>
      </c>
      <c r="F1199" s="15">
        <v>4</v>
      </c>
      <c r="G1199" s="15">
        <v>190</v>
      </c>
      <c r="H1199" s="15">
        <v>2.6</v>
      </c>
      <c r="I1199" s="15">
        <v>740.24</v>
      </c>
      <c r="J1199" s="13" t="s">
        <v>87</v>
      </c>
      <c r="K1199" s="13" t="s">
        <v>99</v>
      </c>
      <c r="L1199" s="34" t="str">
        <f>VLOOKUP(D1199,Products!$A$2:$F$61,3,FALSE)</f>
        <v>Sports</v>
      </c>
      <c r="M1199" s="34" t="str">
        <f>VLOOKUP(C1199,Customers!$A$2:$F$301,5,FALSE)</f>
        <v>Corporate</v>
      </c>
      <c r="N1199" s="34">
        <f>VLOOKUP(C1199,Customers!$A$2:$F$301,3,FALSE)</f>
        <v>55</v>
      </c>
      <c r="O1199" s="34" t="str">
        <f>VLOOKUP(E1199,Sales_Reps!$A$2:$E$31,3,FALSE)</f>
        <v>South</v>
      </c>
      <c r="P1199" s="13" t="s">
        <v>132</v>
      </c>
      <c r="Q1199" s="34">
        <f t="shared" si="40"/>
        <v>880345.20000000007</v>
      </c>
      <c r="R1199" s="34" t="str">
        <f>VLOOKUP(E1199,Sales_Reps!$A$2:$E$100,3,FALSE)</f>
        <v>South</v>
      </c>
      <c r="S1199" s="34" t="str">
        <f t="shared" si="41"/>
        <v>Sports</v>
      </c>
      <c r="T1199" s="38">
        <f>VLOOKUP(D1199,Products!$A$2:$F$68,4,FALSE)</f>
        <v>147</v>
      </c>
    </row>
    <row r="1200" spans="1:20" x14ac:dyDescent="0.35">
      <c r="A1200" s="13" t="s">
        <v>1685</v>
      </c>
      <c r="B1200" s="14">
        <v>45300</v>
      </c>
      <c r="C1200" s="13" t="s">
        <v>1006</v>
      </c>
      <c r="D1200" s="13" t="s">
        <v>245</v>
      </c>
      <c r="E1200" s="13" t="s">
        <v>192</v>
      </c>
      <c r="F1200" s="15">
        <v>4</v>
      </c>
      <c r="G1200" s="15">
        <v>2270</v>
      </c>
      <c r="H1200" s="15">
        <v>8.1</v>
      </c>
      <c r="I1200" s="15">
        <v>8344.52</v>
      </c>
      <c r="J1200" s="13" t="s">
        <v>93</v>
      </c>
      <c r="K1200" s="13" t="s">
        <v>117</v>
      </c>
      <c r="L1200" s="34" t="str">
        <f>VLOOKUP(D1200,Products!$A$2:$F$61,3,FALSE)</f>
        <v>Grocery</v>
      </c>
      <c r="M1200" s="34" t="str">
        <f>VLOOKUP(C1200,Customers!$A$2:$F$301,5,FALSE)</f>
        <v>SMB</v>
      </c>
      <c r="N1200" s="34">
        <f>VLOOKUP(C1200,Customers!$A$2:$F$301,3,FALSE)</f>
        <v>44</v>
      </c>
      <c r="O1200" s="34" t="str">
        <f>VLOOKUP(E1200,Sales_Reps!$A$2:$E$31,3,FALSE)</f>
        <v>East</v>
      </c>
      <c r="P1200" s="13" t="s">
        <v>192</v>
      </c>
      <c r="Q1200" s="34">
        <f t="shared" si="40"/>
        <v>906107.71000000008</v>
      </c>
      <c r="R1200" s="34" t="str">
        <f>VLOOKUP(E1200,Sales_Reps!$A$2:$E$100,3,FALSE)</f>
        <v>East</v>
      </c>
      <c r="S1200" s="34" t="str">
        <f t="shared" si="41"/>
        <v>Grocery</v>
      </c>
      <c r="T1200" s="38">
        <f>VLOOKUP(D1200,Products!$A$2:$F$68,4,FALSE)</f>
        <v>1412</v>
      </c>
    </row>
    <row r="1201" spans="1:20" x14ac:dyDescent="0.35">
      <c r="A1201" s="13" t="s">
        <v>1686</v>
      </c>
      <c r="B1201" s="14">
        <v>45400</v>
      </c>
      <c r="C1201" s="13" t="s">
        <v>510</v>
      </c>
      <c r="D1201" s="13" t="s">
        <v>355</v>
      </c>
      <c r="E1201" s="13" t="s">
        <v>128</v>
      </c>
      <c r="F1201" s="15">
        <v>7</v>
      </c>
      <c r="G1201" s="15">
        <v>2510</v>
      </c>
      <c r="H1201" s="15">
        <v>25.5</v>
      </c>
      <c r="I1201" s="15">
        <v>13089.65</v>
      </c>
      <c r="J1201" s="13" t="s">
        <v>87</v>
      </c>
      <c r="K1201" s="13" t="s">
        <v>117</v>
      </c>
      <c r="L1201" s="34" t="str">
        <f>VLOOKUP(D1201,Products!$A$2:$F$61,3,FALSE)</f>
        <v>Apparel</v>
      </c>
      <c r="M1201" s="34" t="str">
        <f>VLOOKUP(C1201,Customers!$A$2:$F$301,5,FALSE)</f>
        <v>SMB</v>
      </c>
      <c r="N1201" s="34">
        <f>VLOOKUP(C1201,Customers!$A$2:$F$301,3,FALSE)</f>
        <v>26</v>
      </c>
      <c r="O1201" s="34" t="str">
        <f>VLOOKUP(E1201,Sales_Reps!$A$2:$E$31,3,FALSE)</f>
        <v>West</v>
      </c>
      <c r="P1201" s="13" t="s">
        <v>128</v>
      </c>
      <c r="Q1201" s="34">
        <f t="shared" si="40"/>
        <v>880468.05</v>
      </c>
      <c r="R1201" s="34" t="str">
        <f>VLOOKUP(E1201,Sales_Reps!$A$2:$E$100,3,FALSE)</f>
        <v>West</v>
      </c>
      <c r="S1201" s="34" t="str">
        <f t="shared" si="41"/>
        <v>Apparel</v>
      </c>
      <c r="T1201" s="38">
        <f>VLOOKUP(D1201,Products!$A$2:$F$68,4,FALSE)</f>
        <v>1075</v>
      </c>
    </row>
    <row r="1202" spans="1:20" x14ac:dyDescent="0.35">
      <c r="A1202" s="13" t="s">
        <v>1687</v>
      </c>
      <c r="B1202" s="14">
        <v>45423</v>
      </c>
      <c r="C1202" s="13" t="s">
        <v>126</v>
      </c>
      <c r="D1202" s="13" t="s">
        <v>461</v>
      </c>
      <c r="E1202" s="13" t="s">
        <v>139</v>
      </c>
      <c r="F1202" s="15">
        <v>3</v>
      </c>
      <c r="G1202" s="15">
        <v>3780</v>
      </c>
      <c r="H1202" s="15">
        <v>16.8</v>
      </c>
      <c r="I1202" s="15">
        <v>9434.8799999999992</v>
      </c>
      <c r="J1202" s="13" t="s">
        <v>87</v>
      </c>
      <c r="K1202" s="13" t="s">
        <v>88</v>
      </c>
      <c r="L1202" s="34" t="str">
        <f>VLOOKUP(D1202,Products!$A$2:$F$61,3,FALSE)</f>
        <v>Sports</v>
      </c>
      <c r="M1202" s="34" t="str">
        <f>VLOOKUP(C1202,Customers!$A$2:$F$301,5,FALSE)</f>
        <v>Retail</v>
      </c>
      <c r="N1202" s="34">
        <f>VLOOKUP(C1202,Customers!$A$2:$F$301,3,FALSE)</f>
        <v>56</v>
      </c>
      <c r="O1202" s="34" t="str">
        <f>VLOOKUP(E1202,Sales_Reps!$A$2:$E$31,3,FALSE)</f>
        <v>North</v>
      </c>
      <c r="P1202" s="13" t="s">
        <v>139</v>
      </c>
      <c r="Q1202" s="34">
        <f t="shared" si="40"/>
        <v>589026.2899999998</v>
      </c>
      <c r="R1202" s="34" t="str">
        <f>VLOOKUP(E1202,Sales_Reps!$A$2:$E$100,3,FALSE)</f>
        <v>North</v>
      </c>
      <c r="S1202" s="34" t="str">
        <f t="shared" si="41"/>
        <v>Sports</v>
      </c>
      <c r="T1202" s="38">
        <f>VLOOKUP(D1202,Products!$A$2:$F$68,4,FALSE)</f>
        <v>1860</v>
      </c>
    </row>
    <row r="1203" spans="1:20" x14ac:dyDescent="0.35">
      <c r="A1203" s="13" t="s">
        <v>1688</v>
      </c>
      <c r="B1203" s="14">
        <v>45518</v>
      </c>
      <c r="C1203" s="13" t="s">
        <v>561</v>
      </c>
      <c r="D1203" s="13" t="s">
        <v>187</v>
      </c>
      <c r="E1203" s="13" t="s">
        <v>132</v>
      </c>
      <c r="F1203" s="15">
        <v>7</v>
      </c>
      <c r="G1203" s="15">
        <v>3570</v>
      </c>
      <c r="H1203" s="15">
        <v>23.7</v>
      </c>
      <c r="I1203" s="15">
        <v>19067.37</v>
      </c>
      <c r="J1203" s="13" t="s">
        <v>87</v>
      </c>
      <c r="K1203" s="13" t="s">
        <v>133</v>
      </c>
      <c r="L1203" s="34" t="str">
        <f>VLOOKUP(D1203,Products!$A$2:$F$61,3,FALSE)</f>
        <v>Electronics</v>
      </c>
      <c r="M1203" s="34" t="str">
        <f>VLOOKUP(C1203,Customers!$A$2:$F$301,5,FALSE)</f>
        <v>SMB</v>
      </c>
      <c r="N1203" s="34">
        <f>VLOOKUP(C1203,Customers!$A$2:$F$301,3,FALSE)</f>
        <v>43</v>
      </c>
      <c r="O1203" s="34" t="str">
        <f>VLOOKUP(E1203,Sales_Reps!$A$2:$E$31,3,FALSE)</f>
        <v>South</v>
      </c>
      <c r="P1203" s="13" t="s">
        <v>132</v>
      </c>
      <c r="Q1203" s="34">
        <f t="shared" si="40"/>
        <v>880345.20000000007</v>
      </c>
      <c r="R1203" s="34" t="str">
        <f>VLOOKUP(E1203,Sales_Reps!$A$2:$E$100,3,FALSE)</f>
        <v>South</v>
      </c>
      <c r="S1203" s="34" t="str">
        <f t="shared" si="41"/>
        <v>Electronics</v>
      </c>
      <c r="T1203" s="38">
        <f>VLOOKUP(D1203,Products!$A$2:$F$68,4,FALSE)</f>
        <v>1665</v>
      </c>
    </row>
    <row r="1204" spans="1:20" x14ac:dyDescent="0.35">
      <c r="A1204" s="13" t="s">
        <v>1689</v>
      </c>
      <c r="B1204" s="14">
        <v>45559</v>
      </c>
      <c r="C1204" s="13" t="s">
        <v>427</v>
      </c>
      <c r="D1204" s="13" t="s">
        <v>203</v>
      </c>
      <c r="E1204" s="13" t="s">
        <v>273</v>
      </c>
      <c r="F1204" s="15">
        <v>4</v>
      </c>
      <c r="G1204" s="15">
        <v>660</v>
      </c>
      <c r="H1204" s="15">
        <v>3.6</v>
      </c>
      <c r="I1204" s="15">
        <v>2544.96</v>
      </c>
      <c r="J1204" s="13" t="s">
        <v>87</v>
      </c>
      <c r="K1204" s="13" t="s">
        <v>88</v>
      </c>
      <c r="L1204" s="34" t="str">
        <f>VLOOKUP(D1204,Products!$A$2:$F$61,3,FALSE)</f>
        <v>Home</v>
      </c>
      <c r="M1204" s="34" t="str">
        <f>VLOOKUP(C1204,Customers!$A$2:$F$301,5,FALSE)</f>
        <v>Corporate</v>
      </c>
      <c r="N1204" s="34">
        <f>VLOOKUP(C1204,Customers!$A$2:$F$301,3,FALSE)</f>
        <v>48</v>
      </c>
      <c r="O1204" s="34" t="str">
        <f>VLOOKUP(E1204,Sales_Reps!$A$2:$E$31,3,FALSE)</f>
        <v>South</v>
      </c>
      <c r="P1204" s="13" t="s">
        <v>273</v>
      </c>
      <c r="Q1204" s="34">
        <f t="shared" si="40"/>
        <v>735207.75999999989</v>
      </c>
      <c r="R1204" s="34" t="str">
        <f>VLOOKUP(E1204,Sales_Reps!$A$2:$E$100,3,FALSE)</f>
        <v>South</v>
      </c>
      <c r="S1204" s="34" t="str">
        <f t="shared" si="41"/>
        <v>Home</v>
      </c>
      <c r="T1204" s="38">
        <f>VLOOKUP(D1204,Products!$A$2:$F$68,4,FALSE)</f>
        <v>329</v>
      </c>
    </row>
    <row r="1205" spans="1:20" x14ac:dyDescent="0.35">
      <c r="A1205" s="13" t="s">
        <v>1690</v>
      </c>
      <c r="B1205" s="14">
        <v>45501</v>
      </c>
      <c r="C1205" s="13" t="s">
        <v>1051</v>
      </c>
      <c r="D1205" s="13" t="s">
        <v>127</v>
      </c>
      <c r="E1205" s="13" t="s">
        <v>132</v>
      </c>
      <c r="F1205" s="15">
        <v>7</v>
      </c>
      <c r="G1205" s="15">
        <v>970</v>
      </c>
      <c r="H1205" s="15">
        <v>23.7</v>
      </c>
      <c r="I1205" s="15">
        <v>5180.7700000000004</v>
      </c>
      <c r="J1205" s="13" t="s">
        <v>87</v>
      </c>
      <c r="K1205" s="13" t="s">
        <v>112</v>
      </c>
      <c r="L1205" s="34" t="str">
        <f>VLOOKUP(D1205,Products!$A$2:$F$61,3,FALSE)</f>
        <v>Grocery</v>
      </c>
      <c r="M1205" s="34" t="str">
        <f>VLOOKUP(C1205,Customers!$A$2:$F$301,5,FALSE)</f>
        <v>Retail</v>
      </c>
      <c r="N1205" s="34">
        <f>VLOOKUP(C1205,Customers!$A$2:$F$301,3,FALSE)</f>
        <v>54</v>
      </c>
      <c r="O1205" s="34" t="str">
        <f>VLOOKUP(E1205,Sales_Reps!$A$2:$E$31,3,FALSE)</f>
        <v>South</v>
      </c>
      <c r="P1205" s="13" t="s">
        <v>132</v>
      </c>
      <c r="Q1205" s="34">
        <f t="shared" si="40"/>
        <v>880345.20000000007</v>
      </c>
      <c r="R1205" s="34" t="str">
        <f>VLOOKUP(E1205,Sales_Reps!$A$2:$E$100,3,FALSE)</f>
        <v>South</v>
      </c>
      <c r="S1205" s="34" t="str">
        <f t="shared" si="41"/>
        <v>Grocery</v>
      </c>
      <c r="T1205" s="38">
        <f>VLOOKUP(D1205,Products!$A$2:$F$68,4,FALSE)</f>
        <v>434</v>
      </c>
    </row>
    <row r="1206" spans="1:20" x14ac:dyDescent="0.35">
      <c r="A1206" s="13" t="s">
        <v>1691</v>
      </c>
      <c r="B1206" s="14">
        <v>45338</v>
      </c>
      <c r="C1206" s="13" t="s">
        <v>868</v>
      </c>
      <c r="D1206" s="13" t="s">
        <v>131</v>
      </c>
      <c r="E1206" s="13" t="s">
        <v>103</v>
      </c>
      <c r="F1206" s="15">
        <v>8</v>
      </c>
      <c r="G1206" s="15">
        <v>2270</v>
      </c>
      <c r="H1206" s="15">
        <v>6.8</v>
      </c>
      <c r="I1206" s="15">
        <v>16925.12</v>
      </c>
      <c r="J1206" s="13" t="s">
        <v>87</v>
      </c>
      <c r="K1206" s="13" t="s">
        <v>99</v>
      </c>
      <c r="L1206" s="34" t="str">
        <f>VLOOKUP(D1206,Products!$A$2:$F$61,3,FALSE)</f>
        <v>Grocery</v>
      </c>
      <c r="M1206" s="34" t="str">
        <f>VLOOKUP(C1206,Customers!$A$2:$F$301,5,FALSE)</f>
        <v>SMB</v>
      </c>
      <c r="N1206" s="34">
        <f>VLOOKUP(C1206,Customers!$A$2:$F$301,3,FALSE)</f>
        <v>38</v>
      </c>
      <c r="O1206" s="34" t="str">
        <f>VLOOKUP(E1206,Sales_Reps!$A$2:$E$31,3,FALSE)</f>
        <v>North</v>
      </c>
      <c r="P1206" s="13" t="s">
        <v>103</v>
      </c>
      <c r="Q1206" s="34">
        <f t="shared" si="40"/>
        <v>1138648.73</v>
      </c>
      <c r="R1206" s="34" t="str">
        <f>VLOOKUP(E1206,Sales_Reps!$A$2:$E$100,3,FALSE)</f>
        <v>North</v>
      </c>
      <c r="S1206" s="34" t="str">
        <f t="shared" si="41"/>
        <v>Grocery</v>
      </c>
      <c r="T1206" s="38">
        <f>VLOOKUP(D1206,Products!$A$2:$F$68,4,FALSE)</f>
        <v>1203</v>
      </c>
    </row>
    <row r="1207" spans="1:20" x14ac:dyDescent="0.35">
      <c r="A1207" s="13" t="s">
        <v>1692</v>
      </c>
      <c r="B1207" s="14">
        <v>45585</v>
      </c>
      <c r="C1207" s="13" t="s">
        <v>617</v>
      </c>
      <c r="D1207" s="13" t="s">
        <v>151</v>
      </c>
      <c r="E1207" s="13" t="s">
        <v>325</v>
      </c>
      <c r="F1207" s="15">
        <v>1</v>
      </c>
      <c r="G1207" s="15">
        <v>2400</v>
      </c>
      <c r="H1207" s="15">
        <v>26.5</v>
      </c>
      <c r="I1207" s="15">
        <v>1764</v>
      </c>
      <c r="J1207" s="13" t="s">
        <v>87</v>
      </c>
      <c r="K1207" s="13" t="s">
        <v>112</v>
      </c>
      <c r="L1207" s="34" t="str">
        <f>VLOOKUP(D1207,Products!$A$2:$F$61,3,FALSE)</f>
        <v>Sports</v>
      </c>
      <c r="M1207" s="34" t="str">
        <f>VLOOKUP(C1207,Customers!$A$2:$F$301,5,FALSE)</f>
        <v>SMB</v>
      </c>
      <c r="N1207" s="34">
        <f>VLOOKUP(C1207,Customers!$A$2:$F$301,3,FALSE)</f>
        <v>65</v>
      </c>
      <c r="O1207" s="34" t="str">
        <f>VLOOKUP(E1207,Sales_Reps!$A$2:$E$31,3,FALSE)</f>
        <v>South</v>
      </c>
      <c r="P1207" s="13" t="s">
        <v>325</v>
      </c>
      <c r="Q1207" s="34">
        <f t="shared" si="40"/>
        <v>901394.32000000007</v>
      </c>
      <c r="R1207" s="34" t="str">
        <f>VLOOKUP(E1207,Sales_Reps!$A$2:$E$100,3,FALSE)</f>
        <v>South</v>
      </c>
      <c r="S1207" s="34" t="str">
        <f t="shared" si="41"/>
        <v>Sports</v>
      </c>
      <c r="T1207" s="38">
        <f>VLOOKUP(D1207,Products!$A$2:$F$68,4,FALSE)</f>
        <v>974</v>
      </c>
    </row>
    <row r="1208" spans="1:20" x14ac:dyDescent="0.35">
      <c r="A1208" s="13" t="s">
        <v>1693</v>
      </c>
      <c r="B1208" s="14">
        <v>45525</v>
      </c>
      <c r="C1208" s="13" t="s">
        <v>643</v>
      </c>
      <c r="D1208" s="13" t="s">
        <v>443</v>
      </c>
      <c r="E1208" s="13" t="s">
        <v>132</v>
      </c>
      <c r="F1208" s="15">
        <v>5</v>
      </c>
      <c r="G1208" s="15">
        <v>5080</v>
      </c>
      <c r="H1208" s="15">
        <v>29.6</v>
      </c>
      <c r="I1208" s="15">
        <v>17881.599999999999</v>
      </c>
      <c r="J1208" s="13" t="s">
        <v>87</v>
      </c>
      <c r="K1208" s="13" t="s">
        <v>112</v>
      </c>
      <c r="L1208" s="34" t="str">
        <f>VLOOKUP(D1208,Products!$A$2:$F$61,3,FALSE)</f>
        <v>Home</v>
      </c>
      <c r="M1208" s="34" t="str">
        <f>VLOOKUP(C1208,Customers!$A$2:$F$301,5,FALSE)</f>
        <v>SMB</v>
      </c>
      <c r="N1208" s="34">
        <f>VLOOKUP(C1208,Customers!$A$2:$F$301,3,FALSE)</f>
        <v>27</v>
      </c>
      <c r="O1208" s="34" t="str">
        <f>VLOOKUP(E1208,Sales_Reps!$A$2:$E$31,3,FALSE)</f>
        <v>South</v>
      </c>
      <c r="P1208" s="13" t="s">
        <v>132</v>
      </c>
      <c r="Q1208" s="34">
        <f t="shared" si="40"/>
        <v>880345.20000000007</v>
      </c>
      <c r="R1208" s="34" t="str">
        <f>VLOOKUP(E1208,Sales_Reps!$A$2:$E$100,3,FALSE)</f>
        <v>South</v>
      </c>
      <c r="S1208" s="34" t="str">
        <f t="shared" si="41"/>
        <v>Home</v>
      </c>
      <c r="T1208" s="38">
        <f>VLOOKUP(D1208,Products!$A$2:$F$68,4,FALSE)</f>
        <v>2459</v>
      </c>
    </row>
    <row r="1209" spans="1:20" x14ac:dyDescent="0.35">
      <c r="A1209" s="13" t="s">
        <v>1694</v>
      </c>
      <c r="B1209" s="14">
        <v>45351</v>
      </c>
      <c r="C1209" s="13" t="s">
        <v>310</v>
      </c>
      <c r="D1209" s="13" t="s">
        <v>179</v>
      </c>
      <c r="E1209" s="13" t="s">
        <v>98</v>
      </c>
      <c r="F1209" s="15">
        <v>9</v>
      </c>
      <c r="G1209" s="15">
        <v>3350</v>
      </c>
      <c r="H1209" s="15">
        <v>6.2</v>
      </c>
      <c r="I1209" s="15">
        <v>28280.7</v>
      </c>
      <c r="J1209" s="13" t="s">
        <v>87</v>
      </c>
      <c r="K1209" s="13" t="s">
        <v>117</v>
      </c>
      <c r="L1209" s="34" t="str">
        <f>VLOOKUP(D1209,Products!$A$2:$F$61,3,FALSE)</f>
        <v>Beauty</v>
      </c>
      <c r="M1209" s="34" t="str">
        <f>VLOOKUP(C1209,Customers!$A$2:$F$301,5,FALSE)</f>
        <v>Retail</v>
      </c>
      <c r="N1209" s="34">
        <f>VLOOKUP(C1209,Customers!$A$2:$F$301,3,FALSE)</f>
        <v>42</v>
      </c>
      <c r="O1209" s="34" t="str">
        <f>VLOOKUP(E1209,Sales_Reps!$A$2:$E$31,3,FALSE)</f>
        <v>South</v>
      </c>
      <c r="P1209" s="13" t="s">
        <v>98</v>
      </c>
      <c r="Q1209" s="34">
        <f t="shared" si="40"/>
        <v>995713.54000000015</v>
      </c>
      <c r="R1209" s="34" t="str">
        <f>VLOOKUP(E1209,Sales_Reps!$A$2:$E$100,3,FALSE)</f>
        <v>South</v>
      </c>
      <c r="S1209" s="34" t="str">
        <f t="shared" si="41"/>
        <v>Beauty</v>
      </c>
      <c r="T1209" s="38">
        <f>VLOOKUP(D1209,Products!$A$2:$F$68,4,FALSE)</f>
        <v>1728</v>
      </c>
    </row>
    <row r="1210" spans="1:20" x14ac:dyDescent="0.35">
      <c r="A1210" s="13" t="s">
        <v>1695</v>
      </c>
      <c r="B1210" s="14">
        <v>45560</v>
      </c>
      <c r="C1210" s="13" t="s">
        <v>795</v>
      </c>
      <c r="D1210" s="13" t="s">
        <v>259</v>
      </c>
      <c r="E1210" s="13" t="s">
        <v>215</v>
      </c>
      <c r="F1210" s="15">
        <v>4</v>
      </c>
      <c r="G1210" s="15">
        <v>1540</v>
      </c>
      <c r="H1210" s="15">
        <v>22.2</v>
      </c>
      <c r="I1210" s="15">
        <v>4792.4799999999996</v>
      </c>
      <c r="J1210" s="13" t="s">
        <v>87</v>
      </c>
      <c r="K1210" s="13" t="s">
        <v>94</v>
      </c>
      <c r="L1210" s="34" t="str">
        <f>VLOOKUP(D1210,Products!$A$2:$F$61,3,FALSE)</f>
        <v>Beauty</v>
      </c>
      <c r="M1210" s="34" t="str">
        <f>VLOOKUP(C1210,Customers!$A$2:$F$301,5,FALSE)</f>
        <v>Retail</v>
      </c>
      <c r="N1210" s="34">
        <f>VLOOKUP(C1210,Customers!$A$2:$F$301,3,FALSE)</f>
        <v>22</v>
      </c>
      <c r="O1210" s="34" t="str">
        <f>VLOOKUP(E1210,Sales_Reps!$A$2:$E$31,3,FALSE)</f>
        <v>North</v>
      </c>
      <c r="P1210" s="13" t="s">
        <v>215</v>
      </c>
      <c r="Q1210" s="34">
        <f t="shared" si="40"/>
        <v>789849.60000000009</v>
      </c>
      <c r="R1210" s="34" t="str">
        <f>VLOOKUP(E1210,Sales_Reps!$A$2:$E$100,3,FALSE)</f>
        <v>North</v>
      </c>
      <c r="S1210" s="34" t="str">
        <f t="shared" si="41"/>
        <v>Beauty</v>
      </c>
      <c r="T1210" s="38">
        <f>VLOOKUP(D1210,Products!$A$2:$F$68,4,FALSE)</f>
        <v>647</v>
      </c>
    </row>
    <row r="1211" spans="1:20" x14ac:dyDescent="0.35">
      <c r="A1211" s="13" t="s">
        <v>1696</v>
      </c>
      <c r="B1211" s="14">
        <v>45431</v>
      </c>
      <c r="C1211" s="13" t="s">
        <v>557</v>
      </c>
      <c r="D1211" s="13" t="s">
        <v>443</v>
      </c>
      <c r="E1211" s="13" t="s">
        <v>297</v>
      </c>
      <c r="F1211" s="15">
        <v>10</v>
      </c>
      <c r="G1211" s="15">
        <v>5080</v>
      </c>
      <c r="H1211" s="15">
        <v>11.8</v>
      </c>
      <c r="I1211" s="15">
        <v>44805.599999999999</v>
      </c>
      <c r="J1211" s="13" t="s">
        <v>87</v>
      </c>
      <c r="K1211" s="13" t="s">
        <v>112</v>
      </c>
      <c r="L1211" s="34" t="str">
        <f>VLOOKUP(D1211,Products!$A$2:$F$61,3,FALSE)</f>
        <v>Home</v>
      </c>
      <c r="M1211" s="34" t="str">
        <f>VLOOKUP(C1211,Customers!$A$2:$F$301,5,FALSE)</f>
        <v>Retail</v>
      </c>
      <c r="N1211" s="34">
        <f>VLOOKUP(C1211,Customers!$A$2:$F$301,3,FALSE)</f>
        <v>65</v>
      </c>
      <c r="O1211" s="34" t="str">
        <f>VLOOKUP(E1211,Sales_Reps!$A$2:$E$31,3,FALSE)</f>
        <v>North</v>
      </c>
      <c r="P1211" s="13" t="s">
        <v>297</v>
      </c>
      <c r="Q1211" s="34">
        <f t="shared" si="40"/>
        <v>980063.65999999968</v>
      </c>
      <c r="R1211" s="34" t="str">
        <f>VLOOKUP(E1211,Sales_Reps!$A$2:$E$100,3,FALSE)</f>
        <v>North</v>
      </c>
      <c r="S1211" s="34" t="str">
        <f t="shared" si="41"/>
        <v>Home</v>
      </c>
      <c r="T1211" s="38">
        <f>VLOOKUP(D1211,Products!$A$2:$F$68,4,FALSE)</f>
        <v>2459</v>
      </c>
    </row>
    <row r="1212" spans="1:20" x14ac:dyDescent="0.35">
      <c r="A1212" s="13" t="s">
        <v>1697</v>
      </c>
      <c r="B1212" s="14">
        <v>45296</v>
      </c>
      <c r="C1212" s="13" t="s">
        <v>956</v>
      </c>
      <c r="D1212" s="13" t="s">
        <v>659</v>
      </c>
      <c r="E1212" s="13" t="s">
        <v>325</v>
      </c>
      <c r="F1212" s="15">
        <v>9</v>
      </c>
      <c r="G1212" s="15">
        <v>3560</v>
      </c>
      <c r="H1212" s="15">
        <v>15.9</v>
      </c>
      <c r="I1212" s="15">
        <v>26945.64</v>
      </c>
      <c r="J1212" s="13" t="s">
        <v>87</v>
      </c>
      <c r="K1212" s="13" t="s">
        <v>112</v>
      </c>
      <c r="L1212" s="34" t="str">
        <f>VLOOKUP(D1212,Products!$A$2:$F$61,3,FALSE)</f>
        <v>Apparel</v>
      </c>
      <c r="M1212" s="34" t="str">
        <f>VLOOKUP(C1212,Customers!$A$2:$F$301,5,FALSE)</f>
        <v>Retail</v>
      </c>
      <c r="N1212" s="34">
        <f>VLOOKUP(C1212,Customers!$A$2:$F$301,3,FALSE)</f>
        <v>49</v>
      </c>
      <c r="O1212" s="34" t="str">
        <f>VLOOKUP(E1212,Sales_Reps!$A$2:$E$31,3,FALSE)</f>
        <v>South</v>
      </c>
      <c r="P1212" s="13" t="s">
        <v>325</v>
      </c>
      <c r="Q1212" s="34">
        <f t="shared" si="40"/>
        <v>901394.32000000007</v>
      </c>
      <c r="R1212" s="34" t="str">
        <f>VLOOKUP(E1212,Sales_Reps!$A$2:$E$100,3,FALSE)</f>
        <v>South</v>
      </c>
      <c r="S1212" s="34" t="str">
        <f t="shared" si="41"/>
        <v>Apparel</v>
      </c>
      <c r="T1212" s="38">
        <f>VLOOKUP(D1212,Products!$A$2:$F$68,4,FALSE)</f>
        <v>2629</v>
      </c>
    </row>
    <row r="1213" spans="1:20" x14ac:dyDescent="0.35">
      <c r="A1213" s="13" t="s">
        <v>1698</v>
      </c>
      <c r="B1213" s="14">
        <v>45629</v>
      </c>
      <c r="C1213" s="13" t="s">
        <v>1000</v>
      </c>
      <c r="D1213" s="13" t="s">
        <v>164</v>
      </c>
      <c r="E1213" s="13" t="s">
        <v>204</v>
      </c>
      <c r="F1213" s="15">
        <v>2</v>
      </c>
      <c r="G1213" s="15">
        <v>1080</v>
      </c>
      <c r="H1213" s="15">
        <v>21.1</v>
      </c>
      <c r="I1213" s="15">
        <v>1704.24</v>
      </c>
      <c r="J1213" s="13" t="s">
        <v>87</v>
      </c>
      <c r="K1213" s="13" t="s">
        <v>117</v>
      </c>
      <c r="L1213" s="34" t="str">
        <f>VLOOKUP(D1213,Products!$A$2:$F$61,3,FALSE)</f>
        <v>Home</v>
      </c>
      <c r="M1213" s="34" t="str">
        <f>VLOOKUP(C1213,Customers!$A$2:$F$301,5,FALSE)</f>
        <v>Retail</v>
      </c>
      <c r="N1213" s="34">
        <f>VLOOKUP(C1213,Customers!$A$2:$F$301,3,FALSE)</f>
        <v>27</v>
      </c>
      <c r="O1213" s="34" t="str">
        <f>VLOOKUP(E1213,Sales_Reps!$A$2:$E$31,3,FALSE)</f>
        <v>South</v>
      </c>
      <c r="P1213" s="13" t="s">
        <v>204</v>
      </c>
      <c r="Q1213" s="34">
        <f t="shared" si="40"/>
        <v>914554.71999999986</v>
      </c>
      <c r="R1213" s="34" t="str">
        <f>VLOOKUP(E1213,Sales_Reps!$A$2:$E$100,3,FALSE)</f>
        <v>South</v>
      </c>
      <c r="S1213" s="34" t="str">
        <f t="shared" si="41"/>
        <v>Home</v>
      </c>
      <c r="T1213" s="38">
        <f>VLOOKUP(D1213,Products!$A$2:$F$68,4,FALSE)</f>
        <v>519</v>
      </c>
    </row>
    <row r="1214" spans="1:20" x14ac:dyDescent="0.35">
      <c r="A1214" s="13" t="s">
        <v>1699</v>
      </c>
      <c r="B1214" s="14">
        <v>45310</v>
      </c>
      <c r="C1214" s="13" t="s">
        <v>392</v>
      </c>
      <c r="D1214" s="13" t="s">
        <v>367</v>
      </c>
      <c r="E1214" s="13" t="s">
        <v>303</v>
      </c>
      <c r="F1214" s="15">
        <v>5</v>
      </c>
      <c r="G1214" s="15">
        <v>2380</v>
      </c>
      <c r="H1214" s="15">
        <v>20.5</v>
      </c>
      <c r="I1214" s="15">
        <v>9460.5</v>
      </c>
      <c r="J1214" s="13" t="s">
        <v>87</v>
      </c>
      <c r="K1214" s="13" t="s">
        <v>112</v>
      </c>
      <c r="L1214" s="34" t="str">
        <f>VLOOKUP(D1214,Products!$A$2:$F$61,3,FALSE)</f>
        <v>Grocery</v>
      </c>
      <c r="M1214" s="34" t="str">
        <f>VLOOKUP(C1214,Customers!$A$2:$F$301,5,FALSE)</f>
        <v>Retail</v>
      </c>
      <c r="N1214" s="34">
        <f>VLOOKUP(C1214,Customers!$A$2:$F$301,3,FALSE)</f>
        <v>50</v>
      </c>
      <c r="O1214" s="34" t="str">
        <f>VLOOKUP(E1214,Sales_Reps!$A$2:$E$31,3,FALSE)</f>
        <v>East</v>
      </c>
      <c r="P1214" s="13" t="s">
        <v>303</v>
      </c>
      <c r="Q1214" s="34">
        <f t="shared" si="40"/>
        <v>1112289.6400000001</v>
      </c>
      <c r="R1214" s="34" t="str">
        <f>VLOOKUP(E1214,Sales_Reps!$A$2:$E$100,3,FALSE)</f>
        <v>East</v>
      </c>
      <c r="S1214" s="34" t="str">
        <f t="shared" si="41"/>
        <v>Grocery</v>
      </c>
      <c r="T1214" s="38">
        <f>VLOOKUP(D1214,Products!$A$2:$F$68,4,FALSE)</f>
        <v>1182</v>
      </c>
    </row>
    <row r="1215" spans="1:20" x14ac:dyDescent="0.35">
      <c r="A1215" s="13" t="s">
        <v>1700</v>
      </c>
      <c r="B1215" s="14">
        <v>45498</v>
      </c>
      <c r="C1215" s="13" t="s">
        <v>318</v>
      </c>
      <c r="D1215" s="13" t="s">
        <v>167</v>
      </c>
      <c r="E1215" s="13" t="s">
        <v>111</v>
      </c>
      <c r="F1215" s="15">
        <v>9</v>
      </c>
      <c r="G1215" s="15">
        <v>2480</v>
      </c>
      <c r="H1215" s="15">
        <v>1.2</v>
      </c>
      <c r="I1215" s="15">
        <v>22052.16</v>
      </c>
      <c r="J1215" s="13" t="s">
        <v>87</v>
      </c>
      <c r="K1215" s="13" t="s">
        <v>94</v>
      </c>
      <c r="L1215" s="34" t="str">
        <f>VLOOKUP(D1215,Products!$A$2:$F$61,3,FALSE)</f>
        <v>Apparel</v>
      </c>
      <c r="M1215" s="34" t="str">
        <f>VLOOKUP(C1215,Customers!$A$2:$F$301,5,FALSE)</f>
        <v>SMB</v>
      </c>
      <c r="N1215" s="34">
        <f>VLOOKUP(C1215,Customers!$A$2:$F$301,3,FALSE)</f>
        <v>57</v>
      </c>
      <c r="O1215" s="34" t="str">
        <f>VLOOKUP(E1215,Sales_Reps!$A$2:$E$31,3,FALSE)</f>
        <v>West</v>
      </c>
      <c r="P1215" s="13" t="s">
        <v>111</v>
      </c>
      <c r="Q1215" s="34">
        <f t="shared" si="40"/>
        <v>901298.89</v>
      </c>
      <c r="R1215" s="34" t="str">
        <f>VLOOKUP(E1215,Sales_Reps!$A$2:$E$100,3,FALSE)</f>
        <v>West</v>
      </c>
      <c r="S1215" s="34" t="str">
        <f t="shared" si="41"/>
        <v>Apparel</v>
      </c>
      <c r="T1215" s="38">
        <f>VLOOKUP(D1215,Products!$A$2:$F$68,4,FALSE)</f>
        <v>1173</v>
      </c>
    </row>
    <row r="1216" spans="1:20" x14ac:dyDescent="0.35">
      <c r="A1216" s="13" t="s">
        <v>1701</v>
      </c>
      <c r="B1216" s="14">
        <v>45348</v>
      </c>
      <c r="C1216" s="13" t="s">
        <v>741</v>
      </c>
      <c r="D1216" s="13" t="s">
        <v>386</v>
      </c>
      <c r="E1216" s="13" t="s">
        <v>325</v>
      </c>
      <c r="F1216" s="15">
        <v>9</v>
      </c>
      <c r="G1216" s="15">
        <v>2290</v>
      </c>
      <c r="H1216" s="15">
        <v>0.9</v>
      </c>
      <c r="I1216" s="15">
        <v>20424.509999999998</v>
      </c>
      <c r="J1216" s="13" t="s">
        <v>87</v>
      </c>
      <c r="K1216" s="13" t="s">
        <v>133</v>
      </c>
      <c r="L1216" s="34" t="str">
        <f>VLOOKUP(D1216,Products!$A$2:$F$61,3,FALSE)</f>
        <v>Beauty</v>
      </c>
      <c r="M1216" s="34" t="str">
        <f>VLOOKUP(C1216,Customers!$A$2:$F$301,5,FALSE)</f>
        <v>SMB</v>
      </c>
      <c r="N1216" s="34">
        <f>VLOOKUP(C1216,Customers!$A$2:$F$301,3,FALSE)</f>
        <v>29</v>
      </c>
      <c r="O1216" s="34" t="str">
        <f>VLOOKUP(E1216,Sales_Reps!$A$2:$E$31,3,FALSE)</f>
        <v>South</v>
      </c>
      <c r="P1216" s="13" t="s">
        <v>325</v>
      </c>
      <c r="Q1216" s="34">
        <f t="shared" si="40"/>
        <v>901394.32000000007</v>
      </c>
      <c r="R1216" s="34" t="str">
        <f>VLOOKUP(E1216,Sales_Reps!$A$2:$E$100,3,FALSE)</f>
        <v>South</v>
      </c>
      <c r="S1216" s="34" t="str">
        <f t="shared" si="41"/>
        <v>Beauty</v>
      </c>
      <c r="T1216" s="38">
        <f>VLOOKUP(D1216,Products!$A$2:$F$68,4,FALSE)</f>
        <v>1219</v>
      </c>
    </row>
    <row r="1217" spans="1:20" x14ac:dyDescent="0.35">
      <c r="A1217" s="13" t="s">
        <v>1702</v>
      </c>
      <c r="B1217" s="14">
        <v>45382</v>
      </c>
      <c r="C1217" s="13" t="s">
        <v>528</v>
      </c>
      <c r="D1217" s="13" t="s">
        <v>452</v>
      </c>
      <c r="E1217" s="13" t="s">
        <v>273</v>
      </c>
      <c r="F1217" s="15">
        <v>3</v>
      </c>
      <c r="G1217" s="15">
        <v>3450</v>
      </c>
      <c r="H1217" s="15">
        <v>29.5</v>
      </c>
      <c r="I1217" s="15">
        <v>7296.75</v>
      </c>
      <c r="J1217" s="13" t="s">
        <v>87</v>
      </c>
      <c r="K1217" s="13" t="s">
        <v>112</v>
      </c>
      <c r="L1217" s="34" t="str">
        <f>VLOOKUP(D1217,Products!$A$2:$F$61,3,FALSE)</f>
        <v>Apparel</v>
      </c>
      <c r="M1217" s="34" t="str">
        <f>VLOOKUP(C1217,Customers!$A$2:$F$301,5,FALSE)</f>
        <v>Retail</v>
      </c>
      <c r="N1217" s="34">
        <f>VLOOKUP(C1217,Customers!$A$2:$F$301,3,FALSE)</f>
        <v>44</v>
      </c>
      <c r="O1217" s="34" t="str">
        <f>VLOOKUP(E1217,Sales_Reps!$A$2:$E$31,3,FALSE)</f>
        <v>South</v>
      </c>
      <c r="P1217" s="13" t="s">
        <v>273</v>
      </c>
      <c r="Q1217" s="34">
        <f t="shared" si="40"/>
        <v>735207.75999999989</v>
      </c>
      <c r="R1217" s="34" t="str">
        <f>VLOOKUP(E1217,Sales_Reps!$A$2:$E$100,3,FALSE)</f>
        <v>South</v>
      </c>
      <c r="S1217" s="34" t="str">
        <f t="shared" si="41"/>
        <v>Apparel</v>
      </c>
      <c r="T1217" s="38">
        <f>VLOOKUP(D1217,Products!$A$2:$F$68,4,FALSE)</f>
        <v>1748</v>
      </c>
    </row>
    <row r="1218" spans="1:20" x14ac:dyDescent="0.35">
      <c r="A1218" s="13" t="s">
        <v>1703</v>
      </c>
      <c r="B1218" s="14">
        <v>45569</v>
      </c>
      <c r="C1218" s="13" t="s">
        <v>137</v>
      </c>
      <c r="D1218" s="13" t="s">
        <v>157</v>
      </c>
      <c r="E1218" s="13" t="s">
        <v>116</v>
      </c>
      <c r="F1218" s="15">
        <v>9</v>
      </c>
      <c r="G1218" s="15">
        <v>3450</v>
      </c>
      <c r="H1218" s="15">
        <v>19.399999999999999</v>
      </c>
      <c r="I1218" s="15">
        <v>25026.3</v>
      </c>
      <c r="J1218" s="13" t="s">
        <v>87</v>
      </c>
      <c r="K1218" s="13" t="s">
        <v>99</v>
      </c>
      <c r="L1218" s="34" t="str">
        <f>VLOOKUP(D1218,Products!$A$2:$F$61,3,FALSE)</f>
        <v>Beauty</v>
      </c>
      <c r="M1218" s="34" t="str">
        <f>VLOOKUP(C1218,Customers!$A$2:$F$301,5,FALSE)</f>
        <v>SMB</v>
      </c>
      <c r="N1218" s="34">
        <f>VLOOKUP(C1218,Customers!$A$2:$F$301,3,FALSE)</f>
        <v>27</v>
      </c>
      <c r="O1218" s="34" t="str">
        <f>VLOOKUP(E1218,Sales_Reps!$A$2:$E$31,3,FALSE)</f>
        <v>West</v>
      </c>
      <c r="P1218" s="13" t="s">
        <v>116</v>
      </c>
      <c r="Q1218" s="34">
        <f t="shared" si="40"/>
        <v>819558.58</v>
      </c>
      <c r="R1218" s="34" t="str">
        <f>VLOOKUP(E1218,Sales_Reps!$A$2:$E$100,3,FALSE)</f>
        <v>West</v>
      </c>
      <c r="S1218" s="34" t="str">
        <f t="shared" si="41"/>
        <v>Beauty</v>
      </c>
      <c r="T1218" s="38">
        <f>VLOOKUP(D1218,Products!$A$2:$F$68,4,FALSE)</f>
        <v>2420</v>
      </c>
    </row>
    <row r="1219" spans="1:20" x14ac:dyDescent="0.35">
      <c r="A1219" s="13" t="s">
        <v>1704</v>
      </c>
      <c r="B1219" s="14">
        <v>45516</v>
      </c>
      <c r="C1219" s="13" t="s">
        <v>331</v>
      </c>
      <c r="D1219" s="13" t="s">
        <v>138</v>
      </c>
      <c r="E1219" s="13" t="s">
        <v>170</v>
      </c>
      <c r="F1219" s="15">
        <v>2</v>
      </c>
      <c r="G1219" s="15">
        <v>2600</v>
      </c>
      <c r="H1219" s="15">
        <v>20.2</v>
      </c>
      <c r="I1219" s="15">
        <v>4149.6000000000004</v>
      </c>
      <c r="J1219" s="13" t="s">
        <v>140</v>
      </c>
      <c r="K1219" s="13" t="s">
        <v>117</v>
      </c>
      <c r="L1219" s="34" t="str">
        <f>VLOOKUP(D1219,Products!$A$2:$F$61,3,FALSE)</f>
        <v>Electronics</v>
      </c>
      <c r="M1219" s="34" t="str">
        <f>VLOOKUP(C1219,Customers!$A$2:$F$301,5,FALSE)</f>
        <v>Corporate</v>
      </c>
      <c r="N1219" s="34">
        <f>VLOOKUP(C1219,Customers!$A$2:$F$301,3,FALSE)</f>
        <v>59</v>
      </c>
      <c r="O1219" s="34" t="str">
        <f>VLOOKUP(E1219,Sales_Reps!$A$2:$E$31,3,FALSE)</f>
        <v>West</v>
      </c>
      <c r="P1219" s="13" t="s">
        <v>170</v>
      </c>
      <c r="Q1219" s="34">
        <f t="shared" ref="Q1219:Q1282" si="42">SUMIFS($I:$I,$E:$E,P1219)</f>
        <v>747624.36999999988</v>
      </c>
      <c r="R1219" s="34" t="str">
        <f>VLOOKUP(E1219,Sales_Reps!$A$2:$E$100,3,FALSE)</f>
        <v>West</v>
      </c>
      <c r="S1219" s="34" t="str">
        <f t="shared" ref="S1219:S1282" si="43">L1219</f>
        <v>Electronics</v>
      </c>
      <c r="T1219" s="38">
        <f>VLOOKUP(D1219,Products!$A$2:$F$68,4,FALSE)</f>
        <v>1052</v>
      </c>
    </row>
    <row r="1220" spans="1:20" x14ac:dyDescent="0.35">
      <c r="A1220" s="13" t="s">
        <v>1705</v>
      </c>
      <c r="B1220" s="14">
        <v>45519</v>
      </c>
      <c r="C1220" s="13" t="s">
        <v>1016</v>
      </c>
      <c r="D1220" s="13" t="s">
        <v>200</v>
      </c>
      <c r="E1220" s="13" t="s">
        <v>111</v>
      </c>
      <c r="F1220" s="15">
        <v>1</v>
      </c>
      <c r="G1220" s="15">
        <v>2760</v>
      </c>
      <c r="H1220" s="15">
        <v>9.5</v>
      </c>
      <c r="I1220" s="15">
        <v>2497.8000000000002</v>
      </c>
      <c r="J1220" s="13" t="s">
        <v>87</v>
      </c>
      <c r="K1220" s="13" t="s">
        <v>117</v>
      </c>
      <c r="L1220" s="34" t="str">
        <f>VLOOKUP(D1220,Products!$A$2:$F$61,3,FALSE)</f>
        <v>Grocery</v>
      </c>
      <c r="M1220" s="34" t="str">
        <f>VLOOKUP(C1220,Customers!$A$2:$F$301,5,FALSE)</f>
        <v>SMB</v>
      </c>
      <c r="N1220" s="34">
        <f>VLOOKUP(C1220,Customers!$A$2:$F$301,3,FALSE)</f>
        <v>49</v>
      </c>
      <c r="O1220" s="34" t="str">
        <f>VLOOKUP(E1220,Sales_Reps!$A$2:$E$31,3,FALSE)</f>
        <v>West</v>
      </c>
      <c r="P1220" s="13" t="s">
        <v>111</v>
      </c>
      <c r="Q1220" s="34">
        <f t="shared" si="42"/>
        <v>901298.89</v>
      </c>
      <c r="R1220" s="34" t="str">
        <f>VLOOKUP(E1220,Sales_Reps!$A$2:$E$100,3,FALSE)</f>
        <v>West</v>
      </c>
      <c r="S1220" s="34" t="str">
        <f t="shared" si="43"/>
        <v>Grocery</v>
      </c>
      <c r="T1220" s="38">
        <f>VLOOKUP(D1220,Products!$A$2:$F$68,4,FALSE)</f>
        <v>1435</v>
      </c>
    </row>
    <row r="1221" spans="1:20" x14ac:dyDescent="0.35">
      <c r="A1221" s="13" t="s">
        <v>1706</v>
      </c>
      <c r="B1221" s="14">
        <v>45593</v>
      </c>
      <c r="C1221" s="13" t="s">
        <v>599</v>
      </c>
      <c r="D1221" s="13" t="s">
        <v>270</v>
      </c>
      <c r="E1221" s="13" t="s">
        <v>148</v>
      </c>
      <c r="F1221" s="15">
        <v>4</v>
      </c>
      <c r="G1221" s="15">
        <v>4610</v>
      </c>
      <c r="H1221" s="15">
        <v>14.8</v>
      </c>
      <c r="I1221" s="15">
        <v>15710.88</v>
      </c>
      <c r="J1221" s="13" t="s">
        <v>87</v>
      </c>
      <c r="K1221" s="13" t="s">
        <v>117</v>
      </c>
      <c r="L1221" s="34" t="str">
        <f>VLOOKUP(D1221,Products!$A$2:$F$61,3,FALSE)</f>
        <v>Home</v>
      </c>
      <c r="M1221" s="34" t="str">
        <f>VLOOKUP(C1221,Customers!$A$2:$F$301,5,FALSE)</f>
        <v>Corporate</v>
      </c>
      <c r="N1221" s="34">
        <f>VLOOKUP(C1221,Customers!$A$2:$F$301,3,FALSE)</f>
        <v>26</v>
      </c>
      <c r="O1221" s="34" t="str">
        <f>VLOOKUP(E1221,Sales_Reps!$A$2:$E$31,3,FALSE)</f>
        <v>North</v>
      </c>
      <c r="P1221" s="13" t="s">
        <v>148</v>
      </c>
      <c r="Q1221" s="34">
        <f t="shared" si="42"/>
        <v>986692.91</v>
      </c>
      <c r="R1221" s="34" t="str">
        <f>VLOOKUP(E1221,Sales_Reps!$A$2:$E$100,3,FALSE)</f>
        <v>North</v>
      </c>
      <c r="S1221" s="34" t="str">
        <f t="shared" si="43"/>
        <v>Home</v>
      </c>
      <c r="T1221" s="38">
        <f>VLOOKUP(D1221,Products!$A$2:$F$68,4,FALSE)</f>
        <v>1850</v>
      </c>
    </row>
    <row r="1222" spans="1:20" x14ac:dyDescent="0.35">
      <c r="A1222" s="13" t="s">
        <v>1707</v>
      </c>
      <c r="B1222" s="14">
        <v>45532</v>
      </c>
      <c r="C1222" s="13" t="s">
        <v>130</v>
      </c>
      <c r="D1222" s="13" t="s">
        <v>167</v>
      </c>
      <c r="E1222" s="13" t="s">
        <v>116</v>
      </c>
      <c r="F1222" s="15">
        <v>3</v>
      </c>
      <c r="G1222" s="15">
        <v>2480</v>
      </c>
      <c r="H1222" s="15">
        <v>3.7</v>
      </c>
      <c r="I1222" s="15">
        <v>7164.72</v>
      </c>
      <c r="J1222" s="13" t="s">
        <v>87</v>
      </c>
      <c r="K1222" s="13" t="s">
        <v>133</v>
      </c>
      <c r="L1222" s="34" t="str">
        <f>VLOOKUP(D1222,Products!$A$2:$F$61,3,FALSE)</f>
        <v>Apparel</v>
      </c>
      <c r="M1222" s="34" t="str">
        <f>VLOOKUP(C1222,Customers!$A$2:$F$301,5,FALSE)</f>
        <v>Retail</v>
      </c>
      <c r="N1222" s="34">
        <f>VLOOKUP(C1222,Customers!$A$2:$F$301,3,FALSE)</f>
        <v>60</v>
      </c>
      <c r="O1222" s="34" t="str">
        <f>VLOOKUP(E1222,Sales_Reps!$A$2:$E$31,3,FALSE)</f>
        <v>West</v>
      </c>
      <c r="P1222" s="13" t="s">
        <v>116</v>
      </c>
      <c r="Q1222" s="34">
        <f t="shared" si="42"/>
        <v>819558.58</v>
      </c>
      <c r="R1222" s="34" t="str">
        <f>VLOOKUP(E1222,Sales_Reps!$A$2:$E$100,3,FALSE)</f>
        <v>West</v>
      </c>
      <c r="S1222" s="34" t="str">
        <f t="shared" si="43"/>
        <v>Apparel</v>
      </c>
      <c r="T1222" s="38">
        <f>VLOOKUP(D1222,Products!$A$2:$F$68,4,FALSE)</f>
        <v>1173</v>
      </c>
    </row>
    <row r="1223" spans="1:20" x14ac:dyDescent="0.35">
      <c r="A1223" s="13" t="s">
        <v>1708</v>
      </c>
      <c r="B1223" s="14">
        <v>45610</v>
      </c>
      <c r="C1223" s="13" t="s">
        <v>741</v>
      </c>
      <c r="D1223" s="13" t="s">
        <v>515</v>
      </c>
      <c r="E1223" s="13" t="s">
        <v>273</v>
      </c>
      <c r="F1223" s="15">
        <v>5</v>
      </c>
      <c r="G1223" s="15">
        <v>6940</v>
      </c>
      <c r="H1223" s="15">
        <v>0.3</v>
      </c>
      <c r="I1223" s="15">
        <v>34595.9</v>
      </c>
      <c r="J1223" s="13" t="s">
        <v>87</v>
      </c>
      <c r="K1223" s="13" t="s">
        <v>133</v>
      </c>
      <c r="L1223" s="34" t="str">
        <f>VLOOKUP(D1223,Products!$A$2:$F$61,3,FALSE)</f>
        <v>Sports</v>
      </c>
      <c r="M1223" s="34" t="str">
        <f>VLOOKUP(C1223,Customers!$A$2:$F$301,5,FALSE)</f>
        <v>SMB</v>
      </c>
      <c r="N1223" s="34">
        <f>VLOOKUP(C1223,Customers!$A$2:$F$301,3,FALSE)</f>
        <v>29</v>
      </c>
      <c r="O1223" s="34" t="str">
        <f>VLOOKUP(E1223,Sales_Reps!$A$2:$E$31,3,FALSE)</f>
        <v>South</v>
      </c>
      <c r="P1223" s="13" t="s">
        <v>273</v>
      </c>
      <c r="Q1223" s="34">
        <f t="shared" si="42"/>
        <v>735207.75999999989</v>
      </c>
      <c r="R1223" s="34" t="str">
        <f>VLOOKUP(E1223,Sales_Reps!$A$2:$E$100,3,FALSE)</f>
        <v>South</v>
      </c>
      <c r="S1223" s="34" t="str">
        <f t="shared" si="43"/>
        <v>Sports</v>
      </c>
      <c r="T1223" s="38">
        <f>VLOOKUP(D1223,Products!$A$2:$F$68,4,FALSE)</f>
        <v>2827</v>
      </c>
    </row>
    <row r="1224" spans="1:20" x14ac:dyDescent="0.35">
      <c r="A1224" s="13" t="s">
        <v>1709</v>
      </c>
      <c r="B1224" s="14">
        <v>45560</v>
      </c>
      <c r="C1224" s="13" t="s">
        <v>533</v>
      </c>
      <c r="D1224" s="13" t="s">
        <v>245</v>
      </c>
      <c r="E1224" s="13" t="s">
        <v>154</v>
      </c>
      <c r="F1224" s="15">
        <v>8</v>
      </c>
      <c r="G1224" s="15">
        <v>2270</v>
      </c>
      <c r="H1224" s="15">
        <v>15.6</v>
      </c>
      <c r="I1224" s="15">
        <v>15327.04</v>
      </c>
      <c r="J1224" s="13" t="s">
        <v>93</v>
      </c>
      <c r="K1224" s="13" t="s">
        <v>99</v>
      </c>
      <c r="L1224" s="34" t="str">
        <f>VLOOKUP(D1224,Products!$A$2:$F$61,3,FALSE)</f>
        <v>Grocery</v>
      </c>
      <c r="M1224" s="34" t="str">
        <f>VLOOKUP(C1224,Customers!$A$2:$F$301,5,FALSE)</f>
        <v>SMB</v>
      </c>
      <c r="N1224" s="34">
        <f>VLOOKUP(C1224,Customers!$A$2:$F$301,3,FALSE)</f>
        <v>48</v>
      </c>
      <c r="O1224" s="34" t="str">
        <f>VLOOKUP(E1224,Sales_Reps!$A$2:$E$31,3,FALSE)</f>
        <v>East</v>
      </c>
      <c r="P1224" s="13" t="s">
        <v>154</v>
      </c>
      <c r="Q1224" s="34">
        <f t="shared" si="42"/>
        <v>983787.4800000001</v>
      </c>
      <c r="R1224" s="34" t="str">
        <f>VLOOKUP(E1224,Sales_Reps!$A$2:$E$100,3,FALSE)</f>
        <v>East</v>
      </c>
      <c r="S1224" s="34" t="str">
        <f t="shared" si="43"/>
        <v>Grocery</v>
      </c>
      <c r="T1224" s="38">
        <f>VLOOKUP(D1224,Products!$A$2:$F$68,4,FALSE)</f>
        <v>1412</v>
      </c>
    </row>
    <row r="1225" spans="1:20" x14ac:dyDescent="0.35">
      <c r="A1225" s="13" t="s">
        <v>1710</v>
      </c>
      <c r="B1225" s="14">
        <v>45431</v>
      </c>
      <c r="C1225" s="13" t="s">
        <v>983</v>
      </c>
      <c r="D1225" s="13" t="s">
        <v>191</v>
      </c>
      <c r="E1225" s="13" t="s">
        <v>170</v>
      </c>
      <c r="F1225" s="15">
        <v>5</v>
      </c>
      <c r="G1225" s="15">
        <v>5100</v>
      </c>
      <c r="H1225" s="15">
        <v>9.5</v>
      </c>
      <c r="I1225" s="15">
        <v>23077.5</v>
      </c>
      <c r="J1225" s="13" t="s">
        <v>87</v>
      </c>
      <c r="K1225" s="13" t="s">
        <v>117</v>
      </c>
      <c r="L1225" s="34" t="str">
        <f>VLOOKUP(D1225,Products!$A$2:$F$61,3,FALSE)</f>
        <v>Beauty</v>
      </c>
      <c r="M1225" s="34" t="str">
        <f>VLOOKUP(C1225,Customers!$A$2:$F$301,5,FALSE)</f>
        <v>SMB</v>
      </c>
      <c r="N1225" s="34">
        <f>VLOOKUP(C1225,Customers!$A$2:$F$301,3,FALSE)</f>
        <v>36</v>
      </c>
      <c r="O1225" s="34" t="str">
        <f>VLOOKUP(E1225,Sales_Reps!$A$2:$E$31,3,FALSE)</f>
        <v>West</v>
      </c>
      <c r="P1225" s="13" t="s">
        <v>170</v>
      </c>
      <c r="Q1225" s="34">
        <f t="shared" si="42"/>
        <v>747624.36999999988</v>
      </c>
      <c r="R1225" s="34" t="str">
        <f>VLOOKUP(E1225,Sales_Reps!$A$2:$E$100,3,FALSE)</f>
        <v>West</v>
      </c>
      <c r="S1225" s="34" t="str">
        <f t="shared" si="43"/>
        <v>Beauty</v>
      </c>
      <c r="T1225" s="38">
        <f>VLOOKUP(D1225,Products!$A$2:$F$68,4,FALSE)</f>
        <v>2237</v>
      </c>
    </row>
    <row r="1226" spans="1:20" x14ac:dyDescent="0.35">
      <c r="A1226" s="13" t="s">
        <v>1711</v>
      </c>
      <c r="B1226" s="14">
        <v>45594</v>
      </c>
      <c r="C1226" s="13" t="s">
        <v>294</v>
      </c>
      <c r="D1226" s="13" t="s">
        <v>143</v>
      </c>
      <c r="E1226" s="13" t="s">
        <v>273</v>
      </c>
      <c r="F1226" s="15">
        <v>5</v>
      </c>
      <c r="G1226" s="15">
        <v>3250</v>
      </c>
      <c r="H1226" s="15">
        <v>8.1</v>
      </c>
      <c r="I1226" s="15">
        <v>14933.75</v>
      </c>
      <c r="J1226" s="13" t="s">
        <v>87</v>
      </c>
      <c r="K1226" s="13" t="s">
        <v>133</v>
      </c>
      <c r="L1226" s="34" t="str">
        <f>VLOOKUP(D1226,Products!$A$2:$F$61,3,FALSE)</f>
        <v>Home</v>
      </c>
      <c r="M1226" s="34" t="str">
        <f>VLOOKUP(C1226,Customers!$A$2:$F$301,5,FALSE)</f>
        <v>SMB</v>
      </c>
      <c r="N1226" s="34">
        <f>VLOOKUP(C1226,Customers!$A$2:$F$301,3,FALSE)</f>
        <v>43</v>
      </c>
      <c r="O1226" s="34" t="str">
        <f>VLOOKUP(E1226,Sales_Reps!$A$2:$E$31,3,FALSE)</f>
        <v>South</v>
      </c>
      <c r="P1226" s="13" t="s">
        <v>273</v>
      </c>
      <c r="Q1226" s="34">
        <f t="shared" si="42"/>
        <v>735207.75999999989</v>
      </c>
      <c r="R1226" s="34" t="str">
        <f>VLOOKUP(E1226,Sales_Reps!$A$2:$E$100,3,FALSE)</f>
        <v>South</v>
      </c>
      <c r="S1226" s="34" t="str">
        <f t="shared" si="43"/>
        <v>Home</v>
      </c>
      <c r="T1226" s="38">
        <f>VLOOKUP(D1226,Products!$A$2:$F$68,4,FALSE)</f>
        <v>1556</v>
      </c>
    </row>
    <row r="1227" spans="1:20" x14ac:dyDescent="0.35">
      <c r="A1227" s="13" t="s">
        <v>1712</v>
      </c>
      <c r="B1227" s="14">
        <v>45609</v>
      </c>
      <c r="C1227" s="13" t="s">
        <v>403</v>
      </c>
      <c r="D1227" s="13" t="s">
        <v>408</v>
      </c>
      <c r="E1227" s="13" t="s">
        <v>148</v>
      </c>
      <c r="F1227" s="15">
        <v>6</v>
      </c>
      <c r="G1227" s="15">
        <v>3970</v>
      </c>
      <c r="H1227" s="15">
        <v>18.8</v>
      </c>
      <c r="I1227" s="15">
        <v>19341.84</v>
      </c>
      <c r="J1227" s="13" t="s">
        <v>93</v>
      </c>
      <c r="K1227" s="13" t="s">
        <v>117</v>
      </c>
      <c r="L1227" s="34" t="str">
        <f>VLOOKUP(D1227,Products!$A$2:$F$61,3,FALSE)</f>
        <v>Electronics</v>
      </c>
      <c r="M1227" s="34" t="str">
        <f>VLOOKUP(C1227,Customers!$A$2:$F$301,5,FALSE)</f>
        <v>Retail</v>
      </c>
      <c r="N1227" s="34">
        <f>VLOOKUP(C1227,Customers!$A$2:$F$301,3,FALSE)</f>
        <v>59</v>
      </c>
      <c r="O1227" s="34" t="str">
        <f>VLOOKUP(E1227,Sales_Reps!$A$2:$E$31,3,FALSE)</f>
        <v>North</v>
      </c>
      <c r="P1227" s="13" t="s">
        <v>148</v>
      </c>
      <c r="Q1227" s="34">
        <f t="shared" si="42"/>
        <v>986692.91</v>
      </c>
      <c r="R1227" s="34" t="str">
        <f>VLOOKUP(E1227,Sales_Reps!$A$2:$E$100,3,FALSE)</f>
        <v>North</v>
      </c>
      <c r="S1227" s="34" t="str">
        <f t="shared" si="43"/>
        <v>Electronics</v>
      </c>
      <c r="T1227" s="38">
        <f>VLOOKUP(D1227,Products!$A$2:$F$68,4,FALSE)</f>
        <v>2865</v>
      </c>
    </row>
    <row r="1228" spans="1:20" x14ac:dyDescent="0.35">
      <c r="A1228" s="13" t="s">
        <v>1713</v>
      </c>
      <c r="B1228" s="14">
        <v>45546</v>
      </c>
      <c r="C1228" s="13" t="s">
        <v>482</v>
      </c>
      <c r="D1228" s="13" t="s">
        <v>364</v>
      </c>
      <c r="E1228" s="13" t="s">
        <v>111</v>
      </c>
      <c r="F1228" s="15">
        <v>4</v>
      </c>
      <c r="G1228" s="15">
        <v>5330</v>
      </c>
      <c r="H1228" s="15">
        <v>19.7</v>
      </c>
      <c r="I1228" s="15">
        <v>17119.96</v>
      </c>
      <c r="J1228" s="13" t="s">
        <v>87</v>
      </c>
      <c r="K1228" s="13" t="s">
        <v>133</v>
      </c>
      <c r="L1228" s="34" t="str">
        <f>VLOOKUP(D1228,Products!$A$2:$F$61,3,FALSE)</f>
        <v>Electronics</v>
      </c>
      <c r="M1228" s="34" t="str">
        <f>VLOOKUP(C1228,Customers!$A$2:$F$301,5,FALSE)</f>
        <v>Corporate</v>
      </c>
      <c r="N1228" s="34">
        <f>VLOOKUP(C1228,Customers!$A$2:$F$301,3,FALSE)</f>
        <v>52</v>
      </c>
      <c r="O1228" s="34" t="str">
        <f>VLOOKUP(E1228,Sales_Reps!$A$2:$E$31,3,FALSE)</f>
        <v>West</v>
      </c>
      <c r="P1228" s="13" t="s">
        <v>111</v>
      </c>
      <c r="Q1228" s="34">
        <f t="shared" si="42"/>
        <v>901298.89</v>
      </c>
      <c r="R1228" s="34" t="str">
        <f>VLOOKUP(E1228,Sales_Reps!$A$2:$E$100,3,FALSE)</f>
        <v>West</v>
      </c>
      <c r="S1228" s="34" t="str">
        <f t="shared" si="43"/>
        <v>Electronics</v>
      </c>
      <c r="T1228" s="38">
        <f>VLOOKUP(D1228,Products!$A$2:$F$68,4,FALSE)</f>
        <v>2405</v>
      </c>
    </row>
    <row r="1229" spans="1:20" x14ac:dyDescent="0.35">
      <c r="A1229" s="13" t="s">
        <v>1714</v>
      </c>
      <c r="B1229" s="14">
        <v>45607</v>
      </c>
      <c r="C1229" s="13" t="s">
        <v>310</v>
      </c>
      <c r="D1229" s="13" t="s">
        <v>279</v>
      </c>
      <c r="E1229" s="13" t="s">
        <v>139</v>
      </c>
      <c r="F1229" s="15">
        <v>7</v>
      </c>
      <c r="G1229" s="15">
        <v>2660</v>
      </c>
      <c r="H1229" s="15">
        <v>8.5</v>
      </c>
      <c r="I1229" s="15">
        <v>17037.3</v>
      </c>
      <c r="J1229" s="13" t="s">
        <v>87</v>
      </c>
      <c r="K1229" s="13" t="s">
        <v>117</v>
      </c>
      <c r="L1229" s="34" t="str">
        <f>VLOOKUP(D1229,Products!$A$2:$F$61,3,FALSE)</f>
        <v>Electronics</v>
      </c>
      <c r="M1229" s="34" t="str">
        <f>VLOOKUP(C1229,Customers!$A$2:$F$301,5,FALSE)</f>
        <v>Retail</v>
      </c>
      <c r="N1229" s="34">
        <f>VLOOKUP(C1229,Customers!$A$2:$F$301,3,FALSE)</f>
        <v>42</v>
      </c>
      <c r="O1229" s="34" t="str">
        <f>VLOOKUP(E1229,Sales_Reps!$A$2:$E$31,3,FALSE)</f>
        <v>North</v>
      </c>
      <c r="P1229" s="13" t="s">
        <v>139</v>
      </c>
      <c r="Q1229" s="34">
        <f t="shared" si="42"/>
        <v>589026.2899999998</v>
      </c>
      <c r="R1229" s="34" t="str">
        <f>VLOOKUP(E1229,Sales_Reps!$A$2:$E$100,3,FALSE)</f>
        <v>North</v>
      </c>
      <c r="S1229" s="34" t="str">
        <f t="shared" si="43"/>
        <v>Electronics</v>
      </c>
      <c r="T1229" s="38">
        <f>VLOOKUP(D1229,Products!$A$2:$F$68,4,FALSE)</f>
        <v>1259</v>
      </c>
    </row>
    <row r="1230" spans="1:20" x14ac:dyDescent="0.35">
      <c r="A1230" s="13" t="s">
        <v>1715</v>
      </c>
      <c r="B1230" s="14">
        <v>45422</v>
      </c>
      <c r="C1230" s="13" t="s">
        <v>90</v>
      </c>
      <c r="D1230" s="13" t="s">
        <v>106</v>
      </c>
      <c r="E1230" s="13" t="s">
        <v>229</v>
      </c>
      <c r="F1230" s="15">
        <v>5</v>
      </c>
      <c r="G1230" s="15">
        <v>3160</v>
      </c>
      <c r="H1230" s="15">
        <v>13.4</v>
      </c>
      <c r="I1230" s="15">
        <v>13682.8</v>
      </c>
      <c r="J1230" s="13" t="s">
        <v>93</v>
      </c>
      <c r="K1230" s="13" t="s">
        <v>94</v>
      </c>
      <c r="L1230" s="34" t="str">
        <f>VLOOKUP(D1230,Products!$A$2:$F$61,3,FALSE)</f>
        <v>Apparel</v>
      </c>
      <c r="M1230" s="34" t="str">
        <f>VLOOKUP(C1230,Customers!$A$2:$F$301,5,FALSE)</f>
        <v>Retail</v>
      </c>
      <c r="N1230" s="34">
        <f>VLOOKUP(C1230,Customers!$A$2:$F$301,3,FALSE)</f>
        <v>39</v>
      </c>
      <c r="O1230" s="34" t="str">
        <f>VLOOKUP(E1230,Sales_Reps!$A$2:$E$31,3,FALSE)</f>
        <v>West</v>
      </c>
      <c r="P1230" s="13" t="s">
        <v>229</v>
      </c>
      <c r="Q1230" s="34">
        <f t="shared" si="42"/>
        <v>1016696.8000000002</v>
      </c>
      <c r="R1230" s="34" t="str">
        <f>VLOOKUP(E1230,Sales_Reps!$A$2:$E$100,3,FALSE)</f>
        <v>West</v>
      </c>
      <c r="S1230" s="34" t="str">
        <f t="shared" si="43"/>
        <v>Apparel</v>
      </c>
      <c r="T1230" s="38">
        <f>VLOOKUP(D1230,Products!$A$2:$F$68,4,FALSE)</f>
        <v>1886</v>
      </c>
    </row>
    <row r="1231" spans="1:20" x14ac:dyDescent="0.35">
      <c r="A1231" s="13" t="s">
        <v>1716</v>
      </c>
      <c r="B1231" s="14">
        <v>45634</v>
      </c>
      <c r="C1231" s="13" t="s">
        <v>314</v>
      </c>
      <c r="D1231" s="13" t="s">
        <v>182</v>
      </c>
      <c r="E1231" s="13" t="s">
        <v>121</v>
      </c>
      <c r="F1231" s="15">
        <v>10</v>
      </c>
      <c r="G1231" s="15">
        <v>1010</v>
      </c>
      <c r="H1231" s="15">
        <v>14</v>
      </c>
      <c r="I1231" s="15">
        <v>8686</v>
      </c>
      <c r="J1231" s="13" t="s">
        <v>87</v>
      </c>
      <c r="K1231" s="13" t="s">
        <v>88</v>
      </c>
      <c r="L1231" s="34" t="str">
        <f>VLOOKUP(D1231,Products!$A$2:$F$61,3,FALSE)</f>
        <v>Sports</v>
      </c>
      <c r="M1231" s="34" t="str">
        <f>VLOOKUP(C1231,Customers!$A$2:$F$301,5,FALSE)</f>
        <v>Corporate</v>
      </c>
      <c r="N1231" s="34">
        <f>VLOOKUP(C1231,Customers!$A$2:$F$301,3,FALSE)</f>
        <v>33</v>
      </c>
      <c r="O1231" s="34" t="str">
        <f>VLOOKUP(E1231,Sales_Reps!$A$2:$E$31,3,FALSE)</f>
        <v>East</v>
      </c>
      <c r="P1231" s="13" t="s">
        <v>121</v>
      </c>
      <c r="Q1231" s="34">
        <f t="shared" si="42"/>
        <v>971183.52000000014</v>
      </c>
      <c r="R1231" s="34" t="str">
        <f>VLOOKUP(E1231,Sales_Reps!$A$2:$E$100,3,FALSE)</f>
        <v>East</v>
      </c>
      <c r="S1231" s="34" t="str">
        <f t="shared" si="43"/>
        <v>Sports</v>
      </c>
      <c r="T1231" s="38">
        <f>VLOOKUP(D1231,Products!$A$2:$F$68,4,FALSE)</f>
        <v>516</v>
      </c>
    </row>
    <row r="1232" spans="1:20" x14ac:dyDescent="0.35">
      <c r="A1232" s="13" t="s">
        <v>1717</v>
      </c>
      <c r="B1232" s="14">
        <v>45376</v>
      </c>
      <c r="C1232" s="13" t="s">
        <v>137</v>
      </c>
      <c r="D1232" s="13" t="s">
        <v>259</v>
      </c>
      <c r="E1232" s="13" t="s">
        <v>148</v>
      </c>
      <c r="F1232" s="15">
        <v>3</v>
      </c>
      <c r="G1232" s="15">
        <v>1540</v>
      </c>
      <c r="H1232" s="15">
        <v>13.7</v>
      </c>
      <c r="I1232" s="15">
        <v>3987.06</v>
      </c>
      <c r="J1232" s="13" t="s">
        <v>93</v>
      </c>
      <c r="K1232" s="13" t="s">
        <v>99</v>
      </c>
      <c r="L1232" s="34" t="str">
        <f>VLOOKUP(D1232,Products!$A$2:$F$61,3,FALSE)</f>
        <v>Beauty</v>
      </c>
      <c r="M1232" s="34" t="str">
        <f>VLOOKUP(C1232,Customers!$A$2:$F$301,5,FALSE)</f>
        <v>SMB</v>
      </c>
      <c r="N1232" s="34">
        <f>VLOOKUP(C1232,Customers!$A$2:$F$301,3,FALSE)</f>
        <v>27</v>
      </c>
      <c r="O1232" s="34" t="str">
        <f>VLOOKUP(E1232,Sales_Reps!$A$2:$E$31,3,FALSE)</f>
        <v>North</v>
      </c>
      <c r="P1232" s="13" t="s">
        <v>148</v>
      </c>
      <c r="Q1232" s="34">
        <f t="shared" si="42"/>
        <v>986692.91</v>
      </c>
      <c r="R1232" s="34" t="str">
        <f>VLOOKUP(E1232,Sales_Reps!$A$2:$E$100,3,FALSE)</f>
        <v>North</v>
      </c>
      <c r="S1232" s="34" t="str">
        <f t="shared" si="43"/>
        <v>Beauty</v>
      </c>
      <c r="T1232" s="38">
        <f>VLOOKUP(D1232,Products!$A$2:$F$68,4,FALSE)</f>
        <v>647</v>
      </c>
    </row>
    <row r="1233" spans="1:20" x14ac:dyDescent="0.35">
      <c r="A1233" s="13" t="s">
        <v>1718</v>
      </c>
      <c r="B1233" s="14">
        <v>45313</v>
      </c>
      <c r="C1233" s="13" t="s">
        <v>680</v>
      </c>
      <c r="D1233" s="13" t="s">
        <v>191</v>
      </c>
      <c r="E1233" s="13" t="s">
        <v>204</v>
      </c>
      <c r="F1233" s="15">
        <v>10</v>
      </c>
      <c r="G1233" s="15">
        <v>5100</v>
      </c>
      <c r="H1233" s="15">
        <v>13.8</v>
      </c>
      <c r="I1233" s="15">
        <v>43962</v>
      </c>
      <c r="J1233" s="13" t="s">
        <v>87</v>
      </c>
      <c r="K1233" s="13" t="s">
        <v>94</v>
      </c>
      <c r="L1233" s="34" t="str">
        <f>VLOOKUP(D1233,Products!$A$2:$F$61,3,FALSE)</f>
        <v>Beauty</v>
      </c>
      <c r="M1233" s="34" t="str">
        <f>VLOOKUP(C1233,Customers!$A$2:$F$301,5,FALSE)</f>
        <v>Retail</v>
      </c>
      <c r="N1233" s="34">
        <f>VLOOKUP(C1233,Customers!$A$2:$F$301,3,FALSE)</f>
        <v>26</v>
      </c>
      <c r="O1233" s="34" t="str">
        <f>VLOOKUP(E1233,Sales_Reps!$A$2:$E$31,3,FALSE)</f>
        <v>South</v>
      </c>
      <c r="P1233" s="13" t="s">
        <v>204</v>
      </c>
      <c r="Q1233" s="34">
        <f t="shared" si="42"/>
        <v>914554.71999999986</v>
      </c>
      <c r="R1233" s="34" t="str">
        <f>VLOOKUP(E1233,Sales_Reps!$A$2:$E$100,3,FALSE)</f>
        <v>South</v>
      </c>
      <c r="S1233" s="34" t="str">
        <f t="shared" si="43"/>
        <v>Beauty</v>
      </c>
      <c r="T1233" s="38">
        <f>VLOOKUP(D1233,Products!$A$2:$F$68,4,FALSE)</f>
        <v>2237</v>
      </c>
    </row>
    <row r="1234" spans="1:20" x14ac:dyDescent="0.35">
      <c r="A1234" s="13" t="s">
        <v>1719</v>
      </c>
      <c r="B1234" s="14">
        <v>45457</v>
      </c>
      <c r="C1234" s="13" t="s">
        <v>795</v>
      </c>
      <c r="D1234" s="13" t="s">
        <v>120</v>
      </c>
      <c r="E1234" s="13" t="s">
        <v>170</v>
      </c>
      <c r="F1234" s="15">
        <v>3</v>
      </c>
      <c r="G1234" s="15">
        <v>1430</v>
      </c>
      <c r="H1234" s="15">
        <v>1.5</v>
      </c>
      <c r="I1234" s="15">
        <v>4225.6499999999996</v>
      </c>
      <c r="J1234" s="13" t="s">
        <v>87</v>
      </c>
      <c r="K1234" s="13" t="s">
        <v>94</v>
      </c>
      <c r="L1234" s="34" t="str">
        <f>VLOOKUP(D1234,Products!$A$2:$F$61,3,FALSE)</f>
        <v>Electronics</v>
      </c>
      <c r="M1234" s="34" t="str">
        <f>VLOOKUP(C1234,Customers!$A$2:$F$301,5,FALSE)</f>
        <v>Retail</v>
      </c>
      <c r="N1234" s="34">
        <f>VLOOKUP(C1234,Customers!$A$2:$F$301,3,FALSE)</f>
        <v>22</v>
      </c>
      <c r="O1234" s="34" t="str">
        <f>VLOOKUP(E1234,Sales_Reps!$A$2:$E$31,3,FALSE)</f>
        <v>West</v>
      </c>
      <c r="P1234" s="13" t="s">
        <v>170</v>
      </c>
      <c r="Q1234" s="34">
        <f t="shared" si="42"/>
        <v>747624.36999999988</v>
      </c>
      <c r="R1234" s="34" t="str">
        <f>VLOOKUP(E1234,Sales_Reps!$A$2:$E$100,3,FALSE)</f>
        <v>West</v>
      </c>
      <c r="S1234" s="34" t="str">
        <f t="shared" si="43"/>
        <v>Electronics</v>
      </c>
      <c r="T1234" s="38">
        <f>VLOOKUP(D1234,Products!$A$2:$F$68,4,FALSE)</f>
        <v>861</v>
      </c>
    </row>
    <row r="1235" spans="1:20" x14ac:dyDescent="0.35">
      <c r="A1235" s="13" t="s">
        <v>1720</v>
      </c>
      <c r="B1235" s="14">
        <v>45620</v>
      </c>
      <c r="C1235" s="13" t="s">
        <v>908</v>
      </c>
      <c r="D1235" s="13" t="s">
        <v>124</v>
      </c>
      <c r="E1235" s="13" t="s">
        <v>252</v>
      </c>
      <c r="F1235" s="15">
        <v>8</v>
      </c>
      <c r="G1235" s="15">
        <v>5490</v>
      </c>
      <c r="H1235" s="15">
        <v>23.2</v>
      </c>
      <c r="I1235" s="15">
        <v>33730.559999999998</v>
      </c>
      <c r="J1235" s="13" t="s">
        <v>87</v>
      </c>
      <c r="K1235" s="13" t="s">
        <v>133</v>
      </c>
      <c r="L1235" s="34" t="str">
        <f>VLOOKUP(D1235,Products!$A$2:$F$61,3,FALSE)</f>
        <v>Home</v>
      </c>
      <c r="M1235" s="34" t="str">
        <f>VLOOKUP(C1235,Customers!$A$2:$F$301,5,FALSE)</f>
        <v>Retail</v>
      </c>
      <c r="N1235" s="34">
        <f>VLOOKUP(C1235,Customers!$A$2:$F$301,3,FALSE)</f>
        <v>31</v>
      </c>
      <c r="O1235" s="34" t="str">
        <f>VLOOKUP(E1235,Sales_Reps!$A$2:$E$31,3,FALSE)</f>
        <v>South</v>
      </c>
      <c r="P1235" s="13" t="s">
        <v>252</v>
      </c>
      <c r="Q1235" s="34">
        <f t="shared" si="42"/>
        <v>811524.37999999989</v>
      </c>
      <c r="R1235" s="34" t="str">
        <f>VLOOKUP(E1235,Sales_Reps!$A$2:$E$100,3,FALSE)</f>
        <v>South</v>
      </c>
      <c r="S1235" s="34" t="str">
        <f t="shared" si="43"/>
        <v>Home</v>
      </c>
      <c r="T1235" s="38">
        <f>VLOOKUP(D1235,Products!$A$2:$F$68,4,FALSE)</f>
        <v>2549</v>
      </c>
    </row>
    <row r="1236" spans="1:20" x14ac:dyDescent="0.35">
      <c r="A1236" s="13" t="s">
        <v>1721</v>
      </c>
      <c r="B1236" s="14">
        <v>45495</v>
      </c>
      <c r="C1236" s="13" t="s">
        <v>418</v>
      </c>
      <c r="D1236" s="13" t="s">
        <v>176</v>
      </c>
      <c r="E1236" s="13" t="s">
        <v>107</v>
      </c>
      <c r="F1236" s="15">
        <v>6</v>
      </c>
      <c r="G1236" s="15">
        <v>1650</v>
      </c>
      <c r="H1236" s="15">
        <v>16.8</v>
      </c>
      <c r="I1236" s="15">
        <v>8236.7999999999993</v>
      </c>
      <c r="J1236" s="13" t="s">
        <v>87</v>
      </c>
      <c r="K1236" s="13" t="s">
        <v>133</v>
      </c>
      <c r="L1236" s="34" t="str">
        <f>VLOOKUP(D1236,Products!$A$2:$F$61,3,FALSE)</f>
        <v>Beauty</v>
      </c>
      <c r="M1236" s="34" t="str">
        <f>VLOOKUP(C1236,Customers!$A$2:$F$301,5,FALSE)</f>
        <v>Retail</v>
      </c>
      <c r="N1236" s="34">
        <f>VLOOKUP(C1236,Customers!$A$2:$F$301,3,FALSE)</f>
        <v>22</v>
      </c>
      <c r="O1236" s="34" t="str">
        <f>VLOOKUP(E1236,Sales_Reps!$A$2:$E$31,3,FALSE)</f>
        <v>North</v>
      </c>
      <c r="P1236" s="13" t="s">
        <v>107</v>
      </c>
      <c r="Q1236" s="34">
        <f t="shared" si="42"/>
        <v>861553.33</v>
      </c>
      <c r="R1236" s="34" t="str">
        <f>VLOOKUP(E1236,Sales_Reps!$A$2:$E$100,3,FALSE)</f>
        <v>North</v>
      </c>
      <c r="S1236" s="34" t="str">
        <f t="shared" si="43"/>
        <v>Beauty</v>
      </c>
      <c r="T1236" s="38">
        <f>VLOOKUP(D1236,Products!$A$2:$F$68,4,FALSE)</f>
        <v>1222</v>
      </c>
    </row>
    <row r="1237" spans="1:20" x14ac:dyDescent="0.35">
      <c r="A1237" s="13" t="s">
        <v>1722</v>
      </c>
      <c r="B1237" s="14">
        <v>45460</v>
      </c>
      <c r="C1237" s="13" t="s">
        <v>966</v>
      </c>
      <c r="D1237" s="13" t="s">
        <v>276</v>
      </c>
      <c r="E1237" s="13" t="s">
        <v>303</v>
      </c>
      <c r="F1237" s="15">
        <v>3</v>
      </c>
      <c r="G1237" s="15">
        <v>3020</v>
      </c>
      <c r="H1237" s="15">
        <v>14.5</v>
      </c>
      <c r="I1237" s="15">
        <v>7746.3</v>
      </c>
      <c r="J1237" s="13" t="s">
        <v>87</v>
      </c>
      <c r="K1237" s="13" t="s">
        <v>133</v>
      </c>
      <c r="L1237" s="34" t="str">
        <f>VLOOKUP(D1237,Products!$A$2:$F$61,3,FALSE)</f>
        <v>Beauty</v>
      </c>
      <c r="M1237" s="34" t="str">
        <f>VLOOKUP(C1237,Customers!$A$2:$F$301,5,FALSE)</f>
        <v>SMB</v>
      </c>
      <c r="N1237" s="34">
        <f>VLOOKUP(C1237,Customers!$A$2:$F$301,3,FALSE)</f>
        <v>31</v>
      </c>
      <c r="O1237" s="34" t="str">
        <f>VLOOKUP(E1237,Sales_Reps!$A$2:$E$31,3,FALSE)</f>
        <v>East</v>
      </c>
      <c r="P1237" s="13" t="s">
        <v>303</v>
      </c>
      <c r="Q1237" s="34">
        <f t="shared" si="42"/>
        <v>1112289.6400000001</v>
      </c>
      <c r="R1237" s="34" t="str">
        <f>VLOOKUP(E1237,Sales_Reps!$A$2:$E$100,3,FALSE)</f>
        <v>East</v>
      </c>
      <c r="S1237" s="34" t="str">
        <f t="shared" si="43"/>
        <v>Beauty</v>
      </c>
      <c r="T1237" s="38">
        <f>VLOOKUP(D1237,Products!$A$2:$F$68,4,FALSE)</f>
        <v>1626</v>
      </c>
    </row>
    <row r="1238" spans="1:20" x14ac:dyDescent="0.35">
      <c r="A1238" s="13" t="s">
        <v>1723</v>
      </c>
      <c r="B1238" s="14">
        <v>45438</v>
      </c>
      <c r="C1238" s="13" t="s">
        <v>1724</v>
      </c>
      <c r="D1238" s="13" t="s">
        <v>259</v>
      </c>
      <c r="E1238" s="13" t="s">
        <v>148</v>
      </c>
      <c r="F1238" s="15">
        <v>5</v>
      </c>
      <c r="G1238" s="15">
        <v>1540</v>
      </c>
      <c r="H1238" s="15">
        <v>27.2</v>
      </c>
      <c r="I1238" s="15">
        <v>5605.6</v>
      </c>
      <c r="J1238" s="13" t="s">
        <v>87</v>
      </c>
      <c r="K1238" s="13" t="s">
        <v>117</v>
      </c>
      <c r="L1238" s="34" t="str">
        <f>VLOOKUP(D1238,Products!$A$2:$F$61,3,FALSE)</f>
        <v>Beauty</v>
      </c>
      <c r="M1238" s="34" t="str">
        <f>VLOOKUP(C1238,Customers!$A$2:$F$301,5,FALSE)</f>
        <v>SMB</v>
      </c>
      <c r="N1238" s="34">
        <f>VLOOKUP(C1238,Customers!$A$2:$F$301,3,FALSE)</f>
        <v>54</v>
      </c>
      <c r="O1238" s="34" t="str">
        <f>VLOOKUP(E1238,Sales_Reps!$A$2:$E$31,3,FALSE)</f>
        <v>North</v>
      </c>
      <c r="P1238" s="13" t="s">
        <v>148</v>
      </c>
      <c r="Q1238" s="34">
        <f t="shared" si="42"/>
        <v>986692.91</v>
      </c>
      <c r="R1238" s="34" t="str">
        <f>VLOOKUP(E1238,Sales_Reps!$A$2:$E$100,3,FALSE)</f>
        <v>North</v>
      </c>
      <c r="S1238" s="34" t="str">
        <f t="shared" si="43"/>
        <v>Beauty</v>
      </c>
      <c r="T1238" s="38">
        <f>VLOOKUP(D1238,Products!$A$2:$F$68,4,FALSE)</f>
        <v>647</v>
      </c>
    </row>
    <row r="1239" spans="1:20" x14ac:dyDescent="0.35">
      <c r="A1239" s="13" t="s">
        <v>771</v>
      </c>
      <c r="B1239" s="14">
        <v>45307</v>
      </c>
      <c r="C1239" s="13" t="s">
        <v>316</v>
      </c>
      <c r="D1239" s="13" t="s">
        <v>515</v>
      </c>
      <c r="E1239" s="13" t="s">
        <v>154</v>
      </c>
      <c r="F1239" s="15">
        <v>4</v>
      </c>
      <c r="G1239" s="15">
        <v>6940</v>
      </c>
      <c r="H1239" s="15">
        <v>3.2</v>
      </c>
      <c r="I1239" s="15">
        <v>26871.68</v>
      </c>
      <c r="J1239" s="13" t="s">
        <v>87</v>
      </c>
      <c r="K1239" s="13" t="s">
        <v>88</v>
      </c>
      <c r="L1239" s="34" t="str">
        <f>VLOOKUP(D1239,Products!$A$2:$F$61,3,FALSE)</f>
        <v>Sports</v>
      </c>
      <c r="M1239" s="34" t="str">
        <f>VLOOKUP(C1239,Customers!$A$2:$F$301,5,FALSE)</f>
        <v>SMB</v>
      </c>
      <c r="N1239" s="34">
        <f>VLOOKUP(C1239,Customers!$A$2:$F$301,3,FALSE)</f>
        <v>60</v>
      </c>
      <c r="O1239" s="34" t="str">
        <f>VLOOKUP(E1239,Sales_Reps!$A$2:$E$31,3,FALSE)</f>
        <v>East</v>
      </c>
      <c r="P1239" s="13" t="s">
        <v>154</v>
      </c>
      <c r="Q1239" s="34">
        <f t="shared" si="42"/>
        <v>983787.4800000001</v>
      </c>
      <c r="R1239" s="34" t="str">
        <f>VLOOKUP(E1239,Sales_Reps!$A$2:$E$100,3,FALSE)</f>
        <v>East</v>
      </c>
      <c r="S1239" s="34" t="str">
        <f t="shared" si="43"/>
        <v>Sports</v>
      </c>
      <c r="T1239" s="38">
        <f>VLOOKUP(D1239,Products!$A$2:$F$68,4,FALSE)</f>
        <v>2827</v>
      </c>
    </row>
    <row r="1240" spans="1:20" x14ac:dyDescent="0.35">
      <c r="A1240" s="13" t="s">
        <v>1725</v>
      </c>
      <c r="B1240" s="14">
        <v>45517</v>
      </c>
      <c r="C1240" s="13" t="s">
        <v>109</v>
      </c>
      <c r="D1240" s="13" t="s">
        <v>191</v>
      </c>
      <c r="E1240" s="13" t="s">
        <v>238</v>
      </c>
      <c r="F1240" s="15">
        <v>2</v>
      </c>
      <c r="G1240" s="15">
        <v>5100</v>
      </c>
      <c r="H1240" s="15">
        <v>18.100000000000001</v>
      </c>
      <c r="I1240" s="15">
        <v>8353.7999999999993</v>
      </c>
      <c r="J1240" s="13" t="s">
        <v>87</v>
      </c>
      <c r="K1240" s="13" t="s">
        <v>112</v>
      </c>
      <c r="L1240" s="34" t="str">
        <f>VLOOKUP(D1240,Products!$A$2:$F$61,3,FALSE)</f>
        <v>Beauty</v>
      </c>
      <c r="M1240" s="34" t="str">
        <f>VLOOKUP(C1240,Customers!$A$2:$F$301,5,FALSE)</f>
        <v>Retail</v>
      </c>
      <c r="N1240" s="34">
        <f>VLOOKUP(C1240,Customers!$A$2:$F$301,3,FALSE)</f>
        <v>36</v>
      </c>
      <c r="O1240" s="34" t="str">
        <f>VLOOKUP(E1240,Sales_Reps!$A$2:$E$31,3,FALSE)</f>
        <v>East</v>
      </c>
      <c r="P1240" s="13" t="s">
        <v>238</v>
      </c>
      <c r="Q1240" s="34">
        <f t="shared" si="42"/>
        <v>780384.40999999992</v>
      </c>
      <c r="R1240" s="34" t="str">
        <f>VLOOKUP(E1240,Sales_Reps!$A$2:$E$100,3,FALSE)</f>
        <v>East</v>
      </c>
      <c r="S1240" s="34" t="str">
        <f t="shared" si="43"/>
        <v>Beauty</v>
      </c>
      <c r="T1240" s="38">
        <f>VLOOKUP(D1240,Products!$A$2:$F$68,4,FALSE)</f>
        <v>2237</v>
      </c>
    </row>
    <row r="1241" spans="1:20" x14ac:dyDescent="0.35">
      <c r="A1241" s="13" t="s">
        <v>1726</v>
      </c>
      <c r="B1241" s="14">
        <v>45575</v>
      </c>
      <c r="C1241" s="13" t="s">
        <v>314</v>
      </c>
      <c r="D1241" s="13" t="s">
        <v>364</v>
      </c>
      <c r="E1241" s="13" t="s">
        <v>346</v>
      </c>
      <c r="F1241" s="15">
        <v>6</v>
      </c>
      <c r="G1241" s="15">
        <v>5330</v>
      </c>
      <c r="H1241" s="15">
        <v>0.3</v>
      </c>
      <c r="I1241" s="15">
        <v>31884.06</v>
      </c>
      <c r="J1241" s="13" t="s">
        <v>93</v>
      </c>
      <c r="K1241" s="13" t="s">
        <v>88</v>
      </c>
      <c r="L1241" s="34" t="str">
        <f>VLOOKUP(D1241,Products!$A$2:$F$61,3,FALSE)</f>
        <v>Electronics</v>
      </c>
      <c r="M1241" s="34" t="str">
        <f>VLOOKUP(C1241,Customers!$A$2:$F$301,5,FALSE)</f>
        <v>Corporate</v>
      </c>
      <c r="N1241" s="34">
        <f>VLOOKUP(C1241,Customers!$A$2:$F$301,3,FALSE)</f>
        <v>33</v>
      </c>
      <c r="O1241" s="34" t="str">
        <f>VLOOKUP(E1241,Sales_Reps!$A$2:$E$31,3,FALSE)</f>
        <v>South</v>
      </c>
      <c r="P1241" s="13" t="s">
        <v>346</v>
      </c>
      <c r="Q1241" s="34">
        <f t="shared" si="42"/>
        <v>814563.7100000002</v>
      </c>
      <c r="R1241" s="34" t="str">
        <f>VLOOKUP(E1241,Sales_Reps!$A$2:$E$100,3,FALSE)</f>
        <v>South</v>
      </c>
      <c r="S1241" s="34" t="str">
        <f t="shared" si="43"/>
        <v>Electronics</v>
      </c>
      <c r="T1241" s="38">
        <f>VLOOKUP(D1241,Products!$A$2:$F$68,4,FALSE)</f>
        <v>2405</v>
      </c>
    </row>
    <row r="1242" spans="1:20" x14ac:dyDescent="0.35">
      <c r="A1242" s="13" t="s">
        <v>1727</v>
      </c>
      <c r="B1242" s="14">
        <v>45449</v>
      </c>
      <c r="C1242" s="13" t="s">
        <v>1006</v>
      </c>
      <c r="D1242" s="13" t="s">
        <v>115</v>
      </c>
      <c r="E1242" s="13" t="s">
        <v>229</v>
      </c>
      <c r="F1242" s="15">
        <v>5</v>
      </c>
      <c r="G1242" s="15">
        <v>960</v>
      </c>
      <c r="H1242" s="15">
        <v>16.600000000000001</v>
      </c>
      <c r="I1242" s="15">
        <v>4003.2</v>
      </c>
      <c r="J1242" s="13" t="s">
        <v>87</v>
      </c>
      <c r="K1242" s="13" t="s">
        <v>117</v>
      </c>
      <c r="L1242" s="34" t="str">
        <f>VLOOKUP(D1242,Products!$A$2:$F$61,3,FALSE)</f>
        <v>Sports</v>
      </c>
      <c r="M1242" s="34" t="str">
        <f>VLOOKUP(C1242,Customers!$A$2:$F$301,5,FALSE)</f>
        <v>SMB</v>
      </c>
      <c r="N1242" s="34">
        <f>VLOOKUP(C1242,Customers!$A$2:$F$301,3,FALSE)</f>
        <v>44</v>
      </c>
      <c r="O1242" s="34" t="str">
        <f>VLOOKUP(E1242,Sales_Reps!$A$2:$E$31,3,FALSE)</f>
        <v>West</v>
      </c>
      <c r="P1242" s="13" t="s">
        <v>229</v>
      </c>
      <c r="Q1242" s="34">
        <f t="shared" si="42"/>
        <v>1016696.8000000002</v>
      </c>
      <c r="R1242" s="34" t="str">
        <f>VLOOKUP(E1242,Sales_Reps!$A$2:$E$100,3,FALSE)</f>
        <v>West</v>
      </c>
      <c r="S1242" s="34" t="str">
        <f t="shared" si="43"/>
        <v>Sports</v>
      </c>
      <c r="T1242" s="38">
        <f>VLOOKUP(D1242,Products!$A$2:$F$68,4,FALSE)</f>
        <v>705</v>
      </c>
    </row>
    <row r="1243" spans="1:20" x14ac:dyDescent="0.35">
      <c r="A1243" s="13" t="s">
        <v>1728</v>
      </c>
      <c r="B1243" s="14">
        <v>45481</v>
      </c>
      <c r="C1243" s="13" t="s">
        <v>305</v>
      </c>
      <c r="D1243" s="13" t="s">
        <v>85</v>
      </c>
      <c r="E1243" s="13" t="s">
        <v>285</v>
      </c>
      <c r="F1243" s="15">
        <v>7</v>
      </c>
      <c r="G1243" s="15">
        <v>3620</v>
      </c>
      <c r="H1243" s="15">
        <v>5.4</v>
      </c>
      <c r="I1243" s="15">
        <v>23971.64</v>
      </c>
      <c r="J1243" s="13" t="s">
        <v>87</v>
      </c>
      <c r="K1243" s="13" t="s">
        <v>133</v>
      </c>
      <c r="L1243" s="34" t="str">
        <f>VLOOKUP(D1243,Products!$A$2:$F$61,3,FALSE)</f>
        <v>Apparel</v>
      </c>
      <c r="M1243" s="34" t="str">
        <f>VLOOKUP(C1243,Customers!$A$2:$F$301,5,FALSE)</f>
        <v>Corporate</v>
      </c>
      <c r="N1243" s="34">
        <f>VLOOKUP(C1243,Customers!$A$2:$F$301,3,FALSE)</f>
        <v>46</v>
      </c>
      <c r="O1243" s="34" t="str">
        <f>VLOOKUP(E1243,Sales_Reps!$A$2:$E$31,3,FALSE)</f>
        <v>East</v>
      </c>
      <c r="P1243" s="13" t="s">
        <v>285</v>
      </c>
      <c r="Q1243" s="34">
        <f t="shared" si="42"/>
        <v>1069570.5400000003</v>
      </c>
      <c r="R1243" s="34" t="str">
        <f>VLOOKUP(E1243,Sales_Reps!$A$2:$E$100,3,FALSE)</f>
        <v>East</v>
      </c>
      <c r="S1243" s="34" t="str">
        <f t="shared" si="43"/>
        <v>Apparel</v>
      </c>
      <c r="T1243" s="38">
        <f>VLOOKUP(D1243,Products!$A$2:$F$68,4,FALSE)</f>
        <v>2509</v>
      </c>
    </row>
    <row r="1244" spans="1:20" x14ac:dyDescent="0.35">
      <c r="A1244" s="13" t="s">
        <v>1729</v>
      </c>
      <c r="B1244" s="14">
        <v>45368</v>
      </c>
      <c r="C1244" s="13" t="s">
        <v>1628</v>
      </c>
      <c r="D1244" s="13" t="s">
        <v>138</v>
      </c>
      <c r="E1244" s="13" t="s">
        <v>103</v>
      </c>
      <c r="F1244" s="15">
        <v>6</v>
      </c>
      <c r="G1244" s="15">
        <v>2600</v>
      </c>
      <c r="H1244" s="15">
        <v>25.9</v>
      </c>
      <c r="I1244" s="15">
        <v>11559.6</v>
      </c>
      <c r="J1244" s="13" t="s">
        <v>87</v>
      </c>
      <c r="K1244" s="13" t="s">
        <v>94</v>
      </c>
      <c r="L1244" s="34" t="str">
        <f>VLOOKUP(D1244,Products!$A$2:$F$61,3,FALSE)</f>
        <v>Electronics</v>
      </c>
      <c r="M1244" s="34" t="str">
        <f>VLOOKUP(C1244,Customers!$A$2:$F$301,5,FALSE)</f>
        <v>Retail</v>
      </c>
      <c r="N1244" s="34">
        <f>VLOOKUP(C1244,Customers!$A$2:$F$301,3,FALSE)</f>
        <v>35</v>
      </c>
      <c r="O1244" s="34" t="str">
        <f>VLOOKUP(E1244,Sales_Reps!$A$2:$E$31,3,FALSE)</f>
        <v>North</v>
      </c>
      <c r="P1244" s="13" t="s">
        <v>103</v>
      </c>
      <c r="Q1244" s="34">
        <f t="shared" si="42"/>
        <v>1138648.73</v>
      </c>
      <c r="R1244" s="34" t="str">
        <f>VLOOKUP(E1244,Sales_Reps!$A$2:$E$100,3,FALSE)</f>
        <v>North</v>
      </c>
      <c r="S1244" s="34" t="str">
        <f t="shared" si="43"/>
        <v>Electronics</v>
      </c>
      <c r="T1244" s="38">
        <f>VLOOKUP(D1244,Products!$A$2:$F$68,4,FALSE)</f>
        <v>1052</v>
      </c>
    </row>
    <row r="1245" spans="1:20" x14ac:dyDescent="0.35">
      <c r="A1245" s="13" t="s">
        <v>1730</v>
      </c>
      <c r="B1245" s="14">
        <v>45298</v>
      </c>
      <c r="C1245" s="13" t="s">
        <v>485</v>
      </c>
      <c r="D1245" s="13" t="s">
        <v>279</v>
      </c>
      <c r="E1245" s="13" t="s">
        <v>252</v>
      </c>
      <c r="F1245" s="15">
        <v>7</v>
      </c>
      <c r="G1245" s="15">
        <v>2660</v>
      </c>
      <c r="H1245" s="15">
        <v>20.2</v>
      </c>
      <c r="I1245" s="15">
        <v>14858.76</v>
      </c>
      <c r="J1245" s="13" t="s">
        <v>87</v>
      </c>
      <c r="K1245" s="13" t="s">
        <v>88</v>
      </c>
      <c r="L1245" s="34" t="str">
        <f>VLOOKUP(D1245,Products!$A$2:$F$61,3,FALSE)</f>
        <v>Electronics</v>
      </c>
      <c r="M1245" s="34" t="str">
        <f>VLOOKUP(C1245,Customers!$A$2:$F$301,5,FALSE)</f>
        <v>Retail</v>
      </c>
      <c r="N1245" s="34">
        <f>VLOOKUP(C1245,Customers!$A$2:$F$301,3,FALSE)</f>
        <v>49</v>
      </c>
      <c r="O1245" s="34" t="str">
        <f>VLOOKUP(E1245,Sales_Reps!$A$2:$E$31,3,FALSE)</f>
        <v>South</v>
      </c>
      <c r="P1245" s="13" t="s">
        <v>252</v>
      </c>
      <c r="Q1245" s="34">
        <f t="shared" si="42"/>
        <v>811524.37999999989</v>
      </c>
      <c r="R1245" s="34" t="str">
        <f>VLOOKUP(E1245,Sales_Reps!$A$2:$E$100,3,FALSE)</f>
        <v>South</v>
      </c>
      <c r="S1245" s="34" t="str">
        <f t="shared" si="43"/>
        <v>Electronics</v>
      </c>
      <c r="T1245" s="38">
        <f>VLOOKUP(D1245,Products!$A$2:$F$68,4,FALSE)</f>
        <v>1259</v>
      </c>
    </row>
    <row r="1246" spans="1:20" x14ac:dyDescent="0.35">
      <c r="A1246" s="13" t="s">
        <v>1731</v>
      </c>
      <c r="B1246" s="14">
        <v>45472</v>
      </c>
      <c r="C1246" s="13" t="s">
        <v>959</v>
      </c>
      <c r="D1246" s="13" t="s">
        <v>167</v>
      </c>
      <c r="E1246" s="13" t="s">
        <v>285</v>
      </c>
      <c r="F1246" s="15">
        <v>9</v>
      </c>
      <c r="G1246" s="15">
        <v>2480</v>
      </c>
      <c r="H1246" s="15">
        <v>14.7</v>
      </c>
      <c r="I1246" s="15">
        <v>19038.96</v>
      </c>
      <c r="J1246" s="13" t="s">
        <v>87</v>
      </c>
      <c r="K1246" s="13" t="s">
        <v>112</v>
      </c>
      <c r="L1246" s="34" t="str">
        <f>VLOOKUP(D1246,Products!$A$2:$F$61,3,FALSE)</f>
        <v>Apparel</v>
      </c>
      <c r="M1246" s="34" t="str">
        <f>VLOOKUP(C1246,Customers!$A$2:$F$301,5,FALSE)</f>
        <v>SMB</v>
      </c>
      <c r="N1246" s="34">
        <f>VLOOKUP(C1246,Customers!$A$2:$F$301,3,FALSE)</f>
        <v>65</v>
      </c>
      <c r="O1246" s="34" t="str">
        <f>VLOOKUP(E1246,Sales_Reps!$A$2:$E$31,3,FALSE)</f>
        <v>East</v>
      </c>
      <c r="P1246" s="13" t="s">
        <v>285</v>
      </c>
      <c r="Q1246" s="34">
        <f t="shared" si="42"/>
        <v>1069570.5400000003</v>
      </c>
      <c r="R1246" s="34" t="str">
        <f>VLOOKUP(E1246,Sales_Reps!$A$2:$E$100,3,FALSE)</f>
        <v>East</v>
      </c>
      <c r="S1246" s="34" t="str">
        <f t="shared" si="43"/>
        <v>Apparel</v>
      </c>
      <c r="T1246" s="38">
        <f>VLOOKUP(D1246,Products!$A$2:$F$68,4,FALSE)</f>
        <v>1173</v>
      </c>
    </row>
    <row r="1247" spans="1:20" x14ac:dyDescent="0.35">
      <c r="A1247" s="13" t="s">
        <v>1732</v>
      </c>
      <c r="B1247" s="14">
        <v>45568</v>
      </c>
      <c r="C1247" s="13" t="s">
        <v>357</v>
      </c>
      <c r="D1247" s="13" t="s">
        <v>279</v>
      </c>
      <c r="E1247" s="13" t="s">
        <v>188</v>
      </c>
      <c r="F1247" s="15">
        <v>4</v>
      </c>
      <c r="G1247" s="15">
        <v>2660</v>
      </c>
      <c r="H1247" s="15">
        <v>8.9</v>
      </c>
      <c r="I1247" s="15">
        <v>9693.0400000000009</v>
      </c>
      <c r="J1247" s="13" t="s">
        <v>87</v>
      </c>
      <c r="K1247" s="13" t="s">
        <v>99</v>
      </c>
      <c r="L1247" s="34" t="str">
        <f>VLOOKUP(D1247,Products!$A$2:$F$61,3,FALSE)</f>
        <v>Electronics</v>
      </c>
      <c r="M1247" s="34" t="str">
        <f>VLOOKUP(C1247,Customers!$A$2:$F$301,5,FALSE)</f>
        <v>SMB</v>
      </c>
      <c r="N1247" s="34">
        <f>VLOOKUP(C1247,Customers!$A$2:$F$301,3,FALSE)</f>
        <v>38</v>
      </c>
      <c r="O1247" s="34" t="str">
        <f>VLOOKUP(E1247,Sales_Reps!$A$2:$E$31,3,FALSE)</f>
        <v>South</v>
      </c>
      <c r="P1247" s="13" t="s">
        <v>188</v>
      </c>
      <c r="Q1247" s="34">
        <f t="shared" si="42"/>
        <v>1091740.1799999997</v>
      </c>
      <c r="R1247" s="34" t="str">
        <f>VLOOKUP(E1247,Sales_Reps!$A$2:$E$100,3,FALSE)</f>
        <v>South</v>
      </c>
      <c r="S1247" s="34" t="str">
        <f t="shared" si="43"/>
        <v>Electronics</v>
      </c>
      <c r="T1247" s="38">
        <f>VLOOKUP(D1247,Products!$A$2:$F$68,4,FALSE)</f>
        <v>1259</v>
      </c>
    </row>
    <row r="1248" spans="1:20" x14ac:dyDescent="0.35">
      <c r="A1248" s="13" t="s">
        <v>1733</v>
      </c>
      <c r="B1248" s="14">
        <v>45540</v>
      </c>
      <c r="C1248" s="13" t="s">
        <v>900</v>
      </c>
      <c r="D1248" s="13" t="s">
        <v>364</v>
      </c>
      <c r="E1248" s="13" t="s">
        <v>132</v>
      </c>
      <c r="F1248" s="15">
        <v>1</v>
      </c>
      <c r="G1248" s="15">
        <v>5330</v>
      </c>
      <c r="H1248" s="15">
        <v>26.8</v>
      </c>
      <c r="I1248" s="15">
        <v>3901.56</v>
      </c>
      <c r="J1248" s="13" t="s">
        <v>87</v>
      </c>
      <c r="K1248" s="13" t="s">
        <v>117</v>
      </c>
      <c r="L1248" s="34" t="str">
        <f>VLOOKUP(D1248,Products!$A$2:$F$61,3,FALSE)</f>
        <v>Electronics</v>
      </c>
      <c r="M1248" s="34" t="str">
        <f>VLOOKUP(C1248,Customers!$A$2:$F$301,5,FALSE)</f>
        <v>Retail</v>
      </c>
      <c r="N1248" s="34">
        <f>VLOOKUP(C1248,Customers!$A$2:$F$301,3,FALSE)</f>
        <v>35</v>
      </c>
      <c r="O1248" s="34" t="str">
        <f>VLOOKUP(E1248,Sales_Reps!$A$2:$E$31,3,FALSE)</f>
        <v>South</v>
      </c>
      <c r="P1248" s="13" t="s">
        <v>132</v>
      </c>
      <c r="Q1248" s="34">
        <f t="shared" si="42"/>
        <v>880345.20000000007</v>
      </c>
      <c r="R1248" s="34" t="str">
        <f>VLOOKUP(E1248,Sales_Reps!$A$2:$E$100,3,FALSE)</f>
        <v>South</v>
      </c>
      <c r="S1248" s="34" t="str">
        <f t="shared" si="43"/>
        <v>Electronics</v>
      </c>
      <c r="T1248" s="38">
        <f>VLOOKUP(D1248,Products!$A$2:$F$68,4,FALSE)</f>
        <v>2405</v>
      </c>
    </row>
    <row r="1249" spans="1:20" x14ac:dyDescent="0.35">
      <c r="A1249" s="13" t="s">
        <v>1734</v>
      </c>
      <c r="B1249" s="14">
        <v>45544</v>
      </c>
      <c r="C1249" s="13" t="s">
        <v>1623</v>
      </c>
      <c r="D1249" s="13" t="s">
        <v>161</v>
      </c>
      <c r="E1249" s="13" t="s">
        <v>343</v>
      </c>
      <c r="F1249" s="15">
        <v>6</v>
      </c>
      <c r="G1249" s="15">
        <v>3450</v>
      </c>
      <c r="H1249" s="15">
        <v>19.2</v>
      </c>
      <c r="I1249" s="15">
        <v>16725.599999999999</v>
      </c>
      <c r="J1249" s="13" t="s">
        <v>93</v>
      </c>
      <c r="K1249" s="13" t="s">
        <v>117</v>
      </c>
      <c r="L1249" s="34" t="str">
        <f>VLOOKUP(D1249,Products!$A$2:$F$61,3,FALSE)</f>
        <v>Sports</v>
      </c>
      <c r="M1249" s="34" t="str">
        <f>VLOOKUP(C1249,Customers!$A$2:$F$301,5,FALSE)</f>
        <v>Retail</v>
      </c>
      <c r="N1249" s="34">
        <f>VLOOKUP(C1249,Customers!$A$2:$F$301,3,FALSE)</f>
        <v>53</v>
      </c>
      <c r="O1249" s="34" t="str">
        <f>VLOOKUP(E1249,Sales_Reps!$A$2:$E$31,3,FALSE)</f>
        <v>West</v>
      </c>
      <c r="P1249" s="13" t="s">
        <v>343</v>
      </c>
      <c r="Q1249" s="34">
        <f t="shared" si="42"/>
        <v>917092.61999999965</v>
      </c>
      <c r="R1249" s="34" t="str">
        <f>VLOOKUP(E1249,Sales_Reps!$A$2:$E$100,3,FALSE)</f>
        <v>West</v>
      </c>
      <c r="S1249" s="34" t="str">
        <f t="shared" si="43"/>
        <v>Sports</v>
      </c>
      <c r="T1249" s="38">
        <f>VLOOKUP(D1249,Products!$A$2:$F$68,4,FALSE)</f>
        <v>2467</v>
      </c>
    </row>
    <row r="1250" spans="1:20" x14ac:dyDescent="0.35">
      <c r="A1250" s="13" t="s">
        <v>1735</v>
      </c>
      <c r="B1250" s="14">
        <v>45334</v>
      </c>
      <c r="C1250" s="13" t="s">
        <v>169</v>
      </c>
      <c r="D1250" s="13" t="s">
        <v>147</v>
      </c>
      <c r="E1250" s="13" t="s">
        <v>111</v>
      </c>
      <c r="F1250" s="15">
        <v>10</v>
      </c>
      <c r="G1250" s="15">
        <v>190</v>
      </c>
      <c r="H1250" s="15">
        <v>18.100000000000001</v>
      </c>
      <c r="I1250" s="15">
        <v>1556.1</v>
      </c>
      <c r="J1250" s="13" t="s">
        <v>87</v>
      </c>
      <c r="K1250" s="13" t="s">
        <v>112</v>
      </c>
      <c r="L1250" s="34" t="str">
        <f>VLOOKUP(D1250,Products!$A$2:$F$61,3,FALSE)</f>
        <v>Sports</v>
      </c>
      <c r="M1250" s="34" t="str">
        <f>VLOOKUP(C1250,Customers!$A$2:$F$301,5,FALSE)</f>
        <v>Retail</v>
      </c>
      <c r="N1250" s="34">
        <f>VLOOKUP(C1250,Customers!$A$2:$F$301,3,FALSE)</f>
        <v>34</v>
      </c>
      <c r="O1250" s="34" t="str">
        <f>VLOOKUP(E1250,Sales_Reps!$A$2:$E$31,3,FALSE)</f>
        <v>West</v>
      </c>
      <c r="P1250" s="13" t="s">
        <v>111</v>
      </c>
      <c r="Q1250" s="34">
        <f t="shared" si="42"/>
        <v>901298.89</v>
      </c>
      <c r="R1250" s="34" t="str">
        <f>VLOOKUP(E1250,Sales_Reps!$A$2:$E$100,3,FALSE)</f>
        <v>West</v>
      </c>
      <c r="S1250" s="34" t="str">
        <f t="shared" si="43"/>
        <v>Sports</v>
      </c>
      <c r="T1250" s="38">
        <f>VLOOKUP(D1250,Products!$A$2:$F$68,4,FALSE)</f>
        <v>147</v>
      </c>
    </row>
    <row r="1251" spans="1:20" x14ac:dyDescent="0.35">
      <c r="A1251" s="13" t="s">
        <v>1736</v>
      </c>
      <c r="B1251" s="14">
        <v>45584</v>
      </c>
      <c r="C1251" s="13" t="s">
        <v>621</v>
      </c>
      <c r="D1251" s="13" t="s">
        <v>408</v>
      </c>
      <c r="E1251" s="13" t="s">
        <v>204</v>
      </c>
      <c r="F1251" s="15">
        <v>9</v>
      </c>
      <c r="G1251" s="15">
        <v>3970</v>
      </c>
      <c r="H1251" s="15">
        <v>18.2</v>
      </c>
      <c r="I1251" s="15">
        <v>29227.14</v>
      </c>
      <c r="J1251" s="13" t="s">
        <v>93</v>
      </c>
      <c r="K1251" s="13" t="s">
        <v>94</v>
      </c>
      <c r="L1251" s="34" t="str">
        <f>VLOOKUP(D1251,Products!$A$2:$F$61,3,FALSE)</f>
        <v>Electronics</v>
      </c>
      <c r="M1251" s="34" t="str">
        <f>VLOOKUP(C1251,Customers!$A$2:$F$301,5,FALSE)</f>
        <v>Corporate</v>
      </c>
      <c r="N1251" s="34">
        <f>VLOOKUP(C1251,Customers!$A$2:$F$301,3,FALSE)</f>
        <v>22</v>
      </c>
      <c r="O1251" s="34" t="str">
        <f>VLOOKUP(E1251,Sales_Reps!$A$2:$E$31,3,FALSE)</f>
        <v>South</v>
      </c>
      <c r="P1251" s="13" t="s">
        <v>204</v>
      </c>
      <c r="Q1251" s="34">
        <f t="shared" si="42"/>
        <v>914554.71999999986</v>
      </c>
      <c r="R1251" s="34" t="str">
        <f>VLOOKUP(E1251,Sales_Reps!$A$2:$E$100,3,FALSE)</f>
        <v>South</v>
      </c>
      <c r="S1251" s="34" t="str">
        <f t="shared" si="43"/>
        <v>Electronics</v>
      </c>
      <c r="T1251" s="38">
        <f>VLOOKUP(D1251,Products!$A$2:$F$68,4,FALSE)</f>
        <v>2865</v>
      </c>
    </row>
    <row r="1252" spans="1:20" x14ac:dyDescent="0.35">
      <c r="A1252" s="13" t="s">
        <v>1737</v>
      </c>
      <c r="B1252" s="14">
        <v>45404</v>
      </c>
      <c r="C1252" s="13" t="s">
        <v>130</v>
      </c>
      <c r="D1252" s="13" t="s">
        <v>270</v>
      </c>
      <c r="E1252" s="13" t="s">
        <v>297</v>
      </c>
      <c r="F1252" s="15">
        <v>4</v>
      </c>
      <c r="G1252" s="15">
        <v>4610</v>
      </c>
      <c r="H1252" s="15">
        <v>15.1</v>
      </c>
      <c r="I1252" s="15">
        <v>15655.56</v>
      </c>
      <c r="J1252" s="13" t="s">
        <v>140</v>
      </c>
      <c r="K1252" s="13" t="s">
        <v>133</v>
      </c>
      <c r="L1252" s="34" t="str">
        <f>VLOOKUP(D1252,Products!$A$2:$F$61,3,FALSE)</f>
        <v>Home</v>
      </c>
      <c r="M1252" s="34" t="str">
        <f>VLOOKUP(C1252,Customers!$A$2:$F$301,5,FALSE)</f>
        <v>Retail</v>
      </c>
      <c r="N1252" s="34">
        <f>VLOOKUP(C1252,Customers!$A$2:$F$301,3,FALSE)</f>
        <v>60</v>
      </c>
      <c r="O1252" s="34" t="str">
        <f>VLOOKUP(E1252,Sales_Reps!$A$2:$E$31,3,FALSE)</f>
        <v>North</v>
      </c>
      <c r="P1252" s="13" t="s">
        <v>297</v>
      </c>
      <c r="Q1252" s="34">
        <f t="shared" si="42"/>
        <v>980063.65999999968</v>
      </c>
      <c r="R1252" s="34" t="str">
        <f>VLOOKUP(E1252,Sales_Reps!$A$2:$E$100,3,FALSE)</f>
        <v>North</v>
      </c>
      <c r="S1252" s="34" t="str">
        <f t="shared" si="43"/>
        <v>Home</v>
      </c>
      <c r="T1252" s="38">
        <f>VLOOKUP(D1252,Products!$A$2:$F$68,4,FALSE)</f>
        <v>1850</v>
      </c>
    </row>
    <row r="1253" spans="1:20" x14ac:dyDescent="0.35">
      <c r="A1253" s="13" t="s">
        <v>1738</v>
      </c>
      <c r="B1253" s="14">
        <v>45476</v>
      </c>
      <c r="C1253" s="13" t="s">
        <v>392</v>
      </c>
      <c r="D1253" s="13" t="s">
        <v>292</v>
      </c>
      <c r="E1253" s="13" t="s">
        <v>111</v>
      </c>
      <c r="F1253" s="15">
        <v>2</v>
      </c>
      <c r="G1253" s="15">
        <v>620</v>
      </c>
      <c r="H1253" s="15">
        <v>3.3</v>
      </c>
      <c r="I1253" s="15">
        <v>1199.08</v>
      </c>
      <c r="J1253" s="13" t="s">
        <v>87</v>
      </c>
      <c r="K1253" s="13" t="s">
        <v>112</v>
      </c>
      <c r="L1253" s="34" t="str">
        <f>VLOOKUP(D1253,Products!$A$2:$F$61,3,FALSE)</f>
        <v>Apparel</v>
      </c>
      <c r="M1253" s="34" t="str">
        <f>VLOOKUP(C1253,Customers!$A$2:$F$301,5,FALSE)</f>
        <v>Retail</v>
      </c>
      <c r="N1253" s="34">
        <f>VLOOKUP(C1253,Customers!$A$2:$F$301,3,FALSE)</f>
        <v>50</v>
      </c>
      <c r="O1253" s="34" t="str">
        <f>VLOOKUP(E1253,Sales_Reps!$A$2:$E$31,3,FALSE)</f>
        <v>West</v>
      </c>
      <c r="P1253" s="13" t="s">
        <v>111</v>
      </c>
      <c r="Q1253" s="34">
        <f t="shared" si="42"/>
        <v>901298.89</v>
      </c>
      <c r="R1253" s="34" t="str">
        <f>VLOOKUP(E1253,Sales_Reps!$A$2:$E$100,3,FALSE)</f>
        <v>West</v>
      </c>
      <c r="S1253" s="34" t="str">
        <f t="shared" si="43"/>
        <v>Apparel</v>
      </c>
      <c r="T1253" s="38">
        <f>VLOOKUP(D1253,Products!$A$2:$F$68,4,FALSE)</f>
        <v>396</v>
      </c>
    </row>
    <row r="1254" spans="1:20" x14ac:dyDescent="0.35">
      <c r="A1254" s="13" t="s">
        <v>1739</v>
      </c>
      <c r="B1254" s="14">
        <v>45481</v>
      </c>
      <c r="C1254" s="13" t="s">
        <v>757</v>
      </c>
      <c r="D1254" s="13" t="s">
        <v>259</v>
      </c>
      <c r="E1254" s="13" t="s">
        <v>111</v>
      </c>
      <c r="F1254" s="15">
        <v>7</v>
      </c>
      <c r="G1254" s="15">
        <v>1540</v>
      </c>
      <c r="H1254" s="15">
        <v>27.5</v>
      </c>
      <c r="I1254" s="15">
        <v>7815.5</v>
      </c>
      <c r="J1254" s="13" t="s">
        <v>87</v>
      </c>
      <c r="K1254" s="13" t="s">
        <v>117</v>
      </c>
      <c r="L1254" s="34" t="str">
        <f>VLOOKUP(D1254,Products!$A$2:$F$61,3,FALSE)</f>
        <v>Beauty</v>
      </c>
      <c r="M1254" s="34" t="str">
        <f>VLOOKUP(C1254,Customers!$A$2:$F$301,5,FALSE)</f>
        <v>Corporate</v>
      </c>
      <c r="N1254" s="34">
        <f>VLOOKUP(C1254,Customers!$A$2:$F$301,3,FALSE)</f>
        <v>43</v>
      </c>
      <c r="O1254" s="34" t="str">
        <f>VLOOKUP(E1254,Sales_Reps!$A$2:$E$31,3,FALSE)</f>
        <v>West</v>
      </c>
      <c r="P1254" s="13" t="s">
        <v>111</v>
      </c>
      <c r="Q1254" s="34">
        <f t="shared" si="42"/>
        <v>901298.89</v>
      </c>
      <c r="R1254" s="34" t="str">
        <f>VLOOKUP(E1254,Sales_Reps!$A$2:$E$100,3,FALSE)</f>
        <v>West</v>
      </c>
      <c r="S1254" s="34" t="str">
        <f t="shared" si="43"/>
        <v>Beauty</v>
      </c>
      <c r="T1254" s="38">
        <f>VLOOKUP(D1254,Products!$A$2:$F$68,4,FALSE)</f>
        <v>647</v>
      </c>
    </row>
    <row r="1255" spans="1:20" x14ac:dyDescent="0.35">
      <c r="A1255" s="13" t="s">
        <v>1740</v>
      </c>
      <c r="B1255" s="14">
        <v>45480</v>
      </c>
      <c r="C1255" s="13" t="s">
        <v>795</v>
      </c>
      <c r="D1255" s="13" t="s">
        <v>97</v>
      </c>
      <c r="E1255" s="13" t="s">
        <v>238</v>
      </c>
      <c r="F1255" s="15">
        <v>10</v>
      </c>
      <c r="G1255" s="15">
        <v>470</v>
      </c>
      <c r="H1255" s="15">
        <v>3.9</v>
      </c>
      <c r="I1255" s="15">
        <v>4516.7</v>
      </c>
      <c r="J1255" s="13" t="s">
        <v>87</v>
      </c>
      <c r="K1255" s="13" t="s">
        <v>94</v>
      </c>
      <c r="L1255" s="34" t="str">
        <f>VLOOKUP(D1255,Products!$A$2:$F$61,3,FALSE)</f>
        <v>Sports</v>
      </c>
      <c r="M1255" s="34" t="str">
        <f>VLOOKUP(C1255,Customers!$A$2:$F$301,5,FALSE)</f>
        <v>Retail</v>
      </c>
      <c r="N1255" s="34">
        <f>VLOOKUP(C1255,Customers!$A$2:$F$301,3,FALSE)</f>
        <v>22</v>
      </c>
      <c r="O1255" s="34" t="str">
        <f>VLOOKUP(E1255,Sales_Reps!$A$2:$E$31,3,FALSE)</f>
        <v>East</v>
      </c>
      <c r="P1255" s="13" t="s">
        <v>238</v>
      </c>
      <c r="Q1255" s="34">
        <f t="shared" si="42"/>
        <v>780384.40999999992</v>
      </c>
      <c r="R1255" s="34" t="str">
        <f>VLOOKUP(E1255,Sales_Reps!$A$2:$E$100,3,FALSE)</f>
        <v>East</v>
      </c>
      <c r="S1255" s="34" t="str">
        <f t="shared" si="43"/>
        <v>Sports</v>
      </c>
      <c r="T1255" s="38">
        <f>VLOOKUP(D1255,Products!$A$2:$F$68,4,FALSE)</f>
        <v>302</v>
      </c>
    </row>
    <row r="1256" spans="1:20" x14ac:dyDescent="0.35">
      <c r="A1256" s="13" t="s">
        <v>1741</v>
      </c>
      <c r="B1256" s="14">
        <v>45603</v>
      </c>
      <c r="C1256" s="13" t="s">
        <v>968</v>
      </c>
      <c r="D1256" s="13" t="s">
        <v>184</v>
      </c>
      <c r="E1256" s="13" t="s">
        <v>297</v>
      </c>
      <c r="F1256" s="15">
        <v>5</v>
      </c>
      <c r="G1256" s="15">
        <v>4880</v>
      </c>
      <c r="H1256" s="15">
        <v>27.4</v>
      </c>
      <c r="I1256" s="15">
        <v>17714.400000000001</v>
      </c>
      <c r="J1256" s="13" t="s">
        <v>87</v>
      </c>
      <c r="K1256" s="13" t="s">
        <v>99</v>
      </c>
      <c r="L1256" s="34" t="str">
        <f>VLOOKUP(D1256,Products!$A$2:$F$61,3,FALSE)</f>
        <v>Beauty</v>
      </c>
      <c r="M1256" s="34" t="str">
        <f>VLOOKUP(C1256,Customers!$A$2:$F$301,5,FALSE)</f>
        <v>Retail</v>
      </c>
      <c r="N1256" s="34">
        <f>VLOOKUP(C1256,Customers!$A$2:$F$301,3,FALSE)</f>
        <v>47</v>
      </c>
      <c r="O1256" s="34" t="str">
        <f>VLOOKUP(E1256,Sales_Reps!$A$2:$E$31,3,FALSE)</f>
        <v>North</v>
      </c>
      <c r="P1256" s="13" t="s">
        <v>297</v>
      </c>
      <c r="Q1256" s="34">
        <f t="shared" si="42"/>
        <v>980063.65999999968</v>
      </c>
      <c r="R1256" s="34" t="str">
        <f>VLOOKUP(E1256,Sales_Reps!$A$2:$E$100,3,FALSE)</f>
        <v>North</v>
      </c>
      <c r="S1256" s="34" t="str">
        <f t="shared" si="43"/>
        <v>Beauty</v>
      </c>
      <c r="T1256" s="38">
        <f>VLOOKUP(D1256,Products!$A$2:$F$68,4,FALSE)</f>
        <v>2768</v>
      </c>
    </row>
    <row r="1257" spans="1:20" x14ac:dyDescent="0.35">
      <c r="A1257" s="13" t="s">
        <v>1742</v>
      </c>
      <c r="B1257" s="14">
        <v>45548</v>
      </c>
      <c r="C1257" s="13" t="s">
        <v>1072</v>
      </c>
      <c r="D1257" s="13" t="s">
        <v>360</v>
      </c>
      <c r="E1257" s="13" t="s">
        <v>229</v>
      </c>
      <c r="F1257" s="15">
        <v>1</v>
      </c>
      <c r="G1257" s="15">
        <v>5410</v>
      </c>
      <c r="H1257" s="15">
        <v>8.3000000000000007</v>
      </c>
      <c r="I1257" s="15">
        <v>4960.97</v>
      </c>
      <c r="J1257" s="13" t="s">
        <v>87</v>
      </c>
      <c r="K1257" s="13" t="s">
        <v>112</v>
      </c>
      <c r="L1257" s="34" t="str">
        <f>VLOOKUP(D1257,Products!$A$2:$F$61,3,FALSE)</f>
        <v>Sports</v>
      </c>
      <c r="M1257" s="34" t="str">
        <f>VLOOKUP(C1257,Customers!$A$2:$F$301,5,FALSE)</f>
        <v>SMB</v>
      </c>
      <c r="N1257" s="34">
        <f>VLOOKUP(C1257,Customers!$A$2:$F$301,3,FALSE)</f>
        <v>53</v>
      </c>
      <c r="O1257" s="34" t="str">
        <f>VLOOKUP(E1257,Sales_Reps!$A$2:$E$31,3,FALSE)</f>
        <v>West</v>
      </c>
      <c r="P1257" s="13" t="s">
        <v>229</v>
      </c>
      <c r="Q1257" s="34">
        <f t="shared" si="42"/>
        <v>1016696.8000000002</v>
      </c>
      <c r="R1257" s="34" t="str">
        <f>VLOOKUP(E1257,Sales_Reps!$A$2:$E$100,3,FALSE)</f>
        <v>West</v>
      </c>
      <c r="S1257" s="34" t="str">
        <f t="shared" si="43"/>
        <v>Sports</v>
      </c>
      <c r="T1257" s="38">
        <f>VLOOKUP(D1257,Products!$A$2:$F$68,4,FALSE)</f>
        <v>2265</v>
      </c>
    </row>
    <row r="1258" spans="1:20" x14ac:dyDescent="0.35">
      <c r="A1258" s="13" t="s">
        <v>1743</v>
      </c>
      <c r="B1258" s="14">
        <v>45482</v>
      </c>
      <c r="C1258" s="13" t="s">
        <v>272</v>
      </c>
      <c r="D1258" s="13" t="s">
        <v>248</v>
      </c>
      <c r="E1258" s="13" t="s">
        <v>285</v>
      </c>
      <c r="F1258" s="15">
        <v>8</v>
      </c>
      <c r="G1258" s="15">
        <v>3870</v>
      </c>
      <c r="H1258" s="15">
        <v>9.3000000000000007</v>
      </c>
      <c r="I1258" s="15">
        <v>28080.720000000001</v>
      </c>
      <c r="J1258" s="13" t="s">
        <v>93</v>
      </c>
      <c r="K1258" s="13" t="s">
        <v>94</v>
      </c>
      <c r="L1258" s="34" t="str">
        <f>VLOOKUP(D1258,Products!$A$2:$F$61,3,FALSE)</f>
        <v>Electronics</v>
      </c>
      <c r="M1258" s="34" t="str">
        <f>VLOOKUP(C1258,Customers!$A$2:$F$301,5,FALSE)</f>
        <v>SMB</v>
      </c>
      <c r="N1258" s="34">
        <f>VLOOKUP(C1258,Customers!$A$2:$F$301,3,FALSE)</f>
        <v>55</v>
      </c>
      <c r="O1258" s="34" t="str">
        <f>VLOOKUP(E1258,Sales_Reps!$A$2:$E$31,3,FALSE)</f>
        <v>East</v>
      </c>
      <c r="P1258" s="13" t="s">
        <v>285</v>
      </c>
      <c r="Q1258" s="34">
        <f t="shared" si="42"/>
        <v>1069570.5400000003</v>
      </c>
      <c r="R1258" s="34" t="str">
        <f>VLOOKUP(E1258,Sales_Reps!$A$2:$E$100,3,FALSE)</f>
        <v>East</v>
      </c>
      <c r="S1258" s="34" t="str">
        <f t="shared" si="43"/>
        <v>Electronics</v>
      </c>
      <c r="T1258" s="38">
        <f>VLOOKUP(D1258,Products!$A$2:$F$68,4,FALSE)</f>
        <v>1559</v>
      </c>
    </row>
    <row r="1259" spans="1:20" x14ac:dyDescent="0.35">
      <c r="A1259" s="13" t="s">
        <v>1744</v>
      </c>
      <c r="B1259" s="14">
        <v>45457</v>
      </c>
      <c r="C1259" s="13" t="s">
        <v>725</v>
      </c>
      <c r="D1259" s="13" t="s">
        <v>135</v>
      </c>
      <c r="E1259" s="13" t="s">
        <v>238</v>
      </c>
      <c r="F1259" s="15">
        <v>10</v>
      </c>
      <c r="G1259" s="15">
        <v>2640</v>
      </c>
      <c r="H1259" s="15">
        <v>19.899999999999999</v>
      </c>
      <c r="I1259" s="15">
        <v>21146.400000000001</v>
      </c>
      <c r="J1259" s="13" t="s">
        <v>87</v>
      </c>
      <c r="K1259" s="13" t="s">
        <v>99</v>
      </c>
      <c r="L1259" s="34" t="str">
        <f>VLOOKUP(D1259,Products!$A$2:$F$61,3,FALSE)</f>
        <v>Electronics</v>
      </c>
      <c r="M1259" s="34" t="str">
        <f>VLOOKUP(C1259,Customers!$A$2:$F$301,5,FALSE)</f>
        <v>SMB</v>
      </c>
      <c r="N1259" s="34">
        <f>VLOOKUP(C1259,Customers!$A$2:$F$301,3,FALSE)</f>
        <v>26</v>
      </c>
      <c r="O1259" s="34" t="str">
        <f>VLOOKUP(E1259,Sales_Reps!$A$2:$E$31,3,FALSE)</f>
        <v>East</v>
      </c>
      <c r="P1259" s="13" t="s">
        <v>238</v>
      </c>
      <c r="Q1259" s="34">
        <f t="shared" si="42"/>
        <v>780384.40999999992</v>
      </c>
      <c r="R1259" s="34" t="str">
        <f>VLOOKUP(E1259,Sales_Reps!$A$2:$E$100,3,FALSE)</f>
        <v>East</v>
      </c>
      <c r="S1259" s="34" t="str">
        <f t="shared" si="43"/>
        <v>Electronics</v>
      </c>
      <c r="T1259" s="38">
        <f>VLOOKUP(D1259,Products!$A$2:$F$68,4,FALSE)</f>
        <v>1149</v>
      </c>
    </row>
    <row r="1260" spans="1:20" x14ac:dyDescent="0.35">
      <c r="A1260" s="13" t="s">
        <v>1745</v>
      </c>
      <c r="B1260" s="14">
        <v>45508</v>
      </c>
      <c r="C1260" s="13" t="s">
        <v>621</v>
      </c>
      <c r="D1260" s="13" t="s">
        <v>443</v>
      </c>
      <c r="E1260" s="13" t="s">
        <v>86</v>
      </c>
      <c r="F1260" s="15">
        <v>1</v>
      </c>
      <c r="G1260" s="15">
        <v>5080</v>
      </c>
      <c r="H1260" s="15">
        <v>8.6</v>
      </c>
      <c r="I1260" s="15">
        <v>4643.12</v>
      </c>
      <c r="J1260" s="13" t="s">
        <v>87</v>
      </c>
      <c r="K1260" s="13" t="s">
        <v>94</v>
      </c>
      <c r="L1260" s="34" t="str">
        <f>VLOOKUP(D1260,Products!$A$2:$F$61,3,FALSE)</f>
        <v>Home</v>
      </c>
      <c r="M1260" s="34" t="str">
        <f>VLOOKUP(C1260,Customers!$A$2:$F$301,5,FALSE)</f>
        <v>Corporate</v>
      </c>
      <c r="N1260" s="34">
        <f>VLOOKUP(C1260,Customers!$A$2:$F$301,3,FALSE)</f>
        <v>22</v>
      </c>
      <c r="O1260" s="34" t="str">
        <f>VLOOKUP(E1260,Sales_Reps!$A$2:$E$31,3,FALSE)</f>
        <v>North</v>
      </c>
      <c r="P1260" s="13" t="s">
        <v>86</v>
      </c>
      <c r="Q1260" s="34">
        <f t="shared" si="42"/>
        <v>855749.67999999982</v>
      </c>
      <c r="R1260" s="34" t="str">
        <f>VLOOKUP(E1260,Sales_Reps!$A$2:$E$100,3,FALSE)</f>
        <v>North</v>
      </c>
      <c r="S1260" s="34" t="str">
        <f t="shared" si="43"/>
        <v>Home</v>
      </c>
      <c r="T1260" s="38">
        <f>VLOOKUP(D1260,Products!$A$2:$F$68,4,FALSE)</f>
        <v>2459</v>
      </c>
    </row>
    <row r="1261" spans="1:20" x14ac:dyDescent="0.35">
      <c r="A1261" s="13" t="s">
        <v>1746</v>
      </c>
      <c r="B1261" s="14">
        <v>45399</v>
      </c>
      <c r="C1261" s="13" t="s">
        <v>700</v>
      </c>
      <c r="D1261" s="13" t="s">
        <v>143</v>
      </c>
      <c r="E1261" s="13" t="s">
        <v>303</v>
      </c>
      <c r="F1261" s="15">
        <v>9</v>
      </c>
      <c r="G1261" s="15">
        <v>3250</v>
      </c>
      <c r="H1261" s="15">
        <v>18.2</v>
      </c>
      <c r="I1261" s="15">
        <v>23926.5</v>
      </c>
      <c r="J1261" s="13" t="s">
        <v>93</v>
      </c>
      <c r="K1261" s="13" t="s">
        <v>94</v>
      </c>
      <c r="L1261" s="34" t="str">
        <f>VLOOKUP(D1261,Products!$A$2:$F$61,3,FALSE)</f>
        <v>Home</v>
      </c>
      <c r="M1261" s="34" t="str">
        <f>VLOOKUP(C1261,Customers!$A$2:$F$301,5,FALSE)</f>
        <v>SMB</v>
      </c>
      <c r="N1261" s="34">
        <f>VLOOKUP(C1261,Customers!$A$2:$F$301,3,FALSE)</f>
        <v>46</v>
      </c>
      <c r="O1261" s="34" t="str">
        <f>VLOOKUP(E1261,Sales_Reps!$A$2:$E$31,3,FALSE)</f>
        <v>East</v>
      </c>
      <c r="P1261" s="13" t="s">
        <v>303</v>
      </c>
      <c r="Q1261" s="34">
        <f t="shared" si="42"/>
        <v>1112289.6400000001</v>
      </c>
      <c r="R1261" s="34" t="str">
        <f>VLOOKUP(E1261,Sales_Reps!$A$2:$E$100,3,FALSE)</f>
        <v>East</v>
      </c>
      <c r="S1261" s="34" t="str">
        <f t="shared" si="43"/>
        <v>Home</v>
      </c>
      <c r="T1261" s="38">
        <f>VLOOKUP(D1261,Products!$A$2:$F$68,4,FALSE)</f>
        <v>1556</v>
      </c>
    </row>
    <row r="1262" spans="1:20" x14ac:dyDescent="0.35">
      <c r="A1262" s="13" t="s">
        <v>1747</v>
      </c>
      <c r="B1262" s="14">
        <v>45607</v>
      </c>
      <c r="C1262" s="13" t="s">
        <v>163</v>
      </c>
      <c r="D1262" s="13" t="s">
        <v>408</v>
      </c>
      <c r="E1262" s="13" t="s">
        <v>297</v>
      </c>
      <c r="F1262" s="15">
        <v>8</v>
      </c>
      <c r="G1262" s="15">
        <v>3970</v>
      </c>
      <c r="H1262" s="15">
        <v>22.4</v>
      </c>
      <c r="I1262" s="15">
        <v>24645.759999999998</v>
      </c>
      <c r="J1262" s="13" t="s">
        <v>87</v>
      </c>
      <c r="K1262" s="13" t="s">
        <v>94</v>
      </c>
      <c r="L1262" s="34" t="str">
        <f>VLOOKUP(D1262,Products!$A$2:$F$61,3,FALSE)</f>
        <v>Electronics</v>
      </c>
      <c r="M1262" s="34" t="str">
        <f>VLOOKUP(C1262,Customers!$A$2:$F$301,5,FALSE)</f>
        <v>Retail</v>
      </c>
      <c r="N1262" s="34">
        <f>VLOOKUP(C1262,Customers!$A$2:$F$301,3,FALSE)</f>
        <v>49</v>
      </c>
      <c r="O1262" s="34" t="str">
        <f>VLOOKUP(E1262,Sales_Reps!$A$2:$E$31,3,FALSE)</f>
        <v>North</v>
      </c>
      <c r="P1262" s="13" t="s">
        <v>297</v>
      </c>
      <c r="Q1262" s="34">
        <f t="shared" si="42"/>
        <v>980063.65999999968</v>
      </c>
      <c r="R1262" s="34" t="str">
        <f>VLOOKUP(E1262,Sales_Reps!$A$2:$E$100,3,FALSE)</f>
        <v>North</v>
      </c>
      <c r="S1262" s="34" t="str">
        <f t="shared" si="43"/>
        <v>Electronics</v>
      </c>
      <c r="T1262" s="38">
        <f>VLOOKUP(D1262,Products!$A$2:$F$68,4,FALSE)</f>
        <v>2865</v>
      </c>
    </row>
    <row r="1263" spans="1:20" x14ac:dyDescent="0.35">
      <c r="A1263" s="13" t="s">
        <v>1748</v>
      </c>
      <c r="B1263" s="14">
        <v>45407</v>
      </c>
      <c r="C1263" s="13" t="s">
        <v>457</v>
      </c>
      <c r="D1263" s="13" t="s">
        <v>203</v>
      </c>
      <c r="E1263" s="13" t="s">
        <v>238</v>
      </c>
      <c r="F1263" s="15">
        <v>3</v>
      </c>
      <c r="G1263" s="15">
        <v>660</v>
      </c>
      <c r="H1263" s="15">
        <v>3.1</v>
      </c>
      <c r="I1263" s="15">
        <v>1918.62</v>
      </c>
      <c r="J1263" s="13" t="s">
        <v>87</v>
      </c>
      <c r="K1263" s="13" t="s">
        <v>88</v>
      </c>
      <c r="L1263" s="34" t="str">
        <f>VLOOKUP(D1263,Products!$A$2:$F$61,3,FALSE)</f>
        <v>Home</v>
      </c>
      <c r="M1263" s="34" t="str">
        <f>VLOOKUP(C1263,Customers!$A$2:$F$301,5,FALSE)</f>
        <v>Retail</v>
      </c>
      <c r="N1263" s="34">
        <f>VLOOKUP(C1263,Customers!$A$2:$F$301,3,FALSE)</f>
        <v>29</v>
      </c>
      <c r="O1263" s="34" t="str">
        <f>VLOOKUP(E1263,Sales_Reps!$A$2:$E$31,3,FALSE)</f>
        <v>East</v>
      </c>
      <c r="P1263" s="13" t="s">
        <v>238</v>
      </c>
      <c r="Q1263" s="34">
        <f t="shared" si="42"/>
        <v>780384.40999999992</v>
      </c>
      <c r="R1263" s="34" t="str">
        <f>VLOOKUP(E1263,Sales_Reps!$A$2:$E$100,3,FALSE)</f>
        <v>East</v>
      </c>
      <c r="S1263" s="34" t="str">
        <f t="shared" si="43"/>
        <v>Home</v>
      </c>
      <c r="T1263" s="38">
        <f>VLOOKUP(D1263,Products!$A$2:$F$68,4,FALSE)</f>
        <v>329</v>
      </c>
    </row>
    <row r="1264" spans="1:20" x14ac:dyDescent="0.35">
      <c r="A1264" s="13" t="s">
        <v>1749</v>
      </c>
      <c r="B1264" s="14">
        <v>45357</v>
      </c>
      <c r="C1264" s="13" t="s">
        <v>1231</v>
      </c>
      <c r="D1264" s="13" t="s">
        <v>138</v>
      </c>
      <c r="E1264" s="13" t="s">
        <v>285</v>
      </c>
      <c r="F1264" s="15">
        <v>7</v>
      </c>
      <c r="G1264" s="15">
        <v>2600</v>
      </c>
      <c r="H1264" s="15">
        <v>15.4</v>
      </c>
      <c r="I1264" s="15">
        <v>15397.2</v>
      </c>
      <c r="J1264" s="13" t="s">
        <v>87</v>
      </c>
      <c r="K1264" s="13" t="s">
        <v>88</v>
      </c>
      <c r="L1264" s="34" t="str">
        <f>VLOOKUP(D1264,Products!$A$2:$F$61,3,FALSE)</f>
        <v>Electronics</v>
      </c>
      <c r="M1264" s="34" t="str">
        <f>VLOOKUP(C1264,Customers!$A$2:$F$301,5,FALSE)</f>
        <v>Retail</v>
      </c>
      <c r="N1264" s="34">
        <f>VLOOKUP(C1264,Customers!$A$2:$F$301,3,FALSE)</f>
        <v>42</v>
      </c>
      <c r="O1264" s="34" t="str">
        <f>VLOOKUP(E1264,Sales_Reps!$A$2:$E$31,3,FALSE)</f>
        <v>East</v>
      </c>
      <c r="P1264" s="13" t="s">
        <v>285</v>
      </c>
      <c r="Q1264" s="34">
        <f t="shared" si="42"/>
        <v>1069570.5400000003</v>
      </c>
      <c r="R1264" s="34" t="str">
        <f>VLOOKUP(E1264,Sales_Reps!$A$2:$E$100,3,FALSE)</f>
        <v>East</v>
      </c>
      <c r="S1264" s="34" t="str">
        <f t="shared" si="43"/>
        <v>Electronics</v>
      </c>
      <c r="T1264" s="38">
        <f>VLOOKUP(D1264,Products!$A$2:$F$68,4,FALSE)</f>
        <v>1052</v>
      </c>
    </row>
    <row r="1265" spans="1:20" x14ac:dyDescent="0.35">
      <c r="A1265" s="13" t="s">
        <v>1750</v>
      </c>
      <c r="B1265" s="14">
        <v>45565</v>
      </c>
      <c r="C1265" s="13" t="s">
        <v>608</v>
      </c>
      <c r="D1265" s="13" t="s">
        <v>203</v>
      </c>
      <c r="E1265" s="13" t="s">
        <v>188</v>
      </c>
      <c r="F1265" s="15">
        <v>9</v>
      </c>
      <c r="G1265" s="15">
        <v>660</v>
      </c>
      <c r="H1265" s="15">
        <v>23.7</v>
      </c>
      <c r="I1265" s="15">
        <v>4532.22</v>
      </c>
      <c r="J1265" s="13" t="s">
        <v>87</v>
      </c>
      <c r="K1265" s="13" t="s">
        <v>88</v>
      </c>
      <c r="L1265" s="34" t="str">
        <f>VLOOKUP(D1265,Products!$A$2:$F$61,3,FALSE)</f>
        <v>Home</v>
      </c>
      <c r="M1265" s="34" t="str">
        <f>VLOOKUP(C1265,Customers!$A$2:$F$301,5,FALSE)</f>
        <v>Corporate</v>
      </c>
      <c r="N1265" s="34">
        <f>VLOOKUP(C1265,Customers!$A$2:$F$301,3,FALSE)</f>
        <v>40</v>
      </c>
      <c r="O1265" s="34" t="str">
        <f>VLOOKUP(E1265,Sales_Reps!$A$2:$E$31,3,FALSE)</f>
        <v>South</v>
      </c>
      <c r="P1265" s="13" t="s">
        <v>188</v>
      </c>
      <c r="Q1265" s="34">
        <f t="shared" si="42"/>
        <v>1091740.1799999997</v>
      </c>
      <c r="R1265" s="34" t="str">
        <f>VLOOKUP(E1265,Sales_Reps!$A$2:$E$100,3,FALSE)</f>
        <v>South</v>
      </c>
      <c r="S1265" s="34" t="str">
        <f t="shared" si="43"/>
        <v>Home</v>
      </c>
      <c r="T1265" s="38">
        <f>VLOOKUP(D1265,Products!$A$2:$F$68,4,FALSE)</f>
        <v>329</v>
      </c>
    </row>
    <row r="1266" spans="1:20" x14ac:dyDescent="0.35">
      <c r="A1266" s="13" t="s">
        <v>1751</v>
      </c>
      <c r="B1266" s="14">
        <v>45395</v>
      </c>
      <c r="C1266" s="13" t="s">
        <v>258</v>
      </c>
      <c r="D1266" s="13" t="s">
        <v>367</v>
      </c>
      <c r="E1266" s="13" t="s">
        <v>158</v>
      </c>
      <c r="F1266" s="15">
        <v>3</v>
      </c>
      <c r="G1266" s="15">
        <v>2380</v>
      </c>
      <c r="H1266" s="15">
        <v>19.5</v>
      </c>
      <c r="I1266" s="15">
        <v>5747.7</v>
      </c>
      <c r="J1266" s="13" t="s">
        <v>140</v>
      </c>
      <c r="K1266" s="13" t="s">
        <v>99</v>
      </c>
      <c r="L1266" s="34" t="str">
        <f>VLOOKUP(D1266,Products!$A$2:$F$61,3,FALSE)</f>
        <v>Grocery</v>
      </c>
      <c r="M1266" s="34" t="str">
        <f>VLOOKUP(C1266,Customers!$A$2:$F$301,5,FALSE)</f>
        <v>SMB</v>
      </c>
      <c r="N1266" s="34">
        <f>VLOOKUP(C1266,Customers!$A$2:$F$301,3,FALSE)</f>
        <v>55</v>
      </c>
      <c r="O1266" s="34" t="str">
        <f>VLOOKUP(E1266,Sales_Reps!$A$2:$E$31,3,FALSE)</f>
        <v>East</v>
      </c>
      <c r="P1266" s="13" t="s">
        <v>158</v>
      </c>
      <c r="Q1266" s="34">
        <f t="shared" si="42"/>
        <v>761507.17000000027</v>
      </c>
      <c r="R1266" s="34" t="str">
        <f>VLOOKUP(E1266,Sales_Reps!$A$2:$E$100,3,FALSE)</f>
        <v>East</v>
      </c>
      <c r="S1266" s="34" t="str">
        <f t="shared" si="43"/>
        <v>Grocery</v>
      </c>
      <c r="T1266" s="38">
        <f>VLOOKUP(D1266,Products!$A$2:$F$68,4,FALSE)</f>
        <v>1182</v>
      </c>
    </row>
    <row r="1267" spans="1:20" x14ac:dyDescent="0.35">
      <c r="A1267" s="13" t="s">
        <v>1752</v>
      </c>
      <c r="B1267" s="14">
        <v>45624</v>
      </c>
      <c r="C1267" s="13" t="s">
        <v>328</v>
      </c>
      <c r="D1267" s="13" t="s">
        <v>176</v>
      </c>
      <c r="E1267" s="13" t="s">
        <v>132</v>
      </c>
      <c r="F1267" s="15">
        <v>9</v>
      </c>
      <c r="G1267" s="15">
        <v>1650</v>
      </c>
      <c r="H1267" s="15">
        <v>2.5</v>
      </c>
      <c r="I1267" s="15">
        <v>14478.75</v>
      </c>
      <c r="J1267" s="13" t="s">
        <v>87</v>
      </c>
      <c r="K1267" s="13" t="s">
        <v>94</v>
      </c>
      <c r="L1267" s="34" t="str">
        <f>VLOOKUP(D1267,Products!$A$2:$F$61,3,FALSE)</f>
        <v>Beauty</v>
      </c>
      <c r="M1267" s="34" t="str">
        <f>VLOOKUP(C1267,Customers!$A$2:$F$301,5,FALSE)</f>
        <v>Retail</v>
      </c>
      <c r="N1267" s="34">
        <f>VLOOKUP(C1267,Customers!$A$2:$F$301,3,FALSE)</f>
        <v>28</v>
      </c>
      <c r="O1267" s="34" t="str">
        <f>VLOOKUP(E1267,Sales_Reps!$A$2:$E$31,3,FALSE)</f>
        <v>South</v>
      </c>
      <c r="P1267" s="13" t="s">
        <v>132</v>
      </c>
      <c r="Q1267" s="34">
        <f t="shared" si="42"/>
        <v>880345.20000000007</v>
      </c>
      <c r="R1267" s="34" t="str">
        <f>VLOOKUP(E1267,Sales_Reps!$A$2:$E$100,3,FALSE)</f>
        <v>South</v>
      </c>
      <c r="S1267" s="34" t="str">
        <f t="shared" si="43"/>
        <v>Beauty</v>
      </c>
      <c r="T1267" s="38">
        <f>VLOOKUP(D1267,Products!$A$2:$F$68,4,FALSE)</f>
        <v>1222</v>
      </c>
    </row>
    <row r="1268" spans="1:20" x14ac:dyDescent="0.35">
      <c r="A1268" s="13" t="s">
        <v>1753</v>
      </c>
      <c r="B1268" s="14">
        <v>45650</v>
      </c>
      <c r="C1268" s="13" t="s">
        <v>1754</v>
      </c>
      <c r="D1268" s="13" t="s">
        <v>135</v>
      </c>
      <c r="E1268" s="13" t="s">
        <v>103</v>
      </c>
      <c r="F1268" s="15">
        <v>8</v>
      </c>
      <c r="G1268" s="15">
        <v>2640</v>
      </c>
      <c r="H1268" s="15">
        <v>24.4</v>
      </c>
      <c r="I1268" s="15">
        <v>15966.72</v>
      </c>
      <c r="J1268" s="13" t="s">
        <v>87</v>
      </c>
      <c r="K1268" s="13" t="s">
        <v>112</v>
      </c>
      <c r="L1268" s="34" t="str">
        <f>VLOOKUP(D1268,Products!$A$2:$F$61,3,FALSE)</f>
        <v>Electronics</v>
      </c>
      <c r="M1268" s="34" t="e">
        <f>VLOOKUP(C1268,Customers!$A$2:$F$301,5,FALSE)</f>
        <v>#N/A</v>
      </c>
      <c r="N1268" s="34" t="e">
        <f>VLOOKUP(C1268,Customers!$A$2:$F$301,3,FALSE)</f>
        <v>#N/A</v>
      </c>
      <c r="O1268" s="34" t="str">
        <f>VLOOKUP(E1268,Sales_Reps!$A$2:$E$31,3,FALSE)</f>
        <v>North</v>
      </c>
      <c r="P1268" s="13" t="s">
        <v>103</v>
      </c>
      <c r="Q1268" s="34">
        <f t="shared" si="42"/>
        <v>1138648.73</v>
      </c>
      <c r="R1268" s="34" t="str">
        <f>VLOOKUP(E1268,Sales_Reps!$A$2:$E$100,3,FALSE)</f>
        <v>North</v>
      </c>
      <c r="S1268" s="34" t="str">
        <f t="shared" si="43"/>
        <v>Electronics</v>
      </c>
      <c r="T1268" s="38">
        <f>VLOOKUP(D1268,Products!$A$2:$F$68,4,FALSE)</f>
        <v>1149</v>
      </c>
    </row>
    <row r="1269" spans="1:20" x14ac:dyDescent="0.35">
      <c r="A1269" s="13" t="s">
        <v>1755</v>
      </c>
      <c r="B1269" s="14">
        <v>45370</v>
      </c>
      <c r="C1269" s="13" t="s">
        <v>597</v>
      </c>
      <c r="D1269" s="13" t="s">
        <v>367</v>
      </c>
      <c r="E1269" s="13" t="s">
        <v>252</v>
      </c>
      <c r="F1269" s="15">
        <v>8</v>
      </c>
      <c r="G1269" s="15">
        <v>2380</v>
      </c>
      <c r="H1269" s="15">
        <v>24.2</v>
      </c>
      <c r="I1269" s="15">
        <v>14432.32</v>
      </c>
      <c r="J1269" s="13" t="s">
        <v>87</v>
      </c>
      <c r="K1269" s="13" t="s">
        <v>112</v>
      </c>
      <c r="L1269" s="34" t="str">
        <f>VLOOKUP(D1269,Products!$A$2:$F$61,3,FALSE)</f>
        <v>Grocery</v>
      </c>
      <c r="M1269" s="34" t="str">
        <f>VLOOKUP(C1269,Customers!$A$2:$F$301,5,FALSE)</f>
        <v>Retail</v>
      </c>
      <c r="N1269" s="34">
        <f>VLOOKUP(C1269,Customers!$A$2:$F$301,3,FALSE)</f>
        <v>39</v>
      </c>
      <c r="O1269" s="34" t="str">
        <f>VLOOKUP(E1269,Sales_Reps!$A$2:$E$31,3,FALSE)</f>
        <v>South</v>
      </c>
      <c r="P1269" s="13" t="s">
        <v>252</v>
      </c>
      <c r="Q1269" s="34">
        <f t="shared" si="42"/>
        <v>811524.37999999989</v>
      </c>
      <c r="R1269" s="34" t="str">
        <f>VLOOKUP(E1269,Sales_Reps!$A$2:$E$100,3,FALSE)</f>
        <v>South</v>
      </c>
      <c r="S1269" s="34" t="str">
        <f t="shared" si="43"/>
        <v>Grocery</v>
      </c>
      <c r="T1269" s="38">
        <f>VLOOKUP(D1269,Products!$A$2:$F$68,4,FALSE)</f>
        <v>1182</v>
      </c>
    </row>
    <row r="1270" spans="1:20" x14ac:dyDescent="0.35">
      <c r="A1270" s="13" t="s">
        <v>1756</v>
      </c>
      <c r="B1270" s="14">
        <v>45373</v>
      </c>
      <c r="C1270" s="13" t="s">
        <v>258</v>
      </c>
      <c r="D1270" s="13" t="s">
        <v>338</v>
      </c>
      <c r="E1270" s="13" t="s">
        <v>86</v>
      </c>
      <c r="F1270" s="15">
        <v>10</v>
      </c>
      <c r="G1270" s="15">
        <v>2210</v>
      </c>
      <c r="H1270" s="15">
        <v>3.6</v>
      </c>
      <c r="I1270" s="15">
        <v>21304.400000000001</v>
      </c>
      <c r="J1270" s="13" t="s">
        <v>87</v>
      </c>
      <c r="K1270" s="13" t="s">
        <v>99</v>
      </c>
      <c r="L1270" s="34" t="str">
        <f>VLOOKUP(D1270,Products!$A$2:$F$61,3,FALSE)</f>
        <v>Grocery</v>
      </c>
      <c r="M1270" s="34" t="str">
        <f>VLOOKUP(C1270,Customers!$A$2:$F$301,5,FALSE)</f>
        <v>SMB</v>
      </c>
      <c r="N1270" s="34">
        <f>VLOOKUP(C1270,Customers!$A$2:$F$301,3,FALSE)</f>
        <v>55</v>
      </c>
      <c r="O1270" s="34" t="str">
        <f>VLOOKUP(E1270,Sales_Reps!$A$2:$E$31,3,FALSE)</f>
        <v>North</v>
      </c>
      <c r="P1270" s="13" t="s">
        <v>86</v>
      </c>
      <c r="Q1270" s="34">
        <f t="shared" si="42"/>
        <v>855749.67999999982</v>
      </c>
      <c r="R1270" s="34" t="str">
        <f>VLOOKUP(E1270,Sales_Reps!$A$2:$E$100,3,FALSE)</f>
        <v>North</v>
      </c>
      <c r="S1270" s="34" t="str">
        <f t="shared" si="43"/>
        <v>Grocery</v>
      </c>
      <c r="T1270" s="38">
        <f>VLOOKUP(D1270,Products!$A$2:$F$68,4,FALSE)</f>
        <v>1010</v>
      </c>
    </row>
    <row r="1271" spans="1:20" x14ac:dyDescent="0.35">
      <c r="A1271" s="13" t="s">
        <v>1757</v>
      </c>
      <c r="B1271" s="14">
        <v>45391</v>
      </c>
      <c r="C1271" s="13" t="s">
        <v>835</v>
      </c>
      <c r="D1271" s="13" t="s">
        <v>241</v>
      </c>
      <c r="E1271" s="13" t="s">
        <v>303</v>
      </c>
      <c r="F1271" s="15">
        <v>9</v>
      </c>
      <c r="G1271" s="15">
        <v>6080</v>
      </c>
      <c r="H1271" s="15">
        <v>17.2</v>
      </c>
      <c r="I1271" s="15">
        <v>45308.160000000003</v>
      </c>
      <c r="J1271" s="13" t="s">
        <v>93</v>
      </c>
      <c r="K1271" s="13" t="s">
        <v>117</v>
      </c>
      <c r="L1271" s="34" t="str">
        <f>VLOOKUP(D1271,Products!$A$2:$F$61,3,FALSE)</f>
        <v>Beauty</v>
      </c>
      <c r="M1271" s="34" t="str">
        <f>VLOOKUP(C1271,Customers!$A$2:$F$301,5,FALSE)</f>
        <v>Retail</v>
      </c>
      <c r="N1271" s="34">
        <f>VLOOKUP(C1271,Customers!$A$2:$F$301,3,FALSE)</f>
        <v>52</v>
      </c>
      <c r="O1271" s="34" t="str">
        <f>VLOOKUP(E1271,Sales_Reps!$A$2:$E$31,3,FALSE)</f>
        <v>East</v>
      </c>
      <c r="P1271" s="13" t="s">
        <v>303</v>
      </c>
      <c r="Q1271" s="34">
        <f t="shared" si="42"/>
        <v>1112289.6400000001</v>
      </c>
      <c r="R1271" s="34" t="str">
        <f>VLOOKUP(E1271,Sales_Reps!$A$2:$E$100,3,FALSE)</f>
        <v>East</v>
      </c>
      <c r="S1271" s="34" t="str">
        <f t="shared" si="43"/>
        <v>Beauty</v>
      </c>
      <c r="T1271" s="38">
        <f>VLOOKUP(D1271,Products!$A$2:$F$68,4,FALSE)</f>
        <v>2617</v>
      </c>
    </row>
    <row r="1272" spans="1:20" x14ac:dyDescent="0.35">
      <c r="A1272" s="13" t="s">
        <v>1758</v>
      </c>
      <c r="B1272" s="14">
        <v>45332</v>
      </c>
      <c r="C1272" s="13" t="s">
        <v>697</v>
      </c>
      <c r="D1272" s="13" t="s">
        <v>182</v>
      </c>
      <c r="E1272" s="13" t="s">
        <v>285</v>
      </c>
      <c r="F1272" s="15">
        <v>8</v>
      </c>
      <c r="G1272" s="15">
        <v>1010</v>
      </c>
      <c r="H1272" s="15">
        <v>12.3</v>
      </c>
      <c r="I1272" s="15">
        <v>7086.16</v>
      </c>
      <c r="J1272" s="13" t="s">
        <v>87</v>
      </c>
      <c r="K1272" s="13" t="s">
        <v>133</v>
      </c>
      <c r="L1272" s="34" t="str">
        <f>VLOOKUP(D1272,Products!$A$2:$F$61,3,FALSE)</f>
        <v>Sports</v>
      </c>
      <c r="M1272" s="34" t="str">
        <f>VLOOKUP(C1272,Customers!$A$2:$F$301,5,FALSE)</f>
        <v>Retail</v>
      </c>
      <c r="N1272" s="34">
        <f>VLOOKUP(C1272,Customers!$A$2:$F$301,3,FALSE)</f>
        <v>65</v>
      </c>
      <c r="O1272" s="34" t="str">
        <f>VLOOKUP(E1272,Sales_Reps!$A$2:$E$31,3,FALSE)</f>
        <v>East</v>
      </c>
      <c r="P1272" s="13" t="s">
        <v>285</v>
      </c>
      <c r="Q1272" s="34">
        <f t="shared" si="42"/>
        <v>1069570.5400000003</v>
      </c>
      <c r="R1272" s="34" t="str">
        <f>VLOOKUP(E1272,Sales_Reps!$A$2:$E$100,3,FALSE)</f>
        <v>East</v>
      </c>
      <c r="S1272" s="34" t="str">
        <f t="shared" si="43"/>
        <v>Sports</v>
      </c>
      <c r="T1272" s="38">
        <f>VLOOKUP(D1272,Products!$A$2:$F$68,4,FALSE)</f>
        <v>516</v>
      </c>
    </row>
    <row r="1273" spans="1:20" x14ac:dyDescent="0.35">
      <c r="A1273" s="13" t="s">
        <v>1759</v>
      </c>
      <c r="B1273" s="14">
        <v>45582</v>
      </c>
      <c r="C1273" s="13" t="s">
        <v>948</v>
      </c>
      <c r="D1273" s="13" t="s">
        <v>102</v>
      </c>
      <c r="E1273" s="13" t="s">
        <v>273</v>
      </c>
      <c r="F1273" s="15">
        <v>8</v>
      </c>
      <c r="G1273" s="15">
        <v>3660</v>
      </c>
      <c r="H1273" s="15">
        <v>8.4</v>
      </c>
      <c r="I1273" s="15">
        <v>26820.48</v>
      </c>
      <c r="J1273" s="13" t="s">
        <v>87</v>
      </c>
      <c r="K1273" s="13" t="s">
        <v>88</v>
      </c>
      <c r="L1273" s="34" t="str">
        <f>VLOOKUP(D1273,Products!$A$2:$F$61,3,FALSE)</f>
        <v>Grocery</v>
      </c>
      <c r="M1273" s="34" t="str">
        <f>VLOOKUP(C1273,Customers!$A$2:$F$301,5,FALSE)</f>
        <v>Retail</v>
      </c>
      <c r="N1273" s="34">
        <f>VLOOKUP(C1273,Customers!$A$2:$F$301,3,FALSE)</f>
        <v>65</v>
      </c>
      <c r="O1273" s="34" t="str">
        <f>VLOOKUP(E1273,Sales_Reps!$A$2:$E$31,3,FALSE)</f>
        <v>South</v>
      </c>
      <c r="P1273" s="13" t="s">
        <v>273</v>
      </c>
      <c r="Q1273" s="34">
        <f t="shared" si="42"/>
        <v>735207.75999999989</v>
      </c>
      <c r="R1273" s="34" t="str">
        <f>VLOOKUP(E1273,Sales_Reps!$A$2:$E$100,3,FALSE)</f>
        <v>South</v>
      </c>
      <c r="S1273" s="34" t="str">
        <f t="shared" si="43"/>
        <v>Grocery</v>
      </c>
      <c r="T1273" s="38">
        <f>VLOOKUP(D1273,Products!$A$2:$F$68,4,FALSE)</f>
        <v>2214</v>
      </c>
    </row>
    <row r="1274" spans="1:20" x14ac:dyDescent="0.35">
      <c r="A1274" s="13" t="s">
        <v>1760</v>
      </c>
      <c r="B1274" s="14">
        <v>45443</v>
      </c>
      <c r="C1274" s="13" t="s">
        <v>1016</v>
      </c>
      <c r="D1274" s="13" t="s">
        <v>270</v>
      </c>
      <c r="E1274" s="13" t="s">
        <v>229</v>
      </c>
      <c r="F1274" s="15">
        <v>8</v>
      </c>
      <c r="G1274" s="15">
        <v>4610</v>
      </c>
      <c r="H1274" s="15">
        <v>15.4</v>
      </c>
      <c r="I1274" s="15">
        <v>31200.48</v>
      </c>
      <c r="J1274" s="13" t="s">
        <v>140</v>
      </c>
      <c r="K1274" s="13" t="s">
        <v>117</v>
      </c>
      <c r="L1274" s="34" t="str">
        <f>VLOOKUP(D1274,Products!$A$2:$F$61,3,FALSE)</f>
        <v>Home</v>
      </c>
      <c r="M1274" s="34" t="str">
        <f>VLOOKUP(C1274,Customers!$A$2:$F$301,5,FALSE)</f>
        <v>SMB</v>
      </c>
      <c r="N1274" s="34">
        <f>VLOOKUP(C1274,Customers!$A$2:$F$301,3,FALSE)</f>
        <v>49</v>
      </c>
      <c r="O1274" s="34" t="str">
        <f>VLOOKUP(E1274,Sales_Reps!$A$2:$E$31,3,FALSE)</f>
        <v>West</v>
      </c>
      <c r="P1274" s="13" t="s">
        <v>229</v>
      </c>
      <c r="Q1274" s="34">
        <f t="shared" si="42"/>
        <v>1016696.8000000002</v>
      </c>
      <c r="R1274" s="34" t="str">
        <f>VLOOKUP(E1274,Sales_Reps!$A$2:$E$100,3,FALSE)</f>
        <v>West</v>
      </c>
      <c r="S1274" s="34" t="str">
        <f t="shared" si="43"/>
        <v>Home</v>
      </c>
      <c r="T1274" s="38">
        <f>VLOOKUP(D1274,Products!$A$2:$F$68,4,FALSE)</f>
        <v>1850</v>
      </c>
    </row>
    <row r="1275" spans="1:20" x14ac:dyDescent="0.35">
      <c r="A1275" s="13" t="s">
        <v>1761</v>
      </c>
      <c r="B1275" s="14">
        <v>45525</v>
      </c>
      <c r="C1275" s="13" t="s">
        <v>1016</v>
      </c>
      <c r="D1275" s="13" t="s">
        <v>191</v>
      </c>
      <c r="E1275" s="13" t="s">
        <v>103</v>
      </c>
      <c r="F1275" s="15">
        <v>9</v>
      </c>
      <c r="G1275" s="15">
        <v>5100</v>
      </c>
      <c r="H1275" s="15">
        <v>25.2</v>
      </c>
      <c r="I1275" s="15">
        <v>34333.199999999997</v>
      </c>
      <c r="J1275" s="13" t="s">
        <v>140</v>
      </c>
      <c r="K1275" s="13" t="s">
        <v>117</v>
      </c>
      <c r="L1275" s="34" t="str">
        <f>VLOOKUP(D1275,Products!$A$2:$F$61,3,FALSE)</f>
        <v>Beauty</v>
      </c>
      <c r="M1275" s="34" t="str">
        <f>VLOOKUP(C1275,Customers!$A$2:$F$301,5,FALSE)</f>
        <v>SMB</v>
      </c>
      <c r="N1275" s="34">
        <f>VLOOKUP(C1275,Customers!$A$2:$F$301,3,FALSE)</f>
        <v>49</v>
      </c>
      <c r="O1275" s="34" t="str">
        <f>VLOOKUP(E1275,Sales_Reps!$A$2:$E$31,3,FALSE)</f>
        <v>North</v>
      </c>
      <c r="P1275" s="13" t="s">
        <v>103</v>
      </c>
      <c r="Q1275" s="34">
        <f t="shared" si="42"/>
        <v>1138648.73</v>
      </c>
      <c r="R1275" s="34" t="str">
        <f>VLOOKUP(E1275,Sales_Reps!$A$2:$E$100,3,FALSE)</f>
        <v>North</v>
      </c>
      <c r="S1275" s="34" t="str">
        <f t="shared" si="43"/>
        <v>Beauty</v>
      </c>
      <c r="T1275" s="38">
        <f>VLOOKUP(D1275,Products!$A$2:$F$68,4,FALSE)</f>
        <v>2237</v>
      </c>
    </row>
    <row r="1276" spans="1:20" x14ac:dyDescent="0.35">
      <c r="A1276" s="13" t="s">
        <v>1762</v>
      </c>
      <c r="B1276" s="14">
        <v>45377</v>
      </c>
      <c r="C1276" s="13" t="s">
        <v>403</v>
      </c>
      <c r="D1276" s="13" t="s">
        <v>276</v>
      </c>
      <c r="E1276" s="13" t="s">
        <v>121</v>
      </c>
      <c r="F1276" s="15">
        <v>5</v>
      </c>
      <c r="G1276" s="15">
        <v>3020</v>
      </c>
      <c r="H1276" s="15">
        <v>23</v>
      </c>
      <c r="I1276" s="15">
        <v>11627</v>
      </c>
      <c r="J1276" s="13" t="s">
        <v>87</v>
      </c>
      <c r="K1276" s="13" t="s">
        <v>117</v>
      </c>
      <c r="L1276" s="34" t="str">
        <f>VLOOKUP(D1276,Products!$A$2:$F$61,3,FALSE)</f>
        <v>Beauty</v>
      </c>
      <c r="M1276" s="34" t="str">
        <f>VLOOKUP(C1276,Customers!$A$2:$F$301,5,FALSE)</f>
        <v>Retail</v>
      </c>
      <c r="N1276" s="34">
        <f>VLOOKUP(C1276,Customers!$A$2:$F$301,3,FALSE)</f>
        <v>59</v>
      </c>
      <c r="O1276" s="34" t="str">
        <f>VLOOKUP(E1276,Sales_Reps!$A$2:$E$31,3,FALSE)</f>
        <v>East</v>
      </c>
      <c r="P1276" s="13" t="s">
        <v>121</v>
      </c>
      <c r="Q1276" s="34">
        <f t="shared" si="42"/>
        <v>971183.52000000014</v>
      </c>
      <c r="R1276" s="34" t="str">
        <f>VLOOKUP(E1276,Sales_Reps!$A$2:$E$100,3,FALSE)</f>
        <v>East</v>
      </c>
      <c r="S1276" s="34" t="str">
        <f t="shared" si="43"/>
        <v>Beauty</v>
      </c>
      <c r="T1276" s="38">
        <f>VLOOKUP(D1276,Products!$A$2:$F$68,4,FALSE)</f>
        <v>1626</v>
      </c>
    </row>
    <row r="1277" spans="1:20" x14ac:dyDescent="0.35">
      <c r="A1277" s="13" t="s">
        <v>1763</v>
      </c>
      <c r="B1277" s="14">
        <v>45413</v>
      </c>
      <c r="C1277" s="13" t="s">
        <v>606</v>
      </c>
      <c r="D1277" s="13" t="s">
        <v>461</v>
      </c>
      <c r="E1277" s="13" t="s">
        <v>188</v>
      </c>
      <c r="F1277" s="15">
        <v>8</v>
      </c>
      <c r="G1277" s="15">
        <v>3780</v>
      </c>
      <c r="H1277" s="15">
        <v>17.100000000000001</v>
      </c>
      <c r="I1277" s="15">
        <v>25068.959999999999</v>
      </c>
      <c r="J1277" s="13" t="s">
        <v>87</v>
      </c>
      <c r="K1277" s="13" t="s">
        <v>112</v>
      </c>
      <c r="L1277" s="34" t="str">
        <f>VLOOKUP(D1277,Products!$A$2:$F$61,3,FALSE)</f>
        <v>Sports</v>
      </c>
      <c r="M1277" s="34" t="str">
        <f>VLOOKUP(C1277,Customers!$A$2:$F$301,5,FALSE)</f>
        <v>Retail</v>
      </c>
      <c r="N1277" s="34">
        <f>VLOOKUP(C1277,Customers!$A$2:$F$301,3,FALSE)</f>
        <v>52</v>
      </c>
      <c r="O1277" s="34" t="str">
        <f>VLOOKUP(E1277,Sales_Reps!$A$2:$E$31,3,FALSE)</f>
        <v>South</v>
      </c>
      <c r="P1277" s="13" t="s">
        <v>188</v>
      </c>
      <c r="Q1277" s="34">
        <f t="shared" si="42"/>
        <v>1091740.1799999997</v>
      </c>
      <c r="R1277" s="34" t="str">
        <f>VLOOKUP(E1277,Sales_Reps!$A$2:$E$100,3,FALSE)</f>
        <v>South</v>
      </c>
      <c r="S1277" s="34" t="str">
        <f t="shared" si="43"/>
        <v>Sports</v>
      </c>
      <c r="T1277" s="38">
        <f>VLOOKUP(D1277,Products!$A$2:$F$68,4,FALSE)</f>
        <v>1860</v>
      </c>
    </row>
    <row r="1278" spans="1:20" x14ac:dyDescent="0.35">
      <c r="A1278" s="13" t="s">
        <v>1764</v>
      </c>
      <c r="B1278" s="14">
        <v>45437</v>
      </c>
      <c r="C1278" s="13" t="s">
        <v>197</v>
      </c>
      <c r="D1278" s="13" t="s">
        <v>338</v>
      </c>
      <c r="E1278" s="13" t="s">
        <v>215</v>
      </c>
      <c r="F1278" s="15">
        <v>10</v>
      </c>
      <c r="G1278" s="15">
        <v>2210</v>
      </c>
      <c r="H1278" s="15">
        <v>8.5</v>
      </c>
      <c r="I1278" s="15">
        <v>20221.5</v>
      </c>
      <c r="J1278" s="13" t="s">
        <v>87</v>
      </c>
      <c r="K1278" s="13" t="s">
        <v>88</v>
      </c>
      <c r="L1278" s="34" t="str">
        <f>VLOOKUP(D1278,Products!$A$2:$F$61,3,FALSE)</f>
        <v>Grocery</v>
      </c>
      <c r="M1278" s="34" t="str">
        <f>VLOOKUP(C1278,Customers!$A$2:$F$301,5,FALSE)</f>
        <v>Corporate</v>
      </c>
      <c r="N1278" s="34">
        <f>VLOOKUP(C1278,Customers!$A$2:$F$301,3,FALSE)</f>
        <v>47</v>
      </c>
      <c r="O1278" s="34" t="str">
        <f>VLOOKUP(E1278,Sales_Reps!$A$2:$E$31,3,FALSE)</f>
        <v>North</v>
      </c>
      <c r="P1278" s="13" t="s">
        <v>215</v>
      </c>
      <c r="Q1278" s="34">
        <f t="shared" si="42"/>
        <v>789849.60000000009</v>
      </c>
      <c r="R1278" s="34" t="str">
        <f>VLOOKUP(E1278,Sales_Reps!$A$2:$E$100,3,FALSE)</f>
        <v>North</v>
      </c>
      <c r="S1278" s="34" t="str">
        <f t="shared" si="43"/>
        <v>Grocery</v>
      </c>
      <c r="T1278" s="38">
        <f>VLOOKUP(D1278,Products!$A$2:$F$68,4,FALSE)</f>
        <v>1010</v>
      </c>
    </row>
    <row r="1279" spans="1:20" x14ac:dyDescent="0.35">
      <c r="A1279" s="13" t="s">
        <v>1765</v>
      </c>
      <c r="B1279" s="14">
        <v>45604</v>
      </c>
      <c r="C1279" s="13" t="s">
        <v>1231</v>
      </c>
      <c r="D1279" s="13" t="s">
        <v>338</v>
      </c>
      <c r="E1279" s="13" t="s">
        <v>188</v>
      </c>
      <c r="F1279" s="15">
        <v>4</v>
      </c>
      <c r="G1279" s="15">
        <v>2210</v>
      </c>
      <c r="H1279" s="15">
        <v>3.1</v>
      </c>
      <c r="I1279" s="15">
        <v>8565.9599999999991</v>
      </c>
      <c r="J1279" s="13" t="s">
        <v>87</v>
      </c>
      <c r="K1279" s="13" t="s">
        <v>88</v>
      </c>
      <c r="L1279" s="34" t="str">
        <f>VLOOKUP(D1279,Products!$A$2:$F$61,3,FALSE)</f>
        <v>Grocery</v>
      </c>
      <c r="M1279" s="34" t="str">
        <f>VLOOKUP(C1279,Customers!$A$2:$F$301,5,FALSE)</f>
        <v>Retail</v>
      </c>
      <c r="N1279" s="34">
        <f>VLOOKUP(C1279,Customers!$A$2:$F$301,3,FALSE)</f>
        <v>42</v>
      </c>
      <c r="O1279" s="34" t="str">
        <f>VLOOKUP(E1279,Sales_Reps!$A$2:$E$31,3,FALSE)</f>
        <v>South</v>
      </c>
      <c r="P1279" s="13" t="s">
        <v>188</v>
      </c>
      <c r="Q1279" s="34">
        <f t="shared" si="42"/>
        <v>1091740.1799999997</v>
      </c>
      <c r="R1279" s="34" t="str">
        <f>VLOOKUP(E1279,Sales_Reps!$A$2:$E$100,3,FALSE)</f>
        <v>South</v>
      </c>
      <c r="S1279" s="34" t="str">
        <f t="shared" si="43"/>
        <v>Grocery</v>
      </c>
      <c r="T1279" s="38">
        <f>VLOOKUP(D1279,Products!$A$2:$F$68,4,FALSE)</f>
        <v>1010</v>
      </c>
    </row>
    <row r="1280" spans="1:20" x14ac:dyDescent="0.35">
      <c r="A1280" s="13" t="s">
        <v>1766</v>
      </c>
      <c r="B1280" s="14">
        <v>45540</v>
      </c>
      <c r="C1280" s="13" t="s">
        <v>460</v>
      </c>
      <c r="D1280" s="13" t="s">
        <v>176</v>
      </c>
      <c r="E1280" s="13" t="s">
        <v>188</v>
      </c>
      <c r="F1280" s="15">
        <v>1</v>
      </c>
      <c r="G1280" s="15">
        <v>1650</v>
      </c>
      <c r="H1280" s="15">
        <v>10</v>
      </c>
      <c r="I1280" s="15">
        <v>1485</v>
      </c>
      <c r="J1280" s="13" t="s">
        <v>87</v>
      </c>
      <c r="K1280" s="13" t="s">
        <v>88</v>
      </c>
      <c r="L1280" s="34" t="str">
        <f>VLOOKUP(D1280,Products!$A$2:$F$61,3,FALSE)</f>
        <v>Beauty</v>
      </c>
      <c r="M1280" s="34" t="str">
        <f>VLOOKUP(C1280,Customers!$A$2:$F$301,5,FALSE)</f>
        <v>Corporate</v>
      </c>
      <c r="N1280" s="34">
        <f>VLOOKUP(C1280,Customers!$A$2:$F$301,3,FALSE)</f>
        <v>37</v>
      </c>
      <c r="O1280" s="34" t="str">
        <f>VLOOKUP(E1280,Sales_Reps!$A$2:$E$31,3,FALSE)</f>
        <v>South</v>
      </c>
      <c r="P1280" s="13" t="s">
        <v>188</v>
      </c>
      <c r="Q1280" s="34">
        <f t="shared" si="42"/>
        <v>1091740.1799999997</v>
      </c>
      <c r="R1280" s="34" t="str">
        <f>VLOOKUP(E1280,Sales_Reps!$A$2:$E$100,3,FALSE)</f>
        <v>South</v>
      </c>
      <c r="S1280" s="34" t="str">
        <f t="shared" si="43"/>
        <v>Beauty</v>
      </c>
      <c r="T1280" s="38">
        <f>VLOOKUP(D1280,Products!$A$2:$F$68,4,FALSE)</f>
        <v>1222</v>
      </c>
    </row>
    <row r="1281" spans="1:20" x14ac:dyDescent="0.35">
      <c r="A1281" s="13" t="s">
        <v>1767</v>
      </c>
      <c r="B1281" s="14">
        <v>45597</v>
      </c>
      <c r="C1281" s="13" t="s">
        <v>411</v>
      </c>
      <c r="D1281" s="13" t="s">
        <v>147</v>
      </c>
      <c r="E1281" s="13" t="s">
        <v>92</v>
      </c>
      <c r="F1281" s="15">
        <v>6</v>
      </c>
      <c r="G1281" s="15">
        <v>190</v>
      </c>
      <c r="H1281" s="15">
        <v>3.5</v>
      </c>
      <c r="I1281" s="15">
        <v>1100.0999999999999</v>
      </c>
      <c r="J1281" s="13" t="s">
        <v>140</v>
      </c>
      <c r="K1281" s="13" t="s">
        <v>112</v>
      </c>
      <c r="L1281" s="34" t="str">
        <f>VLOOKUP(D1281,Products!$A$2:$F$61,3,FALSE)</f>
        <v>Sports</v>
      </c>
      <c r="M1281" s="34" t="str">
        <f>VLOOKUP(C1281,Customers!$A$2:$F$301,5,FALSE)</f>
        <v>Retail</v>
      </c>
      <c r="N1281" s="34">
        <f>VLOOKUP(C1281,Customers!$A$2:$F$301,3,FALSE)</f>
        <v>61</v>
      </c>
      <c r="O1281" s="34" t="str">
        <f>VLOOKUP(E1281,Sales_Reps!$A$2:$E$31,3,FALSE)</f>
        <v>North</v>
      </c>
      <c r="P1281" s="13" t="s">
        <v>92</v>
      </c>
      <c r="Q1281" s="34">
        <f t="shared" si="42"/>
        <v>782445.33</v>
      </c>
      <c r="R1281" s="34" t="str">
        <f>VLOOKUP(E1281,Sales_Reps!$A$2:$E$100,3,FALSE)</f>
        <v>North</v>
      </c>
      <c r="S1281" s="34" t="str">
        <f t="shared" si="43"/>
        <v>Sports</v>
      </c>
      <c r="T1281" s="38">
        <f>VLOOKUP(D1281,Products!$A$2:$F$68,4,FALSE)</f>
        <v>147</v>
      </c>
    </row>
    <row r="1282" spans="1:20" x14ac:dyDescent="0.35">
      <c r="A1282" s="13" t="s">
        <v>1768</v>
      </c>
      <c r="B1282" s="14">
        <v>45589</v>
      </c>
      <c r="C1282" s="13" t="s">
        <v>394</v>
      </c>
      <c r="D1282" s="13" t="s">
        <v>195</v>
      </c>
      <c r="E1282" s="13" t="s">
        <v>343</v>
      </c>
      <c r="F1282" s="15">
        <v>8</v>
      </c>
      <c r="G1282" s="15">
        <v>2860</v>
      </c>
      <c r="H1282" s="15">
        <v>14.7</v>
      </c>
      <c r="I1282" s="15">
        <v>19516.64</v>
      </c>
      <c r="J1282" s="13" t="s">
        <v>87</v>
      </c>
      <c r="K1282" s="13" t="s">
        <v>117</v>
      </c>
      <c r="L1282" s="34" t="str">
        <f>VLOOKUP(D1282,Products!$A$2:$F$61,3,FALSE)</f>
        <v>Sports</v>
      </c>
      <c r="M1282" s="34" t="str">
        <f>VLOOKUP(C1282,Customers!$A$2:$F$301,5,FALSE)</f>
        <v>SMB</v>
      </c>
      <c r="N1282" s="34">
        <f>VLOOKUP(C1282,Customers!$A$2:$F$301,3,FALSE)</f>
        <v>28</v>
      </c>
      <c r="O1282" s="34" t="str">
        <f>VLOOKUP(E1282,Sales_Reps!$A$2:$E$31,3,FALSE)</f>
        <v>West</v>
      </c>
      <c r="P1282" s="13" t="s">
        <v>343</v>
      </c>
      <c r="Q1282" s="34">
        <f t="shared" si="42"/>
        <v>917092.61999999965</v>
      </c>
      <c r="R1282" s="34" t="str">
        <f>VLOOKUP(E1282,Sales_Reps!$A$2:$E$100,3,FALSE)</f>
        <v>West</v>
      </c>
      <c r="S1282" s="34" t="str">
        <f t="shared" si="43"/>
        <v>Sports</v>
      </c>
      <c r="T1282" s="38">
        <f>VLOOKUP(D1282,Products!$A$2:$F$68,4,FALSE)</f>
        <v>2028</v>
      </c>
    </row>
    <row r="1283" spans="1:20" x14ac:dyDescent="0.35">
      <c r="A1283" s="13" t="s">
        <v>1769</v>
      </c>
      <c r="B1283" s="14">
        <v>45448</v>
      </c>
      <c r="C1283" s="13" t="s">
        <v>219</v>
      </c>
      <c r="D1283" s="13" t="s">
        <v>282</v>
      </c>
      <c r="E1283" s="13" t="s">
        <v>170</v>
      </c>
      <c r="F1283" s="15">
        <v>9</v>
      </c>
      <c r="G1283" s="15">
        <v>300</v>
      </c>
      <c r="H1283" s="15">
        <v>19.5</v>
      </c>
      <c r="I1283" s="15">
        <v>2173.5</v>
      </c>
      <c r="J1283" s="13" t="s">
        <v>87</v>
      </c>
      <c r="K1283" s="13" t="s">
        <v>99</v>
      </c>
      <c r="L1283" s="34" t="str">
        <f>VLOOKUP(D1283,Products!$A$2:$F$61,3,FALSE)</f>
        <v>Electronics</v>
      </c>
      <c r="M1283" s="34" t="str">
        <f>VLOOKUP(C1283,Customers!$A$2:$F$301,5,FALSE)</f>
        <v>SMB</v>
      </c>
      <c r="N1283" s="34">
        <f>VLOOKUP(C1283,Customers!$A$2:$F$301,3,FALSE)</f>
        <v>50</v>
      </c>
      <c r="O1283" s="34" t="str">
        <f>VLOOKUP(E1283,Sales_Reps!$A$2:$E$31,3,FALSE)</f>
        <v>West</v>
      </c>
      <c r="P1283" s="13" t="s">
        <v>170</v>
      </c>
      <c r="Q1283" s="34">
        <f t="shared" ref="Q1283:Q1346" si="44">SUMIFS($I:$I,$E:$E,P1283)</f>
        <v>747624.36999999988</v>
      </c>
      <c r="R1283" s="34" t="str">
        <f>VLOOKUP(E1283,Sales_Reps!$A$2:$E$100,3,FALSE)</f>
        <v>West</v>
      </c>
      <c r="S1283" s="34" t="str">
        <f t="shared" ref="S1283:S1346" si="45">L1283</f>
        <v>Electronics</v>
      </c>
      <c r="T1283" s="38">
        <f>VLOOKUP(D1283,Products!$A$2:$F$68,4,FALSE)</f>
        <v>128</v>
      </c>
    </row>
    <row r="1284" spans="1:20" x14ac:dyDescent="0.35">
      <c r="A1284" s="13" t="s">
        <v>1770</v>
      </c>
      <c r="B1284" s="14">
        <v>45608</v>
      </c>
      <c r="C1284" s="13" t="s">
        <v>970</v>
      </c>
      <c r="D1284" s="13" t="s">
        <v>380</v>
      </c>
      <c r="E1284" s="13" t="s">
        <v>86</v>
      </c>
      <c r="F1284" s="15">
        <v>10</v>
      </c>
      <c r="G1284" s="15">
        <v>960</v>
      </c>
      <c r="H1284" s="15">
        <v>9.6999999999999993</v>
      </c>
      <c r="I1284" s="15">
        <v>8668.7999999999993</v>
      </c>
      <c r="J1284" s="13" t="s">
        <v>87</v>
      </c>
      <c r="K1284" s="13" t="s">
        <v>112</v>
      </c>
      <c r="L1284" s="34" t="str">
        <f>VLOOKUP(D1284,Products!$A$2:$F$61,3,FALSE)</f>
        <v>Beauty</v>
      </c>
      <c r="M1284" s="34" t="str">
        <f>VLOOKUP(C1284,Customers!$A$2:$F$301,5,FALSE)</f>
        <v>Retail</v>
      </c>
      <c r="N1284" s="34">
        <f>VLOOKUP(C1284,Customers!$A$2:$F$301,3,FALSE)</f>
        <v>40</v>
      </c>
      <c r="O1284" s="34" t="str">
        <f>VLOOKUP(E1284,Sales_Reps!$A$2:$E$31,3,FALSE)</f>
        <v>North</v>
      </c>
      <c r="P1284" s="13" t="s">
        <v>86</v>
      </c>
      <c r="Q1284" s="34">
        <f t="shared" si="44"/>
        <v>855749.67999999982</v>
      </c>
      <c r="R1284" s="34" t="str">
        <f>VLOOKUP(E1284,Sales_Reps!$A$2:$E$100,3,FALSE)</f>
        <v>North</v>
      </c>
      <c r="S1284" s="34" t="str">
        <f t="shared" si="45"/>
        <v>Beauty</v>
      </c>
      <c r="T1284" s="38">
        <f>VLOOKUP(D1284,Products!$A$2:$F$68,4,FALSE)</f>
        <v>675</v>
      </c>
    </row>
    <row r="1285" spans="1:20" x14ac:dyDescent="0.35">
      <c r="A1285" s="13" t="s">
        <v>1771</v>
      </c>
      <c r="B1285" s="14">
        <v>45421</v>
      </c>
      <c r="C1285" s="13" t="s">
        <v>945</v>
      </c>
      <c r="D1285" s="13" t="s">
        <v>91</v>
      </c>
      <c r="E1285" s="13" t="s">
        <v>252</v>
      </c>
      <c r="F1285" s="15">
        <v>5</v>
      </c>
      <c r="G1285" s="15">
        <v>820</v>
      </c>
      <c r="H1285" s="15">
        <v>0.5</v>
      </c>
      <c r="I1285" s="15">
        <v>4079.5</v>
      </c>
      <c r="J1285" s="13" t="s">
        <v>87</v>
      </c>
      <c r="K1285" s="13" t="s">
        <v>88</v>
      </c>
      <c r="L1285" s="34" t="str">
        <f>VLOOKUP(D1285,Products!$A$2:$F$61,3,FALSE)</f>
        <v>Apparel</v>
      </c>
      <c r="M1285" s="34" t="str">
        <f>VLOOKUP(C1285,Customers!$A$2:$F$301,5,FALSE)</f>
        <v>Retail</v>
      </c>
      <c r="N1285" s="34">
        <f>VLOOKUP(C1285,Customers!$A$2:$F$301,3,FALSE)</f>
        <v>54</v>
      </c>
      <c r="O1285" s="34" t="str">
        <f>VLOOKUP(E1285,Sales_Reps!$A$2:$E$31,3,FALSE)</f>
        <v>South</v>
      </c>
      <c r="P1285" s="13" t="s">
        <v>252</v>
      </c>
      <c r="Q1285" s="34">
        <f t="shared" si="44"/>
        <v>811524.37999999989</v>
      </c>
      <c r="R1285" s="34" t="str">
        <f>VLOOKUP(E1285,Sales_Reps!$A$2:$E$100,3,FALSE)</f>
        <v>South</v>
      </c>
      <c r="S1285" s="34" t="str">
        <f t="shared" si="45"/>
        <v>Apparel</v>
      </c>
      <c r="T1285" s="38">
        <f>VLOOKUP(D1285,Products!$A$2:$F$68,4,FALSE)</f>
        <v>391</v>
      </c>
    </row>
    <row r="1286" spans="1:20" x14ac:dyDescent="0.35">
      <c r="A1286" s="13" t="s">
        <v>1772</v>
      </c>
      <c r="B1286" s="14">
        <v>45383</v>
      </c>
      <c r="C1286" s="13" t="s">
        <v>284</v>
      </c>
      <c r="D1286" s="13" t="s">
        <v>110</v>
      </c>
      <c r="E1286" s="13" t="s">
        <v>139</v>
      </c>
      <c r="F1286" s="15">
        <v>2</v>
      </c>
      <c r="G1286" s="15">
        <v>370</v>
      </c>
      <c r="H1286" s="15">
        <v>10.5</v>
      </c>
      <c r="I1286" s="15">
        <v>662.3</v>
      </c>
      <c r="J1286" s="13" t="s">
        <v>93</v>
      </c>
      <c r="K1286" s="13" t="s">
        <v>94</v>
      </c>
      <c r="L1286" s="34" t="str">
        <f>VLOOKUP(D1286,Products!$A$2:$F$61,3,FALSE)</f>
        <v>Home</v>
      </c>
      <c r="M1286" s="34" t="str">
        <f>VLOOKUP(C1286,Customers!$A$2:$F$301,5,FALSE)</f>
        <v>Retail</v>
      </c>
      <c r="N1286" s="34">
        <f>VLOOKUP(C1286,Customers!$A$2:$F$301,3,FALSE)</f>
        <v>28</v>
      </c>
      <c r="O1286" s="34" t="str">
        <f>VLOOKUP(E1286,Sales_Reps!$A$2:$E$31,3,FALSE)</f>
        <v>North</v>
      </c>
      <c r="P1286" s="13" t="s">
        <v>139</v>
      </c>
      <c r="Q1286" s="34">
        <f t="shared" si="44"/>
        <v>589026.2899999998</v>
      </c>
      <c r="R1286" s="34" t="str">
        <f>VLOOKUP(E1286,Sales_Reps!$A$2:$E$100,3,FALSE)</f>
        <v>North</v>
      </c>
      <c r="S1286" s="34" t="str">
        <f t="shared" si="45"/>
        <v>Home</v>
      </c>
      <c r="T1286" s="38">
        <f>VLOOKUP(D1286,Products!$A$2:$F$68,4,FALSE)</f>
        <v>288</v>
      </c>
    </row>
    <row r="1287" spans="1:20" x14ac:dyDescent="0.35">
      <c r="A1287" s="13" t="s">
        <v>1773</v>
      </c>
      <c r="B1287" s="14">
        <v>45453</v>
      </c>
      <c r="C1287" s="13" t="s">
        <v>686</v>
      </c>
      <c r="D1287" s="13" t="s">
        <v>124</v>
      </c>
      <c r="E1287" s="13" t="s">
        <v>154</v>
      </c>
      <c r="F1287" s="15">
        <v>9</v>
      </c>
      <c r="G1287" s="15">
        <v>5490</v>
      </c>
      <c r="H1287" s="15">
        <v>14.2</v>
      </c>
      <c r="I1287" s="15">
        <v>42393.78</v>
      </c>
      <c r="J1287" s="13" t="s">
        <v>140</v>
      </c>
      <c r="K1287" s="13" t="s">
        <v>112</v>
      </c>
      <c r="L1287" s="34" t="str">
        <f>VLOOKUP(D1287,Products!$A$2:$F$61,3,FALSE)</f>
        <v>Home</v>
      </c>
      <c r="M1287" s="34" t="str">
        <f>VLOOKUP(C1287,Customers!$A$2:$F$301,5,FALSE)</f>
        <v>Retail</v>
      </c>
      <c r="N1287" s="34">
        <f>VLOOKUP(C1287,Customers!$A$2:$F$301,3,FALSE)</f>
        <v>35</v>
      </c>
      <c r="O1287" s="34" t="str">
        <f>VLOOKUP(E1287,Sales_Reps!$A$2:$E$31,3,FALSE)</f>
        <v>East</v>
      </c>
      <c r="P1287" s="13" t="s">
        <v>154</v>
      </c>
      <c r="Q1287" s="34">
        <f t="shared" si="44"/>
        <v>983787.4800000001</v>
      </c>
      <c r="R1287" s="34" t="str">
        <f>VLOOKUP(E1287,Sales_Reps!$A$2:$E$100,3,FALSE)</f>
        <v>East</v>
      </c>
      <c r="S1287" s="34" t="str">
        <f t="shared" si="45"/>
        <v>Home</v>
      </c>
      <c r="T1287" s="38">
        <f>VLOOKUP(D1287,Products!$A$2:$F$68,4,FALSE)</f>
        <v>2549</v>
      </c>
    </row>
    <row r="1288" spans="1:20" x14ac:dyDescent="0.35">
      <c r="A1288" s="13" t="s">
        <v>1774</v>
      </c>
      <c r="B1288" s="14">
        <v>45398</v>
      </c>
      <c r="C1288" s="13" t="s">
        <v>883</v>
      </c>
      <c r="D1288" s="13" t="s">
        <v>110</v>
      </c>
      <c r="E1288" s="13" t="s">
        <v>303</v>
      </c>
      <c r="F1288" s="15">
        <v>3</v>
      </c>
      <c r="G1288" s="15">
        <v>370</v>
      </c>
      <c r="H1288" s="15">
        <v>18.399999999999999</v>
      </c>
      <c r="I1288" s="15">
        <v>905.76</v>
      </c>
      <c r="J1288" s="13" t="s">
        <v>87</v>
      </c>
      <c r="K1288" s="13" t="s">
        <v>133</v>
      </c>
      <c r="L1288" s="34" t="str">
        <f>VLOOKUP(D1288,Products!$A$2:$F$61,3,FALSE)</f>
        <v>Home</v>
      </c>
      <c r="M1288" s="34" t="str">
        <f>VLOOKUP(C1288,Customers!$A$2:$F$301,5,FALSE)</f>
        <v>SMB</v>
      </c>
      <c r="N1288" s="34">
        <f>VLOOKUP(C1288,Customers!$A$2:$F$301,3,FALSE)</f>
        <v>28</v>
      </c>
      <c r="O1288" s="34" t="str">
        <f>VLOOKUP(E1288,Sales_Reps!$A$2:$E$31,3,FALSE)</f>
        <v>East</v>
      </c>
      <c r="P1288" s="13" t="s">
        <v>303</v>
      </c>
      <c r="Q1288" s="34">
        <f t="shared" si="44"/>
        <v>1112289.6400000001</v>
      </c>
      <c r="R1288" s="34" t="str">
        <f>VLOOKUP(E1288,Sales_Reps!$A$2:$E$100,3,FALSE)</f>
        <v>East</v>
      </c>
      <c r="S1288" s="34" t="str">
        <f t="shared" si="45"/>
        <v>Home</v>
      </c>
      <c r="T1288" s="38">
        <f>VLOOKUP(D1288,Products!$A$2:$F$68,4,FALSE)</f>
        <v>288</v>
      </c>
    </row>
    <row r="1289" spans="1:20" x14ac:dyDescent="0.35">
      <c r="A1289" s="13" t="s">
        <v>1775</v>
      </c>
      <c r="B1289" s="14">
        <v>45584</v>
      </c>
      <c r="C1289" s="13" t="s">
        <v>595</v>
      </c>
      <c r="D1289" s="13" t="s">
        <v>147</v>
      </c>
      <c r="E1289" s="13" t="s">
        <v>303</v>
      </c>
      <c r="F1289" s="15">
        <v>6</v>
      </c>
      <c r="G1289" s="15">
        <v>190</v>
      </c>
      <c r="H1289" s="15">
        <v>12.9</v>
      </c>
      <c r="I1289" s="15">
        <v>992.94</v>
      </c>
      <c r="J1289" s="13" t="s">
        <v>87</v>
      </c>
      <c r="K1289" s="13" t="s">
        <v>99</v>
      </c>
      <c r="L1289" s="34" t="str">
        <f>VLOOKUP(D1289,Products!$A$2:$F$61,3,FALSE)</f>
        <v>Sports</v>
      </c>
      <c r="M1289" s="34" t="str">
        <f>VLOOKUP(C1289,Customers!$A$2:$F$301,5,FALSE)</f>
        <v>SMB</v>
      </c>
      <c r="N1289" s="34">
        <f>VLOOKUP(C1289,Customers!$A$2:$F$301,3,FALSE)</f>
        <v>48</v>
      </c>
      <c r="O1289" s="34" t="str">
        <f>VLOOKUP(E1289,Sales_Reps!$A$2:$E$31,3,FALSE)</f>
        <v>East</v>
      </c>
      <c r="P1289" s="13" t="s">
        <v>303</v>
      </c>
      <c r="Q1289" s="34">
        <f t="shared" si="44"/>
        <v>1112289.6400000001</v>
      </c>
      <c r="R1289" s="34" t="str">
        <f>VLOOKUP(E1289,Sales_Reps!$A$2:$E$100,3,FALSE)</f>
        <v>East</v>
      </c>
      <c r="S1289" s="34" t="str">
        <f t="shared" si="45"/>
        <v>Sports</v>
      </c>
      <c r="T1289" s="38">
        <f>VLOOKUP(D1289,Products!$A$2:$F$68,4,FALSE)</f>
        <v>147</v>
      </c>
    </row>
    <row r="1290" spans="1:20" x14ac:dyDescent="0.35">
      <c r="A1290" s="13" t="s">
        <v>1776</v>
      </c>
      <c r="B1290" s="14">
        <v>45397</v>
      </c>
      <c r="C1290" s="13" t="s">
        <v>376</v>
      </c>
      <c r="D1290" s="13" t="s">
        <v>338</v>
      </c>
      <c r="E1290" s="13" t="s">
        <v>154</v>
      </c>
      <c r="F1290" s="15">
        <v>8</v>
      </c>
      <c r="G1290" s="15">
        <v>2210</v>
      </c>
      <c r="H1290" s="15">
        <v>9.8000000000000007</v>
      </c>
      <c r="I1290" s="15">
        <v>15947.36</v>
      </c>
      <c r="J1290" s="13" t="s">
        <v>87</v>
      </c>
      <c r="K1290" s="13" t="s">
        <v>117</v>
      </c>
      <c r="L1290" s="34" t="str">
        <f>VLOOKUP(D1290,Products!$A$2:$F$61,3,FALSE)</f>
        <v>Grocery</v>
      </c>
      <c r="M1290" s="34" t="str">
        <f>VLOOKUP(C1290,Customers!$A$2:$F$301,5,FALSE)</f>
        <v>SMB</v>
      </c>
      <c r="N1290" s="34">
        <f>VLOOKUP(C1290,Customers!$A$2:$F$301,3,FALSE)</f>
        <v>44</v>
      </c>
      <c r="O1290" s="34" t="str">
        <f>VLOOKUP(E1290,Sales_Reps!$A$2:$E$31,3,FALSE)</f>
        <v>East</v>
      </c>
      <c r="P1290" s="13" t="s">
        <v>154</v>
      </c>
      <c r="Q1290" s="34">
        <f t="shared" si="44"/>
        <v>983787.4800000001</v>
      </c>
      <c r="R1290" s="34" t="str">
        <f>VLOOKUP(E1290,Sales_Reps!$A$2:$E$100,3,FALSE)</f>
        <v>East</v>
      </c>
      <c r="S1290" s="34" t="str">
        <f t="shared" si="45"/>
        <v>Grocery</v>
      </c>
      <c r="T1290" s="38">
        <f>VLOOKUP(D1290,Products!$A$2:$F$68,4,FALSE)</f>
        <v>1010</v>
      </c>
    </row>
    <row r="1291" spans="1:20" x14ac:dyDescent="0.35">
      <c r="A1291" s="13" t="s">
        <v>1777</v>
      </c>
      <c r="B1291" s="14">
        <v>45453</v>
      </c>
      <c r="C1291" s="13" t="s">
        <v>429</v>
      </c>
      <c r="D1291" s="13" t="s">
        <v>176</v>
      </c>
      <c r="E1291" s="13" t="s">
        <v>204</v>
      </c>
      <c r="F1291" s="15">
        <v>7</v>
      </c>
      <c r="G1291" s="15">
        <v>1650</v>
      </c>
      <c r="H1291" s="15">
        <v>8.4</v>
      </c>
      <c r="I1291" s="15">
        <v>10579.8</v>
      </c>
      <c r="J1291" s="13" t="s">
        <v>87</v>
      </c>
      <c r="K1291" s="13" t="s">
        <v>117</v>
      </c>
      <c r="L1291" s="34" t="str">
        <f>VLOOKUP(D1291,Products!$A$2:$F$61,3,FALSE)</f>
        <v>Beauty</v>
      </c>
      <c r="M1291" s="34" t="str">
        <f>VLOOKUP(C1291,Customers!$A$2:$F$301,5,FALSE)</f>
        <v>Retail</v>
      </c>
      <c r="N1291" s="34">
        <f>VLOOKUP(C1291,Customers!$A$2:$F$301,3,FALSE)</f>
        <v>55</v>
      </c>
      <c r="O1291" s="34" t="str">
        <f>VLOOKUP(E1291,Sales_Reps!$A$2:$E$31,3,FALSE)</f>
        <v>South</v>
      </c>
      <c r="P1291" s="13" t="s">
        <v>204</v>
      </c>
      <c r="Q1291" s="34">
        <f t="shared" si="44"/>
        <v>914554.71999999986</v>
      </c>
      <c r="R1291" s="34" t="str">
        <f>VLOOKUP(E1291,Sales_Reps!$A$2:$E$100,3,FALSE)</f>
        <v>South</v>
      </c>
      <c r="S1291" s="34" t="str">
        <f t="shared" si="45"/>
        <v>Beauty</v>
      </c>
      <c r="T1291" s="38">
        <f>VLOOKUP(D1291,Products!$A$2:$F$68,4,FALSE)</f>
        <v>1222</v>
      </c>
    </row>
    <row r="1292" spans="1:20" x14ac:dyDescent="0.35">
      <c r="A1292" s="13" t="s">
        <v>1778</v>
      </c>
      <c r="B1292" s="14">
        <v>45359</v>
      </c>
      <c r="C1292" s="13" t="s">
        <v>823</v>
      </c>
      <c r="D1292" s="13" t="s">
        <v>203</v>
      </c>
      <c r="E1292" s="13" t="s">
        <v>252</v>
      </c>
      <c r="F1292" s="15">
        <v>8</v>
      </c>
      <c r="G1292" s="15">
        <v>660</v>
      </c>
      <c r="H1292" s="15">
        <v>7.5</v>
      </c>
      <c r="I1292" s="15">
        <v>4884</v>
      </c>
      <c r="J1292" s="13" t="s">
        <v>87</v>
      </c>
      <c r="K1292" s="13" t="s">
        <v>94</v>
      </c>
      <c r="L1292" s="34" t="str">
        <f>VLOOKUP(D1292,Products!$A$2:$F$61,3,FALSE)</f>
        <v>Home</v>
      </c>
      <c r="M1292" s="34" t="str">
        <f>VLOOKUP(C1292,Customers!$A$2:$F$301,5,FALSE)</f>
        <v>Retail</v>
      </c>
      <c r="N1292" s="34">
        <f>VLOOKUP(C1292,Customers!$A$2:$F$301,3,FALSE)</f>
        <v>32</v>
      </c>
      <c r="O1292" s="34" t="str">
        <f>VLOOKUP(E1292,Sales_Reps!$A$2:$E$31,3,FALSE)</f>
        <v>South</v>
      </c>
      <c r="P1292" s="13" t="s">
        <v>252</v>
      </c>
      <c r="Q1292" s="34">
        <f t="shared" si="44"/>
        <v>811524.37999999989</v>
      </c>
      <c r="R1292" s="34" t="str">
        <f>VLOOKUP(E1292,Sales_Reps!$A$2:$E$100,3,FALSE)</f>
        <v>South</v>
      </c>
      <c r="S1292" s="34" t="str">
        <f t="shared" si="45"/>
        <v>Home</v>
      </c>
      <c r="T1292" s="38">
        <f>VLOOKUP(D1292,Products!$A$2:$F$68,4,FALSE)</f>
        <v>329</v>
      </c>
    </row>
    <row r="1293" spans="1:20" x14ac:dyDescent="0.35">
      <c r="A1293" s="13" t="s">
        <v>1779</v>
      </c>
      <c r="B1293" s="14">
        <v>45644</v>
      </c>
      <c r="C1293" s="13" t="s">
        <v>1006</v>
      </c>
      <c r="D1293" s="13" t="s">
        <v>270</v>
      </c>
      <c r="E1293" s="13" t="s">
        <v>139</v>
      </c>
      <c r="F1293" s="15">
        <v>3</v>
      </c>
      <c r="G1293" s="15">
        <v>4610</v>
      </c>
      <c r="H1293" s="15">
        <v>29.6</v>
      </c>
      <c r="I1293" s="15">
        <v>9736.32</v>
      </c>
      <c r="J1293" s="13" t="s">
        <v>87</v>
      </c>
      <c r="K1293" s="13" t="s">
        <v>117</v>
      </c>
      <c r="L1293" s="34" t="str">
        <f>VLOOKUP(D1293,Products!$A$2:$F$61,3,FALSE)</f>
        <v>Home</v>
      </c>
      <c r="M1293" s="34" t="str">
        <f>VLOOKUP(C1293,Customers!$A$2:$F$301,5,FALSE)</f>
        <v>SMB</v>
      </c>
      <c r="N1293" s="34">
        <f>VLOOKUP(C1293,Customers!$A$2:$F$301,3,FALSE)</f>
        <v>44</v>
      </c>
      <c r="O1293" s="34" t="str">
        <f>VLOOKUP(E1293,Sales_Reps!$A$2:$E$31,3,FALSE)</f>
        <v>North</v>
      </c>
      <c r="P1293" s="13" t="s">
        <v>139</v>
      </c>
      <c r="Q1293" s="34">
        <f t="shared" si="44"/>
        <v>589026.2899999998</v>
      </c>
      <c r="R1293" s="34" t="str">
        <f>VLOOKUP(E1293,Sales_Reps!$A$2:$E$100,3,FALSE)</f>
        <v>North</v>
      </c>
      <c r="S1293" s="34" t="str">
        <f t="shared" si="45"/>
        <v>Home</v>
      </c>
      <c r="T1293" s="38">
        <f>VLOOKUP(D1293,Products!$A$2:$F$68,4,FALSE)</f>
        <v>1850</v>
      </c>
    </row>
    <row r="1294" spans="1:20" x14ac:dyDescent="0.35">
      <c r="A1294" s="13" t="s">
        <v>1780</v>
      </c>
      <c r="B1294" s="14">
        <v>45325</v>
      </c>
      <c r="C1294" s="13" t="s">
        <v>350</v>
      </c>
      <c r="D1294" s="13" t="s">
        <v>338</v>
      </c>
      <c r="E1294" s="13" t="s">
        <v>111</v>
      </c>
      <c r="F1294" s="15">
        <v>6</v>
      </c>
      <c r="G1294" s="15">
        <v>2210</v>
      </c>
      <c r="H1294" s="15">
        <v>9.5</v>
      </c>
      <c r="I1294" s="15">
        <v>12000.3</v>
      </c>
      <c r="J1294" s="13" t="s">
        <v>87</v>
      </c>
      <c r="K1294" s="13" t="s">
        <v>112</v>
      </c>
      <c r="L1294" s="34" t="str">
        <f>VLOOKUP(D1294,Products!$A$2:$F$61,3,FALSE)</f>
        <v>Grocery</v>
      </c>
      <c r="M1294" s="34" t="str">
        <f>VLOOKUP(C1294,Customers!$A$2:$F$301,5,FALSE)</f>
        <v>SMB</v>
      </c>
      <c r="N1294" s="34">
        <f>VLOOKUP(C1294,Customers!$A$2:$F$301,3,FALSE)</f>
        <v>22</v>
      </c>
      <c r="O1294" s="34" t="str">
        <f>VLOOKUP(E1294,Sales_Reps!$A$2:$E$31,3,FALSE)</f>
        <v>West</v>
      </c>
      <c r="P1294" s="13" t="s">
        <v>111</v>
      </c>
      <c r="Q1294" s="34">
        <f t="shared" si="44"/>
        <v>901298.89</v>
      </c>
      <c r="R1294" s="34" t="str">
        <f>VLOOKUP(E1294,Sales_Reps!$A$2:$E$100,3,FALSE)</f>
        <v>West</v>
      </c>
      <c r="S1294" s="34" t="str">
        <f t="shared" si="45"/>
        <v>Grocery</v>
      </c>
      <c r="T1294" s="38">
        <f>VLOOKUP(D1294,Products!$A$2:$F$68,4,FALSE)</f>
        <v>1010</v>
      </c>
    </row>
    <row r="1295" spans="1:20" x14ac:dyDescent="0.35">
      <c r="A1295" s="13" t="s">
        <v>1781</v>
      </c>
      <c r="B1295" s="14">
        <v>45533</v>
      </c>
      <c r="C1295" s="13" t="s">
        <v>369</v>
      </c>
      <c r="D1295" s="13" t="s">
        <v>386</v>
      </c>
      <c r="E1295" s="13" t="s">
        <v>238</v>
      </c>
      <c r="F1295" s="15">
        <v>4</v>
      </c>
      <c r="G1295" s="15">
        <v>2290</v>
      </c>
      <c r="H1295" s="15">
        <v>3.3</v>
      </c>
      <c r="I1295" s="15">
        <v>8857.7199999999993</v>
      </c>
      <c r="J1295" s="13" t="s">
        <v>87</v>
      </c>
      <c r="K1295" s="13" t="s">
        <v>94</v>
      </c>
      <c r="L1295" s="34" t="str">
        <f>VLOOKUP(D1295,Products!$A$2:$F$61,3,FALSE)</f>
        <v>Beauty</v>
      </c>
      <c r="M1295" s="34" t="str">
        <f>VLOOKUP(C1295,Customers!$A$2:$F$301,5,FALSE)</f>
        <v>SMB</v>
      </c>
      <c r="N1295" s="34">
        <f>VLOOKUP(C1295,Customers!$A$2:$F$301,3,FALSE)</f>
        <v>62</v>
      </c>
      <c r="O1295" s="34" t="str">
        <f>VLOOKUP(E1295,Sales_Reps!$A$2:$E$31,3,FALSE)</f>
        <v>East</v>
      </c>
      <c r="P1295" s="13" t="s">
        <v>238</v>
      </c>
      <c r="Q1295" s="34">
        <f t="shared" si="44"/>
        <v>780384.40999999992</v>
      </c>
      <c r="R1295" s="34" t="str">
        <f>VLOOKUP(E1295,Sales_Reps!$A$2:$E$100,3,FALSE)</f>
        <v>East</v>
      </c>
      <c r="S1295" s="34" t="str">
        <f t="shared" si="45"/>
        <v>Beauty</v>
      </c>
      <c r="T1295" s="38">
        <f>VLOOKUP(D1295,Products!$A$2:$F$68,4,FALSE)</f>
        <v>1219</v>
      </c>
    </row>
    <row r="1296" spans="1:20" x14ac:dyDescent="0.35">
      <c r="A1296" s="13" t="s">
        <v>1782</v>
      </c>
      <c r="B1296" s="14">
        <v>45369</v>
      </c>
      <c r="C1296" s="13" t="s">
        <v>101</v>
      </c>
      <c r="D1296" s="13" t="s">
        <v>164</v>
      </c>
      <c r="E1296" s="13" t="s">
        <v>201</v>
      </c>
      <c r="F1296" s="15">
        <v>5</v>
      </c>
      <c r="G1296" s="15">
        <v>1080</v>
      </c>
      <c r="H1296" s="15">
        <v>26.1</v>
      </c>
      <c r="I1296" s="15">
        <v>3990.6</v>
      </c>
      <c r="J1296" s="13" t="s">
        <v>87</v>
      </c>
      <c r="K1296" s="13" t="s">
        <v>99</v>
      </c>
      <c r="L1296" s="34" t="str">
        <f>VLOOKUP(D1296,Products!$A$2:$F$61,3,FALSE)</f>
        <v>Home</v>
      </c>
      <c r="M1296" s="34" t="str">
        <f>VLOOKUP(C1296,Customers!$A$2:$F$301,5,FALSE)</f>
        <v>Corporate</v>
      </c>
      <c r="N1296" s="34">
        <f>VLOOKUP(C1296,Customers!$A$2:$F$301,3,FALSE)</f>
        <v>46</v>
      </c>
      <c r="O1296" s="34" t="str">
        <f>VLOOKUP(E1296,Sales_Reps!$A$2:$E$31,3,FALSE)</f>
        <v>West</v>
      </c>
      <c r="P1296" s="13" t="s">
        <v>201</v>
      </c>
      <c r="Q1296" s="34">
        <f t="shared" si="44"/>
        <v>576305.08000000019</v>
      </c>
      <c r="R1296" s="34" t="str">
        <f>VLOOKUP(E1296,Sales_Reps!$A$2:$E$100,3,FALSE)</f>
        <v>West</v>
      </c>
      <c r="S1296" s="34" t="str">
        <f t="shared" si="45"/>
        <v>Home</v>
      </c>
      <c r="T1296" s="38">
        <f>VLOOKUP(D1296,Products!$A$2:$F$68,4,FALSE)</f>
        <v>519</v>
      </c>
    </row>
    <row r="1297" spans="1:20" x14ac:dyDescent="0.35">
      <c r="A1297" s="13" t="s">
        <v>1783</v>
      </c>
      <c r="B1297" s="14">
        <v>45312</v>
      </c>
      <c r="C1297" s="13" t="s">
        <v>440</v>
      </c>
      <c r="D1297" s="13" t="s">
        <v>115</v>
      </c>
      <c r="E1297" s="13" t="s">
        <v>132</v>
      </c>
      <c r="F1297" s="15">
        <v>7</v>
      </c>
      <c r="G1297" s="15">
        <v>960</v>
      </c>
      <c r="H1297" s="15">
        <v>17.7</v>
      </c>
      <c r="I1297" s="15">
        <v>5530.56</v>
      </c>
      <c r="J1297" s="13" t="s">
        <v>87</v>
      </c>
      <c r="K1297" s="13" t="s">
        <v>88</v>
      </c>
      <c r="L1297" s="34" t="str">
        <f>VLOOKUP(D1297,Products!$A$2:$F$61,3,FALSE)</f>
        <v>Sports</v>
      </c>
      <c r="M1297" s="34" t="str">
        <f>VLOOKUP(C1297,Customers!$A$2:$F$301,5,FALSE)</f>
        <v>SMB</v>
      </c>
      <c r="N1297" s="34">
        <f>VLOOKUP(C1297,Customers!$A$2:$F$301,3,FALSE)</f>
        <v>30</v>
      </c>
      <c r="O1297" s="34" t="str">
        <f>VLOOKUP(E1297,Sales_Reps!$A$2:$E$31,3,FALSE)</f>
        <v>South</v>
      </c>
      <c r="P1297" s="13" t="s">
        <v>132</v>
      </c>
      <c r="Q1297" s="34">
        <f t="shared" si="44"/>
        <v>880345.20000000007</v>
      </c>
      <c r="R1297" s="34" t="str">
        <f>VLOOKUP(E1297,Sales_Reps!$A$2:$E$100,3,FALSE)</f>
        <v>South</v>
      </c>
      <c r="S1297" s="34" t="str">
        <f t="shared" si="45"/>
        <v>Sports</v>
      </c>
      <c r="T1297" s="38">
        <f>VLOOKUP(D1297,Products!$A$2:$F$68,4,FALSE)</f>
        <v>705</v>
      </c>
    </row>
    <row r="1298" spans="1:20" x14ac:dyDescent="0.35">
      <c r="A1298" s="13" t="s">
        <v>1784</v>
      </c>
      <c r="B1298" s="14">
        <v>45445</v>
      </c>
      <c r="C1298" s="13" t="s">
        <v>1027</v>
      </c>
      <c r="D1298" s="13" t="s">
        <v>151</v>
      </c>
      <c r="E1298" s="13" t="s">
        <v>107</v>
      </c>
      <c r="F1298" s="15">
        <v>1</v>
      </c>
      <c r="G1298" s="15">
        <v>2400</v>
      </c>
      <c r="H1298" s="15">
        <v>29.9</v>
      </c>
      <c r="I1298" s="15">
        <v>1682.4</v>
      </c>
      <c r="J1298" s="13" t="s">
        <v>87</v>
      </c>
      <c r="K1298" s="13" t="s">
        <v>112</v>
      </c>
      <c r="L1298" s="34" t="str">
        <f>VLOOKUP(D1298,Products!$A$2:$F$61,3,FALSE)</f>
        <v>Sports</v>
      </c>
      <c r="M1298" s="34" t="str">
        <f>VLOOKUP(C1298,Customers!$A$2:$F$301,5,FALSE)</f>
        <v>SMB</v>
      </c>
      <c r="N1298" s="34">
        <f>VLOOKUP(C1298,Customers!$A$2:$F$301,3,FALSE)</f>
        <v>47</v>
      </c>
      <c r="O1298" s="34" t="str">
        <f>VLOOKUP(E1298,Sales_Reps!$A$2:$E$31,3,FALSE)</f>
        <v>North</v>
      </c>
      <c r="P1298" s="13" t="s">
        <v>107</v>
      </c>
      <c r="Q1298" s="34">
        <f t="shared" si="44"/>
        <v>861553.33</v>
      </c>
      <c r="R1298" s="34" t="str">
        <f>VLOOKUP(E1298,Sales_Reps!$A$2:$E$100,3,FALSE)</f>
        <v>North</v>
      </c>
      <c r="S1298" s="34" t="str">
        <f t="shared" si="45"/>
        <v>Sports</v>
      </c>
      <c r="T1298" s="38">
        <f>VLOOKUP(D1298,Products!$A$2:$F$68,4,FALSE)</f>
        <v>974</v>
      </c>
    </row>
    <row r="1299" spans="1:20" x14ac:dyDescent="0.35">
      <c r="A1299" s="13" t="s">
        <v>1785</v>
      </c>
      <c r="B1299" s="14">
        <v>45636</v>
      </c>
      <c r="C1299" s="13" t="s">
        <v>1350</v>
      </c>
      <c r="D1299" s="13" t="s">
        <v>386</v>
      </c>
      <c r="E1299" s="13" t="s">
        <v>132</v>
      </c>
      <c r="F1299" s="15">
        <v>9</v>
      </c>
      <c r="G1299" s="15">
        <v>2290</v>
      </c>
      <c r="H1299" s="15">
        <v>28.8</v>
      </c>
      <c r="I1299" s="15">
        <v>14674.32</v>
      </c>
      <c r="J1299" s="13" t="s">
        <v>87</v>
      </c>
      <c r="K1299" s="13" t="s">
        <v>112</v>
      </c>
      <c r="L1299" s="34" t="str">
        <f>VLOOKUP(D1299,Products!$A$2:$F$61,3,FALSE)</f>
        <v>Beauty</v>
      </c>
      <c r="M1299" s="34" t="str">
        <f>VLOOKUP(C1299,Customers!$A$2:$F$301,5,FALSE)</f>
        <v>Retail</v>
      </c>
      <c r="N1299" s="34">
        <f>VLOOKUP(C1299,Customers!$A$2:$F$301,3,FALSE)</f>
        <v>38</v>
      </c>
      <c r="O1299" s="34" t="str">
        <f>VLOOKUP(E1299,Sales_Reps!$A$2:$E$31,3,FALSE)</f>
        <v>South</v>
      </c>
      <c r="P1299" s="13" t="s">
        <v>132</v>
      </c>
      <c r="Q1299" s="34">
        <f t="shared" si="44"/>
        <v>880345.20000000007</v>
      </c>
      <c r="R1299" s="34" t="str">
        <f>VLOOKUP(E1299,Sales_Reps!$A$2:$E$100,3,FALSE)</f>
        <v>South</v>
      </c>
      <c r="S1299" s="34" t="str">
        <f t="shared" si="45"/>
        <v>Beauty</v>
      </c>
      <c r="T1299" s="38">
        <f>VLOOKUP(D1299,Products!$A$2:$F$68,4,FALSE)</f>
        <v>1219</v>
      </c>
    </row>
    <row r="1300" spans="1:20" x14ac:dyDescent="0.35">
      <c r="A1300" s="13" t="s">
        <v>1786</v>
      </c>
      <c r="B1300" s="14">
        <v>45294</v>
      </c>
      <c r="C1300" s="13" t="s">
        <v>225</v>
      </c>
      <c r="D1300" s="13" t="s">
        <v>164</v>
      </c>
      <c r="E1300" s="13" t="s">
        <v>303</v>
      </c>
      <c r="F1300" s="15">
        <v>9</v>
      </c>
      <c r="G1300" s="15">
        <v>1080</v>
      </c>
      <c r="H1300" s="15">
        <v>10.3</v>
      </c>
      <c r="I1300" s="15">
        <v>8718.84</v>
      </c>
      <c r="J1300" s="13" t="s">
        <v>87</v>
      </c>
      <c r="K1300" s="13" t="s">
        <v>94</v>
      </c>
      <c r="L1300" s="34" t="str">
        <f>VLOOKUP(D1300,Products!$A$2:$F$61,3,FALSE)</f>
        <v>Home</v>
      </c>
      <c r="M1300" s="34" t="str">
        <f>VLOOKUP(C1300,Customers!$A$2:$F$301,5,FALSE)</f>
        <v>Retail</v>
      </c>
      <c r="N1300" s="34">
        <f>VLOOKUP(C1300,Customers!$A$2:$F$301,3,FALSE)</f>
        <v>37</v>
      </c>
      <c r="O1300" s="34" t="str">
        <f>VLOOKUP(E1300,Sales_Reps!$A$2:$E$31,3,FALSE)</f>
        <v>East</v>
      </c>
      <c r="P1300" s="13" t="s">
        <v>303</v>
      </c>
      <c r="Q1300" s="34">
        <f t="shared" si="44"/>
        <v>1112289.6400000001</v>
      </c>
      <c r="R1300" s="34" t="str">
        <f>VLOOKUP(E1300,Sales_Reps!$A$2:$E$100,3,FALSE)</f>
        <v>East</v>
      </c>
      <c r="S1300" s="34" t="str">
        <f t="shared" si="45"/>
        <v>Home</v>
      </c>
      <c r="T1300" s="38">
        <f>VLOOKUP(D1300,Products!$A$2:$F$68,4,FALSE)</f>
        <v>519</v>
      </c>
    </row>
    <row r="1301" spans="1:20" x14ac:dyDescent="0.35">
      <c r="A1301" s="13" t="s">
        <v>1787</v>
      </c>
      <c r="B1301" s="14">
        <v>45449</v>
      </c>
      <c r="C1301" s="13" t="s">
        <v>910</v>
      </c>
      <c r="D1301" s="13" t="s">
        <v>502</v>
      </c>
      <c r="E1301" s="13" t="s">
        <v>139</v>
      </c>
      <c r="F1301" s="15">
        <v>1</v>
      </c>
      <c r="G1301" s="15">
        <v>1090</v>
      </c>
      <c r="H1301" s="15">
        <v>5.8</v>
      </c>
      <c r="I1301" s="15">
        <v>1026.78</v>
      </c>
      <c r="J1301" s="13" t="s">
        <v>140</v>
      </c>
      <c r="K1301" s="13" t="s">
        <v>99</v>
      </c>
      <c r="L1301" s="34" t="str">
        <f>VLOOKUP(D1301,Products!$A$2:$F$61,3,FALSE)</f>
        <v>Home</v>
      </c>
      <c r="M1301" s="34" t="str">
        <f>VLOOKUP(C1301,Customers!$A$2:$F$301,5,FALSE)</f>
        <v>Retail</v>
      </c>
      <c r="N1301" s="34">
        <f>VLOOKUP(C1301,Customers!$A$2:$F$301,3,FALSE)</f>
        <v>55</v>
      </c>
      <c r="O1301" s="34" t="str">
        <f>VLOOKUP(E1301,Sales_Reps!$A$2:$E$31,3,FALSE)</f>
        <v>North</v>
      </c>
      <c r="P1301" s="13" t="s">
        <v>139</v>
      </c>
      <c r="Q1301" s="34">
        <f t="shared" si="44"/>
        <v>589026.2899999998</v>
      </c>
      <c r="R1301" s="34" t="str">
        <f>VLOOKUP(E1301,Sales_Reps!$A$2:$E$100,3,FALSE)</f>
        <v>North</v>
      </c>
      <c r="S1301" s="34" t="str">
        <f t="shared" si="45"/>
        <v>Home</v>
      </c>
      <c r="T1301" s="38">
        <f>VLOOKUP(D1301,Products!$A$2:$F$68,4,FALSE)</f>
        <v>464</v>
      </c>
    </row>
    <row r="1302" spans="1:20" x14ac:dyDescent="0.35">
      <c r="A1302" s="13" t="s">
        <v>1788</v>
      </c>
      <c r="B1302" s="14">
        <v>45560</v>
      </c>
      <c r="C1302" s="13" t="s">
        <v>902</v>
      </c>
      <c r="D1302" s="13" t="s">
        <v>338</v>
      </c>
      <c r="E1302" s="13" t="s">
        <v>303</v>
      </c>
      <c r="F1302" s="15">
        <v>3</v>
      </c>
      <c r="G1302" s="15">
        <v>2210</v>
      </c>
      <c r="H1302" s="15">
        <v>18.2</v>
      </c>
      <c r="I1302" s="15">
        <v>5423.34</v>
      </c>
      <c r="J1302" s="13" t="s">
        <v>93</v>
      </c>
      <c r="K1302" s="13" t="s">
        <v>112</v>
      </c>
      <c r="L1302" s="34" t="str">
        <f>VLOOKUP(D1302,Products!$A$2:$F$61,3,FALSE)</f>
        <v>Grocery</v>
      </c>
      <c r="M1302" s="34" t="str">
        <f>VLOOKUP(C1302,Customers!$A$2:$F$301,5,FALSE)</f>
        <v>Retail</v>
      </c>
      <c r="N1302" s="34">
        <f>VLOOKUP(C1302,Customers!$A$2:$F$301,3,FALSE)</f>
        <v>37</v>
      </c>
      <c r="O1302" s="34" t="str">
        <f>VLOOKUP(E1302,Sales_Reps!$A$2:$E$31,3,FALSE)</f>
        <v>East</v>
      </c>
      <c r="P1302" s="13" t="s">
        <v>303</v>
      </c>
      <c r="Q1302" s="34">
        <f t="shared" si="44"/>
        <v>1112289.6400000001</v>
      </c>
      <c r="R1302" s="34" t="str">
        <f>VLOOKUP(E1302,Sales_Reps!$A$2:$E$100,3,FALSE)</f>
        <v>East</v>
      </c>
      <c r="S1302" s="34" t="str">
        <f t="shared" si="45"/>
        <v>Grocery</v>
      </c>
      <c r="T1302" s="38">
        <f>VLOOKUP(D1302,Products!$A$2:$F$68,4,FALSE)</f>
        <v>1010</v>
      </c>
    </row>
    <row r="1303" spans="1:20" x14ac:dyDescent="0.35">
      <c r="A1303" s="13" t="s">
        <v>1789</v>
      </c>
      <c r="B1303" s="14">
        <v>45588</v>
      </c>
      <c r="C1303" s="13" t="s">
        <v>197</v>
      </c>
      <c r="D1303" s="13" t="s">
        <v>85</v>
      </c>
      <c r="E1303" s="13" t="s">
        <v>188</v>
      </c>
      <c r="F1303" s="15">
        <v>8</v>
      </c>
      <c r="G1303" s="15">
        <v>3620</v>
      </c>
      <c r="H1303" s="15">
        <v>1.4</v>
      </c>
      <c r="I1303" s="15">
        <v>28554.560000000001</v>
      </c>
      <c r="J1303" s="13" t="s">
        <v>87</v>
      </c>
      <c r="K1303" s="13" t="s">
        <v>88</v>
      </c>
      <c r="L1303" s="34" t="str">
        <f>VLOOKUP(D1303,Products!$A$2:$F$61,3,FALSE)</f>
        <v>Apparel</v>
      </c>
      <c r="M1303" s="34" t="str">
        <f>VLOOKUP(C1303,Customers!$A$2:$F$301,5,FALSE)</f>
        <v>Corporate</v>
      </c>
      <c r="N1303" s="34">
        <f>VLOOKUP(C1303,Customers!$A$2:$F$301,3,FALSE)</f>
        <v>47</v>
      </c>
      <c r="O1303" s="34" t="str">
        <f>VLOOKUP(E1303,Sales_Reps!$A$2:$E$31,3,FALSE)</f>
        <v>South</v>
      </c>
      <c r="P1303" s="13" t="s">
        <v>188</v>
      </c>
      <c r="Q1303" s="34">
        <f t="shared" si="44"/>
        <v>1091740.1799999997</v>
      </c>
      <c r="R1303" s="34" t="str">
        <f>VLOOKUP(E1303,Sales_Reps!$A$2:$E$100,3,FALSE)</f>
        <v>South</v>
      </c>
      <c r="S1303" s="34" t="str">
        <f t="shared" si="45"/>
        <v>Apparel</v>
      </c>
      <c r="T1303" s="38">
        <f>VLOOKUP(D1303,Products!$A$2:$F$68,4,FALSE)</f>
        <v>2509</v>
      </c>
    </row>
    <row r="1304" spans="1:20" x14ac:dyDescent="0.35">
      <c r="A1304" s="13" t="s">
        <v>1790</v>
      </c>
      <c r="B1304" s="14">
        <v>45360</v>
      </c>
      <c r="C1304" s="13" t="s">
        <v>208</v>
      </c>
      <c r="D1304" s="13" t="s">
        <v>295</v>
      </c>
      <c r="E1304" s="13" t="s">
        <v>273</v>
      </c>
      <c r="F1304" s="15">
        <v>7</v>
      </c>
      <c r="G1304" s="15">
        <v>2030</v>
      </c>
      <c r="H1304" s="15">
        <v>27.7</v>
      </c>
      <c r="I1304" s="15">
        <v>10273.83</v>
      </c>
      <c r="J1304" s="13" t="s">
        <v>87</v>
      </c>
      <c r="K1304" s="13" t="s">
        <v>133</v>
      </c>
      <c r="L1304" s="34" t="str">
        <f>VLOOKUP(D1304,Products!$A$2:$F$61,3,FALSE)</f>
        <v>Home</v>
      </c>
      <c r="M1304" s="34" t="str">
        <f>VLOOKUP(C1304,Customers!$A$2:$F$301,5,FALSE)</f>
        <v>Retail</v>
      </c>
      <c r="N1304" s="34">
        <f>VLOOKUP(C1304,Customers!$A$2:$F$301,3,FALSE)</f>
        <v>26</v>
      </c>
      <c r="O1304" s="34" t="str">
        <f>VLOOKUP(E1304,Sales_Reps!$A$2:$E$31,3,FALSE)</f>
        <v>South</v>
      </c>
      <c r="P1304" s="13" t="s">
        <v>273</v>
      </c>
      <c r="Q1304" s="34">
        <f t="shared" si="44"/>
        <v>735207.75999999989</v>
      </c>
      <c r="R1304" s="34" t="str">
        <f>VLOOKUP(E1304,Sales_Reps!$A$2:$E$100,3,FALSE)</f>
        <v>South</v>
      </c>
      <c r="S1304" s="34" t="str">
        <f t="shared" si="45"/>
        <v>Home</v>
      </c>
      <c r="T1304" s="38">
        <f>VLOOKUP(D1304,Products!$A$2:$F$68,4,FALSE)</f>
        <v>1143</v>
      </c>
    </row>
    <row r="1305" spans="1:20" x14ac:dyDescent="0.35">
      <c r="A1305" s="13" t="s">
        <v>1791</v>
      </c>
      <c r="B1305" s="14">
        <v>45316</v>
      </c>
      <c r="C1305" s="13" t="s">
        <v>599</v>
      </c>
      <c r="D1305" s="13" t="s">
        <v>248</v>
      </c>
      <c r="E1305" s="13" t="s">
        <v>154</v>
      </c>
      <c r="F1305" s="15">
        <v>1</v>
      </c>
      <c r="G1305" s="15">
        <v>3870</v>
      </c>
      <c r="H1305" s="15">
        <v>29.6</v>
      </c>
      <c r="I1305" s="15">
        <v>2724.48</v>
      </c>
      <c r="J1305" s="13" t="s">
        <v>87</v>
      </c>
      <c r="K1305" s="13" t="s">
        <v>117</v>
      </c>
      <c r="L1305" s="34" t="str">
        <f>VLOOKUP(D1305,Products!$A$2:$F$61,3,FALSE)</f>
        <v>Electronics</v>
      </c>
      <c r="M1305" s="34" t="str">
        <f>VLOOKUP(C1305,Customers!$A$2:$F$301,5,FALSE)</f>
        <v>Corporate</v>
      </c>
      <c r="N1305" s="34">
        <f>VLOOKUP(C1305,Customers!$A$2:$F$301,3,FALSE)</f>
        <v>26</v>
      </c>
      <c r="O1305" s="34" t="str">
        <f>VLOOKUP(E1305,Sales_Reps!$A$2:$E$31,3,FALSE)</f>
        <v>East</v>
      </c>
      <c r="P1305" s="13" t="s">
        <v>154</v>
      </c>
      <c r="Q1305" s="34">
        <f t="shared" si="44"/>
        <v>983787.4800000001</v>
      </c>
      <c r="R1305" s="34" t="str">
        <f>VLOOKUP(E1305,Sales_Reps!$A$2:$E$100,3,FALSE)</f>
        <v>East</v>
      </c>
      <c r="S1305" s="34" t="str">
        <f t="shared" si="45"/>
        <v>Electronics</v>
      </c>
      <c r="T1305" s="38">
        <f>VLOOKUP(D1305,Products!$A$2:$F$68,4,FALSE)</f>
        <v>1559</v>
      </c>
    </row>
    <row r="1306" spans="1:20" x14ac:dyDescent="0.35">
      <c r="A1306" s="13" t="s">
        <v>1792</v>
      </c>
      <c r="B1306" s="14">
        <v>45324</v>
      </c>
      <c r="C1306" s="13" t="s">
        <v>835</v>
      </c>
      <c r="D1306" s="13" t="s">
        <v>187</v>
      </c>
      <c r="E1306" s="13" t="s">
        <v>98</v>
      </c>
      <c r="F1306" s="15">
        <v>5</v>
      </c>
      <c r="G1306" s="15">
        <v>3570</v>
      </c>
      <c r="H1306" s="15">
        <v>11.8</v>
      </c>
      <c r="I1306" s="15">
        <v>15743.7</v>
      </c>
      <c r="J1306" s="13" t="s">
        <v>144</v>
      </c>
      <c r="K1306" s="13" t="s">
        <v>117</v>
      </c>
      <c r="L1306" s="34" t="str">
        <f>VLOOKUP(D1306,Products!$A$2:$F$61,3,FALSE)</f>
        <v>Electronics</v>
      </c>
      <c r="M1306" s="34" t="str">
        <f>VLOOKUP(C1306,Customers!$A$2:$F$301,5,FALSE)</f>
        <v>Retail</v>
      </c>
      <c r="N1306" s="34">
        <f>VLOOKUP(C1306,Customers!$A$2:$F$301,3,FALSE)</f>
        <v>52</v>
      </c>
      <c r="O1306" s="34" t="str">
        <f>VLOOKUP(E1306,Sales_Reps!$A$2:$E$31,3,FALSE)</f>
        <v>South</v>
      </c>
      <c r="P1306" s="13" t="s">
        <v>98</v>
      </c>
      <c r="Q1306" s="34">
        <f t="shared" si="44"/>
        <v>995713.54000000015</v>
      </c>
      <c r="R1306" s="34" t="str">
        <f>VLOOKUP(E1306,Sales_Reps!$A$2:$E$100,3,FALSE)</f>
        <v>South</v>
      </c>
      <c r="S1306" s="34" t="str">
        <f t="shared" si="45"/>
        <v>Electronics</v>
      </c>
      <c r="T1306" s="38">
        <f>VLOOKUP(D1306,Products!$A$2:$F$68,4,FALSE)</f>
        <v>1665</v>
      </c>
    </row>
    <row r="1307" spans="1:20" x14ac:dyDescent="0.35">
      <c r="A1307" s="13" t="s">
        <v>1793</v>
      </c>
      <c r="B1307" s="14">
        <v>45650</v>
      </c>
      <c r="C1307" s="13" t="s">
        <v>1104</v>
      </c>
      <c r="D1307" s="13" t="s">
        <v>364</v>
      </c>
      <c r="E1307" s="13" t="s">
        <v>121</v>
      </c>
      <c r="F1307" s="15">
        <v>7</v>
      </c>
      <c r="G1307" s="15">
        <v>5330</v>
      </c>
      <c r="H1307" s="15">
        <v>8.1999999999999993</v>
      </c>
      <c r="I1307" s="15">
        <v>34250.58</v>
      </c>
      <c r="J1307" s="13" t="s">
        <v>87</v>
      </c>
      <c r="K1307" s="13" t="s">
        <v>117</v>
      </c>
      <c r="L1307" s="34" t="str">
        <f>VLOOKUP(D1307,Products!$A$2:$F$61,3,FALSE)</f>
        <v>Electronics</v>
      </c>
      <c r="M1307" s="34" t="str">
        <f>VLOOKUP(C1307,Customers!$A$2:$F$301,5,FALSE)</f>
        <v>Corporate</v>
      </c>
      <c r="N1307" s="34">
        <f>VLOOKUP(C1307,Customers!$A$2:$F$301,3,FALSE)</f>
        <v>31</v>
      </c>
      <c r="O1307" s="34" t="str">
        <f>VLOOKUP(E1307,Sales_Reps!$A$2:$E$31,3,FALSE)</f>
        <v>East</v>
      </c>
      <c r="P1307" s="13" t="s">
        <v>121</v>
      </c>
      <c r="Q1307" s="34">
        <f t="shared" si="44"/>
        <v>971183.52000000014</v>
      </c>
      <c r="R1307" s="34" t="str">
        <f>VLOOKUP(E1307,Sales_Reps!$A$2:$E$100,3,FALSE)</f>
        <v>East</v>
      </c>
      <c r="S1307" s="34" t="str">
        <f t="shared" si="45"/>
        <v>Electronics</v>
      </c>
      <c r="T1307" s="38">
        <f>VLOOKUP(D1307,Products!$A$2:$F$68,4,FALSE)</f>
        <v>2405</v>
      </c>
    </row>
    <row r="1308" spans="1:20" x14ac:dyDescent="0.35">
      <c r="A1308" s="13" t="s">
        <v>1794</v>
      </c>
      <c r="B1308" s="14">
        <v>45564</v>
      </c>
      <c r="C1308" s="13" t="s">
        <v>807</v>
      </c>
      <c r="D1308" s="13" t="s">
        <v>267</v>
      </c>
      <c r="E1308" s="13" t="s">
        <v>204</v>
      </c>
      <c r="F1308" s="15">
        <v>5</v>
      </c>
      <c r="G1308" s="15">
        <v>1220</v>
      </c>
      <c r="H1308" s="15">
        <v>17.8</v>
      </c>
      <c r="I1308" s="15">
        <v>5014.2</v>
      </c>
      <c r="J1308" s="13" t="s">
        <v>144</v>
      </c>
      <c r="K1308" s="13" t="s">
        <v>88</v>
      </c>
      <c r="L1308" s="34" t="str">
        <f>VLOOKUP(D1308,Products!$A$2:$F$61,3,FALSE)</f>
        <v>Electronics</v>
      </c>
      <c r="M1308" s="34" t="str">
        <f>VLOOKUP(C1308,Customers!$A$2:$F$301,5,FALSE)</f>
        <v>Retail</v>
      </c>
      <c r="N1308" s="34">
        <f>VLOOKUP(C1308,Customers!$A$2:$F$301,3,FALSE)</f>
        <v>36</v>
      </c>
      <c r="O1308" s="34" t="str">
        <f>VLOOKUP(E1308,Sales_Reps!$A$2:$E$31,3,FALSE)</f>
        <v>South</v>
      </c>
      <c r="P1308" s="13" t="s">
        <v>204</v>
      </c>
      <c r="Q1308" s="34">
        <f t="shared" si="44"/>
        <v>914554.71999999986</v>
      </c>
      <c r="R1308" s="34" t="str">
        <f>VLOOKUP(E1308,Sales_Reps!$A$2:$E$100,3,FALSE)</f>
        <v>South</v>
      </c>
      <c r="S1308" s="34" t="str">
        <f t="shared" si="45"/>
        <v>Electronics</v>
      </c>
      <c r="T1308" s="38">
        <f>VLOOKUP(D1308,Products!$A$2:$F$68,4,FALSE)</f>
        <v>517</v>
      </c>
    </row>
    <row r="1309" spans="1:20" x14ac:dyDescent="0.35">
      <c r="A1309" s="13" t="s">
        <v>1795</v>
      </c>
      <c r="B1309" s="14">
        <v>45587</v>
      </c>
      <c r="C1309" s="13" t="s">
        <v>163</v>
      </c>
      <c r="D1309" s="13" t="s">
        <v>452</v>
      </c>
      <c r="E1309" s="13" t="s">
        <v>121</v>
      </c>
      <c r="F1309" s="15">
        <v>7</v>
      </c>
      <c r="G1309" s="15">
        <v>3450</v>
      </c>
      <c r="H1309" s="15">
        <v>29.3</v>
      </c>
      <c r="I1309" s="15">
        <v>17074.05</v>
      </c>
      <c r="J1309" s="13" t="s">
        <v>87</v>
      </c>
      <c r="K1309" s="13" t="s">
        <v>94</v>
      </c>
      <c r="L1309" s="34" t="str">
        <f>VLOOKUP(D1309,Products!$A$2:$F$61,3,FALSE)</f>
        <v>Apparel</v>
      </c>
      <c r="M1309" s="34" t="str">
        <f>VLOOKUP(C1309,Customers!$A$2:$F$301,5,FALSE)</f>
        <v>Retail</v>
      </c>
      <c r="N1309" s="34">
        <f>VLOOKUP(C1309,Customers!$A$2:$F$301,3,FALSE)</f>
        <v>49</v>
      </c>
      <c r="O1309" s="34" t="str">
        <f>VLOOKUP(E1309,Sales_Reps!$A$2:$E$31,3,FALSE)</f>
        <v>East</v>
      </c>
      <c r="P1309" s="13" t="s">
        <v>121</v>
      </c>
      <c r="Q1309" s="34">
        <f t="shared" si="44"/>
        <v>971183.52000000014</v>
      </c>
      <c r="R1309" s="34" t="str">
        <f>VLOOKUP(E1309,Sales_Reps!$A$2:$E$100,3,FALSE)</f>
        <v>East</v>
      </c>
      <c r="S1309" s="34" t="str">
        <f t="shared" si="45"/>
        <v>Apparel</v>
      </c>
      <c r="T1309" s="38">
        <f>VLOOKUP(D1309,Products!$A$2:$F$68,4,FALSE)</f>
        <v>1748</v>
      </c>
    </row>
    <row r="1310" spans="1:20" x14ac:dyDescent="0.35">
      <c r="A1310" s="13" t="s">
        <v>1796</v>
      </c>
      <c r="B1310" s="14">
        <v>45538</v>
      </c>
      <c r="C1310" s="13" t="s">
        <v>617</v>
      </c>
      <c r="D1310" s="13" t="s">
        <v>659</v>
      </c>
      <c r="E1310" s="13" t="s">
        <v>252</v>
      </c>
      <c r="F1310" s="15">
        <v>6</v>
      </c>
      <c r="G1310" s="15">
        <v>3560</v>
      </c>
      <c r="H1310" s="15">
        <v>9.4</v>
      </c>
      <c r="I1310" s="15">
        <v>19352.16</v>
      </c>
      <c r="J1310" s="13" t="s">
        <v>93</v>
      </c>
      <c r="K1310" s="13" t="s">
        <v>112</v>
      </c>
      <c r="L1310" s="34" t="str">
        <f>VLOOKUP(D1310,Products!$A$2:$F$61,3,FALSE)</f>
        <v>Apparel</v>
      </c>
      <c r="M1310" s="34" t="str">
        <f>VLOOKUP(C1310,Customers!$A$2:$F$301,5,FALSE)</f>
        <v>SMB</v>
      </c>
      <c r="N1310" s="34">
        <f>VLOOKUP(C1310,Customers!$A$2:$F$301,3,FALSE)</f>
        <v>65</v>
      </c>
      <c r="O1310" s="34" t="str">
        <f>VLOOKUP(E1310,Sales_Reps!$A$2:$E$31,3,FALSE)</f>
        <v>South</v>
      </c>
      <c r="P1310" s="13" t="s">
        <v>252</v>
      </c>
      <c r="Q1310" s="34">
        <f t="shared" si="44"/>
        <v>811524.37999999989</v>
      </c>
      <c r="R1310" s="34" t="str">
        <f>VLOOKUP(E1310,Sales_Reps!$A$2:$E$100,3,FALSE)</f>
        <v>South</v>
      </c>
      <c r="S1310" s="34" t="str">
        <f t="shared" si="45"/>
        <v>Apparel</v>
      </c>
      <c r="T1310" s="38">
        <f>VLOOKUP(D1310,Products!$A$2:$F$68,4,FALSE)</f>
        <v>2629</v>
      </c>
    </row>
    <row r="1311" spans="1:20" x14ac:dyDescent="0.35">
      <c r="A1311" s="13" t="s">
        <v>1797</v>
      </c>
      <c r="B1311" s="14">
        <v>45385</v>
      </c>
      <c r="C1311" s="13" t="s">
        <v>504</v>
      </c>
      <c r="D1311" s="13" t="s">
        <v>110</v>
      </c>
      <c r="E1311" s="13" t="s">
        <v>92</v>
      </c>
      <c r="F1311" s="15">
        <v>4</v>
      </c>
      <c r="G1311" s="15">
        <v>370</v>
      </c>
      <c r="H1311" s="15">
        <v>4.9000000000000004</v>
      </c>
      <c r="I1311" s="15">
        <v>1407.48</v>
      </c>
      <c r="J1311" s="13" t="s">
        <v>87</v>
      </c>
      <c r="K1311" s="13" t="s">
        <v>117</v>
      </c>
      <c r="L1311" s="34" t="str">
        <f>VLOOKUP(D1311,Products!$A$2:$F$61,3,FALSE)</f>
        <v>Home</v>
      </c>
      <c r="M1311" s="34" t="str">
        <f>VLOOKUP(C1311,Customers!$A$2:$F$301,5,FALSE)</f>
        <v>Corporate</v>
      </c>
      <c r="N1311" s="34">
        <f>VLOOKUP(C1311,Customers!$A$2:$F$301,3,FALSE)</f>
        <v>36</v>
      </c>
      <c r="O1311" s="34" t="str">
        <f>VLOOKUP(E1311,Sales_Reps!$A$2:$E$31,3,FALSE)</f>
        <v>North</v>
      </c>
      <c r="P1311" s="13" t="s">
        <v>92</v>
      </c>
      <c r="Q1311" s="34">
        <f t="shared" si="44"/>
        <v>782445.33</v>
      </c>
      <c r="R1311" s="34" t="str">
        <f>VLOOKUP(E1311,Sales_Reps!$A$2:$E$100,3,FALSE)</f>
        <v>North</v>
      </c>
      <c r="S1311" s="34" t="str">
        <f t="shared" si="45"/>
        <v>Home</v>
      </c>
      <c r="T1311" s="38">
        <f>VLOOKUP(D1311,Products!$A$2:$F$68,4,FALSE)</f>
        <v>288</v>
      </c>
    </row>
    <row r="1312" spans="1:20" x14ac:dyDescent="0.35">
      <c r="A1312" s="13" t="s">
        <v>1798</v>
      </c>
      <c r="B1312" s="14">
        <v>45647</v>
      </c>
      <c r="C1312" s="13" t="s">
        <v>720</v>
      </c>
      <c r="D1312" s="13" t="s">
        <v>267</v>
      </c>
      <c r="E1312" s="13" t="s">
        <v>148</v>
      </c>
      <c r="F1312" s="15">
        <v>1</v>
      </c>
      <c r="G1312" s="15">
        <v>1220</v>
      </c>
      <c r="H1312" s="15">
        <v>15.2</v>
      </c>
      <c r="I1312" s="15">
        <v>1034.56</v>
      </c>
      <c r="J1312" s="13" t="s">
        <v>87</v>
      </c>
      <c r="K1312" s="13" t="s">
        <v>88</v>
      </c>
      <c r="L1312" s="34" t="str">
        <f>VLOOKUP(D1312,Products!$A$2:$F$61,3,FALSE)</f>
        <v>Electronics</v>
      </c>
      <c r="M1312" s="34" t="str">
        <f>VLOOKUP(C1312,Customers!$A$2:$F$301,5,FALSE)</f>
        <v>Retail</v>
      </c>
      <c r="N1312" s="34">
        <f>VLOOKUP(C1312,Customers!$A$2:$F$301,3,FALSE)</f>
        <v>48</v>
      </c>
      <c r="O1312" s="34" t="str">
        <f>VLOOKUP(E1312,Sales_Reps!$A$2:$E$31,3,FALSE)</f>
        <v>North</v>
      </c>
      <c r="P1312" s="13" t="s">
        <v>148</v>
      </c>
      <c r="Q1312" s="34">
        <f t="shared" si="44"/>
        <v>986692.91</v>
      </c>
      <c r="R1312" s="34" t="str">
        <f>VLOOKUP(E1312,Sales_Reps!$A$2:$E$100,3,FALSE)</f>
        <v>North</v>
      </c>
      <c r="S1312" s="34" t="str">
        <f t="shared" si="45"/>
        <v>Electronics</v>
      </c>
      <c r="T1312" s="38">
        <f>VLOOKUP(D1312,Products!$A$2:$F$68,4,FALSE)</f>
        <v>517</v>
      </c>
    </row>
    <row r="1313" spans="1:20" x14ac:dyDescent="0.35">
      <c r="A1313" s="13" t="s">
        <v>1799</v>
      </c>
      <c r="B1313" s="14">
        <v>45466</v>
      </c>
      <c r="C1313" s="13" t="s">
        <v>802</v>
      </c>
      <c r="D1313" s="13" t="s">
        <v>237</v>
      </c>
      <c r="E1313" s="13" t="s">
        <v>103</v>
      </c>
      <c r="F1313" s="15">
        <v>3</v>
      </c>
      <c r="G1313" s="15">
        <v>3640</v>
      </c>
      <c r="H1313" s="15">
        <v>12.3</v>
      </c>
      <c r="I1313" s="15">
        <v>9576.84</v>
      </c>
      <c r="J1313" s="13" t="s">
        <v>93</v>
      </c>
      <c r="K1313" s="13" t="s">
        <v>94</v>
      </c>
      <c r="L1313" s="34" t="str">
        <f>VLOOKUP(D1313,Products!$A$2:$F$61,3,FALSE)</f>
        <v>Apparel</v>
      </c>
      <c r="M1313" s="34" t="str">
        <f>VLOOKUP(C1313,Customers!$A$2:$F$301,5,FALSE)</f>
        <v>SMB</v>
      </c>
      <c r="N1313" s="34">
        <f>VLOOKUP(C1313,Customers!$A$2:$F$301,3,FALSE)</f>
        <v>39</v>
      </c>
      <c r="O1313" s="34" t="str">
        <f>VLOOKUP(E1313,Sales_Reps!$A$2:$E$31,3,FALSE)</f>
        <v>North</v>
      </c>
      <c r="P1313" s="13" t="s">
        <v>103</v>
      </c>
      <c r="Q1313" s="34">
        <f t="shared" si="44"/>
        <v>1138648.73</v>
      </c>
      <c r="R1313" s="34" t="str">
        <f>VLOOKUP(E1313,Sales_Reps!$A$2:$E$100,3,FALSE)</f>
        <v>North</v>
      </c>
      <c r="S1313" s="34" t="str">
        <f t="shared" si="45"/>
        <v>Apparel</v>
      </c>
      <c r="T1313" s="38">
        <f>VLOOKUP(D1313,Products!$A$2:$F$68,4,FALSE)</f>
        <v>2611</v>
      </c>
    </row>
    <row r="1314" spans="1:20" x14ac:dyDescent="0.35">
      <c r="A1314" s="13" t="s">
        <v>1800</v>
      </c>
      <c r="B1314" s="14">
        <v>45559</v>
      </c>
      <c r="C1314" s="13" t="s">
        <v>872</v>
      </c>
      <c r="D1314" s="13" t="s">
        <v>276</v>
      </c>
      <c r="E1314" s="13" t="s">
        <v>132</v>
      </c>
      <c r="F1314" s="15">
        <v>8</v>
      </c>
      <c r="G1314" s="15">
        <v>3020</v>
      </c>
      <c r="H1314" s="15">
        <v>28.2</v>
      </c>
      <c r="I1314" s="15">
        <v>17346.88</v>
      </c>
      <c r="J1314" s="13" t="s">
        <v>93</v>
      </c>
      <c r="K1314" s="13" t="s">
        <v>112</v>
      </c>
      <c r="L1314" s="34" t="str">
        <f>VLOOKUP(D1314,Products!$A$2:$F$61,3,FALSE)</f>
        <v>Beauty</v>
      </c>
      <c r="M1314" s="34" t="str">
        <f>VLOOKUP(C1314,Customers!$A$2:$F$301,5,FALSE)</f>
        <v>Corporate</v>
      </c>
      <c r="N1314" s="34">
        <f>VLOOKUP(C1314,Customers!$A$2:$F$301,3,FALSE)</f>
        <v>62</v>
      </c>
      <c r="O1314" s="34" t="str">
        <f>VLOOKUP(E1314,Sales_Reps!$A$2:$E$31,3,FALSE)</f>
        <v>South</v>
      </c>
      <c r="P1314" s="13" t="s">
        <v>132</v>
      </c>
      <c r="Q1314" s="34">
        <f t="shared" si="44"/>
        <v>880345.20000000007</v>
      </c>
      <c r="R1314" s="34" t="str">
        <f>VLOOKUP(E1314,Sales_Reps!$A$2:$E$100,3,FALSE)</f>
        <v>South</v>
      </c>
      <c r="S1314" s="34" t="str">
        <f t="shared" si="45"/>
        <v>Beauty</v>
      </c>
      <c r="T1314" s="38">
        <f>VLOOKUP(D1314,Products!$A$2:$F$68,4,FALSE)</f>
        <v>1626</v>
      </c>
    </row>
    <row r="1315" spans="1:20" x14ac:dyDescent="0.35">
      <c r="A1315" s="13" t="s">
        <v>1801</v>
      </c>
      <c r="B1315" s="14">
        <v>45469</v>
      </c>
      <c r="C1315" s="13" t="s">
        <v>655</v>
      </c>
      <c r="D1315" s="13" t="s">
        <v>191</v>
      </c>
      <c r="E1315" s="13" t="s">
        <v>107</v>
      </c>
      <c r="F1315" s="15">
        <v>3</v>
      </c>
      <c r="G1315" s="15">
        <v>5100</v>
      </c>
      <c r="H1315" s="15">
        <v>7.8</v>
      </c>
      <c r="I1315" s="15">
        <v>14106.6</v>
      </c>
      <c r="J1315" s="13" t="s">
        <v>87</v>
      </c>
      <c r="K1315" s="13" t="s">
        <v>133</v>
      </c>
      <c r="L1315" s="34" t="str">
        <f>VLOOKUP(D1315,Products!$A$2:$F$61,3,FALSE)</f>
        <v>Beauty</v>
      </c>
      <c r="M1315" s="34" t="str">
        <f>VLOOKUP(C1315,Customers!$A$2:$F$301,5,FALSE)</f>
        <v>Retail</v>
      </c>
      <c r="N1315" s="34">
        <f>VLOOKUP(C1315,Customers!$A$2:$F$301,3,FALSE)</f>
        <v>27</v>
      </c>
      <c r="O1315" s="34" t="str">
        <f>VLOOKUP(E1315,Sales_Reps!$A$2:$E$31,3,FALSE)</f>
        <v>North</v>
      </c>
      <c r="P1315" s="13" t="s">
        <v>107</v>
      </c>
      <c r="Q1315" s="34">
        <f t="shared" si="44"/>
        <v>861553.33</v>
      </c>
      <c r="R1315" s="34" t="str">
        <f>VLOOKUP(E1315,Sales_Reps!$A$2:$E$100,3,FALSE)</f>
        <v>North</v>
      </c>
      <c r="S1315" s="34" t="str">
        <f t="shared" si="45"/>
        <v>Beauty</v>
      </c>
      <c r="T1315" s="38">
        <f>VLOOKUP(D1315,Products!$A$2:$F$68,4,FALSE)</f>
        <v>2237</v>
      </c>
    </row>
    <row r="1316" spans="1:20" x14ac:dyDescent="0.35">
      <c r="A1316" s="13" t="s">
        <v>1802</v>
      </c>
      <c r="B1316" s="14">
        <v>45407</v>
      </c>
      <c r="C1316" s="13" t="s">
        <v>485</v>
      </c>
      <c r="D1316" s="13" t="s">
        <v>282</v>
      </c>
      <c r="E1316" s="13" t="s">
        <v>215</v>
      </c>
      <c r="F1316" s="15">
        <v>9</v>
      </c>
      <c r="G1316" s="15">
        <v>300</v>
      </c>
      <c r="H1316" s="15">
        <v>19</v>
      </c>
      <c r="I1316" s="15">
        <v>2187</v>
      </c>
      <c r="J1316" s="13" t="s">
        <v>87</v>
      </c>
      <c r="K1316" s="13" t="s">
        <v>88</v>
      </c>
      <c r="L1316" s="34" t="str">
        <f>VLOOKUP(D1316,Products!$A$2:$F$61,3,FALSE)</f>
        <v>Electronics</v>
      </c>
      <c r="M1316" s="34" t="str">
        <f>VLOOKUP(C1316,Customers!$A$2:$F$301,5,FALSE)</f>
        <v>Retail</v>
      </c>
      <c r="N1316" s="34">
        <f>VLOOKUP(C1316,Customers!$A$2:$F$301,3,FALSE)</f>
        <v>49</v>
      </c>
      <c r="O1316" s="34" t="str">
        <f>VLOOKUP(E1316,Sales_Reps!$A$2:$E$31,3,FALSE)</f>
        <v>North</v>
      </c>
      <c r="P1316" s="13" t="s">
        <v>215</v>
      </c>
      <c r="Q1316" s="34">
        <f t="shared" si="44"/>
        <v>789849.60000000009</v>
      </c>
      <c r="R1316" s="34" t="str">
        <f>VLOOKUP(E1316,Sales_Reps!$A$2:$E$100,3,FALSE)</f>
        <v>North</v>
      </c>
      <c r="S1316" s="34" t="str">
        <f t="shared" si="45"/>
        <v>Electronics</v>
      </c>
      <c r="T1316" s="38">
        <f>VLOOKUP(D1316,Products!$A$2:$F$68,4,FALSE)</f>
        <v>128</v>
      </c>
    </row>
    <row r="1317" spans="1:20" x14ac:dyDescent="0.35">
      <c r="A1317" s="13" t="s">
        <v>1803</v>
      </c>
      <c r="B1317" s="14">
        <v>45634</v>
      </c>
      <c r="C1317" s="13" t="s">
        <v>194</v>
      </c>
      <c r="D1317" s="13" t="s">
        <v>386</v>
      </c>
      <c r="E1317" s="13" t="s">
        <v>86</v>
      </c>
      <c r="F1317" s="15">
        <v>10</v>
      </c>
      <c r="G1317" s="15">
        <v>2290</v>
      </c>
      <c r="H1317" s="15">
        <v>27.7</v>
      </c>
      <c r="I1317" s="15">
        <v>16556.7</v>
      </c>
      <c r="J1317" s="13" t="s">
        <v>87</v>
      </c>
      <c r="K1317" s="13" t="s">
        <v>88</v>
      </c>
      <c r="L1317" s="34" t="str">
        <f>VLOOKUP(D1317,Products!$A$2:$F$61,3,FALSE)</f>
        <v>Beauty</v>
      </c>
      <c r="M1317" s="34" t="str">
        <f>VLOOKUP(C1317,Customers!$A$2:$F$301,5,FALSE)</f>
        <v>SMB</v>
      </c>
      <c r="N1317" s="34">
        <f>VLOOKUP(C1317,Customers!$A$2:$F$301,3,FALSE)</f>
        <v>44</v>
      </c>
      <c r="O1317" s="34" t="str">
        <f>VLOOKUP(E1317,Sales_Reps!$A$2:$E$31,3,FALSE)</f>
        <v>North</v>
      </c>
      <c r="P1317" s="13" t="s">
        <v>86</v>
      </c>
      <c r="Q1317" s="34">
        <f t="shared" si="44"/>
        <v>855749.67999999982</v>
      </c>
      <c r="R1317" s="34" t="str">
        <f>VLOOKUP(E1317,Sales_Reps!$A$2:$E$100,3,FALSE)</f>
        <v>North</v>
      </c>
      <c r="S1317" s="34" t="str">
        <f t="shared" si="45"/>
        <v>Beauty</v>
      </c>
      <c r="T1317" s="38">
        <f>VLOOKUP(D1317,Products!$A$2:$F$68,4,FALSE)</f>
        <v>1219</v>
      </c>
    </row>
    <row r="1318" spans="1:20" x14ac:dyDescent="0.35">
      <c r="A1318" s="13" t="s">
        <v>1804</v>
      </c>
      <c r="B1318" s="14">
        <v>45454</v>
      </c>
      <c r="C1318" s="13" t="s">
        <v>178</v>
      </c>
      <c r="D1318" s="13" t="s">
        <v>237</v>
      </c>
      <c r="E1318" s="13" t="s">
        <v>116</v>
      </c>
      <c r="F1318" s="15">
        <v>9</v>
      </c>
      <c r="G1318" s="15">
        <v>3640</v>
      </c>
      <c r="H1318" s="15">
        <v>20.100000000000001</v>
      </c>
      <c r="I1318" s="15">
        <v>26175.24</v>
      </c>
      <c r="J1318" s="13" t="s">
        <v>87</v>
      </c>
      <c r="K1318" s="13" t="s">
        <v>94</v>
      </c>
      <c r="L1318" s="34" t="str">
        <f>VLOOKUP(D1318,Products!$A$2:$F$61,3,FALSE)</f>
        <v>Apparel</v>
      </c>
      <c r="M1318" s="34" t="str">
        <f>VLOOKUP(C1318,Customers!$A$2:$F$301,5,FALSE)</f>
        <v>Corporate</v>
      </c>
      <c r="N1318" s="34">
        <f>VLOOKUP(C1318,Customers!$A$2:$F$301,3,FALSE)</f>
        <v>55</v>
      </c>
      <c r="O1318" s="34" t="str">
        <f>VLOOKUP(E1318,Sales_Reps!$A$2:$E$31,3,FALSE)</f>
        <v>West</v>
      </c>
      <c r="P1318" s="13" t="s">
        <v>116</v>
      </c>
      <c r="Q1318" s="34">
        <f t="shared" si="44"/>
        <v>819558.58</v>
      </c>
      <c r="R1318" s="34" t="str">
        <f>VLOOKUP(E1318,Sales_Reps!$A$2:$E$100,3,FALSE)</f>
        <v>West</v>
      </c>
      <c r="S1318" s="34" t="str">
        <f t="shared" si="45"/>
        <v>Apparel</v>
      </c>
      <c r="T1318" s="38">
        <f>VLOOKUP(D1318,Products!$A$2:$F$68,4,FALSE)</f>
        <v>2611</v>
      </c>
    </row>
    <row r="1319" spans="1:20" x14ac:dyDescent="0.35">
      <c r="A1319" s="13" t="s">
        <v>1805</v>
      </c>
      <c r="B1319" s="14">
        <v>45565</v>
      </c>
      <c r="C1319" s="13" t="s">
        <v>606</v>
      </c>
      <c r="D1319" s="13" t="s">
        <v>91</v>
      </c>
      <c r="E1319" s="13" t="s">
        <v>285</v>
      </c>
      <c r="F1319" s="15">
        <v>4</v>
      </c>
      <c r="G1319" s="15">
        <v>820</v>
      </c>
      <c r="H1319" s="15">
        <v>7.6</v>
      </c>
      <c r="I1319" s="15">
        <v>3030.72</v>
      </c>
      <c r="J1319" s="13" t="s">
        <v>87</v>
      </c>
      <c r="K1319" s="13" t="s">
        <v>112</v>
      </c>
      <c r="L1319" s="34" t="str">
        <f>VLOOKUP(D1319,Products!$A$2:$F$61,3,FALSE)</f>
        <v>Apparel</v>
      </c>
      <c r="M1319" s="34" t="str">
        <f>VLOOKUP(C1319,Customers!$A$2:$F$301,5,FALSE)</f>
        <v>Retail</v>
      </c>
      <c r="N1319" s="34">
        <f>VLOOKUP(C1319,Customers!$A$2:$F$301,3,FALSE)</f>
        <v>52</v>
      </c>
      <c r="O1319" s="34" t="str">
        <f>VLOOKUP(E1319,Sales_Reps!$A$2:$E$31,3,FALSE)</f>
        <v>East</v>
      </c>
      <c r="P1319" s="13" t="s">
        <v>285</v>
      </c>
      <c r="Q1319" s="34">
        <f t="shared" si="44"/>
        <v>1069570.5400000003</v>
      </c>
      <c r="R1319" s="34" t="str">
        <f>VLOOKUP(E1319,Sales_Reps!$A$2:$E$100,3,FALSE)</f>
        <v>East</v>
      </c>
      <c r="S1319" s="34" t="str">
        <f t="shared" si="45"/>
        <v>Apparel</v>
      </c>
      <c r="T1319" s="38">
        <f>VLOOKUP(D1319,Products!$A$2:$F$68,4,FALSE)</f>
        <v>391</v>
      </c>
    </row>
    <row r="1320" spans="1:20" x14ac:dyDescent="0.35">
      <c r="A1320" s="13" t="s">
        <v>1806</v>
      </c>
      <c r="B1320" s="14">
        <v>45443</v>
      </c>
      <c r="C1320" s="13" t="s">
        <v>1358</v>
      </c>
      <c r="D1320" s="13" t="s">
        <v>127</v>
      </c>
      <c r="E1320" s="13" t="s">
        <v>98</v>
      </c>
      <c r="F1320" s="15">
        <v>1</v>
      </c>
      <c r="G1320" s="15">
        <v>970</v>
      </c>
      <c r="H1320" s="15">
        <v>1.7</v>
      </c>
      <c r="I1320" s="15">
        <v>953.51</v>
      </c>
      <c r="J1320" s="13" t="s">
        <v>87</v>
      </c>
      <c r="K1320" s="13" t="s">
        <v>112</v>
      </c>
      <c r="L1320" s="34" t="str">
        <f>VLOOKUP(D1320,Products!$A$2:$F$61,3,FALSE)</f>
        <v>Grocery</v>
      </c>
      <c r="M1320" s="34" t="str">
        <f>VLOOKUP(C1320,Customers!$A$2:$F$301,5,FALSE)</f>
        <v>Corporate</v>
      </c>
      <c r="N1320" s="34">
        <f>VLOOKUP(C1320,Customers!$A$2:$F$301,3,FALSE)</f>
        <v>42</v>
      </c>
      <c r="O1320" s="34" t="str">
        <f>VLOOKUP(E1320,Sales_Reps!$A$2:$E$31,3,FALSE)</f>
        <v>South</v>
      </c>
      <c r="P1320" s="13" t="s">
        <v>98</v>
      </c>
      <c r="Q1320" s="34">
        <f t="shared" si="44"/>
        <v>995713.54000000015</v>
      </c>
      <c r="R1320" s="34" t="str">
        <f>VLOOKUP(E1320,Sales_Reps!$A$2:$E$100,3,FALSE)</f>
        <v>South</v>
      </c>
      <c r="S1320" s="34" t="str">
        <f t="shared" si="45"/>
        <v>Grocery</v>
      </c>
      <c r="T1320" s="38">
        <f>VLOOKUP(D1320,Products!$A$2:$F$68,4,FALSE)</f>
        <v>434</v>
      </c>
    </row>
    <row r="1321" spans="1:20" x14ac:dyDescent="0.35">
      <c r="A1321" s="13" t="s">
        <v>1807</v>
      </c>
      <c r="B1321" s="14">
        <v>45318</v>
      </c>
      <c r="C1321" s="13" t="s">
        <v>130</v>
      </c>
      <c r="D1321" s="13" t="s">
        <v>659</v>
      </c>
      <c r="E1321" s="13" t="s">
        <v>121</v>
      </c>
      <c r="F1321" s="15">
        <v>5</v>
      </c>
      <c r="G1321" s="15">
        <v>3560</v>
      </c>
      <c r="H1321" s="15">
        <v>10.5</v>
      </c>
      <c r="I1321" s="15">
        <v>15931</v>
      </c>
      <c r="J1321" s="13" t="s">
        <v>87</v>
      </c>
      <c r="K1321" s="13" t="s">
        <v>133</v>
      </c>
      <c r="L1321" s="34" t="str">
        <f>VLOOKUP(D1321,Products!$A$2:$F$61,3,FALSE)</f>
        <v>Apparel</v>
      </c>
      <c r="M1321" s="34" t="str">
        <f>VLOOKUP(C1321,Customers!$A$2:$F$301,5,FALSE)</f>
        <v>Retail</v>
      </c>
      <c r="N1321" s="34">
        <f>VLOOKUP(C1321,Customers!$A$2:$F$301,3,FALSE)</f>
        <v>60</v>
      </c>
      <c r="O1321" s="34" t="str">
        <f>VLOOKUP(E1321,Sales_Reps!$A$2:$E$31,3,FALSE)</f>
        <v>East</v>
      </c>
      <c r="P1321" s="13" t="s">
        <v>121</v>
      </c>
      <c r="Q1321" s="34">
        <f t="shared" si="44"/>
        <v>971183.52000000014</v>
      </c>
      <c r="R1321" s="34" t="str">
        <f>VLOOKUP(E1321,Sales_Reps!$A$2:$E$100,3,FALSE)</f>
        <v>East</v>
      </c>
      <c r="S1321" s="34" t="str">
        <f t="shared" si="45"/>
        <v>Apparel</v>
      </c>
      <c r="T1321" s="38">
        <f>VLOOKUP(D1321,Products!$A$2:$F$68,4,FALSE)</f>
        <v>2629</v>
      </c>
    </row>
    <row r="1322" spans="1:20" x14ac:dyDescent="0.35">
      <c r="A1322" s="13" t="s">
        <v>1808</v>
      </c>
      <c r="B1322" s="14">
        <v>45308</v>
      </c>
      <c r="C1322" s="13" t="s">
        <v>353</v>
      </c>
      <c r="D1322" s="13" t="s">
        <v>502</v>
      </c>
      <c r="E1322" s="13" t="s">
        <v>204</v>
      </c>
      <c r="F1322" s="15">
        <v>6</v>
      </c>
      <c r="G1322" s="15">
        <v>1090</v>
      </c>
      <c r="H1322" s="15">
        <v>2.4</v>
      </c>
      <c r="I1322" s="15">
        <v>6383.04</v>
      </c>
      <c r="J1322" s="13" t="s">
        <v>93</v>
      </c>
      <c r="K1322" s="13" t="s">
        <v>94</v>
      </c>
      <c r="L1322" s="34" t="str">
        <f>VLOOKUP(D1322,Products!$A$2:$F$61,3,FALSE)</f>
        <v>Home</v>
      </c>
      <c r="M1322" s="34" t="str">
        <f>VLOOKUP(C1322,Customers!$A$2:$F$301,5,FALSE)</f>
        <v>Retail</v>
      </c>
      <c r="N1322" s="34">
        <f>VLOOKUP(C1322,Customers!$A$2:$F$301,3,FALSE)</f>
        <v>60</v>
      </c>
      <c r="O1322" s="34" t="str">
        <f>VLOOKUP(E1322,Sales_Reps!$A$2:$E$31,3,FALSE)</f>
        <v>South</v>
      </c>
      <c r="P1322" s="13" t="s">
        <v>204</v>
      </c>
      <c r="Q1322" s="34">
        <f t="shared" si="44"/>
        <v>914554.71999999986</v>
      </c>
      <c r="R1322" s="34" t="str">
        <f>VLOOKUP(E1322,Sales_Reps!$A$2:$E$100,3,FALSE)</f>
        <v>South</v>
      </c>
      <c r="S1322" s="34" t="str">
        <f t="shared" si="45"/>
        <v>Home</v>
      </c>
      <c r="T1322" s="38">
        <f>VLOOKUP(D1322,Products!$A$2:$F$68,4,FALSE)</f>
        <v>464</v>
      </c>
    </row>
    <row r="1323" spans="1:20" x14ac:dyDescent="0.35">
      <c r="A1323" s="13" t="s">
        <v>1809</v>
      </c>
      <c r="B1323" s="14">
        <v>45306</v>
      </c>
      <c r="C1323" s="13" t="s">
        <v>707</v>
      </c>
      <c r="D1323" s="13" t="s">
        <v>279</v>
      </c>
      <c r="E1323" s="13" t="s">
        <v>238</v>
      </c>
      <c r="F1323" s="15">
        <v>6</v>
      </c>
      <c r="G1323" s="15">
        <v>2660</v>
      </c>
      <c r="H1323" s="15">
        <v>6.4</v>
      </c>
      <c r="I1323" s="15">
        <v>14938.56</v>
      </c>
      <c r="J1323" s="13" t="s">
        <v>87</v>
      </c>
      <c r="K1323" s="13" t="s">
        <v>112</v>
      </c>
      <c r="L1323" s="34" t="str">
        <f>VLOOKUP(D1323,Products!$A$2:$F$61,3,FALSE)</f>
        <v>Electronics</v>
      </c>
      <c r="M1323" s="34" t="str">
        <f>VLOOKUP(C1323,Customers!$A$2:$F$301,5,FALSE)</f>
        <v>Retail</v>
      </c>
      <c r="N1323" s="34">
        <f>VLOOKUP(C1323,Customers!$A$2:$F$301,3,FALSE)</f>
        <v>33</v>
      </c>
      <c r="O1323" s="34" t="str">
        <f>VLOOKUP(E1323,Sales_Reps!$A$2:$E$31,3,FALSE)</f>
        <v>East</v>
      </c>
      <c r="P1323" s="13" t="s">
        <v>238</v>
      </c>
      <c r="Q1323" s="34">
        <f t="shared" si="44"/>
        <v>780384.40999999992</v>
      </c>
      <c r="R1323" s="34" t="str">
        <f>VLOOKUP(E1323,Sales_Reps!$A$2:$E$100,3,FALSE)</f>
        <v>East</v>
      </c>
      <c r="S1323" s="34" t="str">
        <f t="shared" si="45"/>
        <v>Electronics</v>
      </c>
      <c r="T1323" s="38">
        <f>VLOOKUP(D1323,Products!$A$2:$F$68,4,FALSE)</f>
        <v>1259</v>
      </c>
    </row>
    <row r="1324" spans="1:20" x14ac:dyDescent="0.35">
      <c r="A1324" s="13" t="s">
        <v>1810</v>
      </c>
      <c r="B1324" s="14">
        <v>45432</v>
      </c>
      <c r="C1324" s="13" t="s">
        <v>324</v>
      </c>
      <c r="D1324" s="13" t="s">
        <v>408</v>
      </c>
      <c r="E1324" s="13" t="s">
        <v>215</v>
      </c>
      <c r="F1324" s="15">
        <v>5</v>
      </c>
      <c r="G1324" s="15">
        <v>3970</v>
      </c>
      <c r="H1324" s="15">
        <v>18.8</v>
      </c>
      <c r="I1324" s="15">
        <v>16118.2</v>
      </c>
      <c r="J1324" s="13" t="s">
        <v>93</v>
      </c>
      <c r="K1324" s="13" t="s">
        <v>133</v>
      </c>
      <c r="L1324" s="34" t="str">
        <f>VLOOKUP(D1324,Products!$A$2:$F$61,3,FALSE)</f>
        <v>Electronics</v>
      </c>
      <c r="M1324" s="34" t="str">
        <f>VLOOKUP(C1324,Customers!$A$2:$F$301,5,FALSE)</f>
        <v>Retail</v>
      </c>
      <c r="N1324" s="34">
        <f>VLOOKUP(C1324,Customers!$A$2:$F$301,3,FALSE)</f>
        <v>28</v>
      </c>
      <c r="O1324" s="34" t="str">
        <f>VLOOKUP(E1324,Sales_Reps!$A$2:$E$31,3,FALSE)</f>
        <v>North</v>
      </c>
      <c r="P1324" s="13" t="s">
        <v>215</v>
      </c>
      <c r="Q1324" s="34">
        <f t="shared" si="44"/>
        <v>789849.60000000009</v>
      </c>
      <c r="R1324" s="34" t="str">
        <f>VLOOKUP(E1324,Sales_Reps!$A$2:$E$100,3,FALSE)</f>
        <v>North</v>
      </c>
      <c r="S1324" s="34" t="str">
        <f t="shared" si="45"/>
        <v>Electronics</v>
      </c>
      <c r="T1324" s="38">
        <f>VLOOKUP(D1324,Products!$A$2:$F$68,4,FALSE)</f>
        <v>2865</v>
      </c>
    </row>
    <row r="1325" spans="1:20" x14ac:dyDescent="0.35">
      <c r="A1325" s="13" t="s">
        <v>1811</v>
      </c>
      <c r="B1325" s="14">
        <v>45369</v>
      </c>
      <c r="C1325" s="13" t="s">
        <v>336</v>
      </c>
      <c r="D1325" s="13" t="s">
        <v>515</v>
      </c>
      <c r="E1325" s="13" t="s">
        <v>158</v>
      </c>
      <c r="F1325" s="15">
        <v>7</v>
      </c>
      <c r="G1325" s="15">
        <v>6940</v>
      </c>
      <c r="H1325" s="15">
        <v>23.8</v>
      </c>
      <c r="I1325" s="15">
        <v>37017.96</v>
      </c>
      <c r="J1325" s="13" t="s">
        <v>144</v>
      </c>
      <c r="K1325" s="13" t="s">
        <v>112</v>
      </c>
      <c r="L1325" s="34" t="str">
        <f>VLOOKUP(D1325,Products!$A$2:$F$61,3,FALSE)</f>
        <v>Sports</v>
      </c>
      <c r="M1325" s="34" t="str">
        <f>VLOOKUP(C1325,Customers!$A$2:$F$301,5,FALSE)</f>
        <v>Retail</v>
      </c>
      <c r="N1325" s="34">
        <f>VLOOKUP(C1325,Customers!$A$2:$F$301,3,FALSE)</f>
        <v>49</v>
      </c>
      <c r="O1325" s="34" t="str">
        <f>VLOOKUP(E1325,Sales_Reps!$A$2:$E$31,3,FALSE)</f>
        <v>East</v>
      </c>
      <c r="P1325" s="13" t="s">
        <v>158</v>
      </c>
      <c r="Q1325" s="34">
        <f t="shared" si="44"/>
        <v>761507.17000000027</v>
      </c>
      <c r="R1325" s="34" t="str">
        <f>VLOOKUP(E1325,Sales_Reps!$A$2:$E$100,3,FALSE)</f>
        <v>East</v>
      </c>
      <c r="S1325" s="34" t="str">
        <f t="shared" si="45"/>
        <v>Sports</v>
      </c>
      <c r="T1325" s="38">
        <f>VLOOKUP(D1325,Products!$A$2:$F$68,4,FALSE)</f>
        <v>2827</v>
      </c>
    </row>
    <row r="1326" spans="1:20" x14ac:dyDescent="0.35">
      <c r="A1326" s="13" t="s">
        <v>1812</v>
      </c>
      <c r="B1326" s="14">
        <v>45544</v>
      </c>
      <c r="C1326" s="13" t="s">
        <v>643</v>
      </c>
      <c r="D1326" s="13" t="s">
        <v>151</v>
      </c>
      <c r="E1326" s="13" t="s">
        <v>139</v>
      </c>
      <c r="F1326" s="15">
        <v>3</v>
      </c>
      <c r="G1326" s="15">
        <v>2400</v>
      </c>
      <c r="H1326" s="15">
        <v>9.8000000000000007</v>
      </c>
      <c r="I1326" s="15">
        <v>6494.4</v>
      </c>
      <c r="J1326" s="13" t="s">
        <v>87</v>
      </c>
      <c r="K1326" s="13" t="s">
        <v>112</v>
      </c>
      <c r="L1326" s="34" t="str">
        <f>VLOOKUP(D1326,Products!$A$2:$F$61,3,FALSE)</f>
        <v>Sports</v>
      </c>
      <c r="M1326" s="34" t="str">
        <f>VLOOKUP(C1326,Customers!$A$2:$F$301,5,FALSE)</f>
        <v>SMB</v>
      </c>
      <c r="N1326" s="34">
        <f>VLOOKUP(C1326,Customers!$A$2:$F$301,3,FALSE)</f>
        <v>27</v>
      </c>
      <c r="O1326" s="34" t="str">
        <f>VLOOKUP(E1326,Sales_Reps!$A$2:$E$31,3,FALSE)</f>
        <v>North</v>
      </c>
      <c r="P1326" s="13" t="s">
        <v>139</v>
      </c>
      <c r="Q1326" s="34">
        <f t="shared" si="44"/>
        <v>589026.2899999998</v>
      </c>
      <c r="R1326" s="34" t="str">
        <f>VLOOKUP(E1326,Sales_Reps!$A$2:$E$100,3,FALSE)</f>
        <v>North</v>
      </c>
      <c r="S1326" s="34" t="str">
        <f t="shared" si="45"/>
        <v>Sports</v>
      </c>
      <c r="T1326" s="38">
        <f>VLOOKUP(D1326,Products!$A$2:$F$68,4,FALSE)</f>
        <v>974</v>
      </c>
    </row>
    <row r="1327" spans="1:20" x14ac:dyDescent="0.35">
      <c r="A1327" s="13" t="s">
        <v>1813</v>
      </c>
      <c r="B1327" s="14">
        <v>45395</v>
      </c>
      <c r="C1327" s="13" t="s">
        <v>1250</v>
      </c>
      <c r="D1327" s="13" t="s">
        <v>161</v>
      </c>
      <c r="E1327" s="13" t="s">
        <v>154</v>
      </c>
      <c r="F1327" s="15">
        <v>8</v>
      </c>
      <c r="G1327" s="15">
        <v>3450</v>
      </c>
      <c r="H1327" s="15">
        <v>26.6</v>
      </c>
      <c r="I1327" s="15">
        <v>20258.400000000001</v>
      </c>
      <c r="J1327" s="13" t="s">
        <v>140</v>
      </c>
      <c r="K1327" s="13" t="s">
        <v>88</v>
      </c>
      <c r="L1327" s="34" t="str">
        <f>VLOOKUP(D1327,Products!$A$2:$F$61,3,FALSE)</f>
        <v>Sports</v>
      </c>
      <c r="M1327" s="34" t="str">
        <f>VLOOKUP(C1327,Customers!$A$2:$F$301,5,FALSE)</f>
        <v>Retail</v>
      </c>
      <c r="N1327" s="34">
        <f>VLOOKUP(C1327,Customers!$A$2:$F$301,3,FALSE)</f>
        <v>44</v>
      </c>
      <c r="O1327" s="34" t="str">
        <f>VLOOKUP(E1327,Sales_Reps!$A$2:$E$31,3,FALSE)</f>
        <v>East</v>
      </c>
      <c r="P1327" s="13" t="s">
        <v>154</v>
      </c>
      <c r="Q1327" s="34">
        <f t="shared" si="44"/>
        <v>983787.4800000001</v>
      </c>
      <c r="R1327" s="34" t="str">
        <f>VLOOKUP(E1327,Sales_Reps!$A$2:$E$100,3,FALSE)</f>
        <v>East</v>
      </c>
      <c r="S1327" s="34" t="str">
        <f t="shared" si="45"/>
        <v>Sports</v>
      </c>
      <c r="T1327" s="38">
        <f>VLOOKUP(D1327,Products!$A$2:$F$68,4,FALSE)</f>
        <v>2467</v>
      </c>
    </row>
    <row r="1328" spans="1:20" x14ac:dyDescent="0.35">
      <c r="A1328" s="13" t="s">
        <v>1814</v>
      </c>
      <c r="B1328" s="14">
        <v>45389</v>
      </c>
      <c r="C1328" s="13" t="s">
        <v>440</v>
      </c>
      <c r="D1328" s="13" t="s">
        <v>267</v>
      </c>
      <c r="E1328" s="13" t="s">
        <v>139</v>
      </c>
      <c r="F1328" s="15">
        <v>4</v>
      </c>
      <c r="G1328" s="15">
        <v>1220</v>
      </c>
      <c r="H1328" s="15">
        <v>5.5</v>
      </c>
      <c r="I1328" s="15">
        <v>4611.6000000000004</v>
      </c>
      <c r="J1328" s="13" t="s">
        <v>87</v>
      </c>
      <c r="K1328" s="13" t="s">
        <v>88</v>
      </c>
      <c r="L1328" s="34" t="str">
        <f>VLOOKUP(D1328,Products!$A$2:$F$61,3,FALSE)</f>
        <v>Electronics</v>
      </c>
      <c r="M1328" s="34" t="str">
        <f>VLOOKUP(C1328,Customers!$A$2:$F$301,5,FALSE)</f>
        <v>SMB</v>
      </c>
      <c r="N1328" s="34">
        <f>VLOOKUP(C1328,Customers!$A$2:$F$301,3,FALSE)</f>
        <v>30</v>
      </c>
      <c r="O1328" s="34" t="str">
        <f>VLOOKUP(E1328,Sales_Reps!$A$2:$E$31,3,FALSE)</f>
        <v>North</v>
      </c>
      <c r="P1328" s="13" t="s">
        <v>139</v>
      </c>
      <c r="Q1328" s="34">
        <f t="shared" si="44"/>
        <v>589026.2899999998</v>
      </c>
      <c r="R1328" s="34" t="str">
        <f>VLOOKUP(E1328,Sales_Reps!$A$2:$E$100,3,FALSE)</f>
        <v>North</v>
      </c>
      <c r="S1328" s="34" t="str">
        <f t="shared" si="45"/>
        <v>Electronics</v>
      </c>
      <c r="T1328" s="38">
        <f>VLOOKUP(D1328,Products!$A$2:$F$68,4,FALSE)</f>
        <v>517</v>
      </c>
    </row>
    <row r="1329" spans="1:20" x14ac:dyDescent="0.35">
      <c r="A1329" s="13" t="s">
        <v>1815</v>
      </c>
      <c r="B1329" s="14">
        <v>45536</v>
      </c>
      <c r="C1329" s="13" t="s">
        <v>1816</v>
      </c>
      <c r="D1329" s="13" t="s">
        <v>292</v>
      </c>
      <c r="E1329" s="13" t="s">
        <v>86</v>
      </c>
      <c r="F1329" s="15">
        <v>1</v>
      </c>
      <c r="G1329" s="15">
        <v>620</v>
      </c>
      <c r="H1329" s="15">
        <v>22.3</v>
      </c>
      <c r="I1329" s="15">
        <v>481.74</v>
      </c>
      <c r="J1329" s="13" t="s">
        <v>93</v>
      </c>
      <c r="K1329" s="13" t="s">
        <v>99</v>
      </c>
      <c r="L1329" s="34" t="str">
        <f>VLOOKUP(D1329,Products!$A$2:$F$61,3,FALSE)</f>
        <v>Apparel</v>
      </c>
      <c r="M1329" s="34" t="str">
        <f>VLOOKUP(C1329,Customers!$A$2:$F$301,5,FALSE)</f>
        <v>Retail</v>
      </c>
      <c r="N1329" s="34">
        <f>VLOOKUP(C1329,Customers!$A$2:$F$301,3,FALSE)</f>
        <v>62</v>
      </c>
      <c r="O1329" s="34" t="str">
        <f>VLOOKUP(E1329,Sales_Reps!$A$2:$E$31,3,FALSE)</f>
        <v>North</v>
      </c>
      <c r="P1329" s="13" t="s">
        <v>86</v>
      </c>
      <c r="Q1329" s="34">
        <f t="shared" si="44"/>
        <v>855749.67999999982</v>
      </c>
      <c r="R1329" s="34" t="str">
        <f>VLOOKUP(E1329,Sales_Reps!$A$2:$E$100,3,FALSE)</f>
        <v>North</v>
      </c>
      <c r="S1329" s="34" t="str">
        <f t="shared" si="45"/>
        <v>Apparel</v>
      </c>
      <c r="T1329" s="38">
        <f>VLOOKUP(D1329,Products!$A$2:$F$68,4,FALSE)</f>
        <v>396</v>
      </c>
    </row>
    <row r="1330" spans="1:20" x14ac:dyDescent="0.35">
      <c r="A1330" s="13" t="s">
        <v>1817</v>
      </c>
      <c r="B1330" s="14">
        <v>45348</v>
      </c>
      <c r="C1330" s="13" t="s">
        <v>231</v>
      </c>
      <c r="D1330" s="13" t="s">
        <v>282</v>
      </c>
      <c r="E1330" s="13" t="s">
        <v>154</v>
      </c>
      <c r="F1330" s="15">
        <v>1</v>
      </c>
      <c r="G1330" s="15">
        <v>300</v>
      </c>
      <c r="H1330" s="15">
        <v>12.5</v>
      </c>
      <c r="I1330" s="15">
        <v>262.5</v>
      </c>
      <c r="J1330" s="13" t="s">
        <v>87</v>
      </c>
      <c r="K1330" s="13" t="s">
        <v>117</v>
      </c>
      <c r="L1330" s="34" t="str">
        <f>VLOOKUP(D1330,Products!$A$2:$F$61,3,FALSE)</f>
        <v>Electronics</v>
      </c>
      <c r="M1330" s="34" t="str">
        <f>VLOOKUP(C1330,Customers!$A$2:$F$301,5,FALSE)</f>
        <v>SMB</v>
      </c>
      <c r="N1330" s="34">
        <f>VLOOKUP(C1330,Customers!$A$2:$F$301,3,FALSE)</f>
        <v>64</v>
      </c>
      <c r="O1330" s="34" t="str">
        <f>VLOOKUP(E1330,Sales_Reps!$A$2:$E$31,3,FALSE)</f>
        <v>East</v>
      </c>
      <c r="P1330" s="13" t="s">
        <v>154</v>
      </c>
      <c r="Q1330" s="34">
        <f t="shared" si="44"/>
        <v>983787.4800000001</v>
      </c>
      <c r="R1330" s="34" t="str">
        <f>VLOOKUP(E1330,Sales_Reps!$A$2:$E$100,3,FALSE)</f>
        <v>East</v>
      </c>
      <c r="S1330" s="34" t="str">
        <f t="shared" si="45"/>
        <v>Electronics</v>
      </c>
      <c r="T1330" s="38">
        <f>VLOOKUP(D1330,Products!$A$2:$F$68,4,FALSE)</f>
        <v>128</v>
      </c>
    </row>
    <row r="1331" spans="1:20" x14ac:dyDescent="0.35">
      <c r="A1331" s="13" t="s">
        <v>1818</v>
      </c>
      <c r="B1331" s="14">
        <v>45502</v>
      </c>
      <c r="C1331" s="13" t="s">
        <v>900</v>
      </c>
      <c r="D1331" s="13" t="s">
        <v>182</v>
      </c>
      <c r="E1331" s="13" t="s">
        <v>192</v>
      </c>
      <c r="F1331" s="15">
        <v>3</v>
      </c>
      <c r="G1331" s="15">
        <v>1010</v>
      </c>
      <c r="H1331" s="15">
        <v>14.1</v>
      </c>
      <c r="I1331" s="15">
        <v>2602.77</v>
      </c>
      <c r="J1331" s="13" t="s">
        <v>87</v>
      </c>
      <c r="K1331" s="13" t="s">
        <v>117</v>
      </c>
      <c r="L1331" s="34" t="str">
        <f>VLOOKUP(D1331,Products!$A$2:$F$61,3,FALSE)</f>
        <v>Sports</v>
      </c>
      <c r="M1331" s="34" t="str">
        <f>VLOOKUP(C1331,Customers!$A$2:$F$301,5,FALSE)</f>
        <v>Retail</v>
      </c>
      <c r="N1331" s="34">
        <f>VLOOKUP(C1331,Customers!$A$2:$F$301,3,FALSE)</f>
        <v>35</v>
      </c>
      <c r="O1331" s="34" t="str">
        <f>VLOOKUP(E1331,Sales_Reps!$A$2:$E$31,3,FALSE)</f>
        <v>East</v>
      </c>
      <c r="P1331" s="13" t="s">
        <v>192</v>
      </c>
      <c r="Q1331" s="34">
        <f t="shared" si="44"/>
        <v>906107.71000000008</v>
      </c>
      <c r="R1331" s="34" t="str">
        <f>VLOOKUP(E1331,Sales_Reps!$A$2:$E$100,3,FALSE)</f>
        <v>East</v>
      </c>
      <c r="S1331" s="34" t="str">
        <f t="shared" si="45"/>
        <v>Sports</v>
      </c>
      <c r="T1331" s="38">
        <f>VLOOKUP(D1331,Products!$A$2:$F$68,4,FALSE)</f>
        <v>516</v>
      </c>
    </row>
    <row r="1332" spans="1:20" x14ac:dyDescent="0.35">
      <c r="A1332" s="13" t="s">
        <v>1819</v>
      </c>
      <c r="B1332" s="14">
        <v>45600</v>
      </c>
      <c r="C1332" s="13" t="s">
        <v>797</v>
      </c>
      <c r="D1332" s="13" t="s">
        <v>443</v>
      </c>
      <c r="E1332" s="13" t="s">
        <v>343</v>
      </c>
      <c r="F1332" s="15">
        <v>2</v>
      </c>
      <c r="G1332" s="15">
        <v>5080</v>
      </c>
      <c r="H1332" s="15">
        <v>16.8</v>
      </c>
      <c r="I1332" s="15">
        <v>8453.1200000000008</v>
      </c>
      <c r="J1332" s="13" t="s">
        <v>87</v>
      </c>
      <c r="K1332" s="13" t="s">
        <v>99</v>
      </c>
      <c r="L1332" s="34" t="str">
        <f>VLOOKUP(D1332,Products!$A$2:$F$61,3,FALSE)</f>
        <v>Home</v>
      </c>
      <c r="M1332" s="34" t="str">
        <f>VLOOKUP(C1332,Customers!$A$2:$F$301,5,FALSE)</f>
        <v>Retail</v>
      </c>
      <c r="N1332" s="34">
        <f>VLOOKUP(C1332,Customers!$A$2:$F$301,3,FALSE)</f>
        <v>63</v>
      </c>
      <c r="O1332" s="34" t="str">
        <f>VLOOKUP(E1332,Sales_Reps!$A$2:$E$31,3,FALSE)</f>
        <v>West</v>
      </c>
      <c r="P1332" s="13" t="s">
        <v>343</v>
      </c>
      <c r="Q1332" s="34">
        <f t="shared" si="44"/>
        <v>917092.61999999965</v>
      </c>
      <c r="R1332" s="34" t="str">
        <f>VLOOKUP(E1332,Sales_Reps!$A$2:$E$100,3,FALSE)</f>
        <v>West</v>
      </c>
      <c r="S1332" s="34" t="str">
        <f t="shared" si="45"/>
        <v>Home</v>
      </c>
      <c r="T1332" s="38">
        <f>VLOOKUP(D1332,Products!$A$2:$F$68,4,FALSE)</f>
        <v>2459</v>
      </c>
    </row>
    <row r="1333" spans="1:20" x14ac:dyDescent="0.35">
      <c r="A1333" s="13" t="s">
        <v>1820</v>
      </c>
      <c r="B1333" s="14">
        <v>45416</v>
      </c>
      <c r="C1333" s="13" t="s">
        <v>175</v>
      </c>
      <c r="D1333" s="13" t="s">
        <v>106</v>
      </c>
      <c r="E1333" s="13" t="s">
        <v>343</v>
      </c>
      <c r="F1333" s="15">
        <v>2</v>
      </c>
      <c r="G1333" s="15">
        <v>3160</v>
      </c>
      <c r="H1333" s="15">
        <v>21.4</v>
      </c>
      <c r="I1333" s="15">
        <v>4967.5200000000004</v>
      </c>
      <c r="J1333" s="13" t="s">
        <v>87</v>
      </c>
      <c r="K1333" s="13" t="s">
        <v>1821</v>
      </c>
      <c r="L1333" s="34" t="str">
        <f>VLOOKUP(D1333,Products!$A$2:$F$61,3,FALSE)</f>
        <v>Apparel</v>
      </c>
      <c r="M1333" s="34" t="str">
        <f>VLOOKUP(C1333,Customers!$A$2:$F$301,5,FALSE)</f>
        <v>SMB</v>
      </c>
      <c r="N1333" s="34">
        <f>VLOOKUP(C1333,Customers!$A$2:$F$301,3,FALSE)</f>
        <v>40</v>
      </c>
      <c r="O1333" s="34" t="str">
        <f>VLOOKUP(E1333,Sales_Reps!$A$2:$E$31,3,FALSE)</f>
        <v>West</v>
      </c>
      <c r="P1333" s="13" t="s">
        <v>343</v>
      </c>
      <c r="Q1333" s="34">
        <f t="shared" si="44"/>
        <v>917092.61999999965</v>
      </c>
      <c r="R1333" s="34" t="str">
        <f>VLOOKUP(E1333,Sales_Reps!$A$2:$E$100,3,FALSE)</f>
        <v>West</v>
      </c>
      <c r="S1333" s="34" t="str">
        <f t="shared" si="45"/>
        <v>Apparel</v>
      </c>
      <c r="T1333" s="38">
        <f>VLOOKUP(D1333,Products!$A$2:$F$68,4,FALSE)</f>
        <v>1886</v>
      </c>
    </row>
    <row r="1334" spans="1:20" x14ac:dyDescent="0.35">
      <c r="A1334" s="13" t="s">
        <v>1822</v>
      </c>
      <c r="B1334" s="14">
        <v>45535</v>
      </c>
      <c r="C1334" s="13" t="s">
        <v>1016</v>
      </c>
      <c r="D1334" s="13" t="s">
        <v>157</v>
      </c>
      <c r="E1334" s="13" t="s">
        <v>346</v>
      </c>
      <c r="F1334" s="15">
        <v>7</v>
      </c>
      <c r="G1334" s="15">
        <v>3450</v>
      </c>
      <c r="H1334" s="15">
        <v>21.3</v>
      </c>
      <c r="I1334" s="15">
        <v>19006.05</v>
      </c>
      <c r="J1334" s="13" t="s">
        <v>87</v>
      </c>
      <c r="K1334" s="13" t="s">
        <v>117</v>
      </c>
      <c r="L1334" s="34" t="str">
        <f>VLOOKUP(D1334,Products!$A$2:$F$61,3,FALSE)</f>
        <v>Beauty</v>
      </c>
      <c r="M1334" s="34" t="str">
        <f>VLOOKUP(C1334,Customers!$A$2:$F$301,5,FALSE)</f>
        <v>SMB</v>
      </c>
      <c r="N1334" s="34">
        <f>VLOOKUP(C1334,Customers!$A$2:$F$301,3,FALSE)</f>
        <v>49</v>
      </c>
      <c r="O1334" s="34" t="str">
        <f>VLOOKUP(E1334,Sales_Reps!$A$2:$E$31,3,FALSE)</f>
        <v>South</v>
      </c>
      <c r="P1334" s="13" t="s">
        <v>346</v>
      </c>
      <c r="Q1334" s="34">
        <f t="shared" si="44"/>
        <v>814563.7100000002</v>
      </c>
      <c r="R1334" s="34" t="str">
        <f>VLOOKUP(E1334,Sales_Reps!$A$2:$E$100,3,FALSE)</f>
        <v>South</v>
      </c>
      <c r="S1334" s="34" t="str">
        <f t="shared" si="45"/>
        <v>Beauty</v>
      </c>
      <c r="T1334" s="38">
        <f>VLOOKUP(D1334,Products!$A$2:$F$68,4,FALSE)</f>
        <v>2420</v>
      </c>
    </row>
    <row r="1335" spans="1:20" x14ac:dyDescent="0.35">
      <c r="A1335" s="13" t="s">
        <v>1823</v>
      </c>
      <c r="B1335" s="14">
        <v>45322</v>
      </c>
      <c r="C1335" s="13" t="s">
        <v>570</v>
      </c>
      <c r="D1335" s="13" t="s">
        <v>364</v>
      </c>
      <c r="E1335" s="13" t="s">
        <v>103</v>
      </c>
      <c r="F1335" s="15">
        <v>2</v>
      </c>
      <c r="G1335" s="15">
        <v>5330</v>
      </c>
      <c r="H1335" s="15">
        <v>4.3</v>
      </c>
      <c r="I1335" s="15">
        <v>10201.620000000001</v>
      </c>
      <c r="J1335" s="13" t="s">
        <v>87</v>
      </c>
      <c r="K1335" s="13" t="s">
        <v>99</v>
      </c>
      <c r="L1335" s="34" t="str">
        <f>VLOOKUP(D1335,Products!$A$2:$F$61,3,FALSE)</f>
        <v>Electronics</v>
      </c>
      <c r="M1335" s="34" t="str">
        <f>VLOOKUP(C1335,Customers!$A$2:$F$301,5,FALSE)</f>
        <v>Corporate</v>
      </c>
      <c r="N1335" s="34">
        <f>VLOOKUP(C1335,Customers!$A$2:$F$301,3,FALSE)</f>
        <v>47</v>
      </c>
      <c r="O1335" s="34" t="str">
        <f>VLOOKUP(E1335,Sales_Reps!$A$2:$E$31,3,FALSE)</f>
        <v>North</v>
      </c>
      <c r="P1335" s="13" t="s">
        <v>103</v>
      </c>
      <c r="Q1335" s="34">
        <f t="shared" si="44"/>
        <v>1138648.73</v>
      </c>
      <c r="R1335" s="34" t="str">
        <f>VLOOKUP(E1335,Sales_Reps!$A$2:$E$100,3,FALSE)</f>
        <v>North</v>
      </c>
      <c r="S1335" s="34" t="str">
        <f t="shared" si="45"/>
        <v>Electronics</v>
      </c>
      <c r="T1335" s="38">
        <f>VLOOKUP(D1335,Products!$A$2:$F$68,4,FALSE)</f>
        <v>2405</v>
      </c>
    </row>
    <row r="1336" spans="1:20" x14ac:dyDescent="0.35">
      <c r="A1336" s="13" t="s">
        <v>1824</v>
      </c>
      <c r="B1336" s="14">
        <v>45626</v>
      </c>
      <c r="C1336" s="13" t="s">
        <v>613</v>
      </c>
      <c r="D1336" s="13" t="s">
        <v>515</v>
      </c>
      <c r="E1336" s="13" t="s">
        <v>98</v>
      </c>
      <c r="F1336" s="15">
        <v>5</v>
      </c>
      <c r="G1336" s="15">
        <v>6940</v>
      </c>
      <c r="H1336" s="15">
        <v>2.9</v>
      </c>
      <c r="I1336" s="15">
        <v>33693.699999999997</v>
      </c>
      <c r="J1336" s="13" t="s">
        <v>87</v>
      </c>
      <c r="K1336" s="13" t="s">
        <v>112</v>
      </c>
      <c r="L1336" s="34" t="str">
        <f>VLOOKUP(D1336,Products!$A$2:$F$61,3,FALSE)</f>
        <v>Sports</v>
      </c>
      <c r="M1336" s="34" t="str">
        <f>VLOOKUP(C1336,Customers!$A$2:$F$301,5,FALSE)</f>
        <v>Retail</v>
      </c>
      <c r="N1336" s="34">
        <f>VLOOKUP(C1336,Customers!$A$2:$F$301,3,FALSE)</f>
        <v>44</v>
      </c>
      <c r="O1336" s="34" t="str">
        <f>VLOOKUP(E1336,Sales_Reps!$A$2:$E$31,3,FALSE)</f>
        <v>South</v>
      </c>
      <c r="P1336" s="13" t="s">
        <v>98</v>
      </c>
      <c r="Q1336" s="34">
        <f t="shared" si="44"/>
        <v>995713.54000000015</v>
      </c>
      <c r="R1336" s="34" t="str">
        <f>VLOOKUP(E1336,Sales_Reps!$A$2:$E$100,3,FALSE)</f>
        <v>South</v>
      </c>
      <c r="S1336" s="34" t="str">
        <f t="shared" si="45"/>
        <v>Sports</v>
      </c>
      <c r="T1336" s="38">
        <f>VLOOKUP(D1336,Products!$A$2:$F$68,4,FALSE)</f>
        <v>2827</v>
      </c>
    </row>
    <row r="1337" spans="1:20" x14ac:dyDescent="0.35">
      <c r="A1337" s="13" t="s">
        <v>1825</v>
      </c>
      <c r="B1337" s="14">
        <v>45534</v>
      </c>
      <c r="C1337" s="13" t="s">
        <v>604</v>
      </c>
      <c r="D1337" s="13" t="s">
        <v>203</v>
      </c>
      <c r="E1337" s="13" t="s">
        <v>128</v>
      </c>
      <c r="F1337" s="15">
        <v>5</v>
      </c>
      <c r="G1337" s="15">
        <v>660</v>
      </c>
      <c r="H1337" s="15">
        <v>15.8</v>
      </c>
      <c r="I1337" s="15">
        <v>2778.6</v>
      </c>
      <c r="J1337" s="13" t="s">
        <v>87</v>
      </c>
      <c r="K1337" s="13" t="s">
        <v>117</v>
      </c>
      <c r="L1337" s="34" t="str">
        <f>VLOOKUP(D1337,Products!$A$2:$F$61,3,FALSE)</f>
        <v>Home</v>
      </c>
      <c r="M1337" s="34" t="str">
        <f>VLOOKUP(C1337,Customers!$A$2:$F$301,5,FALSE)</f>
        <v>Retail</v>
      </c>
      <c r="N1337" s="34">
        <f>VLOOKUP(C1337,Customers!$A$2:$F$301,3,FALSE)</f>
        <v>34</v>
      </c>
      <c r="O1337" s="34" t="str">
        <f>VLOOKUP(E1337,Sales_Reps!$A$2:$E$31,3,FALSE)</f>
        <v>West</v>
      </c>
      <c r="P1337" s="13" t="s">
        <v>128</v>
      </c>
      <c r="Q1337" s="34">
        <f t="shared" si="44"/>
        <v>880468.05</v>
      </c>
      <c r="R1337" s="34" t="str">
        <f>VLOOKUP(E1337,Sales_Reps!$A$2:$E$100,3,FALSE)</f>
        <v>West</v>
      </c>
      <c r="S1337" s="34" t="str">
        <f t="shared" si="45"/>
        <v>Home</v>
      </c>
      <c r="T1337" s="38">
        <f>VLOOKUP(D1337,Products!$A$2:$F$68,4,FALSE)</f>
        <v>329</v>
      </c>
    </row>
    <row r="1338" spans="1:20" x14ac:dyDescent="0.35">
      <c r="A1338" s="13" t="s">
        <v>1826</v>
      </c>
      <c r="B1338" s="14">
        <v>45519</v>
      </c>
      <c r="C1338" s="13" t="s">
        <v>986</v>
      </c>
      <c r="D1338" s="13" t="s">
        <v>191</v>
      </c>
      <c r="E1338" s="13" t="s">
        <v>252</v>
      </c>
      <c r="F1338" s="15">
        <v>9</v>
      </c>
      <c r="G1338" s="15">
        <v>5100</v>
      </c>
      <c r="H1338" s="15">
        <v>0.4</v>
      </c>
      <c r="I1338" s="15">
        <v>45716.4</v>
      </c>
      <c r="J1338" s="13" t="s">
        <v>87</v>
      </c>
      <c r="K1338" s="13" t="s">
        <v>94</v>
      </c>
      <c r="L1338" s="34" t="str">
        <f>VLOOKUP(D1338,Products!$A$2:$F$61,3,FALSE)</f>
        <v>Beauty</v>
      </c>
      <c r="M1338" s="34" t="str">
        <f>VLOOKUP(C1338,Customers!$A$2:$F$301,5,FALSE)</f>
        <v>Corporate</v>
      </c>
      <c r="N1338" s="34">
        <f>VLOOKUP(C1338,Customers!$A$2:$F$301,3,FALSE)</f>
        <v>52</v>
      </c>
      <c r="O1338" s="34" t="str">
        <f>VLOOKUP(E1338,Sales_Reps!$A$2:$E$31,3,FALSE)</f>
        <v>South</v>
      </c>
      <c r="P1338" s="13" t="s">
        <v>252</v>
      </c>
      <c r="Q1338" s="34">
        <f t="shared" si="44"/>
        <v>811524.37999999989</v>
      </c>
      <c r="R1338" s="34" t="str">
        <f>VLOOKUP(E1338,Sales_Reps!$A$2:$E$100,3,FALSE)</f>
        <v>South</v>
      </c>
      <c r="S1338" s="34" t="str">
        <f t="shared" si="45"/>
        <v>Beauty</v>
      </c>
      <c r="T1338" s="38">
        <f>VLOOKUP(D1338,Products!$A$2:$F$68,4,FALSE)</f>
        <v>2237</v>
      </c>
    </row>
    <row r="1339" spans="1:20" x14ac:dyDescent="0.35">
      <c r="A1339" s="13" t="s">
        <v>1827</v>
      </c>
      <c r="B1339" s="14">
        <v>45315</v>
      </c>
      <c r="C1339" s="13" t="s">
        <v>1828</v>
      </c>
      <c r="D1339" s="13" t="s">
        <v>176</v>
      </c>
      <c r="E1339" s="13" t="s">
        <v>98</v>
      </c>
      <c r="F1339" s="15">
        <v>5</v>
      </c>
      <c r="G1339" s="15">
        <v>1650</v>
      </c>
      <c r="H1339" s="15">
        <v>0.8</v>
      </c>
      <c r="I1339" s="15">
        <v>8184</v>
      </c>
      <c r="J1339" s="13" t="s">
        <v>93</v>
      </c>
      <c r="K1339" s="13" t="s">
        <v>94</v>
      </c>
      <c r="L1339" s="34" t="str">
        <f>VLOOKUP(D1339,Products!$A$2:$F$61,3,FALSE)</f>
        <v>Beauty</v>
      </c>
      <c r="M1339" s="34" t="e">
        <f>VLOOKUP(C1339,Customers!$A$2:$F$301,5,FALSE)</f>
        <v>#N/A</v>
      </c>
      <c r="N1339" s="34" t="e">
        <f>VLOOKUP(C1339,Customers!$A$2:$F$301,3,FALSE)</f>
        <v>#N/A</v>
      </c>
      <c r="O1339" s="34" t="str">
        <f>VLOOKUP(E1339,Sales_Reps!$A$2:$E$31,3,FALSE)</f>
        <v>South</v>
      </c>
      <c r="P1339" s="13" t="s">
        <v>98</v>
      </c>
      <c r="Q1339" s="34">
        <f t="shared" si="44"/>
        <v>995713.54000000015</v>
      </c>
      <c r="R1339" s="34" t="str">
        <f>VLOOKUP(E1339,Sales_Reps!$A$2:$E$100,3,FALSE)</f>
        <v>South</v>
      </c>
      <c r="S1339" s="34" t="str">
        <f t="shared" si="45"/>
        <v>Beauty</v>
      </c>
      <c r="T1339" s="38">
        <f>VLOOKUP(D1339,Products!$A$2:$F$68,4,FALSE)</f>
        <v>1222</v>
      </c>
    </row>
    <row r="1340" spans="1:20" x14ac:dyDescent="0.35">
      <c r="A1340" s="13" t="s">
        <v>1829</v>
      </c>
      <c r="B1340" s="14">
        <v>45566</v>
      </c>
      <c r="C1340" s="13" t="s">
        <v>717</v>
      </c>
      <c r="D1340" s="13" t="s">
        <v>237</v>
      </c>
      <c r="E1340" s="13" t="s">
        <v>303</v>
      </c>
      <c r="F1340" s="15">
        <v>7</v>
      </c>
      <c r="G1340" s="15">
        <v>3640</v>
      </c>
      <c r="H1340" s="15">
        <v>25.5</v>
      </c>
      <c r="I1340" s="15">
        <v>18982.599999999999</v>
      </c>
      <c r="J1340" s="13" t="s">
        <v>87</v>
      </c>
      <c r="K1340" s="13" t="s">
        <v>94</v>
      </c>
      <c r="L1340" s="34" t="str">
        <f>VLOOKUP(D1340,Products!$A$2:$F$61,3,FALSE)</f>
        <v>Apparel</v>
      </c>
      <c r="M1340" s="34" t="str">
        <f>VLOOKUP(C1340,Customers!$A$2:$F$301,5,FALSE)</f>
        <v>Retail</v>
      </c>
      <c r="N1340" s="34">
        <f>VLOOKUP(C1340,Customers!$A$2:$F$301,3,FALSE)</f>
        <v>24</v>
      </c>
      <c r="O1340" s="34" t="str">
        <f>VLOOKUP(E1340,Sales_Reps!$A$2:$E$31,3,FALSE)</f>
        <v>East</v>
      </c>
      <c r="P1340" s="13" t="s">
        <v>303</v>
      </c>
      <c r="Q1340" s="34">
        <f t="shared" si="44"/>
        <v>1112289.6400000001</v>
      </c>
      <c r="R1340" s="34" t="str">
        <f>VLOOKUP(E1340,Sales_Reps!$A$2:$E$100,3,FALSE)</f>
        <v>East</v>
      </c>
      <c r="S1340" s="34" t="str">
        <f t="shared" si="45"/>
        <v>Apparel</v>
      </c>
      <c r="T1340" s="38">
        <f>VLOOKUP(D1340,Products!$A$2:$F$68,4,FALSE)</f>
        <v>2611</v>
      </c>
    </row>
    <row r="1341" spans="1:20" x14ac:dyDescent="0.35">
      <c r="A1341" s="13" t="s">
        <v>1830</v>
      </c>
      <c r="B1341" s="14">
        <v>45643</v>
      </c>
      <c r="C1341" s="13" t="s">
        <v>236</v>
      </c>
      <c r="D1341" s="13" t="s">
        <v>184</v>
      </c>
      <c r="E1341" s="13" t="s">
        <v>229</v>
      </c>
      <c r="F1341" s="15">
        <v>6</v>
      </c>
      <c r="G1341" s="15">
        <v>4880</v>
      </c>
      <c r="H1341" s="15">
        <v>12.6</v>
      </c>
      <c r="I1341" s="15">
        <v>25590.720000000001</v>
      </c>
      <c r="J1341" s="13" t="s">
        <v>140</v>
      </c>
      <c r="K1341" s="13" t="s">
        <v>133</v>
      </c>
      <c r="L1341" s="34" t="str">
        <f>VLOOKUP(D1341,Products!$A$2:$F$61,3,FALSE)</f>
        <v>Beauty</v>
      </c>
      <c r="M1341" s="34" t="str">
        <f>VLOOKUP(C1341,Customers!$A$2:$F$301,5,FALSE)</f>
        <v>Retail</v>
      </c>
      <c r="N1341" s="34">
        <f>VLOOKUP(C1341,Customers!$A$2:$F$301,3,FALSE)</f>
        <v>64</v>
      </c>
      <c r="O1341" s="34" t="str">
        <f>VLOOKUP(E1341,Sales_Reps!$A$2:$E$31,3,FALSE)</f>
        <v>West</v>
      </c>
      <c r="P1341" s="13" t="s">
        <v>229</v>
      </c>
      <c r="Q1341" s="34">
        <f t="shared" si="44"/>
        <v>1016696.8000000002</v>
      </c>
      <c r="R1341" s="34" t="str">
        <f>VLOOKUP(E1341,Sales_Reps!$A$2:$E$100,3,FALSE)</f>
        <v>West</v>
      </c>
      <c r="S1341" s="34" t="str">
        <f t="shared" si="45"/>
        <v>Beauty</v>
      </c>
      <c r="T1341" s="38">
        <f>VLOOKUP(D1341,Products!$A$2:$F$68,4,FALSE)</f>
        <v>2768</v>
      </c>
    </row>
    <row r="1342" spans="1:20" x14ac:dyDescent="0.35">
      <c r="A1342" s="13" t="s">
        <v>1831</v>
      </c>
      <c r="B1342" s="14">
        <v>45422</v>
      </c>
      <c r="C1342" s="13" t="s">
        <v>900</v>
      </c>
      <c r="D1342" s="13" t="s">
        <v>364</v>
      </c>
      <c r="E1342" s="13" t="s">
        <v>128</v>
      </c>
      <c r="F1342" s="15">
        <v>4</v>
      </c>
      <c r="G1342" s="15">
        <v>5330</v>
      </c>
      <c r="H1342" s="15">
        <v>16.2</v>
      </c>
      <c r="I1342" s="15">
        <v>17866.16</v>
      </c>
      <c r="J1342" s="13" t="s">
        <v>87</v>
      </c>
      <c r="K1342" s="13" t="s">
        <v>117</v>
      </c>
      <c r="L1342" s="34" t="str">
        <f>VLOOKUP(D1342,Products!$A$2:$F$61,3,FALSE)</f>
        <v>Electronics</v>
      </c>
      <c r="M1342" s="34" t="str">
        <f>VLOOKUP(C1342,Customers!$A$2:$F$301,5,FALSE)</f>
        <v>Retail</v>
      </c>
      <c r="N1342" s="34">
        <f>VLOOKUP(C1342,Customers!$A$2:$F$301,3,FALSE)</f>
        <v>35</v>
      </c>
      <c r="O1342" s="34" t="str">
        <f>VLOOKUP(E1342,Sales_Reps!$A$2:$E$31,3,FALSE)</f>
        <v>West</v>
      </c>
      <c r="P1342" s="13" t="s">
        <v>128</v>
      </c>
      <c r="Q1342" s="34">
        <f t="shared" si="44"/>
        <v>880468.05</v>
      </c>
      <c r="R1342" s="34" t="str">
        <f>VLOOKUP(E1342,Sales_Reps!$A$2:$E$100,3,FALSE)</f>
        <v>West</v>
      </c>
      <c r="S1342" s="34" t="str">
        <f t="shared" si="45"/>
        <v>Electronics</v>
      </c>
      <c r="T1342" s="38">
        <f>VLOOKUP(D1342,Products!$A$2:$F$68,4,FALSE)</f>
        <v>2405</v>
      </c>
    </row>
    <row r="1343" spans="1:20" x14ac:dyDescent="0.35">
      <c r="A1343" s="13" t="s">
        <v>1832</v>
      </c>
      <c r="B1343" s="14">
        <v>45400</v>
      </c>
      <c r="C1343" s="13" t="s">
        <v>479</v>
      </c>
      <c r="D1343" s="13" t="s">
        <v>124</v>
      </c>
      <c r="E1343" s="13" t="s">
        <v>154</v>
      </c>
      <c r="F1343" s="15">
        <v>3</v>
      </c>
      <c r="G1343" s="15">
        <v>5490</v>
      </c>
      <c r="H1343" s="15">
        <v>26.7</v>
      </c>
      <c r="I1343" s="15">
        <v>12072.51</v>
      </c>
      <c r="J1343" s="13" t="s">
        <v>87</v>
      </c>
      <c r="K1343" s="13" t="s">
        <v>88</v>
      </c>
      <c r="L1343" s="34" t="str">
        <f>VLOOKUP(D1343,Products!$A$2:$F$61,3,FALSE)</f>
        <v>Home</v>
      </c>
      <c r="M1343" s="34" t="str">
        <f>VLOOKUP(C1343,Customers!$A$2:$F$301,5,FALSE)</f>
        <v>SMB</v>
      </c>
      <c r="N1343" s="34">
        <f>VLOOKUP(C1343,Customers!$A$2:$F$301,3,FALSE)</f>
        <v>49</v>
      </c>
      <c r="O1343" s="34" t="str">
        <f>VLOOKUP(E1343,Sales_Reps!$A$2:$E$31,3,FALSE)</f>
        <v>East</v>
      </c>
      <c r="P1343" s="13" t="s">
        <v>154</v>
      </c>
      <c r="Q1343" s="34">
        <f t="shared" si="44"/>
        <v>983787.4800000001</v>
      </c>
      <c r="R1343" s="34" t="str">
        <f>VLOOKUP(E1343,Sales_Reps!$A$2:$E$100,3,FALSE)</f>
        <v>East</v>
      </c>
      <c r="S1343" s="34" t="str">
        <f t="shared" si="45"/>
        <v>Home</v>
      </c>
      <c r="T1343" s="38">
        <f>VLOOKUP(D1343,Products!$A$2:$F$68,4,FALSE)</f>
        <v>2549</v>
      </c>
    </row>
    <row r="1344" spans="1:20" x14ac:dyDescent="0.35">
      <c r="A1344" s="13" t="s">
        <v>1833</v>
      </c>
      <c r="B1344" s="14">
        <v>45564</v>
      </c>
      <c r="C1344" s="13" t="s">
        <v>178</v>
      </c>
      <c r="D1344" s="13" t="s">
        <v>147</v>
      </c>
      <c r="E1344" s="13" t="s">
        <v>297</v>
      </c>
      <c r="F1344" s="15">
        <v>7</v>
      </c>
      <c r="G1344" s="15">
        <v>190</v>
      </c>
      <c r="H1344" s="15">
        <v>11.6</v>
      </c>
      <c r="I1344" s="15">
        <v>1175.72</v>
      </c>
      <c r="J1344" s="13" t="s">
        <v>87</v>
      </c>
      <c r="K1344" s="13" t="s">
        <v>94</v>
      </c>
      <c r="L1344" s="34" t="str">
        <f>VLOOKUP(D1344,Products!$A$2:$F$61,3,FALSE)</f>
        <v>Sports</v>
      </c>
      <c r="M1344" s="34" t="str">
        <f>VLOOKUP(C1344,Customers!$A$2:$F$301,5,FALSE)</f>
        <v>Corporate</v>
      </c>
      <c r="N1344" s="34">
        <f>VLOOKUP(C1344,Customers!$A$2:$F$301,3,FALSE)</f>
        <v>55</v>
      </c>
      <c r="O1344" s="34" t="str">
        <f>VLOOKUP(E1344,Sales_Reps!$A$2:$E$31,3,FALSE)</f>
        <v>North</v>
      </c>
      <c r="P1344" s="13" t="s">
        <v>297</v>
      </c>
      <c r="Q1344" s="34">
        <f t="shared" si="44"/>
        <v>980063.65999999968</v>
      </c>
      <c r="R1344" s="34" t="str">
        <f>VLOOKUP(E1344,Sales_Reps!$A$2:$E$100,3,FALSE)</f>
        <v>North</v>
      </c>
      <c r="S1344" s="34" t="str">
        <f t="shared" si="45"/>
        <v>Sports</v>
      </c>
      <c r="T1344" s="38">
        <f>VLOOKUP(D1344,Products!$A$2:$F$68,4,FALSE)</f>
        <v>147</v>
      </c>
    </row>
    <row r="1345" spans="1:20" x14ac:dyDescent="0.35">
      <c r="A1345" s="13" t="s">
        <v>1834</v>
      </c>
      <c r="B1345" s="14">
        <v>45437</v>
      </c>
      <c r="C1345" s="13" t="s">
        <v>114</v>
      </c>
      <c r="D1345" s="13" t="s">
        <v>106</v>
      </c>
      <c r="E1345" s="13" t="s">
        <v>346</v>
      </c>
      <c r="F1345" s="15">
        <v>5</v>
      </c>
      <c r="G1345" s="15">
        <v>3160</v>
      </c>
      <c r="H1345" s="15">
        <v>24.1</v>
      </c>
      <c r="I1345" s="15">
        <v>11992.2</v>
      </c>
      <c r="J1345" s="13" t="s">
        <v>87</v>
      </c>
      <c r="K1345" s="13" t="s">
        <v>117</v>
      </c>
      <c r="L1345" s="34" t="str">
        <f>VLOOKUP(D1345,Products!$A$2:$F$61,3,FALSE)</f>
        <v>Apparel</v>
      </c>
      <c r="M1345" s="34" t="str">
        <f>VLOOKUP(C1345,Customers!$A$2:$F$301,5,FALSE)</f>
        <v>Retail</v>
      </c>
      <c r="N1345" s="34">
        <f>VLOOKUP(C1345,Customers!$A$2:$F$301,3,FALSE)</f>
        <v>27</v>
      </c>
      <c r="O1345" s="34" t="str">
        <f>VLOOKUP(E1345,Sales_Reps!$A$2:$E$31,3,FALSE)</f>
        <v>South</v>
      </c>
      <c r="P1345" s="13" t="s">
        <v>346</v>
      </c>
      <c r="Q1345" s="34">
        <f t="shared" si="44"/>
        <v>814563.7100000002</v>
      </c>
      <c r="R1345" s="34" t="str">
        <f>VLOOKUP(E1345,Sales_Reps!$A$2:$E$100,3,FALSE)</f>
        <v>South</v>
      </c>
      <c r="S1345" s="34" t="str">
        <f t="shared" si="45"/>
        <v>Apparel</v>
      </c>
      <c r="T1345" s="38">
        <f>VLOOKUP(D1345,Products!$A$2:$F$68,4,FALSE)</f>
        <v>1886</v>
      </c>
    </row>
    <row r="1346" spans="1:20" x14ac:dyDescent="0.35">
      <c r="A1346" s="13" t="s">
        <v>1835</v>
      </c>
      <c r="B1346" s="14">
        <v>45395</v>
      </c>
      <c r="C1346" s="13" t="s">
        <v>385</v>
      </c>
      <c r="D1346" s="13" t="s">
        <v>502</v>
      </c>
      <c r="E1346" s="13" t="s">
        <v>154</v>
      </c>
      <c r="F1346" s="15">
        <v>1</v>
      </c>
      <c r="G1346" s="15">
        <v>1090</v>
      </c>
      <c r="H1346" s="15">
        <v>9.6</v>
      </c>
      <c r="I1346" s="15">
        <v>985.36</v>
      </c>
      <c r="J1346" s="13" t="s">
        <v>144</v>
      </c>
      <c r="K1346" s="13" t="s">
        <v>117</v>
      </c>
      <c r="L1346" s="34" t="str">
        <f>VLOOKUP(D1346,Products!$A$2:$F$61,3,FALSE)</f>
        <v>Home</v>
      </c>
      <c r="M1346" s="34" t="str">
        <f>VLOOKUP(C1346,Customers!$A$2:$F$301,5,FALSE)</f>
        <v>Retail</v>
      </c>
      <c r="N1346" s="34">
        <f>VLOOKUP(C1346,Customers!$A$2:$F$301,3,FALSE)</f>
        <v>23</v>
      </c>
      <c r="O1346" s="34" t="str">
        <f>VLOOKUP(E1346,Sales_Reps!$A$2:$E$31,3,FALSE)</f>
        <v>East</v>
      </c>
      <c r="P1346" s="13" t="s">
        <v>154</v>
      </c>
      <c r="Q1346" s="34">
        <f t="shared" si="44"/>
        <v>983787.4800000001</v>
      </c>
      <c r="R1346" s="34" t="str">
        <f>VLOOKUP(E1346,Sales_Reps!$A$2:$E$100,3,FALSE)</f>
        <v>East</v>
      </c>
      <c r="S1346" s="34" t="str">
        <f t="shared" si="45"/>
        <v>Home</v>
      </c>
      <c r="T1346" s="38">
        <f>VLOOKUP(D1346,Products!$A$2:$F$68,4,FALSE)</f>
        <v>464</v>
      </c>
    </row>
    <row r="1347" spans="1:20" x14ac:dyDescent="0.35">
      <c r="A1347" s="13" t="s">
        <v>1836</v>
      </c>
      <c r="B1347" s="14">
        <v>45447</v>
      </c>
      <c r="C1347" s="13" t="s">
        <v>382</v>
      </c>
      <c r="D1347" s="13" t="s">
        <v>110</v>
      </c>
      <c r="E1347" s="13" t="s">
        <v>139</v>
      </c>
      <c r="F1347" s="15">
        <v>9</v>
      </c>
      <c r="G1347" s="15">
        <v>370</v>
      </c>
      <c r="H1347" s="15">
        <v>4</v>
      </c>
      <c r="I1347" s="15">
        <v>3196.8</v>
      </c>
      <c r="J1347" s="13" t="s">
        <v>87</v>
      </c>
      <c r="K1347" s="13" t="s">
        <v>99</v>
      </c>
      <c r="L1347" s="34" t="str">
        <f>VLOOKUP(D1347,Products!$A$2:$F$61,3,FALSE)</f>
        <v>Home</v>
      </c>
      <c r="M1347" s="34" t="str">
        <f>VLOOKUP(C1347,Customers!$A$2:$F$301,5,FALSE)</f>
        <v>Corporate</v>
      </c>
      <c r="N1347" s="34">
        <f>VLOOKUP(C1347,Customers!$A$2:$F$301,3,FALSE)</f>
        <v>27</v>
      </c>
      <c r="O1347" s="34" t="str">
        <f>VLOOKUP(E1347,Sales_Reps!$A$2:$E$31,3,FALSE)</f>
        <v>North</v>
      </c>
      <c r="P1347" s="13" t="s">
        <v>139</v>
      </c>
      <c r="Q1347" s="34">
        <f t="shared" ref="Q1347:Q1410" si="46">SUMIFS($I:$I,$E:$E,P1347)</f>
        <v>589026.2899999998</v>
      </c>
      <c r="R1347" s="34" t="str">
        <f>VLOOKUP(E1347,Sales_Reps!$A$2:$E$100,3,FALSE)</f>
        <v>North</v>
      </c>
      <c r="S1347" s="34" t="str">
        <f t="shared" ref="S1347:S1410" si="47">L1347</f>
        <v>Home</v>
      </c>
      <c r="T1347" s="38">
        <f>VLOOKUP(D1347,Products!$A$2:$F$68,4,FALSE)</f>
        <v>288</v>
      </c>
    </row>
    <row r="1348" spans="1:20" x14ac:dyDescent="0.35">
      <c r="A1348" s="13" t="s">
        <v>1837</v>
      </c>
      <c r="B1348" s="14">
        <v>45300</v>
      </c>
      <c r="C1348" s="13" t="s">
        <v>217</v>
      </c>
      <c r="D1348" s="13" t="s">
        <v>279</v>
      </c>
      <c r="E1348" s="13" t="s">
        <v>297</v>
      </c>
      <c r="F1348" s="15">
        <v>5</v>
      </c>
      <c r="G1348" s="15">
        <v>2660</v>
      </c>
      <c r="H1348" s="15">
        <v>24.6</v>
      </c>
      <c r="I1348" s="15">
        <v>10028.200000000001</v>
      </c>
      <c r="J1348" s="13" t="s">
        <v>140</v>
      </c>
      <c r="K1348" s="13" t="s">
        <v>94</v>
      </c>
      <c r="L1348" s="34" t="str">
        <f>VLOOKUP(D1348,Products!$A$2:$F$61,3,FALSE)</f>
        <v>Electronics</v>
      </c>
      <c r="M1348" s="34" t="str">
        <f>VLOOKUP(C1348,Customers!$A$2:$F$301,5,FALSE)</f>
        <v>Retail</v>
      </c>
      <c r="N1348" s="34">
        <f>VLOOKUP(C1348,Customers!$A$2:$F$301,3,FALSE)</f>
        <v>51</v>
      </c>
      <c r="O1348" s="34" t="str">
        <f>VLOOKUP(E1348,Sales_Reps!$A$2:$E$31,3,FALSE)</f>
        <v>North</v>
      </c>
      <c r="P1348" s="13" t="s">
        <v>297</v>
      </c>
      <c r="Q1348" s="34">
        <f t="shared" si="46"/>
        <v>980063.65999999968</v>
      </c>
      <c r="R1348" s="34" t="str">
        <f>VLOOKUP(E1348,Sales_Reps!$A$2:$E$100,3,FALSE)</f>
        <v>North</v>
      </c>
      <c r="S1348" s="34" t="str">
        <f t="shared" si="47"/>
        <v>Electronics</v>
      </c>
      <c r="T1348" s="38">
        <f>VLOOKUP(D1348,Products!$A$2:$F$68,4,FALSE)</f>
        <v>1259</v>
      </c>
    </row>
    <row r="1349" spans="1:20" x14ac:dyDescent="0.35">
      <c r="A1349" s="13" t="s">
        <v>1838</v>
      </c>
      <c r="B1349" s="14">
        <v>45327</v>
      </c>
      <c r="C1349" s="13" t="s">
        <v>1361</v>
      </c>
      <c r="D1349" s="13" t="s">
        <v>659</v>
      </c>
      <c r="E1349" s="13" t="s">
        <v>303</v>
      </c>
      <c r="F1349" s="15">
        <v>4</v>
      </c>
      <c r="G1349" s="15">
        <v>3560</v>
      </c>
      <c r="H1349" s="15">
        <v>25.7</v>
      </c>
      <c r="I1349" s="15">
        <v>10580.32</v>
      </c>
      <c r="J1349" s="13" t="s">
        <v>87</v>
      </c>
      <c r="K1349" s="13" t="s">
        <v>94</v>
      </c>
      <c r="L1349" s="34" t="str">
        <f>VLOOKUP(D1349,Products!$A$2:$F$61,3,FALSE)</f>
        <v>Apparel</v>
      </c>
      <c r="M1349" s="34" t="str">
        <f>VLOOKUP(C1349,Customers!$A$2:$F$301,5,FALSE)</f>
        <v>Retail</v>
      </c>
      <c r="N1349" s="34">
        <f>VLOOKUP(C1349,Customers!$A$2:$F$301,3,FALSE)</f>
        <v>34</v>
      </c>
      <c r="O1349" s="34" t="str">
        <f>VLOOKUP(E1349,Sales_Reps!$A$2:$E$31,3,FALSE)</f>
        <v>East</v>
      </c>
      <c r="P1349" s="13" t="s">
        <v>303</v>
      </c>
      <c r="Q1349" s="34">
        <f t="shared" si="46"/>
        <v>1112289.6400000001</v>
      </c>
      <c r="R1349" s="34" t="str">
        <f>VLOOKUP(E1349,Sales_Reps!$A$2:$E$100,3,FALSE)</f>
        <v>East</v>
      </c>
      <c r="S1349" s="34" t="str">
        <f t="shared" si="47"/>
        <v>Apparel</v>
      </c>
      <c r="T1349" s="38">
        <f>VLOOKUP(D1349,Products!$A$2:$F$68,4,FALSE)</f>
        <v>2629</v>
      </c>
    </row>
    <row r="1350" spans="1:20" x14ac:dyDescent="0.35">
      <c r="A1350" s="13" t="s">
        <v>1839</v>
      </c>
      <c r="B1350" s="14">
        <v>45410</v>
      </c>
      <c r="C1350" s="13" t="s">
        <v>986</v>
      </c>
      <c r="D1350" s="13" t="s">
        <v>380</v>
      </c>
      <c r="E1350" s="13" t="s">
        <v>92</v>
      </c>
      <c r="F1350" s="15">
        <v>8</v>
      </c>
      <c r="G1350" s="15">
        <v>960</v>
      </c>
      <c r="H1350" s="15">
        <v>0.1</v>
      </c>
      <c r="I1350" s="15">
        <v>7672.32</v>
      </c>
      <c r="J1350" s="13" t="s">
        <v>87</v>
      </c>
      <c r="K1350" s="13" t="s">
        <v>94</v>
      </c>
      <c r="L1350" s="34" t="str">
        <f>VLOOKUP(D1350,Products!$A$2:$F$61,3,FALSE)</f>
        <v>Beauty</v>
      </c>
      <c r="M1350" s="34" t="str">
        <f>VLOOKUP(C1350,Customers!$A$2:$F$301,5,FALSE)</f>
        <v>Corporate</v>
      </c>
      <c r="N1350" s="34">
        <f>VLOOKUP(C1350,Customers!$A$2:$F$301,3,FALSE)</f>
        <v>52</v>
      </c>
      <c r="O1350" s="34" t="str">
        <f>VLOOKUP(E1350,Sales_Reps!$A$2:$E$31,3,FALSE)</f>
        <v>North</v>
      </c>
      <c r="P1350" s="13" t="s">
        <v>92</v>
      </c>
      <c r="Q1350" s="34">
        <f t="shared" si="46"/>
        <v>782445.33</v>
      </c>
      <c r="R1350" s="34" t="str">
        <f>VLOOKUP(E1350,Sales_Reps!$A$2:$E$100,3,FALSE)</f>
        <v>North</v>
      </c>
      <c r="S1350" s="34" t="str">
        <f t="shared" si="47"/>
        <v>Beauty</v>
      </c>
      <c r="T1350" s="38">
        <f>VLOOKUP(D1350,Products!$A$2:$F$68,4,FALSE)</f>
        <v>675</v>
      </c>
    </row>
    <row r="1351" spans="1:20" x14ac:dyDescent="0.35">
      <c r="A1351" s="13" t="s">
        <v>1840</v>
      </c>
      <c r="B1351" s="14">
        <v>45644</v>
      </c>
      <c r="C1351" s="13" t="s">
        <v>225</v>
      </c>
      <c r="D1351" s="13" t="s">
        <v>110</v>
      </c>
      <c r="E1351" s="13" t="s">
        <v>116</v>
      </c>
      <c r="F1351" s="15">
        <v>10</v>
      </c>
      <c r="G1351" s="15">
        <v>370</v>
      </c>
      <c r="H1351" s="15">
        <v>16.399999999999999</v>
      </c>
      <c r="I1351" s="15">
        <v>3093.2</v>
      </c>
      <c r="J1351" s="13" t="s">
        <v>140</v>
      </c>
      <c r="K1351" s="13" t="s">
        <v>94</v>
      </c>
      <c r="L1351" s="34" t="str">
        <f>VLOOKUP(D1351,Products!$A$2:$F$61,3,FALSE)</f>
        <v>Home</v>
      </c>
      <c r="M1351" s="34" t="str">
        <f>VLOOKUP(C1351,Customers!$A$2:$F$301,5,FALSE)</f>
        <v>Retail</v>
      </c>
      <c r="N1351" s="34">
        <f>VLOOKUP(C1351,Customers!$A$2:$F$301,3,FALSE)</f>
        <v>37</v>
      </c>
      <c r="O1351" s="34" t="str">
        <f>VLOOKUP(E1351,Sales_Reps!$A$2:$E$31,3,FALSE)</f>
        <v>West</v>
      </c>
      <c r="P1351" s="13" t="s">
        <v>116</v>
      </c>
      <c r="Q1351" s="34">
        <f t="shared" si="46"/>
        <v>819558.58</v>
      </c>
      <c r="R1351" s="34" t="str">
        <f>VLOOKUP(E1351,Sales_Reps!$A$2:$E$100,3,FALSE)</f>
        <v>West</v>
      </c>
      <c r="S1351" s="34" t="str">
        <f t="shared" si="47"/>
        <v>Home</v>
      </c>
      <c r="T1351" s="38">
        <f>VLOOKUP(D1351,Products!$A$2:$F$68,4,FALSE)</f>
        <v>288</v>
      </c>
    </row>
    <row r="1352" spans="1:20" x14ac:dyDescent="0.35">
      <c r="A1352" s="13" t="s">
        <v>1841</v>
      </c>
      <c r="B1352" s="14">
        <v>45399</v>
      </c>
      <c r="C1352" s="13" t="s">
        <v>837</v>
      </c>
      <c r="D1352" s="13" t="s">
        <v>173</v>
      </c>
      <c r="E1352" s="13" t="s">
        <v>229</v>
      </c>
      <c r="F1352" s="15">
        <v>4</v>
      </c>
      <c r="G1352" s="15">
        <v>2720</v>
      </c>
      <c r="H1352" s="15">
        <v>3.1</v>
      </c>
      <c r="I1352" s="15">
        <v>10542.72</v>
      </c>
      <c r="J1352" s="13" t="s">
        <v>87</v>
      </c>
      <c r="K1352" s="13" t="s">
        <v>117</v>
      </c>
      <c r="L1352" s="34" t="str">
        <f>VLOOKUP(D1352,Products!$A$2:$F$61,3,FALSE)</f>
        <v>Apparel</v>
      </c>
      <c r="M1352" s="34" t="str">
        <f>VLOOKUP(C1352,Customers!$A$2:$F$301,5,FALSE)</f>
        <v>Retail</v>
      </c>
      <c r="N1352" s="34">
        <f>VLOOKUP(C1352,Customers!$A$2:$F$301,3,FALSE)</f>
        <v>37</v>
      </c>
      <c r="O1352" s="34" t="str">
        <f>VLOOKUP(E1352,Sales_Reps!$A$2:$E$31,3,FALSE)</f>
        <v>West</v>
      </c>
      <c r="P1352" s="13" t="s">
        <v>229</v>
      </c>
      <c r="Q1352" s="34">
        <f t="shared" si="46"/>
        <v>1016696.8000000002</v>
      </c>
      <c r="R1352" s="34" t="str">
        <f>VLOOKUP(E1352,Sales_Reps!$A$2:$E$100,3,FALSE)</f>
        <v>West</v>
      </c>
      <c r="S1352" s="34" t="str">
        <f t="shared" si="47"/>
        <v>Apparel</v>
      </c>
      <c r="T1352" s="38">
        <f>VLOOKUP(D1352,Products!$A$2:$F$68,4,FALSE)</f>
        <v>1962</v>
      </c>
    </row>
    <row r="1353" spans="1:20" x14ac:dyDescent="0.35">
      <c r="A1353" s="13" t="s">
        <v>1842</v>
      </c>
      <c r="B1353" s="14">
        <v>45441</v>
      </c>
      <c r="C1353" s="13" t="s">
        <v>405</v>
      </c>
      <c r="D1353" s="13" t="s">
        <v>443</v>
      </c>
      <c r="E1353" s="13" t="s">
        <v>92</v>
      </c>
      <c r="F1353" s="15">
        <v>10</v>
      </c>
      <c r="G1353" s="15">
        <v>5080</v>
      </c>
      <c r="H1353" s="15">
        <v>6.8</v>
      </c>
      <c r="I1353" s="15">
        <v>47345.599999999999</v>
      </c>
      <c r="J1353" s="13" t="s">
        <v>87</v>
      </c>
      <c r="K1353" s="13" t="s">
        <v>94</v>
      </c>
      <c r="L1353" s="34" t="str">
        <f>VLOOKUP(D1353,Products!$A$2:$F$61,3,FALSE)</f>
        <v>Home</v>
      </c>
      <c r="M1353" s="34" t="str">
        <f>VLOOKUP(C1353,Customers!$A$2:$F$301,5,FALSE)</f>
        <v>Corporate</v>
      </c>
      <c r="N1353" s="34">
        <f>VLOOKUP(C1353,Customers!$A$2:$F$301,3,FALSE)</f>
        <v>24</v>
      </c>
      <c r="O1353" s="34" t="str">
        <f>VLOOKUP(E1353,Sales_Reps!$A$2:$E$31,3,FALSE)</f>
        <v>North</v>
      </c>
      <c r="P1353" s="13" t="s">
        <v>92</v>
      </c>
      <c r="Q1353" s="34">
        <f t="shared" si="46"/>
        <v>782445.33</v>
      </c>
      <c r="R1353" s="34" t="str">
        <f>VLOOKUP(E1353,Sales_Reps!$A$2:$E$100,3,FALSE)</f>
        <v>North</v>
      </c>
      <c r="S1353" s="34" t="str">
        <f t="shared" si="47"/>
        <v>Home</v>
      </c>
      <c r="T1353" s="38">
        <f>VLOOKUP(D1353,Products!$A$2:$F$68,4,FALSE)</f>
        <v>2459</v>
      </c>
    </row>
    <row r="1354" spans="1:20" x14ac:dyDescent="0.35">
      <c r="A1354" s="13" t="s">
        <v>1843</v>
      </c>
      <c r="B1354" s="14">
        <v>45379</v>
      </c>
      <c r="C1354" s="13" t="s">
        <v>1534</v>
      </c>
      <c r="D1354" s="13" t="s">
        <v>386</v>
      </c>
      <c r="E1354" s="13" t="s">
        <v>107</v>
      </c>
      <c r="F1354" s="15">
        <v>6</v>
      </c>
      <c r="G1354" s="15">
        <v>2290</v>
      </c>
      <c r="H1354" s="15">
        <v>22.6</v>
      </c>
      <c r="I1354" s="15">
        <v>10634.76</v>
      </c>
      <c r="J1354" s="13" t="s">
        <v>87</v>
      </c>
      <c r="K1354" s="13" t="s">
        <v>133</v>
      </c>
      <c r="L1354" s="34" t="str">
        <f>VLOOKUP(D1354,Products!$A$2:$F$61,3,FALSE)</f>
        <v>Beauty</v>
      </c>
      <c r="M1354" s="34" t="str">
        <f>VLOOKUP(C1354,Customers!$A$2:$F$301,5,FALSE)</f>
        <v>Corporate</v>
      </c>
      <c r="N1354" s="34">
        <f>VLOOKUP(C1354,Customers!$A$2:$F$301,3,FALSE)</f>
        <v>25</v>
      </c>
      <c r="O1354" s="34" t="str">
        <f>VLOOKUP(E1354,Sales_Reps!$A$2:$E$31,3,FALSE)</f>
        <v>North</v>
      </c>
      <c r="P1354" s="13" t="s">
        <v>107</v>
      </c>
      <c r="Q1354" s="34">
        <f t="shared" si="46"/>
        <v>861553.33</v>
      </c>
      <c r="R1354" s="34" t="str">
        <f>VLOOKUP(E1354,Sales_Reps!$A$2:$E$100,3,FALSE)</f>
        <v>North</v>
      </c>
      <c r="S1354" s="34" t="str">
        <f t="shared" si="47"/>
        <v>Beauty</v>
      </c>
      <c r="T1354" s="38">
        <f>VLOOKUP(D1354,Products!$A$2:$F$68,4,FALSE)</f>
        <v>1219</v>
      </c>
    </row>
    <row r="1355" spans="1:20" x14ac:dyDescent="0.35">
      <c r="A1355" s="13" t="s">
        <v>1844</v>
      </c>
      <c r="B1355" s="14">
        <v>45502</v>
      </c>
      <c r="C1355" s="13" t="s">
        <v>768</v>
      </c>
      <c r="D1355" s="13" t="s">
        <v>200</v>
      </c>
      <c r="E1355" s="13" t="s">
        <v>103</v>
      </c>
      <c r="F1355" s="15">
        <v>4</v>
      </c>
      <c r="G1355" s="15">
        <v>2760</v>
      </c>
      <c r="H1355" s="15">
        <v>27.2</v>
      </c>
      <c r="I1355" s="15">
        <v>8037.12</v>
      </c>
      <c r="J1355" s="13" t="s">
        <v>144</v>
      </c>
      <c r="K1355" s="13" t="s">
        <v>88</v>
      </c>
      <c r="L1355" s="34" t="str">
        <f>VLOOKUP(D1355,Products!$A$2:$F$61,3,FALSE)</f>
        <v>Grocery</v>
      </c>
      <c r="M1355" s="34" t="str">
        <f>VLOOKUP(C1355,Customers!$A$2:$F$301,5,FALSE)</f>
        <v>Corporate</v>
      </c>
      <c r="N1355" s="34">
        <f>VLOOKUP(C1355,Customers!$A$2:$F$301,3,FALSE)</f>
        <v>42</v>
      </c>
      <c r="O1355" s="34" t="str">
        <f>VLOOKUP(E1355,Sales_Reps!$A$2:$E$31,3,FALSE)</f>
        <v>North</v>
      </c>
      <c r="P1355" s="13" t="s">
        <v>103</v>
      </c>
      <c r="Q1355" s="34">
        <f t="shared" si="46"/>
        <v>1138648.73</v>
      </c>
      <c r="R1355" s="34" t="str">
        <f>VLOOKUP(E1355,Sales_Reps!$A$2:$E$100,3,FALSE)</f>
        <v>North</v>
      </c>
      <c r="S1355" s="34" t="str">
        <f t="shared" si="47"/>
        <v>Grocery</v>
      </c>
      <c r="T1355" s="38">
        <f>VLOOKUP(D1355,Products!$A$2:$F$68,4,FALSE)</f>
        <v>1435</v>
      </c>
    </row>
    <row r="1356" spans="1:20" x14ac:dyDescent="0.35">
      <c r="A1356" s="13" t="s">
        <v>1845</v>
      </c>
      <c r="B1356" s="14">
        <v>45466</v>
      </c>
      <c r="C1356" s="13" t="s">
        <v>442</v>
      </c>
      <c r="D1356" s="13" t="s">
        <v>131</v>
      </c>
      <c r="E1356" s="13" t="s">
        <v>343</v>
      </c>
      <c r="F1356" s="15">
        <v>9</v>
      </c>
      <c r="G1356" s="15">
        <v>2270</v>
      </c>
      <c r="H1356" s="15">
        <v>5.2</v>
      </c>
      <c r="I1356" s="15">
        <v>19367.64</v>
      </c>
      <c r="J1356" s="13" t="s">
        <v>87</v>
      </c>
      <c r="K1356" s="13" t="s">
        <v>88</v>
      </c>
      <c r="L1356" s="34" t="str">
        <f>VLOOKUP(D1356,Products!$A$2:$F$61,3,FALSE)</f>
        <v>Grocery</v>
      </c>
      <c r="M1356" s="34" t="str">
        <f>VLOOKUP(C1356,Customers!$A$2:$F$301,5,FALSE)</f>
        <v>Retail</v>
      </c>
      <c r="N1356" s="34">
        <f>VLOOKUP(C1356,Customers!$A$2:$F$301,3,FALSE)</f>
        <v>65</v>
      </c>
      <c r="O1356" s="34" t="str">
        <f>VLOOKUP(E1356,Sales_Reps!$A$2:$E$31,3,FALSE)</f>
        <v>West</v>
      </c>
      <c r="P1356" s="13" t="s">
        <v>343</v>
      </c>
      <c r="Q1356" s="34">
        <f t="shared" si="46"/>
        <v>917092.61999999965</v>
      </c>
      <c r="R1356" s="34" t="str">
        <f>VLOOKUP(E1356,Sales_Reps!$A$2:$E$100,3,FALSE)</f>
        <v>West</v>
      </c>
      <c r="S1356" s="34" t="str">
        <f t="shared" si="47"/>
        <v>Grocery</v>
      </c>
      <c r="T1356" s="38">
        <f>VLOOKUP(D1356,Products!$A$2:$F$68,4,FALSE)</f>
        <v>1203</v>
      </c>
    </row>
    <row r="1357" spans="1:20" x14ac:dyDescent="0.35">
      <c r="A1357" s="13" t="s">
        <v>1846</v>
      </c>
      <c r="B1357" s="14">
        <v>45500</v>
      </c>
      <c r="C1357" s="13" t="s">
        <v>378</v>
      </c>
      <c r="D1357" s="13" t="s">
        <v>355</v>
      </c>
      <c r="E1357" s="13" t="s">
        <v>107</v>
      </c>
      <c r="F1357" s="15">
        <v>3</v>
      </c>
      <c r="G1357" s="15">
        <v>2510</v>
      </c>
      <c r="H1357" s="15">
        <v>16.399999999999999</v>
      </c>
      <c r="I1357" s="15">
        <v>6295.08</v>
      </c>
      <c r="J1357" s="13" t="s">
        <v>87</v>
      </c>
      <c r="K1357" s="13" t="s">
        <v>94</v>
      </c>
      <c r="L1357" s="34" t="str">
        <f>VLOOKUP(D1357,Products!$A$2:$F$61,3,FALSE)</f>
        <v>Apparel</v>
      </c>
      <c r="M1357" s="34" t="str">
        <f>VLOOKUP(C1357,Customers!$A$2:$F$301,5,FALSE)</f>
        <v>SMB</v>
      </c>
      <c r="N1357" s="34">
        <f>VLOOKUP(C1357,Customers!$A$2:$F$301,3,FALSE)</f>
        <v>53</v>
      </c>
      <c r="O1357" s="34" t="str">
        <f>VLOOKUP(E1357,Sales_Reps!$A$2:$E$31,3,FALSE)</f>
        <v>North</v>
      </c>
      <c r="P1357" s="13" t="s">
        <v>107</v>
      </c>
      <c r="Q1357" s="34">
        <f t="shared" si="46"/>
        <v>861553.33</v>
      </c>
      <c r="R1357" s="34" t="str">
        <f>VLOOKUP(E1357,Sales_Reps!$A$2:$E$100,3,FALSE)</f>
        <v>North</v>
      </c>
      <c r="S1357" s="34" t="str">
        <f t="shared" si="47"/>
        <v>Apparel</v>
      </c>
      <c r="T1357" s="38">
        <f>VLOOKUP(D1357,Products!$A$2:$F$68,4,FALSE)</f>
        <v>1075</v>
      </c>
    </row>
    <row r="1358" spans="1:20" x14ac:dyDescent="0.35">
      <c r="A1358" s="13" t="s">
        <v>1847</v>
      </c>
      <c r="B1358" s="14">
        <v>45337</v>
      </c>
      <c r="C1358" s="13" t="s">
        <v>312</v>
      </c>
      <c r="D1358" s="13" t="s">
        <v>367</v>
      </c>
      <c r="E1358" s="13" t="s">
        <v>325</v>
      </c>
      <c r="F1358" s="15">
        <v>1</v>
      </c>
      <c r="G1358" s="15">
        <v>2380</v>
      </c>
      <c r="H1358" s="15">
        <v>23.5</v>
      </c>
      <c r="I1358" s="15">
        <v>1820.7</v>
      </c>
      <c r="J1358" s="13" t="s">
        <v>87</v>
      </c>
      <c r="K1358" s="13" t="s">
        <v>133</v>
      </c>
      <c r="L1358" s="34" t="str">
        <f>VLOOKUP(D1358,Products!$A$2:$F$61,3,FALSE)</f>
        <v>Grocery</v>
      </c>
      <c r="M1358" s="34" t="str">
        <f>VLOOKUP(C1358,Customers!$A$2:$F$301,5,FALSE)</f>
        <v>Retail</v>
      </c>
      <c r="N1358" s="34">
        <f>VLOOKUP(C1358,Customers!$A$2:$F$301,3,FALSE)</f>
        <v>46</v>
      </c>
      <c r="O1358" s="34" t="str">
        <f>VLOOKUP(E1358,Sales_Reps!$A$2:$E$31,3,FALSE)</f>
        <v>South</v>
      </c>
      <c r="P1358" s="13" t="s">
        <v>325</v>
      </c>
      <c r="Q1358" s="34">
        <f t="shared" si="46"/>
        <v>901394.32000000007</v>
      </c>
      <c r="R1358" s="34" t="str">
        <f>VLOOKUP(E1358,Sales_Reps!$A$2:$E$100,3,FALSE)</f>
        <v>South</v>
      </c>
      <c r="S1358" s="34" t="str">
        <f t="shared" si="47"/>
        <v>Grocery</v>
      </c>
      <c r="T1358" s="38">
        <f>VLOOKUP(D1358,Products!$A$2:$F$68,4,FALSE)</f>
        <v>1182</v>
      </c>
    </row>
    <row r="1359" spans="1:20" x14ac:dyDescent="0.35">
      <c r="A1359" s="13" t="s">
        <v>1848</v>
      </c>
      <c r="B1359" s="14">
        <v>45447</v>
      </c>
      <c r="C1359" s="13" t="s">
        <v>837</v>
      </c>
      <c r="D1359" s="13" t="s">
        <v>461</v>
      </c>
      <c r="E1359" s="13" t="s">
        <v>121</v>
      </c>
      <c r="F1359" s="15">
        <v>2</v>
      </c>
      <c r="G1359" s="15">
        <v>3780</v>
      </c>
      <c r="H1359" s="15">
        <v>29.1</v>
      </c>
      <c r="I1359" s="15">
        <v>5360.04</v>
      </c>
      <c r="J1359" s="13" t="s">
        <v>87</v>
      </c>
      <c r="K1359" s="13" t="s">
        <v>117</v>
      </c>
      <c r="L1359" s="34" t="str">
        <f>VLOOKUP(D1359,Products!$A$2:$F$61,3,FALSE)</f>
        <v>Sports</v>
      </c>
      <c r="M1359" s="34" t="str">
        <f>VLOOKUP(C1359,Customers!$A$2:$F$301,5,FALSE)</f>
        <v>Retail</v>
      </c>
      <c r="N1359" s="34">
        <f>VLOOKUP(C1359,Customers!$A$2:$F$301,3,FALSE)</f>
        <v>37</v>
      </c>
      <c r="O1359" s="34" t="str">
        <f>VLOOKUP(E1359,Sales_Reps!$A$2:$E$31,3,FALSE)</f>
        <v>East</v>
      </c>
      <c r="P1359" s="13" t="s">
        <v>121</v>
      </c>
      <c r="Q1359" s="34">
        <f t="shared" si="46"/>
        <v>971183.52000000014</v>
      </c>
      <c r="R1359" s="34" t="str">
        <f>VLOOKUP(E1359,Sales_Reps!$A$2:$E$100,3,FALSE)</f>
        <v>East</v>
      </c>
      <c r="S1359" s="34" t="str">
        <f t="shared" si="47"/>
        <v>Sports</v>
      </c>
      <c r="T1359" s="38">
        <f>VLOOKUP(D1359,Products!$A$2:$F$68,4,FALSE)</f>
        <v>1860</v>
      </c>
    </row>
    <row r="1360" spans="1:20" x14ac:dyDescent="0.35">
      <c r="A1360" s="13" t="s">
        <v>1849</v>
      </c>
      <c r="B1360" s="14">
        <v>45546</v>
      </c>
      <c r="C1360" s="13" t="s">
        <v>952</v>
      </c>
      <c r="D1360" s="13" t="s">
        <v>452</v>
      </c>
      <c r="E1360" s="13" t="s">
        <v>201</v>
      </c>
      <c r="F1360" s="15">
        <v>1</v>
      </c>
      <c r="G1360" s="15">
        <v>3450</v>
      </c>
      <c r="H1360" s="15">
        <v>17.8</v>
      </c>
      <c r="I1360" s="15">
        <v>2835.9</v>
      </c>
      <c r="J1360" s="13" t="s">
        <v>87</v>
      </c>
      <c r="K1360" s="13" t="s">
        <v>133</v>
      </c>
      <c r="L1360" s="34" t="str">
        <f>VLOOKUP(D1360,Products!$A$2:$F$61,3,FALSE)</f>
        <v>Apparel</v>
      </c>
      <c r="M1360" s="34" t="str">
        <f>VLOOKUP(C1360,Customers!$A$2:$F$301,5,FALSE)</f>
        <v>Retail</v>
      </c>
      <c r="N1360" s="34">
        <f>VLOOKUP(C1360,Customers!$A$2:$F$301,3,FALSE)</f>
        <v>35</v>
      </c>
      <c r="O1360" s="34" t="str">
        <f>VLOOKUP(E1360,Sales_Reps!$A$2:$E$31,3,FALSE)</f>
        <v>West</v>
      </c>
      <c r="P1360" s="13" t="s">
        <v>201</v>
      </c>
      <c r="Q1360" s="34">
        <f t="shared" si="46"/>
        <v>576305.08000000019</v>
      </c>
      <c r="R1360" s="34" t="str">
        <f>VLOOKUP(E1360,Sales_Reps!$A$2:$E$100,3,FALSE)</f>
        <v>West</v>
      </c>
      <c r="S1360" s="34" t="str">
        <f t="shared" si="47"/>
        <v>Apparel</v>
      </c>
      <c r="T1360" s="38">
        <f>VLOOKUP(D1360,Products!$A$2:$F$68,4,FALSE)</f>
        <v>1748</v>
      </c>
    </row>
    <row r="1361" spans="1:20" x14ac:dyDescent="0.35">
      <c r="A1361" s="13" t="s">
        <v>1850</v>
      </c>
      <c r="B1361" s="14">
        <v>45451</v>
      </c>
      <c r="C1361" s="13" t="s">
        <v>388</v>
      </c>
      <c r="D1361" s="13" t="s">
        <v>184</v>
      </c>
      <c r="E1361" s="13" t="s">
        <v>103</v>
      </c>
      <c r="F1361" s="15">
        <v>6</v>
      </c>
      <c r="G1361" s="15">
        <v>4880</v>
      </c>
      <c r="H1361" s="15">
        <v>15.6</v>
      </c>
      <c r="I1361" s="15">
        <v>24712.32</v>
      </c>
      <c r="J1361" s="13" t="s">
        <v>93</v>
      </c>
      <c r="K1361" s="13" t="s">
        <v>133</v>
      </c>
      <c r="L1361" s="34" t="str">
        <f>VLOOKUP(D1361,Products!$A$2:$F$61,3,FALSE)</f>
        <v>Beauty</v>
      </c>
      <c r="M1361" s="34" t="str">
        <f>VLOOKUP(C1361,Customers!$A$2:$F$301,5,FALSE)</f>
        <v>Retail</v>
      </c>
      <c r="N1361" s="34">
        <f>VLOOKUP(C1361,Customers!$A$2:$F$301,3,FALSE)</f>
        <v>44</v>
      </c>
      <c r="O1361" s="34" t="str">
        <f>VLOOKUP(E1361,Sales_Reps!$A$2:$E$31,3,FALSE)</f>
        <v>North</v>
      </c>
      <c r="P1361" s="13" t="s">
        <v>103</v>
      </c>
      <c r="Q1361" s="34">
        <f t="shared" si="46"/>
        <v>1138648.73</v>
      </c>
      <c r="R1361" s="34" t="str">
        <f>VLOOKUP(E1361,Sales_Reps!$A$2:$E$100,3,FALSE)</f>
        <v>North</v>
      </c>
      <c r="S1361" s="34" t="str">
        <f t="shared" si="47"/>
        <v>Beauty</v>
      </c>
      <c r="T1361" s="38">
        <f>VLOOKUP(D1361,Products!$A$2:$F$68,4,FALSE)</f>
        <v>2768</v>
      </c>
    </row>
    <row r="1362" spans="1:20" x14ac:dyDescent="0.35">
      <c r="A1362" s="13" t="s">
        <v>1851</v>
      </c>
      <c r="B1362" s="14">
        <v>45427</v>
      </c>
      <c r="C1362" s="13" t="s">
        <v>175</v>
      </c>
      <c r="D1362" s="13" t="s">
        <v>380</v>
      </c>
      <c r="E1362" s="13" t="s">
        <v>346</v>
      </c>
      <c r="F1362" s="15">
        <v>6</v>
      </c>
      <c r="G1362" s="15">
        <v>960</v>
      </c>
      <c r="H1362" s="15">
        <v>7.5</v>
      </c>
      <c r="I1362" s="15">
        <v>5328</v>
      </c>
      <c r="J1362" s="13" t="s">
        <v>93</v>
      </c>
      <c r="K1362" s="13" t="s">
        <v>133</v>
      </c>
      <c r="L1362" s="34" t="str">
        <f>VLOOKUP(D1362,Products!$A$2:$F$61,3,FALSE)</f>
        <v>Beauty</v>
      </c>
      <c r="M1362" s="34" t="str">
        <f>VLOOKUP(C1362,Customers!$A$2:$F$301,5,FALSE)</f>
        <v>SMB</v>
      </c>
      <c r="N1362" s="34">
        <f>VLOOKUP(C1362,Customers!$A$2:$F$301,3,FALSE)</f>
        <v>40</v>
      </c>
      <c r="O1362" s="34" t="str">
        <f>VLOOKUP(E1362,Sales_Reps!$A$2:$E$31,3,FALSE)</f>
        <v>South</v>
      </c>
      <c r="P1362" s="13" t="s">
        <v>346</v>
      </c>
      <c r="Q1362" s="34">
        <f t="shared" si="46"/>
        <v>814563.7100000002</v>
      </c>
      <c r="R1362" s="34" t="str">
        <f>VLOOKUP(E1362,Sales_Reps!$A$2:$E$100,3,FALSE)</f>
        <v>South</v>
      </c>
      <c r="S1362" s="34" t="str">
        <f t="shared" si="47"/>
        <v>Beauty</v>
      </c>
      <c r="T1362" s="38">
        <f>VLOOKUP(D1362,Products!$A$2:$F$68,4,FALSE)</f>
        <v>675</v>
      </c>
    </row>
    <row r="1363" spans="1:20" x14ac:dyDescent="0.35">
      <c r="A1363" s="13" t="s">
        <v>1852</v>
      </c>
      <c r="B1363" s="14">
        <v>45532</v>
      </c>
      <c r="C1363" s="13" t="s">
        <v>413</v>
      </c>
      <c r="D1363" s="13" t="s">
        <v>659</v>
      </c>
      <c r="E1363" s="13" t="s">
        <v>154</v>
      </c>
      <c r="F1363" s="15">
        <v>1</v>
      </c>
      <c r="G1363" s="15">
        <v>3560</v>
      </c>
      <c r="H1363" s="15">
        <v>12.9</v>
      </c>
      <c r="I1363" s="15">
        <v>3100.76</v>
      </c>
      <c r="J1363" s="13" t="s">
        <v>87</v>
      </c>
      <c r="K1363" s="13" t="s">
        <v>88</v>
      </c>
      <c r="L1363" s="34" t="str">
        <f>VLOOKUP(D1363,Products!$A$2:$F$61,3,FALSE)</f>
        <v>Apparel</v>
      </c>
      <c r="M1363" s="34" t="str">
        <f>VLOOKUP(C1363,Customers!$A$2:$F$301,5,FALSE)</f>
        <v>Retail</v>
      </c>
      <c r="N1363" s="34">
        <f>VLOOKUP(C1363,Customers!$A$2:$F$301,3,FALSE)</f>
        <v>22</v>
      </c>
      <c r="O1363" s="34" t="str">
        <f>VLOOKUP(E1363,Sales_Reps!$A$2:$E$31,3,FALSE)</f>
        <v>East</v>
      </c>
      <c r="P1363" s="13" t="s">
        <v>154</v>
      </c>
      <c r="Q1363" s="34">
        <f t="shared" si="46"/>
        <v>983787.4800000001</v>
      </c>
      <c r="R1363" s="34" t="str">
        <f>VLOOKUP(E1363,Sales_Reps!$A$2:$E$100,3,FALSE)</f>
        <v>East</v>
      </c>
      <c r="S1363" s="34" t="str">
        <f t="shared" si="47"/>
        <v>Apparel</v>
      </c>
      <c r="T1363" s="38">
        <f>VLOOKUP(D1363,Products!$A$2:$F$68,4,FALSE)</f>
        <v>2629</v>
      </c>
    </row>
    <row r="1364" spans="1:20" x14ac:dyDescent="0.35">
      <c r="A1364" s="13" t="s">
        <v>1853</v>
      </c>
      <c r="B1364" s="14">
        <v>45466</v>
      </c>
      <c r="C1364" s="13" t="s">
        <v>585</v>
      </c>
      <c r="D1364" s="13" t="s">
        <v>351</v>
      </c>
      <c r="E1364" s="13" t="s">
        <v>92</v>
      </c>
      <c r="F1364" s="15">
        <v>5</v>
      </c>
      <c r="G1364" s="15">
        <v>4060</v>
      </c>
      <c r="H1364" s="15">
        <v>18.100000000000001</v>
      </c>
      <c r="I1364" s="15">
        <v>16625.7</v>
      </c>
      <c r="J1364" s="13" t="s">
        <v>93</v>
      </c>
      <c r="K1364" s="13" t="s">
        <v>94</v>
      </c>
      <c r="L1364" s="34" t="str">
        <f>VLOOKUP(D1364,Products!$A$2:$F$61,3,FALSE)</f>
        <v>Grocery</v>
      </c>
      <c r="M1364" s="34" t="str">
        <f>VLOOKUP(C1364,Customers!$A$2:$F$301,5,FALSE)</f>
        <v>Retail</v>
      </c>
      <c r="N1364" s="34">
        <f>VLOOKUP(C1364,Customers!$A$2:$F$301,3,FALSE)</f>
        <v>26</v>
      </c>
      <c r="O1364" s="34" t="str">
        <f>VLOOKUP(E1364,Sales_Reps!$A$2:$E$31,3,FALSE)</f>
        <v>North</v>
      </c>
      <c r="P1364" s="13" t="s">
        <v>92</v>
      </c>
      <c r="Q1364" s="34">
        <f t="shared" si="46"/>
        <v>782445.33</v>
      </c>
      <c r="R1364" s="34" t="str">
        <f>VLOOKUP(E1364,Sales_Reps!$A$2:$E$100,3,FALSE)</f>
        <v>North</v>
      </c>
      <c r="S1364" s="34" t="str">
        <f t="shared" si="47"/>
        <v>Grocery</v>
      </c>
      <c r="T1364" s="38">
        <f>VLOOKUP(D1364,Products!$A$2:$F$68,4,FALSE)</f>
        <v>2911</v>
      </c>
    </row>
    <row r="1365" spans="1:20" x14ac:dyDescent="0.35">
      <c r="A1365" s="13" t="s">
        <v>1854</v>
      </c>
      <c r="B1365" s="14">
        <v>45545</v>
      </c>
      <c r="C1365" s="13" t="s">
        <v>101</v>
      </c>
      <c r="D1365" s="13" t="s">
        <v>173</v>
      </c>
      <c r="E1365" s="13" t="s">
        <v>192</v>
      </c>
      <c r="F1365" s="15">
        <v>10</v>
      </c>
      <c r="G1365" s="15">
        <v>2720</v>
      </c>
      <c r="H1365" s="15">
        <v>23.2</v>
      </c>
      <c r="I1365" s="15">
        <v>20889.599999999999</v>
      </c>
      <c r="J1365" s="13" t="s">
        <v>87</v>
      </c>
      <c r="K1365" s="13" t="s">
        <v>99</v>
      </c>
      <c r="L1365" s="34" t="str">
        <f>VLOOKUP(D1365,Products!$A$2:$F$61,3,FALSE)</f>
        <v>Apparel</v>
      </c>
      <c r="M1365" s="34" t="str">
        <f>VLOOKUP(C1365,Customers!$A$2:$F$301,5,FALSE)</f>
        <v>Corporate</v>
      </c>
      <c r="N1365" s="34">
        <f>VLOOKUP(C1365,Customers!$A$2:$F$301,3,FALSE)</f>
        <v>46</v>
      </c>
      <c r="O1365" s="34" t="str">
        <f>VLOOKUP(E1365,Sales_Reps!$A$2:$E$31,3,FALSE)</f>
        <v>East</v>
      </c>
      <c r="P1365" s="13" t="s">
        <v>192</v>
      </c>
      <c r="Q1365" s="34">
        <f t="shared" si="46"/>
        <v>906107.71000000008</v>
      </c>
      <c r="R1365" s="34" t="str">
        <f>VLOOKUP(E1365,Sales_Reps!$A$2:$E$100,3,FALSE)</f>
        <v>East</v>
      </c>
      <c r="S1365" s="34" t="str">
        <f t="shared" si="47"/>
        <v>Apparel</v>
      </c>
      <c r="T1365" s="38">
        <f>VLOOKUP(D1365,Products!$A$2:$F$68,4,FALSE)</f>
        <v>1962</v>
      </c>
    </row>
    <row r="1366" spans="1:20" x14ac:dyDescent="0.35">
      <c r="A1366" s="13" t="s">
        <v>1728</v>
      </c>
      <c r="B1366" s="14">
        <v>45547</v>
      </c>
      <c r="C1366" s="13" t="s">
        <v>561</v>
      </c>
      <c r="D1366" s="13" t="s">
        <v>338</v>
      </c>
      <c r="E1366" s="13" t="s">
        <v>285</v>
      </c>
      <c r="F1366" s="15">
        <v>1</v>
      </c>
      <c r="G1366" s="15">
        <v>2210</v>
      </c>
      <c r="H1366" s="15">
        <v>5.8</v>
      </c>
      <c r="I1366" s="15">
        <v>2081.8200000000002</v>
      </c>
      <c r="J1366" s="13" t="s">
        <v>93</v>
      </c>
      <c r="K1366" s="13" t="s">
        <v>133</v>
      </c>
      <c r="L1366" s="34" t="str">
        <f>VLOOKUP(D1366,Products!$A$2:$F$61,3,FALSE)</f>
        <v>Grocery</v>
      </c>
      <c r="M1366" s="34" t="str">
        <f>VLOOKUP(C1366,Customers!$A$2:$F$301,5,FALSE)</f>
        <v>SMB</v>
      </c>
      <c r="N1366" s="34">
        <f>VLOOKUP(C1366,Customers!$A$2:$F$301,3,FALSE)</f>
        <v>43</v>
      </c>
      <c r="O1366" s="34" t="str">
        <f>VLOOKUP(E1366,Sales_Reps!$A$2:$E$31,3,FALSE)</f>
        <v>East</v>
      </c>
      <c r="P1366" s="13" t="s">
        <v>285</v>
      </c>
      <c r="Q1366" s="34">
        <f t="shared" si="46"/>
        <v>1069570.5400000003</v>
      </c>
      <c r="R1366" s="34" t="str">
        <f>VLOOKUP(E1366,Sales_Reps!$A$2:$E$100,3,FALSE)</f>
        <v>East</v>
      </c>
      <c r="S1366" s="34" t="str">
        <f t="shared" si="47"/>
        <v>Grocery</v>
      </c>
      <c r="T1366" s="38">
        <f>VLOOKUP(D1366,Products!$A$2:$F$68,4,FALSE)</f>
        <v>1010</v>
      </c>
    </row>
    <row r="1367" spans="1:20" x14ac:dyDescent="0.35">
      <c r="A1367" s="13" t="s">
        <v>1855</v>
      </c>
      <c r="B1367" s="14">
        <v>45547</v>
      </c>
      <c r="C1367" s="13" t="s">
        <v>160</v>
      </c>
      <c r="D1367" s="13" t="s">
        <v>157</v>
      </c>
      <c r="E1367" s="13" t="s">
        <v>252</v>
      </c>
      <c r="F1367" s="15">
        <v>5</v>
      </c>
      <c r="G1367" s="15">
        <v>3450</v>
      </c>
      <c r="H1367" s="15">
        <v>27.9</v>
      </c>
      <c r="I1367" s="15">
        <v>12437.25</v>
      </c>
      <c r="J1367" s="13" t="s">
        <v>93</v>
      </c>
      <c r="K1367" s="13" t="s">
        <v>112</v>
      </c>
      <c r="L1367" s="34" t="str">
        <f>VLOOKUP(D1367,Products!$A$2:$F$61,3,FALSE)</f>
        <v>Beauty</v>
      </c>
      <c r="M1367" s="34" t="str">
        <f>VLOOKUP(C1367,Customers!$A$2:$F$301,5,FALSE)</f>
        <v>Retail</v>
      </c>
      <c r="N1367" s="34">
        <f>VLOOKUP(C1367,Customers!$A$2:$F$301,3,FALSE)</f>
        <v>54</v>
      </c>
      <c r="O1367" s="34" t="str">
        <f>VLOOKUP(E1367,Sales_Reps!$A$2:$E$31,3,FALSE)</f>
        <v>South</v>
      </c>
      <c r="P1367" s="13" t="s">
        <v>252</v>
      </c>
      <c r="Q1367" s="34">
        <f t="shared" si="46"/>
        <v>811524.37999999989</v>
      </c>
      <c r="R1367" s="34" t="str">
        <f>VLOOKUP(E1367,Sales_Reps!$A$2:$E$100,3,FALSE)</f>
        <v>South</v>
      </c>
      <c r="S1367" s="34" t="str">
        <f t="shared" si="47"/>
        <v>Beauty</v>
      </c>
      <c r="T1367" s="38">
        <f>VLOOKUP(D1367,Products!$A$2:$F$68,4,FALSE)</f>
        <v>2420</v>
      </c>
    </row>
    <row r="1368" spans="1:20" x14ac:dyDescent="0.35">
      <c r="A1368" s="13" t="s">
        <v>1856</v>
      </c>
      <c r="B1368" s="14">
        <v>45550</v>
      </c>
      <c r="C1368" s="13" t="s">
        <v>212</v>
      </c>
      <c r="D1368" s="13" t="s">
        <v>367</v>
      </c>
      <c r="E1368" s="13" t="s">
        <v>154</v>
      </c>
      <c r="F1368" s="15">
        <v>9</v>
      </c>
      <c r="G1368" s="15">
        <v>2380</v>
      </c>
      <c r="H1368" s="15">
        <v>15.2</v>
      </c>
      <c r="I1368" s="15">
        <v>18164.16</v>
      </c>
      <c r="J1368" s="13" t="s">
        <v>144</v>
      </c>
      <c r="K1368" s="13" t="s">
        <v>112</v>
      </c>
      <c r="L1368" s="34" t="str">
        <f>VLOOKUP(D1368,Products!$A$2:$F$61,3,FALSE)</f>
        <v>Grocery</v>
      </c>
      <c r="M1368" s="34" t="str">
        <f>VLOOKUP(C1368,Customers!$A$2:$F$301,5,FALSE)</f>
        <v>SMB</v>
      </c>
      <c r="N1368" s="34">
        <f>VLOOKUP(C1368,Customers!$A$2:$F$301,3,FALSE)</f>
        <v>36</v>
      </c>
      <c r="O1368" s="34" t="str">
        <f>VLOOKUP(E1368,Sales_Reps!$A$2:$E$31,3,FALSE)</f>
        <v>East</v>
      </c>
      <c r="P1368" s="13" t="s">
        <v>154</v>
      </c>
      <c r="Q1368" s="34">
        <f t="shared" si="46"/>
        <v>983787.4800000001</v>
      </c>
      <c r="R1368" s="34" t="str">
        <f>VLOOKUP(E1368,Sales_Reps!$A$2:$E$100,3,FALSE)</f>
        <v>East</v>
      </c>
      <c r="S1368" s="34" t="str">
        <f t="shared" si="47"/>
        <v>Grocery</v>
      </c>
      <c r="T1368" s="38">
        <f>VLOOKUP(D1368,Products!$A$2:$F$68,4,FALSE)</f>
        <v>1182</v>
      </c>
    </row>
    <row r="1369" spans="1:20" x14ac:dyDescent="0.35">
      <c r="A1369" s="13" t="s">
        <v>1857</v>
      </c>
      <c r="B1369" s="14">
        <v>45551</v>
      </c>
      <c r="C1369" s="13" t="s">
        <v>399</v>
      </c>
      <c r="D1369" s="13" t="s">
        <v>367</v>
      </c>
      <c r="E1369" s="13" t="s">
        <v>297</v>
      </c>
      <c r="F1369" s="15">
        <v>2</v>
      </c>
      <c r="G1369" s="15">
        <v>2380</v>
      </c>
      <c r="H1369" s="15">
        <v>24.3</v>
      </c>
      <c r="I1369" s="15">
        <v>3603.32</v>
      </c>
      <c r="J1369" s="13" t="s">
        <v>87</v>
      </c>
      <c r="K1369" s="13" t="s">
        <v>99</v>
      </c>
      <c r="L1369" s="34" t="str">
        <f>VLOOKUP(D1369,Products!$A$2:$F$61,3,FALSE)</f>
        <v>Grocery</v>
      </c>
      <c r="M1369" s="34" t="str">
        <f>VLOOKUP(C1369,Customers!$A$2:$F$301,5,FALSE)</f>
        <v>SMB</v>
      </c>
      <c r="N1369" s="34">
        <f>VLOOKUP(C1369,Customers!$A$2:$F$301,3,FALSE)</f>
        <v>53</v>
      </c>
      <c r="O1369" s="34" t="str">
        <f>VLOOKUP(E1369,Sales_Reps!$A$2:$E$31,3,FALSE)</f>
        <v>North</v>
      </c>
      <c r="P1369" s="13" t="s">
        <v>297</v>
      </c>
      <c r="Q1369" s="34">
        <f t="shared" si="46"/>
        <v>980063.65999999968</v>
      </c>
      <c r="R1369" s="34" t="str">
        <f>VLOOKUP(E1369,Sales_Reps!$A$2:$E$100,3,FALSE)</f>
        <v>North</v>
      </c>
      <c r="S1369" s="34" t="str">
        <f t="shared" si="47"/>
        <v>Grocery</v>
      </c>
      <c r="T1369" s="38">
        <f>VLOOKUP(D1369,Products!$A$2:$F$68,4,FALSE)</f>
        <v>1182</v>
      </c>
    </row>
    <row r="1370" spans="1:20" x14ac:dyDescent="0.35">
      <c r="A1370" s="13" t="s">
        <v>1858</v>
      </c>
      <c r="B1370" s="14">
        <v>45560</v>
      </c>
      <c r="C1370" s="13" t="s">
        <v>101</v>
      </c>
      <c r="D1370" s="13" t="s">
        <v>659</v>
      </c>
      <c r="E1370" s="13" t="s">
        <v>325</v>
      </c>
      <c r="F1370" s="15">
        <v>9</v>
      </c>
      <c r="G1370" s="15">
        <v>3560</v>
      </c>
      <c r="H1370" s="15">
        <v>6.6</v>
      </c>
      <c r="I1370" s="15">
        <v>29925.360000000001</v>
      </c>
      <c r="J1370" s="13" t="s">
        <v>144</v>
      </c>
      <c r="K1370" s="13" t="s">
        <v>99</v>
      </c>
      <c r="L1370" s="34" t="str">
        <f>VLOOKUP(D1370,Products!$A$2:$F$61,3,FALSE)</f>
        <v>Apparel</v>
      </c>
      <c r="M1370" s="34" t="str">
        <f>VLOOKUP(C1370,Customers!$A$2:$F$301,5,FALSE)</f>
        <v>Corporate</v>
      </c>
      <c r="N1370" s="34">
        <f>VLOOKUP(C1370,Customers!$A$2:$F$301,3,FALSE)</f>
        <v>46</v>
      </c>
      <c r="O1370" s="34" t="str">
        <f>VLOOKUP(E1370,Sales_Reps!$A$2:$E$31,3,FALSE)</f>
        <v>South</v>
      </c>
      <c r="P1370" s="13" t="s">
        <v>325</v>
      </c>
      <c r="Q1370" s="34">
        <f t="shared" si="46"/>
        <v>901394.32000000007</v>
      </c>
      <c r="R1370" s="34" t="str">
        <f>VLOOKUP(E1370,Sales_Reps!$A$2:$E$100,3,FALSE)</f>
        <v>South</v>
      </c>
      <c r="S1370" s="34" t="str">
        <f t="shared" si="47"/>
        <v>Apparel</v>
      </c>
      <c r="T1370" s="38">
        <f>VLOOKUP(D1370,Products!$A$2:$F$68,4,FALSE)</f>
        <v>2629</v>
      </c>
    </row>
    <row r="1371" spans="1:20" x14ac:dyDescent="0.35">
      <c r="A1371" s="13" t="s">
        <v>1859</v>
      </c>
      <c r="B1371" s="14">
        <v>45330</v>
      </c>
      <c r="C1371" s="13" t="s">
        <v>472</v>
      </c>
      <c r="D1371" s="13" t="s">
        <v>267</v>
      </c>
      <c r="E1371" s="13" t="s">
        <v>303</v>
      </c>
      <c r="F1371" s="15">
        <v>7</v>
      </c>
      <c r="G1371" s="15">
        <v>1220</v>
      </c>
      <c r="H1371" s="15">
        <v>29.4</v>
      </c>
      <c r="I1371" s="15">
        <v>6029.24</v>
      </c>
      <c r="J1371" s="13" t="s">
        <v>87</v>
      </c>
      <c r="K1371" s="13" t="s">
        <v>94</v>
      </c>
      <c r="L1371" s="34" t="str">
        <f>VLOOKUP(D1371,Products!$A$2:$F$61,3,FALSE)</f>
        <v>Electronics</v>
      </c>
      <c r="M1371" s="34" t="str">
        <f>VLOOKUP(C1371,Customers!$A$2:$F$301,5,FALSE)</f>
        <v>Corporate</v>
      </c>
      <c r="N1371" s="34">
        <f>VLOOKUP(C1371,Customers!$A$2:$F$301,3,FALSE)</f>
        <v>35</v>
      </c>
      <c r="O1371" s="34" t="str">
        <f>VLOOKUP(E1371,Sales_Reps!$A$2:$E$31,3,FALSE)</f>
        <v>East</v>
      </c>
      <c r="P1371" s="13" t="s">
        <v>303</v>
      </c>
      <c r="Q1371" s="34">
        <f t="shared" si="46"/>
        <v>1112289.6400000001</v>
      </c>
      <c r="R1371" s="34" t="str">
        <f>VLOOKUP(E1371,Sales_Reps!$A$2:$E$100,3,FALSE)</f>
        <v>East</v>
      </c>
      <c r="S1371" s="34" t="str">
        <f t="shared" si="47"/>
        <v>Electronics</v>
      </c>
      <c r="T1371" s="38">
        <f>VLOOKUP(D1371,Products!$A$2:$F$68,4,FALSE)</f>
        <v>517</v>
      </c>
    </row>
    <row r="1372" spans="1:20" x14ac:dyDescent="0.35">
      <c r="A1372" s="13" t="s">
        <v>1860</v>
      </c>
      <c r="B1372" s="14">
        <v>45560</v>
      </c>
      <c r="C1372" s="13" t="s">
        <v>555</v>
      </c>
      <c r="D1372" s="13" t="s">
        <v>515</v>
      </c>
      <c r="E1372" s="13" t="s">
        <v>238</v>
      </c>
      <c r="F1372" s="15">
        <v>7</v>
      </c>
      <c r="G1372" s="15">
        <v>6940</v>
      </c>
      <c r="H1372" s="15">
        <v>9.6</v>
      </c>
      <c r="I1372" s="15">
        <v>43916.32</v>
      </c>
      <c r="J1372" s="13" t="s">
        <v>87</v>
      </c>
      <c r="K1372" s="13" t="s">
        <v>112</v>
      </c>
      <c r="L1372" s="34" t="str">
        <f>VLOOKUP(D1372,Products!$A$2:$F$61,3,FALSE)</f>
        <v>Sports</v>
      </c>
      <c r="M1372" s="34" t="str">
        <f>VLOOKUP(C1372,Customers!$A$2:$F$301,5,FALSE)</f>
        <v>Retail</v>
      </c>
      <c r="N1372" s="34">
        <f>VLOOKUP(C1372,Customers!$A$2:$F$301,3,FALSE)</f>
        <v>37</v>
      </c>
      <c r="O1372" s="34" t="str">
        <f>VLOOKUP(E1372,Sales_Reps!$A$2:$E$31,3,FALSE)</f>
        <v>East</v>
      </c>
      <c r="P1372" s="13" t="s">
        <v>238</v>
      </c>
      <c r="Q1372" s="34">
        <f t="shared" si="46"/>
        <v>780384.40999999992</v>
      </c>
      <c r="R1372" s="34" t="str">
        <f>VLOOKUP(E1372,Sales_Reps!$A$2:$E$100,3,FALSE)</f>
        <v>East</v>
      </c>
      <c r="S1372" s="34" t="str">
        <f t="shared" si="47"/>
        <v>Sports</v>
      </c>
      <c r="T1372" s="38">
        <f>VLOOKUP(D1372,Products!$A$2:$F$68,4,FALSE)</f>
        <v>2827</v>
      </c>
    </row>
    <row r="1373" spans="1:20" x14ac:dyDescent="0.35">
      <c r="A1373" s="13" t="s">
        <v>1861</v>
      </c>
      <c r="B1373" s="14">
        <v>45395</v>
      </c>
      <c r="C1373" s="13" t="s">
        <v>905</v>
      </c>
      <c r="D1373" s="13" t="s">
        <v>502</v>
      </c>
      <c r="E1373" s="13" t="s">
        <v>285</v>
      </c>
      <c r="F1373" s="15">
        <v>2</v>
      </c>
      <c r="G1373" s="15">
        <v>1090</v>
      </c>
      <c r="H1373" s="15">
        <v>17</v>
      </c>
      <c r="I1373" s="15">
        <v>1809.4</v>
      </c>
      <c r="J1373" s="13" t="s">
        <v>87</v>
      </c>
      <c r="K1373" s="13" t="s">
        <v>112</v>
      </c>
      <c r="L1373" s="34" t="str">
        <f>VLOOKUP(D1373,Products!$A$2:$F$61,3,FALSE)</f>
        <v>Home</v>
      </c>
      <c r="M1373" s="34" t="str">
        <f>VLOOKUP(C1373,Customers!$A$2:$F$301,5,FALSE)</f>
        <v>SMB</v>
      </c>
      <c r="N1373" s="34">
        <f>VLOOKUP(C1373,Customers!$A$2:$F$301,3,FALSE)</f>
        <v>43</v>
      </c>
      <c r="O1373" s="34" t="str">
        <f>VLOOKUP(E1373,Sales_Reps!$A$2:$E$31,3,FALSE)</f>
        <v>East</v>
      </c>
      <c r="P1373" s="13" t="s">
        <v>285</v>
      </c>
      <c r="Q1373" s="34">
        <f t="shared" si="46"/>
        <v>1069570.5400000003</v>
      </c>
      <c r="R1373" s="34" t="str">
        <f>VLOOKUP(E1373,Sales_Reps!$A$2:$E$100,3,FALSE)</f>
        <v>East</v>
      </c>
      <c r="S1373" s="34" t="str">
        <f t="shared" si="47"/>
        <v>Home</v>
      </c>
      <c r="T1373" s="38">
        <f>VLOOKUP(D1373,Products!$A$2:$F$68,4,FALSE)</f>
        <v>464</v>
      </c>
    </row>
    <row r="1374" spans="1:20" x14ac:dyDescent="0.35">
      <c r="A1374" s="13" t="s">
        <v>1862</v>
      </c>
      <c r="B1374" s="14">
        <v>45486</v>
      </c>
      <c r="C1374" s="13" t="s">
        <v>785</v>
      </c>
      <c r="D1374" s="13" t="s">
        <v>367</v>
      </c>
      <c r="E1374" s="13" t="s">
        <v>128</v>
      </c>
      <c r="F1374" s="15">
        <v>4</v>
      </c>
      <c r="G1374" s="15">
        <v>2380</v>
      </c>
      <c r="H1374" s="15">
        <v>18.899999999999999</v>
      </c>
      <c r="I1374" s="15">
        <v>7720.72</v>
      </c>
      <c r="J1374" s="13" t="s">
        <v>93</v>
      </c>
      <c r="K1374" s="13" t="s">
        <v>88</v>
      </c>
      <c r="L1374" s="34" t="str">
        <f>VLOOKUP(D1374,Products!$A$2:$F$61,3,FALSE)</f>
        <v>Grocery</v>
      </c>
      <c r="M1374" s="34" t="str">
        <f>VLOOKUP(C1374,Customers!$A$2:$F$301,5,FALSE)</f>
        <v>Retail</v>
      </c>
      <c r="N1374" s="34">
        <f>VLOOKUP(C1374,Customers!$A$2:$F$301,3,FALSE)</f>
        <v>31</v>
      </c>
      <c r="O1374" s="34" t="str">
        <f>VLOOKUP(E1374,Sales_Reps!$A$2:$E$31,3,FALSE)</f>
        <v>West</v>
      </c>
      <c r="P1374" s="13" t="s">
        <v>128</v>
      </c>
      <c r="Q1374" s="34">
        <f t="shared" si="46"/>
        <v>880468.05</v>
      </c>
      <c r="R1374" s="34" t="str">
        <f>VLOOKUP(E1374,Sales_Reps!$A$2:$E$100,3,FALSE)</f>
        <v>West</v>
      </c>
      <c r="S1374" s="34" t="str">
        <f t="shared" si="47"/>
        <v>Grocery</v>
      </c>
      <c r="T1374" s="38">
        <f>VLOOKUP(D1374,Products!$A$2:$F$68,4,FALSE)</f>
        <v>1182</v>
      </c>
    </row>
    <row r="1375" spans="1:20" x14ac:dyDescent="0.35">
      <c r="A1375" s="13" t="s">
        <v>1863</v>
      </c>
      <c r="B1375" s="14">
        <v>45578</v>
      </c>
      <c r="C1375" s="13" t="s">
        <v>905</v>
      </c>
      <c r="D1375" s="13" t="s">
        <v>131</v>
      </c>
      <c r="E1375" s="13" t="s">
        <v>139</v>
      </c>
      <c r="F1375" s="15">
        <v>6</v>
      </c>
      <c r="G1375" s="15">
        <v>2270</v>
      </c>
      <c r="H1375" s="15">
        <v>20.9</v>
      </c>
      <c r="I1375" s="15">
        <v>10773.42</v>
      </c>
      <c r="J1375" s="13" t="s">
        <v>93</v>
      </c>
      <c r="K1375" s="13" t="s">
        <v>112</v>
      </c>
      <c r="L1375" s="34" t="str">
        <f>VLOOKUP(D1375,Products!$A$2:$F$61,3,FALSE)</f>
        <v>Grocery</v>
      </c>
      <c r="M1375" s="34" t="str">
        <f>VLOOKUP(C1375,Customers!$A$2:$F$301,5,FALSE)</f>
        <v>SMB</v>
      </c>
      <c r="N1375" s="34">
        <f>VLOOKUP(C1375,Customers!$A$2:$F$301,3,FALSE)</f>
        <v>43</v>
      </c>
      <c r="O1375" s="34" t="str">
        <f>VLOOKUP(E1375,Sales_Reps!$A$2:$E$31,3,FALSE)</f>
        <v>North</v>
      </c>
      <c r="P1375" s="13" t="s">
        <v>139</v>
      </c>
      <c r="Q1375" s="34">
        <f t="shared" si="46"/>
        <v>589026.2899999998</v>
      </c>
      <c r="R1375" s="34" t="str">
        <f>VLOOKUP(E1375,Sales_Reps!$A$2:$E$100,3,FALSE)</f>
        <v>North</v>
      </c>
      <c r="S1375" s="34" t="str">
        <f t="shared" si="47"/>
        <v>Grocery</v>
      </c>
      <c r="T1375" s="38">
        <f>VLOOKUP(D1375,Products!$A$2:$F$68,4,FALSE)</f>
        <v>1203</v>
      </c>
    </row>
    <row r="1376" spans="1:20" x14ac:dyDescent="0.35">
      <c r="A1376" s="13" t="s">
        <v>1864</v>
      </c>
      <c r="B1376" s="14">
        <v>45581</v>
      </c>
      <c r="C1376" s="13" t="s">
        <v>816</v>
      </c>
      <c r="D1376" s="13" t="s">
        <v>295</v>
      </c>
      <c r="E1376" s="13" t="s">
        <v>121</v>
      </c>
      <c r="F1376" s="15">
        <v>10</v>
      </c>
      <c r="G1376" s="15">
        <v>2030</v>
      </c>
      <c r="H1376" s="15">
        <v>25</v>
      </c>
      <c r="I1376" s="15">
        <v>15225</v>
      </c>
      <c r="J1376" s="13" t="s">
        <v>87</v>
      </c>
      <c r="K1376" s="13" t="s">
        <v>88</v>
      </c>
      <c r="L1376" s="34" t="str">
        <f>VLOOKUP(D1376,Products!$A$2:$F$61,3,FALSE)</f>
        <v>Home</v>
      </c>
      <c r="M1376" s="34" t="str">
        <f>VLOOKUP(C1376,Customers!$A$2:$F$301,5,FALSE)</f>
        <v>Retail</v>
      </c>
      <c r="N1376" s="34">
        <f>VLOOKUP(C1376,Customers!$A$2:$F$301,3,FALSE)</f>
        <v>36</v>
      </c>
      <c r="O1376" s="34" t="str">
        <f>VLOOKUP(E1376,Sales_Reps!$A$2:$E$31,3,FALSE)</f>
        <v>East</v>
      </c>
      <c r="P1376" s="13" t="s">
        <v>121</v>
      </c>
      <c r="Q1376" s="34">
        <f t="shared" si="46"/>
        <v>971183.52000000014</v>
      </c>
      <c r="R1376" s="34" t="str">
        <f>VLOOKUP(E1376,Sales_Reps!$A$2:$E$100,3,FALSE)</f>
        <v>East</v>
      </c>
      <c r="S1376" s="34" t="str">
        <f t="shared" si="47"/>
        <v>Home</v>
      </c>
      <c r="T1376" s="38">
        <f>VLOOKUP(D1376,Products!$A$2:$F$68,4,FALSE)</f>
        <v>1143</v>
      </c>
    </row>
    <row r="1377" spans="1:20" x14ac:dyDescent="0.35">
      <c r="A1377" s="13" t="s">
        <v>1865</v>
      </c>
      <c r="B1377" s="14">
        <v>45508</v>
      </c>
      <c r="C1377" s="13" t="s">
        <v>390</v>
      </c>
      <c r="D1377" s="13" t="s">
        <v>502</v>
      </c>
      <c r="E1377" s="13" t="s">
        <v>343</v>
      </c>
      <c r="F1377" s="15">
        <v>3</v>
      </c>
      <c r="G1377" s="15">
        <v>1090</v>
      </c>
      <c r="H1377" s="15">
        <v>12.1</v>
      </c>
      <c r="I1377" s="15">
        <v>2874.33</v>
      </c>
      <c r="J1377" s="13" t="s">
        <v>87</v>
      </c>
      <c r="K1377" s="13" t="s">
        <v>88</v>
      </c>
      <c r="L1377" s="34" t="str">
        <f>VLOOKUP(D1377,Products!$A$2:$F$61,3,FALSE)</f>
        <v>Home</v>
      </c>
      <c r="M1377" s="34" t="str">
        <f>VLOOKUP(C1377,Customers!$A$2:$F$301,5,FALSE)</f>
        <v>SMB</v>
      </c>
      <c r="N1377" s="34">
        <f>VLOOKUP(C1377,Customers!$A$2:$F$301,3,FALSE)</f>
        <v>54</v>
      </c>
      <c r="O1377" s="34" t="str">
        <f>VLOOKUP(E1377,Sales_Reps!$A$2:$E$31,3,FALSE)</f>
        <v>West</v>
      </c>
      <c r="P1377" s="13" t="s">
        <v>343</v>
      </c>
      <c r="Q1377" s="34">
        <f t="shared" si="46"/>
        <v>917092.61999999965</v>
      </c>
      <c r="R1377" s="34" t="str">
        <f>VLOOKUP(E1377,Sales_Reps!$A$2:$E$100,3,FALSE)</f>
        <v>West</v>
      </c>
      <c r="S1377" s="34" t="str">
        <f t="shared" si="47"/>
        <v>Home</v>
      </c>
      <c r="T1377" s="38">
        <f>VLOOKUP(D1377,Products!$A$2:$F$68,4,FALSE)</f>
        <v>464</v>
      </c>
    </row>
    <row r="1378" spans="1:20" x14ac:dyDescent="0.35">
      <c r="A1378" s="13" t="s">
        <v>1866</v>
      </c>
      <c r="B1378" s="14">
        <v>45303</v>
      </c>
      <c r="C1378" s="13" t="s">
        <v>905</v>
      </c>
      <c r="D1378" s="13" t="s">
        <v>355</v>
      </c>
      <c r="E1378" s="13" t="s">
        <v>238</v>
      </c>
      <c r="F1378" s="15">
        <v>3</v>
      </c>
      <c r="G1378" s="15">
        <v>2510</v>
      </c>
      <c r="H1378" s="15">
        <v>28.7</v>
      </c>
      <c r="I1378" s="15">
        <v>5368.89</v>
      </c>
      <c r="J1378" s="13" t="s">
        <v>87</v>
      </c>
      <c r="K1378" s="13" t="s">
        <v>112</v>
      </c>
      <c r="L1378" s="34" t="str">
        <f>VLOOKUP(D1378,Products!$A$2:$F$61,3,FALSE)</f>
        <v>Apparel</v>
      </c>
      <c r="M1378" s="34" t="str">
        <f>VLOOKUP(C1378,Customers!$A$2:$F$301,5,FALSE)</f>
        <v>SMB</v>
      </c>
      <c r="N1378" s="34">
        <f>VLOOKUP(C1378,Customers!$A$2:$F$301,3,FALSE)</f>
        <v>43</v>
      </c>
      <c r="O1378" s="34" t="str">
        <f>VLOOKUP(E1378,Sales_Reps!$A$2:$E$31,3,FALSE)</f>
        <v>East</v>
      </c>
      <c r="P1378" s="13" t="s">
        <v>238</v>
      </c>
      <c r="Q1378" s="34">
        <f t="shared" si="46"/>
        <v>780384.40999999992</v>
      </c>
      <c r="R1378" s="34" t="str">
        <f>VLOOKUP(E1378,Sales_Reps!$A$2:$E$100,3,FALSE)</f>
        <v>East</v>
      </c>
      <c r="S1378" s="34" t="str">
        <f t="shared" si="47"/>
        <v>Apparel</v>
      </c>
      <c r="T1378" s="38">
        <f>VLOOKUP(D1378,Products!$A$2:$F$68,4,FALSE)</f>
        <v>1075</v>
      </c>
    </row>
    <row r="1379" spans="1:20" x14ac:dyDescent="0.35">
      <c r="A1379" s="13" t="s">
        <v>1867</v>
      </c>
      <c r="B1379" s="14">
        <v>45412</v>
      </c>
      <c r="C1379" s="13" t="s">
        <v>1623</v>
      </c>
      <c r="D1379" s="13" t="s">
        <v>131</v>
      </c>
      <c r="E1379" s="13" t="s">
        <v>201</v>
      </c>
      <c r="F1379" s="15">
        <v>9</v>
      </c>
      <c r="G1379" s="15">
        <v>2270</v>
      </c>
      <c r="H1379" s="15">
        <v>25.4</v>
      </c>
      <c r="I1379" s="15">
        <v>15240.78</v>
      </c>
      <c r="J1379" s="13" t="s">
        <v>93</v>
      </c>
      <c r="K1379" s="13" t="s">
        <v>117</v>
      </c>
      <c r="L1379" s="34" t="str">
        <f>VLOOKUP(D1379,Products!$A$2:$F$61,3,FALSE)</f>
        <v>Grocery</v>
      </c>
      <c r="M1379" s="34" t="str">
        <f>VLOOKUP(C1379,Customers!$A$2:$F$301,5,FALSE)</f>
        <v>Retail</v>
      </c>
      <c r="N1379" s="34">
        <f>VLOOKUP(C1379,Customers!$A$2:$F$301,3,FALSE)</f>
        <v>53</v>
      </c>
      <c r="O1379" s="34" t="str">
        <f>VLOOKUP(E1379,Sales_Reps!$A$2:$E$31,3,FALSE)</f>
        <v>West</v>
      </c>
      <c r="P1379" s="13" t="s">
        <v>201</v>
      </c>
      <c r="Q1379" s="34">
        <f t="shared" si="46"/>
        <v>576305.08000000019</v>
      </c>
      <c r="R1379" s="34" t="str">
        <f>VLOOKUP(E1379,Sales_Reps!$A$2:$E$100,3,FALSE)</f>
        <v>West</v>
      </c>
      <c r="S1379" s="34" t="str">
        <f t="shared" si="47"/>
        <v>Grocery</v>
      </c>
      <c r="T1379" s="38">
        <f>VLOOKUP(D1379,Products!$A$2:$F$68,4,FALSE)</f>
        <v>1203</v>
      </c>
    </row>
    <row r="1380" spans="1:20" x14ac:dyDescent="0.35">
      <c r="A1380" s="13" t="s">
        <v>1868</v>
      </c>
      <c r="B1380" s="14">
        <v>45400</v>
      </c>
      <c r="C1380" s="13" t="s">
        <v>101</v>
      </c>
      <c r="D1380" s="13" t="s">
        <v>408</v>
      </c>
      <c r="E1380" s="13" t="s">
        <v>229</v>
      </c>
      <c r="F1380" s="15">
        <v>9</v>
      </c>
      <c r="G1380" s="15">
        <v>3970</v>
      </c>
      <c r="H1380" s="15">
        <v>10.1</v>
      </c>
      <c r="I1380" s="15">
        <v>32121.27</v>
      </c>
      <c r="J1380" s="13" t="s">
        <v>140</v>
      </c>
      <c r="K1380" s="13" t="s">
        <v>99</v>
      </c>
      <c r="L1380" s="34" t="str">
        <f>VLOOKUP(D1380,Products!$A$2:$F$61,3,FALSE)</f>
        <v>Electronics</v>
      </c>
      <c r="M1380" s="34" t="str">
        <f>VLOOKUP(C1380,Customers!$A$2:$F$301,5,FALSE)</f>
        <v>Corporate</v>
      </c>
      <c r="N1380" s="34">
        <f>VLOOKUP(C1380,Customers!$A$2:$F$301,3,FALSE)</f>
        <v>46</v>
      </c>
      <c r="O1380" s="34" t="str">
        <f>VLOOKUP(E1380,Sales_Reps!$A$2:$E$31,3,FALSE)</f>
        <v>West</v>
      </c>
      <c r="P1380" s="13" t="s">
        <v>229</v>
      </c>
      <c r="Q1380" s="34">
        <f t="shared" si="46"/>
        <v>1016696.8000000002</v>
      </c>
      <c r="R1380" s="34" t="str">
        <f>VLOOKUP(E1380,Sales_Reps!$A$2:$E$100,3,FALSE)</f>
        <v>West</v>
      </c>
      <c r="S1380" s="34" t="str">
        <f t="shared" si="47"/>
        <v>Electronics</v>
      </c>
      <c r="T1380" s="38">
        <f>VLOOKUP(D1380,Products!$A$2:$F$68,4,FALSE)</f>
        <v>2865</v>
      </c>
    </row>
    <row r="1381" spans="1:20" x14ac:dyDescent="0.35">
      <c r="A1381" s="13" t="s">
        <v>1869</v>
      </c>
      <c r="B1381" s="14">
        <v>45570</v>
      </c>
      <c r="C1381" s="13" t="s">
        <v>617</v>
      </c>
      <c r="D1381" s="13" t="s">
        <v>338</v>
      </c>
      <c r="E1381" s="13" t="s">
        <v>98</v>
      </c>
      <c r="F1381" s="15">
        <v>6</v>
      </c>
      <c r="G1381" s="15">
        <v>2210</v>
      </c>
      <c r="H1381" s="15">
        <v>7.4</v>
      </c>
      <c r="I1381" s="15">
        <v>12278.76</v>
      </c>
      <c r="J1381" s="13" t="s">
        <v>87</v>
      </c>
      <c r="K1381" s="13" t="s">
        <v>112</v>
      </c>
      <c r="L1381" s="34" t="str">
        <f>VLOOKUP(D1381,Products!$A$2:$F$61,3,FALSE)</f>
        <v>Grocery</v>
      </c>
      <c r="M1381" s="34" t="str">
        <f>VLOOKUP(C1381,Customers!$A$2:$F$301,5,FALSE)</f>
        <v>SMB</v>
      </c>
      <c r="N1381" s="34">
        <f>VLOOKUP(C1381,Customers!$A$2:$F$301,3,FALSE)</f>
        <v>65</v>
      </c>
      <c r="O1381" s="34" t="str">
        <f>VLOOKUP(E1381,Sales_Reps!$A$2:$E$31,3,FALSE)</f>
        <v>South</v>
      </c>
      <c r="P1381" s="13" t="s">
        <v>98</v>
      </c>
      <c r="Q1381" s="34">
        <f t="shared" si="46"/>
        <v>995713.54000000015</v>
      </c>
      <c r="R1381" s="34" t="str">
        <f>VLOOKUP(E1381,Sales_Reps!$A$2:$E$100,3,FALSE)</f>
        <v>South</v>
      </c>
      <c r="S1381" s="34" t="str">
        <f t="shared" si="47"/>
        <v>Grocery</v>
      </c>
      <c r="T1381" s="38">
        <f>VLOOKUP(D1381,Products!$A$2:$F$68,4,FALSE)</f>
        <v>1010</v>
      </c>
    </row>
    <row r="1382" spans="1:20" x14ac:dyDescent="0.35">
      <c r="A1382" s="13" t="s">
        <v>1870</v>
      </c>
      <c r="B1382" s="14">
        <v>45360</v>
      </c>
      <c r="C1382" s="13" t="s">
        <v>275</v>
      </c>
      <c r="D1382" s="13" t="s">
        <v>259</v>
      </c>
      <c r="E1382" s="13" t="s">
        <v>238</v>
      </c>
      <c r="F1382" s="15">
        <v>7</v>
      </c>
      <c r="G1382" s="15">
        <v>1540</v>
      </c>
      <c r="H1382" s="15">
        <v>20.6</v>
      </c>
      <c r="I1382" s="15">
        <v>8559.32</v>
      </c>
      <c r="J1382" s="13" t="s">
        <v>87</v>
      </c>
      <c r="K1382" s="13" t="s">
        <v>88</v>
      </c>
      <c r="L1382" s="34" t="str">
        <f>VLOOKUP(D1382,Products!$A$2:$F$61,3,FALSE)</f>
        <v>Beauty</v>
      </c>
      <c r="M1382" s="34" t="str">
        <f>VLOOKUP(C1382,Customers!$A$2:$F$301,5,FALSE)</f>
        <v>Retail</v>
      </c>
      <c r="N1382" s="34">
        <f>VLOOKUP(C1382,Customers!$A$2:$F$301,3,FALSE)</f>
        <v>44</v>
      </c>
      <c r="O1382" s="34" t="str">
        <f>VLOOKUP(E1382,Sales_Reps!$A$2:$E$31,3,FALSE)</f>
        <v>East</v>
      </c>
      <c r="P1382" s="13" t="s">
        <v>238</v>
      </c>
      <c r="Q1382" s="34">
        <f t="shared" si="46"/>
        <v>780384.40999999992</v>
      </c>
      <c r="R1382" s="34" t="str">
        <f>VLOOKUP(E1382,Sales_Reps!$A$2:$E$100,3,FALSE)</f>
        <v>East</v>
      </c>
      <c r="S1382" s="34" t="str">
        <f t="shared" si="47"/>
        <v>Beauty</v>
      </c>
      <c r="T1382" s="38">
        <f>VLOOKUP(D1382,Products!$A$2:$F$68,4,FALSE)</f>
        <v>647</v>
      </c>
    </row>
    <row r="1383" spans="1:20" x14ac:dyDescent="0.35">
      <c r="A1383" s="13" t="s">
        <v>1871</v>
      </c>
      <c r="B1383" s="14">
        <v>45334</v>
      </c>
      <c r="C1383" s="13" t="s">
        <v>797</v>
      </c>
      <c r="D1383" s="13" t="s">
        <v>270</v>
      </c>
      <c r="E1383" s="13" t="s">
        <v>343</v>
      </c>
      <c r="F1383" s="15">
        <v>9</v>
      </c>
      <c r="G1383" s="15">
        <v>4610</v>
      </c>
      <c r="H1383" s="15">
        <v>2.1</v>
      </c>
      <c r="I1383" s="15">
        <v>40618.71</v>
      </c>
      <c r="J1383" s="13" t="s">
        <v>87</v>
      </c>
      <c r="K1383" s="13" t="s">
        <v>99</v>
      </c>
      <c r="L1383" s="34" t="str">
        <f>VLOOKUP(D1383,Products!$A$2:$F$61,3,FALSE)</f>
        <v>Home</v>
      </c>
      <c r="M1383" s="34" t="str">
        <f>VLOOKUP(C1383,Customers!$A$2:$F$301,5,FALSE)</f>
        <v>Retail</v>
      </c>
      <c r="N1383" s="34">
        <f>VLOOKUP(C1383,Customers!$A$2:$F$301,3,FALSE)</f>
        <v>63</v>
      </c>
      <c r="O1383" s="34" t="str">
        <f>VLOOKUP(E1383,Sales_Reps!$A$2:$E$31,3,FALSE)</f>
        <v>West</v>
      </c>
      <c r="P1383" s="13" t="s">
        <v>343</v>
      </c>
      <c r="Q1383" s="34">
        <f t="shared" si="46"/>
        <v>917092.61999999965</v>
      </c>
      <c r="R1383" s="34" t="str">
        <f>VLOOKUP(E1383,Sales_Reps!$A$2:$E$100,3,FALSE)</f>
        <v>West</v>
      </c>
      <c r="S1383" s="34" t="str">
        <f t="shared" si="47"/>
        <v>Home</v>
      </c>
      <c r="T1383" s="38">
        <f>VLOOKUP(D1383,Products!$A$2:$F$68,4,FALSE)</f>
        <v>1850</v>
      </c>
    </row>
    <row r="1384" spans="1:20" x14ac:dyDescent="0.35">
      <c r="A1384" s="13" t="s">
        <v>1872</v>
      </c>
      <c r="B1384" s="14">
        <v>45527</v>
      </c>
      <c r="C1384" s="13" t="s">
        <v>729</v>
      </c>
      <c r="D1384" s="13" t="s">
        <v>408</v>
      </c>
      <c r="E1384" s="13" t="s">
        <v>297</v>
      </c>
      <c r="F1384" s="15">
        <v>10</v>
      </c>
      <c r="G1384" s="15">
        <v>3970</v>
      </c>
      <c r="H1384" s="15">
        <v>13.3</v>
      </c>
      <c r="I1384" s="15">
        <v>34419.9</v>
      </c>
      <c r="J1384" s="13" t="s">
        <v>93</v>
      </c>
      <c r="K1384" s="13" t="s">
        <v>112</v>
      </c>
      <c r="L1384" s="34" t="str">
        <f>VLOOKUP(D1384,Products!$A$2:$F$61,3,FALSE)</f>
        <v>Electronics</v>
      </c>
      <c r="M1384" s="34" t="str">
        <f>VLOOKUP(C1384,Customers!$A$2:$F$301,5,FALSE)</f>
        <v>Retail</v>
      </c>
      <c r="N1384" s="34">
        <f>VLOOKUP(C1384,Customers!$A$2:$F$301,3,FALSE)</f>
        <v>56</v>
      </c>
      <c r="O1384" s="34" t="str">
        <f>VLOOKUP(E1384,Sales_Reps!$A$2:$E$31,3,FALSE)</f>
        <v>North</v>
      </c>
      <c r="P1384" s="13" t="s">
        <v>297</v>
      </c>
      <c r="Q1384" s="34">
        <f t="shared" si="46"/>
        <v>980063.65999999968</v>
      </c>
      <c r="R1384" s="34" t="str">
        <f>VLOOKUP(E1384,Sales_Reps!$A$2:$E$100,3,FALSE)</f>
        <v>North</v>
      </c>
      <c r="S1384" s="34" t="str">
        <f t="shared" si="47"/>
        <v>Electronics</v>
      </c>
      <c r="T1384" s="38">
        <f>VLOOKUP(D1384,Products!$A$2:$F$68,4,FALSE)</f>
        <v>2865</v>
      </c>
    </row>
    <row r="1385" spans="1:20" x14ac:dyDescent="0.35">
      <c r="A1385" s="13" t="s">
        <v>1873</v>
      </c>
      <c r="B1385" s="14">
        <v>45534</v>
      </c>
      <c r="C1385" s="13" t="s">
        <v>684</v>
      </c>
      <c r="D1385" s="13" t="s">
        <v>279</v>
      </c>
      <c r="E1385" s="13" t="s">
        <v>107</v>
      </c>
      <c r="F1385" s="15">
        <v>8</v>
      </c>
      <c r="G1385" s="15">
        <v>2660</v>
      </c>
      <c r="H1385" s="15">
        <v>16.8</v>
      </c>
      <c r="I1385" s="15">
        <v>17704.96</v>
      </c>
      <c r="J1385" s="13" t="s">
        <v>87</v>
      </c>
      <c r="K1385" s="13" t="s">
        <v>99</v>
      </c>
      <c r="L1385" s="34" t="str">
        <f>VLOOKUP(D1385,Products!$A$2:$F$61,3,FALSE)</f>
        <v>Electronics</v>
      </c>
      <c r="M1385" s="34" t="str">
        <f>VLOOKUP(C1385,Customers!$A$2:$F$301,5,FALSE)</f>
        <v>Retail</v>
      </c>
      <c r="N1385" s="34">
        <f>VLOOKUP(C1385,Customers!$A$2:$F$301,3,FALSE)</f>
        <v>41</v>
      </c>
      <c r="O1385" s="34" t="str">
        <f>VLOOKUP(E1385,Sales_Reps!$A$2:$E$31,3,FALSE)</f>
        <v>North</v>
      </c>
      <c r="P1385" s="13" t="s">
        <v>107</v>
      </c>
      <c r="Q1385" s="34">
        <f t="shared" si="46"/>
        <v>861553.33</v>
      </c>
      <c r="R1385" s="34" t="str">
        <f>VLOOKUP(E1385,Sales_Reps!$A$2:$E$100,3,FALSE)</f>
        <v>North</v>
      </c>
      <c r="S1385" s="34" t="str">
        <f t="shared" si="47"/>
        <v>Electronics</v>
      </c>
      <c r="T1385" s="38">
        <f>VLOOKUP(D1385,Products!$A$2:$F$68,4,FALSE)</f>
        <v>1259</v>
      </c>
    </row>
    <row r="1386" spans="1:20" x14ac:dyDescent="0.35">
      <c r="A1386" s="13" t="s">
        <v>1874</v>
      </c>
      <c r="B1386" s="14">
        <v>45329</v>
      </c>
      <c r="C1386" s="13" t="s">
        <v>1875</v>
      </c>
      <c r="D1386" s="13" t="s">
        <v>157</v>
      </c>
      <c r="E1386" s="13" t="s">
        <v>158</v>
      </c>
      <c r="F1386" s="15">
        <v>6</v>
      </c>
      <c r="G1386" s="15">
        <v>3450</v>
      </c>
      <c r="H1386" s="15">
        <v>23.4</v>
      </c>
      <c r="I1386" s="15">
        <v>15856.2</v>
      </c>
      <c r="J1386" s="13" t="s">
        <v>87</v>
      </c>
      <c r="K1386" s="13" t="s">
        <v>94</v>
      </c>
      <c r="L1386" s="34" t="str">
        <f>VLOOKUP(D1386,Products!$A$2:$F$61,3,FALSE)</f>
        <v>Beauty</v>
      </c>
      <c r="M1386" s="34" t="str">
        <f>VLOOKUP(C1386,Customers!$A$2:$F$301,5,FALSE)</f>
        <v>Corporate</v>
      </c>
      <c r="N1386" s="34">
        <f>VLOOKUP(C1386,Customers!$A$2:$F$301,3,FALSE)</f>
        <v>54</v>
      </c>
      <c r="O1386" s="34" t="str">
        <f>VLOOKUP(E1386,Sales_Reps!$A$2:$E$31,3,FALSE)</f>
        <v>East</v>
      </c>
      <c r="P1386" s="13" t="s">
        <v>158</v>
      </c>
      <c r="Q1386" s="34">
        <f t="shared" si="46"/>
        <v>761507.17000000027</v>
      </c>
      <c r="R1386" s="34" t="str">
        <f>VLOOKUP(E1386,Sales_Reps!$A$2:$E$100,3,FALSE)</f>
        <v>East</v>
      </c>
      <c r="S1386" s="34" t="str">
        <f t="shared" si="47"/>
        <v>Beauty</v>
      </c>
      <c r="T1386" s="38">
        <f>VLOOKUP(D1386,Products!$A$2:$F$68,4,FALSE)</f>
        <v>2420</v>
      </c>
    </row>
    <row r="1387" spans="1:20" x14ac:dyDescent="0.35">
      <c r="A1387" s="13" t="s">
        <v>1876</v>
      </c>
      <c r="B1387" s="14">
        <v>45621</v>
      </c>
      <c r="C1387" s="13" t="s">
        <v>595</v>
      </c>
      <c r="D1387" s="13" t="s">
        <v>97</v>
      </c>
      <c r="E1387" s="13" t="s">
        <v>86</v>
      </c>
      <c r="F1387" s="15">
        <v>10</v>
      </c>
      <c r="G1387" s="15">
        <v>470</v>
      </c>
      <c r="H1387" s="15">
        <v>21.2</v>
      </c>
      <c r="I1387" s="15">
        <v>3703.6</v>
      </c>
      <c r="J1387" s="13" t="s">
        <v>87</v>
      </c>
      <c r="K1387" s="13" t="s">
        <v>99</v>
      </c>
      <c r="L1387" s="34" t="str">
        <f>VLOOKUP(D1387,Products!$A$2:$F$61,3,FALSE)</f>
        <v>Sports</v>
      </c>
      <c r="M1387" s="34" t="str">
        <f>VLOOKUP(C1387,Customers!$A$2:$F$301,5,FALSE)</f>
        <v>SMB</v>
      </c>
      <c r="N1387" s="34">
        <f>VLOOKUP(C1387,Customers!$A$2:$F$301,3,FALSE)</f>
        <v>48</v>
      </c>
      <c r="O1387" s="34" t="str">
        <f>VLOOKUP(E1387,Sales_Reps!$A$2:$E$31,3,FALSE)</f>
        <v>North</v>
      </c>
      <c r="P1387" s="13" t="s">
        <v>86</v>
      </c>
      <c r="Q1387" s="34">
        <f t="shared" si="46"/>
        <v>855749.67999999982</v>
      </c>
      <c r="R1387" s="34" t="str">
        <f>VLOOKUP(E1387,Sales_Reps!$A$2:$E$100,3,FALSE)</f>
        <v>North</v>
      </c>
      <c r="S1387" s="34" t="str">
        <f t="shared" si="47"/>
        <v>Sports</v>
      </c>
      <c r="T1387" s="38">
        <f>VLOOKUP(D1387,Products!$A$2:$F$68,4,FALSE)</f>
        <v>302</v>
      </c>
    </row>
    <row r="1388" spans="1:20" x14ac:dyDescent="0.35">
      <c r="A1388" s="13" t="s">
        <v>476</v>
      </c>
      <c r="B1388" s="14">
        <v>45334</v>
      </c>
      <c r="C1388" s="13" t="s">
        <v>413</v>
      </c>
      <c r="D1388" s="13" t="s">
        <v>461</v>
      </c>
      <c r="E1388" s="13" t="s">
        <v>285</v>
      </c>
      <c r="F1388" s="15">
        <v>7</v>
      </c>
      <c r="G1388" s="15">
        <v>3780</v>
      </c>
      <c r="H1388" s="15">
        <v>10.1</v>
      </c>
      <c r="I1388" s="15">
        <v>23787.54</v>
      </c>
      <c r="J1388" s="13" t="s">
        <v>87</v>
      </c>
      <c r="K1388" s="13" t="s">
        <v>88</v>
      </c>
      <c r="L1388" s="34" t="str">
        <f>VLOOKUP(D1388,Products!$A$2:$F$61,3,FALSE)</f>
        <v>Sports</v>
      </c>
      <c r="M1388" s="34" t="str">
        <f>VLOOKUP(C1388,Customers!$A$2:$F$301,5,FALSE)</f>
        <v>Retail</v>
      </c>
      <c r="N1388" s="34">
        <f>VLOOKUP(C1388,Customers!$A$2:$F$301,3,FALSE)</f>
        <v>22</v>
      </c>
      <c r="O1388" s="34" t="str">
        <f>VLOOKUP(E1388,Sales_Reps!$A$2:$E$31,3,FALSE)</f>
        <v>East</v>
      </c>
      <c r="P1388" s="13" t="s">
        <v>285</v>
      </c>
      <c r="Q1388" s="34">
        <f t="shared" si="46"/>
        <v>1069570.5400000003</v>
      </c>
      <c r="R1388" s="34" t="str">
        <f>VLOOKUP(E1388,Sales_Reps!$A$2:$E$100,3,FALSE)</f>
        <v>East</v>
      </c>
      <c r="S1388" s="34" t="str">
        <f t="shared" si="47"/>
        <v>Sports</v>
      </c>
      <c r="T1388" s="38">
        <f>VLOOKUP(D1388,Products!$A$2:$F$68,4,FALSE)</f>
        <v>1860</v>
      </c>
    </row>
    <row r="1389" spans="1:20" x14ac:dyDescent="0.35">
      <c r="A1389" s="13" t="s">
        <v>1877</v>
      </c>
      <c r="B1389" s="14">
        <v>45324</v>
      </c>
      <c r="C1389" s="13" t="s">
        <v>983</v>
      </c>
      <c r="D1389" s="13" t="s">
        <v>85</v>
      </c>
      <c r="E1389" s="13" t="s">
        <v>343</v>
      </c>
      <c r="F1389" s="15">
        <v>3</v>
      </c>
      <c r="G1389" s="15">
        <v>3620</v>
      </c>
      <c r="H1389" s="15">
        <v>4.2</v>
      </c>
      <c r="I1389" s="15">
        <v>10403.879999999999</v>
      </c>
      <c r="J1389" s="13" t="s">
        <v>87</v>
      </c>
      <c r="K1389" s="13" t="s">
        <v>117</v>
      </c>
      <c r="L1389" s="34" t="str">
        <f>VLOOKUP(D1389,Products!$A$2:$F$61,3,FALSE)</f>
        <v>Apparel</v>
      </c>
      <c r="M1389" s="34" t="str">
        <f>VLOOKUP(C1389,Customers!$A$2:$F$301,5,FALSE)</f>
        <v>SMB</v>
      </c>
      <c r="N1389" s="34">
        <f>VLOOKUP(C1389,Customers!$A$2:$F$301,3,FALSE)</f>
        <v>36</v>
      </c>
      <c r="O1389" s="34" t="str">
        <f>VLOOKUP(E1389,Sales_Reps!$A$2:$E$31,3,FALSE)</f>
        <v>West</v>
      </c>
      <c r="P1389" s="13" t="s">
        <v>343</v>
      </c>
      <c r="Q1389" s="34">
        <f t="shared" si="46"/>
        <v>917092.61999999965</v>
      </c>
      <c r="R1389" s="34" t="str">
        <f>VLOOKUP(E1389,Sales_Reps!$A$2:$E$100,3,FALSE)</f>
        <v>West</v>
      </c>
      <c r="S1389" s="34" t="str">
        <f t="shared" si="47"/>
        <v>Apparel</v>
      </c>
      <c r="T1389" s="38">
        <f>VLOOKUP(D1389,Products!$A$2:$F$68,4,FALSE)</f>
        <v>2509</v>
      </c>
    </row>
    <row r="1390" spans="1:20" x14ac:dyDescent="0.35">
      <c r="A1390" s="13" t="s">
        <v>1878</v>
      </c>
      <c r="B1390" s="14">
        <v>45541</v>
      </c>
      <c r="C1390" s="13" t="s">
        <v>263</v>
      </c>
      <c r="D1390" s="13" t="s">
        <v>380</v>
      </c>
      <c r="E1390" s="13" t="s">
        <v>128</v>
      </c>
      <c r="F1390" s="15">
        <v>7</v>
      </c>
      <c r="G1390" s="15">
        <v>960</v>
      </c>
      <c r="H1390" s="15">
        <v>9</v>
      </c>
      <c r="I1390" s="15">
        <v>6115.2</v>
      </c>
      <c r="J1390" s="13" t="s">
        <v>87</v>
      </c>
      <c r="K1390" s="13" t="s">
        <v>133</v>
      </c>
      <c r="L1390" s="34" t="str">
        <f>VLOOKUP(D1390,Products!$A$2:$F$61,3,FALSE)</f>
        <v>Beauty</v>
      </c>
      <c r="M1390" s="34" t="str">
        <f>VLOOKUP(C1390,Customers!$A$2:$F$301,5,FALSE)</f>
        <v>Retail</v>
      </c>
      <c r="N1390" s="34">
        <f>VLOOKUP(C1390,Customers!$A$2:$F$301,3,FALSE)</f>
        <v>53</v>
      </c>
      <c r="O1390" s="34" t="str">
        <f>VLOOKUP(E1390,Sales_Reps!$A$2:$E$31,3,FALSE)</f>
        <v>West</v>
      </c>
      <c r="P1390" s="13" t="s">
        <v>128</v>
      </c>
      <c r="Q1390" s="34">
        <f t="shared" si="46"/>
        <v>880468.05</v>
      </c>
      <c r="R1390" s="34" t="str">
        <f>VLOOKUP(E1390,Sales_Reps!$A$2:$E$100,3,FALSE)</f>
        <v>West</v>
      </c>
      <c r="S1390" s="34" t="str">
        <f t="shared" si="47"/>
        <v>Beauty</v>
      </c>
      <c r="T1390" s="38">
        <f>VLOOKUP(D1390,Products!$A$2:$F$68,4,FALSE)</f>
        <v>675</v>
      </c>
    </row>
    <row r="1391" spans="1:20" x14ac:dyDescent="0.35">
      <c r="A1391" s="13" t="s">
        <v>1879</v>
      </c>
      <c r="B1391" s="14">
        <v>45344</v>
      </c>
      <c r="C1391" s="13" t="s">
        <v>689</v>
      </c>
      <c r="D1391" s="13" t="s">
        <v>179</v>
      </c>
      <c r="E1391" s="13" t="s">
        <v>86</v>
      </c>
      <c r="F1391" s="15">
        <v>10</v>
      </c>
      <c r="G1391" s="15">
        <v>3350</v>
      </c>
      <c r="H1391" s="15">
        <v>1.2</v>
      </c>
      <c r="I1391" s="15">
        <v>33098</v>
      </c>
      <c r="J1391" s="13" t="s">
        <v>140</v>
      </c>
      <c r="K1391" s="13" t="s">
        <v>133</v>
      </c>
      <c r="L1391" s="34" t="str">
        <f>VLOOKUP(D1391,Products!$A$2:$F$61,3,FALSE)</f>
        <v>Beauty</v>
      </c>
      <c r="M1391" s="34" t="str">
        <f>VLOOKUP(C1391,Customers!$A$2:$F$301,5,FALSE)</f>
        <v>Retail</v>
      </c>
      <c r="N1391" s="34">
        <f>VLOOKUP(C1391,Customers!$A$2:$F$301,3,FALSE)</f>
        <v>28</v>
      </c>
      <c r="O1391" s="34" t="str">
        <f>VLOOKUP(E1391,Sales_Reps!$A$2:$E$31,3,FALSE)</f>
        <v>North</v>
      </c>
      <c r="P1391" s="13" t="s">
        <v>86</v>
      </c>
      <c r="Q1391" s="34">
        <f t="shared" si="46"/>
        <v>855749.67999999982</v>
      </c>
      <c r="R1391" s="34" t="str">
        <f>VLOOKUP(E1391,Sales_Reps!$A$2:$E$100,3,FALSE)</f>
        <v>North</v>
      </c>
      <c r="S1391" s="34" t="str">
        <f t="shared" si="47"/>
        <v>Beauty</v>
      </c>
      <c r="T1391" s="38">
        <f>VLOOKUP(D1391,Products!$A$2:$F$68,4,FALSE)</f>
        <v>1728</v>
      </c>
    </row>
    <row r="1392" spans="1:20" x14ac:dyDescent="0.35">
      <c r="A1392" s="13" t="s">
        <v>1880</v>
      </c>
      <c r="B1392" s="14">
        <v>45388</v>
      </c>
      <c r="C1392" s="13" t="s">
        <v>359</v>
      </c>
      <c r="D1392" s="13" t="s">
        <v>151</v>
      </c>
      <c r="E1392" s="13" t="s">
        <v>170</v>
      </c>
      <c r="F1392" s="15">
        <v>3</v>
      </c>
      <c r="G1392" s="15">
        <v>2400</v>
      </c>
      <c r="H1392" s="15">
        <v>15.4</v>
      </c>
      <c r="I1392" s="15">
        <v>6091.2</v>
      </c>
      <c r="J1392" s="13" t="s">
        <v>87</v>
      </c>
      <c r="K1392" s="13" t="s">
        <v>99</v>
      </c>
      <c r="L1392" s="34" t="str">
        <f>VLOOKUP(D1392,Products!$A$2:$F$61,3,FALSE)</f>
        <v>Sports</v>
      </c>
      <c r="M1392" s="34" t="str">
        <f>VLOOKUP(C1392,Customers!$A$2:$F$301,5,FALSE)</f>
        <v>SMB</v>
      </c>
      <c r="N1392" s="34">
        <f>VLOOKUP(C1392,Customers!$A$2:$F$301,3,FALSE)</f>
        <v>28</v>
      </c>
      <c r="O1392" s="34" t="str">
        <f>VLOOKUP(E1392,Sales_Reps!$A$2:$E$31,3,FALSE)</f>
        <v>West</v>
      </c>
      <c r="P1392" s="13" t="s">
        <v>170</v>
      </c>
      <c r="Q1392" s="34">
        <f t="shared" si="46"/>
        <v>747624.36999999988</v>
      </c>
      <c r="R1392" s="34" t="str">
        <f>VLOOKUP(E1392,Sales_Reps!$A$2:$E$100,3,FALSE)</f>
        <v>West</v>
      </c>
      <c r="S1392" s="34" t="str">
        <f t="shared" si="47"/>
        <v>Sports</v>
      </c>
      <c r="T1392" s="38">
        <f>VLOOKUP(D1392,Products!$A$2:$F$68,4,FALSE)</f>
        <v>974</v>
      </c>
    </row>
    <row r="1393" spans="1:20" x14ac:dyDescent="0.35">
      <c r="A1393" s="13" t="s">
        <v>1881</v>
      </c>
      <c r="B1393" s="14">
        <v>45407</v>
      </c>
      <c r="C1393" s="13" t="s">
        <v>759</v>
      </c>
      <c r="D1393" s="13" t="s">
        <v>195</v>
      </c>
      <c r="E1393" s="13" t="s">
        <v>297</v>
      </c>
      <c r="F1393" s="15">
        <v>2</v>
      </c>
      <c r="G1393" s="15">
        <v>2860</v>
      </c>
      <c r="H1393" s="15">
        <v>10.5</v>
      </c>
      <c r="I1393" s="15">
        <v>5119.3999999999996</v>
      </c>
      <c r="J1393" s="13" t="s">
        <v>87</v>
      </c>
      <c r="K1393" s="13" t="s">
        <v>117</v>
      </c>
      <c r="L1393" s="34" t="str">
        <f>VLOOKUP(D1393,Products!$A$2:$F$61,3,FALSE)</f>
        <v>Sports</v>
      </c>
      <c r="M1393" s="34" t="str">
        <f>VLOOKUP(C1393,Customers!$A$2:$F$301,5,FALSE)</f>
        <v>Retail</v>
      </c>
      <c r="N1393" s="34">
        <f>VLOOKUP(C1393,Customers!$A$2:$F$301,3,FALSE)</f>
        <v>29</v>
      </c>
      <c r="O1393" s="34" t="str">
        <f>VLOOKUP(E1393,Sales_Reps!$A$2:$E$31,3,FALSE)</f>
        <v>North</v>
      </c>
      <c r="P1393" s="13" t="s">
        <v>297</v>
      </c>
      <c r="Q1393" s="34">
        <f t="shared" si="46"/>
        <v>980063.65999999968</v>
      </c>
      <c r="R1393" s="34" t="str">
        <f>VLOOKUP(E1393,Sales_Reps!$A$2:$E$100,3,FALSE)</f>
        <v>North</v>
      </c>
      <c r="S1393" s="34" t="str">
        <f t="shared" si="47"/>
        <v>Sports</v>
      </c>
      <c r="T1393" s="38">
        <f>VLOOKUP(D1393,Products!$A$2:$F$68,4,FALSE)</f>
        <v>2028</v>
      </c>
    </row>
    <row r="1394" spans="1:20" x14ac:dyDescent="0.35">
      <c r="A1394" s="13" t="s">
        <v>1882</v>
      </c>
      <c r="B1394" s="14">
        <v>45620</v>
      </c>
      <c r="C1394" s="13" t="s">
        <v>700</v>
      </c>
      <c r="D1394" s="13" t="s">
        <v>386</v>
      </c>
      <c r="E1394" s="13" t="s">
        <v>107</v>
      </c>
      <c r="F1394" s="15">
        <v>4</v>
      </c>
      <c r="G1394" s="15">
        <v>2290</v>
      </c>
      <c r="H1394" s="15">
        <v>5.9</v>
      </c>
      <c r="I1394" s="15">
        <v>8619.56</v>
      </c>
      <c r="J1394" s="13" t="s">
        <v>87</v>
      </c>
      <c r="K1394" s="13" t="s">
        <v>94</v>
      </c>
      <c r="L1394" s="34" t="str">
        <f>VLOOKUP(D1394,Products!$A$2:$F$61,3,FALSE)</f>
        <v>Beauty</v>
      </c>
      <c r="M1394" s="34" t="str">
        <f>VLOOKUP(C1394,Customers!$A$2:$F$301,5,FALSE)</f>
        <v>SMB</v>
      </c>
      <c r="N1394" s="34">
        <f>VLOOKUP(C1394,Customers!$A$2:$F$301,3,FALSE)</f>
        <v>46</v>
      </c>
      <c r="O1394" s="34" t="str">
        <f>VLOOKUP(E1394,Sales_Reps!$A$2:$E$31,3,FALSE)</f>
        <v>North</v>
      </c>
      <c r="P1394" s="13" t="s">
        <v>107</v>
      </c>
      <c r="Q1394" s="34">
        <f t="shared" si="46"/>
        <v>861553.33</v>
      </c>
      <c r="R1394" s="34" t="str">
        <f>VLOOKUP(E1394,Sales_Reps!$A$2:$E$100,3,FALSE)</f>
        <v>North</v>
      </c>
      <c r="S1394" s="34" t="str">
        <f t="shared" si="47"/>
        <v>Beauty</v>
      </c>
      <c r="T1394" s="38">
        <f>VLOOKUP(D1394,Products!$A$2:$F$68,4,FALSE)</f>
        <v>1219</v>
      </c>
    </row>
    <row r="1395" spans="1:20" x14ac:dyDescent="0.35">
      <c r="A1395" s="13" t="s">
        <v>1883</v>
      </c>
      <c r="B1395" s="14">
        <v>45499</v>
      </c>
      <c r="C1395" s="13" t="s">
        <v>392</v>
      </c>
      <c r="D1395" s="13" t="s">
        <v>364</v>
      </c>
      <c r="E1395" s="13" t="s">
        <v>154</v>
      </c>
      <c r="F1395" s="15">
        <v>7</v>
      </c>
      <c r="G1395" s="15">
        <v>5330</v>
      </c>
      <c r="H1395" s="15">
        <v>3.5</v>
      </c>
      <c r="I1395" s="15">
        <v>36004.15</v>
      </c>
      <c r="J1395" s="13" t="s">
        <v>140</v>
      </c>
      <c r="K1395" s="13" t="s">
        <v>112</v>
      </c>
      <c r="L1395" s="34" t="str">
        <f>VLOOKUP(D1395,Products!$A$2:$F$61,3,FALSE)</f>
        <v>Electronics</v>
      </c>
      <c r="M1395" s="34" t="str">
        <f>VLOOKUP(C1395,Customers!$A$2:$F$301,5,FALSE)</f>
        <v>Retail</v>
      </c>
      <c r="N1395" s="34">
        <f>VLOOKUP(C1395,Customers!$A$2:$F$301,3,FALSE)</f>
        <v>50</v>
      </c>
      <c r="O1395" s="34" t="str">
        <f>VLOOKUP(E1395,Sales_Reps!$A$2:$E$31,3,FALSE)</f>
        <v>East</v>
      </c>
      <c r="P1395" s="13" t="s">
        <v>154</v>
      </c>
      <c r="Q1395" s="34">
        <f t="shared" si="46"/>
        <v>983787.4800000001</v>
      </c>
      <c r="R1395" s="34" t="str">
        <f>VLOOKUP(E1395,Sales_Reps!$A$2:$E$100,3,FALSE)</f>
        <v>East</v>
      </c>
      <c r="S1395" s="34" t="str">
        <f t="shared" si="47"/>
        <v>Electronics</v>
      </c>
      <c r="T1395" s="38">
        <f>VLOOKUP(D1395,Products!$A$2:$F$68,4,FALSE)</f>
        <v>2405</v>
      </c>
    </row>
    <row r="1396" spans="1:20" x14ac:dyDescent="0.35">
      <c r="A1396" s="13" t="s">
        <v>1884</v>
      </c>
      <c r="B1396" s="14">
        <v>45585</v>
      </c>
      <c r="C1396" s="13" t="s">
        <v>301</v>
      </c>
      <c r="D1396" s="13" t="s">
        <v>237</v>
      </c>
      <c r="E1396" s="13" t="s">
        <v>303</v>
      </c>
      <c r="F1396" s="15">
        <v>10</v>
      </c>
      <c r="G1396" s="15">
        <v>3640</v>
      </c>
      <c r="H1396" s="15">
        <v>20.100000000000001</v>
      </c>
      <c r="I1396" s="15">
        <v>29083.599999999999</v>
      </c>
      <c r="J1396" s="13" t="s">
        <v>87</v>
      </c>
      <c r="K1396" s="13" t="s">
        <v>94</v>
      </c>
      <c r="L1396" s="34" t="str">
        <f>VLOOKUP(D1396,Products!$A$2:$F$61,3,FALSE)</f>
        <v>Apparel</v>
      </c>
      <c r="M1396" s="34" t="str">
        <f>VLOOKUP(C1396,Customers!$A$2:$F$301,5,FALSE)</f>
        <v>Retail</v>
      </c>
      <c r="N1396" s="34">
        <f>VLOOKUP(C1396,Customers!$A$2:$F$301,3,FALSE)</f>
        <v>41</v>
      </c>
      <c r="O1396" s="34" t="str">
        <f>VLOOKUP(E1396,Sales_Reps!$A$2:$E$31,3,FALSE)</f>
        <v>East</v>
      </c>
      <c r="P1396" s="13" t="s">
        <v>303</v>
      </c>
      <c r="Q1396" s="34">
        <f t="shared" si="46"/>
        <v>1112289.6400000001</v>
      </c>
      <c r="R1396" s="34" t="str">
        <f>VLOOKUP(E1396,Sales_Reps!$A$2:$E$100,3,FALSE)</f>
        <v>East</v>
      </c>
      <c r="S1396" s="34" t="str">
        <f t="shared" si="47"/>
        <v>Apparel</v>
      </c>
      <c r="T1396" s="38">
        <f>VLOOKUP(D1396,Products!$A$2:$F$68,4,FALSE)</f>
        <v>2611</v>
      </c>
    </row>
    <row r="1397" spans="1:20" x14ac:dyDescent="0.35">
      <c r="A1397" s="13" t="s">
        <v>1885</v>
      </c>
      <c r="B1397" s="14">
        <v>45633</v>
      </c>
      <c r="C1397" s="13" t="s">
        <v>206</v>
      </c>
      <c r="D1397" s="13" t="s">
        <v>443</v>
      </c>
      <c r="E1397" s="13" t="s">
        <v>116</v>
      </c>
      <c r="F1397" s="15">
        <v>10</v>
      </c>
      <c r="G1397" s="15">
        <v>5080</v>
      </c>
      <c r="H1397" s="15">
        <v>2.1</v>
      </c>
      <c r="I1397" s="15">
        <v>49733.2</v>
      </c>
      <c r="J1397" s="13" t="s">
        <v>87</v>
      </c>
      <c r="K1397" s="13" t="s">
        <v>133</v>
      </c>
      <c r="L1397" s="34" t="str">
        <f>VLOOKUP(D1397,Products!$A$2:$F$61,3,FALSE)</f>
        <v>Home</v>
      </c>
      <c r="M1397" s="34" t="str">
        <f>VLOOKUP(C1397,Customers!$A$2:$F$301,5,FALSE)</f>
        <v>SMB</v>
      </c>
      <c r="N1397" s="34">
        <f>VLOOKUP(C1397,Customers!$A$2:$F$301,3,FALSE)</f>
        <v>40</v>
      </c>
      <c r="O1397" s="34" t="str">
        <f>VLOOKUP(E1397,Sales_Reps!$A$2:$E$31,3,FALSE)</f>
        <v>West</v>
      </c>
      <c r="P1397" s="13" t="s">
        <v>116</v>
      </c>
      <c r="Q1397" s="34">
        <f t="shared" si="46"/>
        <v>819558.58</v>
      </c>
      <c r="R1397" s="34" t="str">
        <f>VLOOKUP(E1397,Sales_Reps!$A$2:$E$100,3,FALSE)</f>
        <v>West</v>
      </c>
      <c r="S1397" s="34" t="str">
        <f t="shared" si="47"/>
        <v>Home</v>
      </c>
      <c r="T1397" s="38">
        <f>VLOOKUP(D1397,Products!$A$2:$F$68,4,FALSE)</f>
        <v>2459</v>
      </c>
    </row>
    <row r="1398" spans="1:20" x14ac:dyDescent="0.35">
      <c r="A1398" s="13" t="s">
        <v>1886</v>
      </c>
      <c r="B1398" s="14">
        <v>45517</v>
      </c>
      <c r="C1398" s="13" t="s">
        <v>725</v>
      </c>
      <c r="D1398" s="13" t="s">
        <v>502</v>
      </c>
      <c r="E1398" s="13" t="s">
        <v>303</v>
      </c>
      <c r="F1398" s="15">
        <v>4</v>
      </c>
      <c r="G1398" s="15">
        <v>1090</v>
      </c>
      <c r="H1398" s="15">
        <v>18.5</v>
      </c>
      <c r="I1398" s="15">
        <v>3553.4</v>
      </c>
      <c r="J1398" s="13" t="s">
        <v>144</v>
      </c>
      <c r="K1398" s="13" t="s">
        <v>99</v>
      </c>
      <c r="L1398" s="34" t="str">
        <f>VLOOKUP(D1398,Products!$A$2:$F$61,3,FALSE)</f>
        <v>Home</v>
      </c>
      <c r="M1398" s="34" t="str">
        <f>VLOOKUP(C1398,Customers!$A$2:$F$301,5,FALSE)</f>
        <v>SMB</v>
      </c>
      <c r="N1398" s="34">
        <f>VLOOKUP(C1398,Customers!$A$2:$F$301,3,FALSE)</f>
        <v>26</v>
      </c>
      <c r="O1398" s="34" t="str">
        <f>VLOOKUP(E1398,Sales_Reps!$A$2:$E$31,3,FALSE)</f>
        <v>East</v>
      </c>
      <c r="P1398" s="13" t="s">
        <v>303</v>
      </c>
      <c r="Q1398" s="34">
        <f t="shared" si="46"/>
        <v>1112289.6400000001</v>
      </c>
      <c r="R1398" s="34" t="str">
        <f>VLOOKUP(E1398,Sales_Reps!$A$2:$E$100,3,FALSE)</f>
        <v>East</v>
      </c>
      <c r="S1398" s="34" t="str">
        <f t="shared" si="47"/>
        <v>Home</v>
      </c>
      <c r="T1398" s="38">
        <f>VLOOKUP(D1398,Products!$A$2:$F$68,4,FALSE)</f>
        <v>464</v>
      </c>
    </row>
    <row r="1399" spans="1:20" x14ac:dyDescent="0.35">
      <c r="A1399" s="13" t="s">
        <v>1887</v>
      </c>
      <c r="B1399" s="14">
        <v>45645</v>
      </c>
      <c r="C1399" s="13" t="s">
        <v>570</v>
      </c>
      <c r="D1399" s="13" t="s">
        <v>157</v>
      </c>
      <c r="E1399" s="13" t="s">
        <v>170</v>
      </c>
      <c r="F1399" s="15">
        <v>10</v>
      </c>
      <c r="G1399" s="15">
        <v>3450</v>
      </c>
      <c r="H1399" s="15">
        <v>26.5</v>
      </c>
      <c r="I1399" s="15">
        <v>25357.5</v>
      </c>
      <c r="J1399" s="13" t="s">
        <v>144</v>
      </c>
      <c r="K1399" s="13" t="s">
        <v>99</v>
      </c>
      <c r="L1399" s="34" t="str">
        <f>VLOOKUP(D1399,Products!$A$2:$F$61,3,FALSE)</f>
        <v>Beauty</v>
      </c>
      <c r="M1399" s="34" t="str">
        <f>VLOOKUP(C1399,Customers!$A$2:$F$301,5,FALSE)</f>
        <v>Corporate</v>
      </c>
      <c r="N1399" s="34">
        <f>VLOOKUP(C1399,Customers!$A$2:$F$301,3,FALSE)</f>
        <v>47</v>
      </c>
      <c r="O1399" s="34" t="str">
        <f>VLOOKUP(E1399,Sales_Reps!$A$2:$E$31,3,FALSE)</f>
        <v>West</v>
      </c>
      <c r="P1399" s="13" t="s">
        <v>170</v>
      </c>
      <c r="Q1399" s="34">
        <f t="shared" si="46"/>
        <v>747624.36999999988</v>
      </c>
      <c r="R1399" s="34" t="str">
        <f>VLOOKUP(E1399,Sales_Reps!$A$2:$E$100,3,FALSE)</f>
        <v>West</v>
      </c>
      <c r="S1399" s="34" t="str">
        <f t="shared" si="47"/>
        <v>Beauty</v>
      </c>
      <c r="T1399" s="38">
        <f>VLOOKUP(D1399,Products!$A$2:$F$68,4,FALSE)</f>
        <v>2420</v>
      </c>
    </row>
    <row r="1400" spans="1:20" x14ac:dyDescent="0.35">
      <c r="A1400" s="13" t="s">
        <v>1888</v>
      </c>
      <c r="B1400" s="14">
        <v>45483</v>
      </c>
      <c r="C1400" s="13" t="s">
        <v>263</v>
      </c>
      <c r="D1400" s="13" t="s">
        <v>360</v>
      </c>
      <c r="E1400" s="13" t="s">
        <v>204</v>
      </c>
      <c r="F1400" s="15">
        <v>9</v>
      </c>
      <c r="G1400" s="15">
        <v>5410</v>
      </c>
      <c r="H1400" s="15">
        <v>11.5</v>
      </c>
      <c r="I1400" s="15">
        <v>43090.65</v>
      </c>
      <c r="J1400" s="13" t="s">
        <v>87</v>
      </c>
      <c r="K1400" s="13" t="s">
        <v>133</v>
      </c>
      <c r="L1400" s="34" t="str">
        <f>VLOOKUP(D1400,Products!$A$2:$F$61,3,FALSE)</f>
        <v>Sports</v>
      </c>
      <c r="M1400" s="34" t="str">
        <f>VLOOKUP(C1400,Customers!$A$2:$F$301,5,FALSE)</f>
        <v>Retail</v>
      </c>
      <c r="N1400" s="34">
        <f>VLOOKUP(C1400,Customers!$A$2:$F$301,3,FALSE)</f>
        <v>53</v>
      </c>
      <c r="O1400" s="34" t="str">
        <f>VLOOKUP(E1400,Sales_Reps!$A$2:$E$31,3,FALSE)</f>
        <v>South</v>
      </c>
      <c r="P1400" s="13" t="s">
        <v>204</v>
      </c>
      <c r="Q1400" s="34">
        <f t="shared" si="46"/>
        <v>914554.71999999986</v>
      </c>
      <c r="R1400" s="34" t="str">
        <f>VLOOKUP(E1400,Sales_Reps!$A$2:$E$100,3,FALSE)</f>
        <v>South</v>
      </c>
      <c r="S1400" s="34" t="str">
        <f t="shared" si="47"/>
        <v>Sports</v>
      </c>
      <c r="T1400" s="38">
        <f>VLOOKUP(D1400,Products!$A$2:$F$68,4,FALSE)</f>
        <v>2265</v>
      </c>
    </row>
    <row r="1401" spans="1:20" x14ac:dyDescent="0.35">
      <c r="A1401" s="13" t="s">
        <v>1889</v>
      </c>
      <c r="B1401" s="14">
        <v>45445</v>
      </c>
      <c r="C1401" s="13" t="s">
        <v>1890</v>
      </c>
      <c r="D1401" s="13" t="s">
        <v>452</v>
      </c>
      <c r="E1401" s="13" t="s">
        <v>170</v>
      </c>
      <c r="F1401" s="15">
        <v>9</v>
      </c>
      <c r="G1401" s="15">
        <v>3450</v>
      </c>
      <c r="H1401" s="15">
        <v>0.3</v>
      </c>
      <c r="I1401" s="15">
        <v>30956.85</v>
      </c>
      <c r="J1401" s="13" t="s">
        <v>144</v>
      </c>
      <c r="K1401" s="13" t="s">
        <v>133</v>
      </c>
      <c r="L1401" s="34" t="str">
        <f>VLOOKUP(D1401,Products!$A$2:$F$61,3,FALSE)</f>
        <v>Apparel</v>
      </c>
      <c r="M1401" s="34" t="str">
        <f>VLOOKUP(C1401,Customers!$A$2:$F$301,5,FALSE)</f>
        <v>SMB</v>
      </c>
      <c r="N1401" s="34">
        <f>VLOOKUP(C1401,Customers!$A$2:$F$301,3,FALSE)</f>
        <v>34</v>
      </c>
      <c r="O1401" s="34" t="str">
        <f>VLOOKUP(E1401,Sales_Reps!$A$2:$E$31,3,FALSE)</f>
        <v>West</v>
      </c>
      <c r="P1401" s="13" t="s">
        <v>170</v>
      </c>
      <c r="Q1401" s="34">
        <f t="shared" si="46"/>
        <v>747624.36999999988</v>
      </c>
      <c r="R1401" s="34" t="str">
        <f>VLOOKUP(E1401,Sales_Reps!$A$2:$E$100,3,FALSE)</f>
        <v>West</v>
      </c>
      <c r="S1401" s="34" t="str">
        <f t="shared" si="47"/>
        <v>Apparel</v>
      </c>
      <c r="T1401" s="38">
        <f>VLOOKUP(D1401,Products!$A$2:$F$68,4,FALSE)</f>
        <v>1748</v>
      </c>
    </row>
    <row r="1402" spans="1:20" x14ac:dyDescent="0.35">
      <c r="A1402" s="13" t="s">
        <v>1891</v>
      </c>
      <c r="B1402" s="14">
        <v>45614</v>
      </c>
      <c r="C1402" s="13" t="s">
        <v>457</v>
      </c>
      <c r="D1402" s="13" t="s">
        <v>106</v>
      </c>
      <c r="E1402" s="13" t="s">
        <v>111</v>
      </c>
      <c r="F1402" s="15">
        <v>10</v>
      </c>
      <c r="G1402" s="15">
        <v>3160</v>
      </c>
      <c r="H1402" s="15">
        <v>13.6</v>
      </c>
      <c r="I1402" s="15">
        <v>27302.400000000001</v>
      </c>
      <c r="J1402" s="13" t="s">
        <v>87</v>
      </c>
      <c r="K1402" s="13" t="s">
        <v>88</v>
      </c>
      <c r="L1402" s="34" t="str">
        <f>VLOOKUP(D1402,Products!$A$2:$F$61,3,FALSE)</f>
        <v>Apparel</v>
      </c>
      <c r="M1402" s="34" t="str">
        <f>VLOOKUP(C1402,Customers!$A$2:$F$301,5,FALSE)</f>
        <v>Retail</v>
      </c>
      <c r="N1402" s="34">
        <f>VLOOKUP(C1402,Customers!$A$2:$F$301,3,FALSE)</f>
        <v>29</v>
      </c>
      <c r="O1402" s="34" t="str">
        <f>VLOOKUP(E1402,Sales_Reps!$A$2:$E$31,3,FALSE)</f>
        <v>West</v>
      </c>
      <c r="P1402" s="13" t="s">
        <v>111</v>
      </c>
      <c r="Q1402" s="34">
        <f t="shared" si="46"/>
        <v>901298.89</v>
      </c>
      <c r="R1402" s="34" t="str">
        <f>VLOOKUP(E1402,Sales_Reps!$A$2:$E$100,3,FALSE)</f>
        <v>West</v>
      </c>
      <c r="S1402" s="34" t="str">
        <f t="shared" si="47"/>
        <v>Apparel</v>
      </c>
      <c r="T1402" s="38">
        <f>VLOOKUP(D1402,Products!$A$2:$F$68,4,FALSE)</f>
        <v>1886</v>
      </c>
    </row>
    <row r="1403" spans="1:20" x14ac:dyDescent="0.35">
      <c r="A1403" s="13" t="s">
        <v>1892</v>
      </c>
      <c r="B1403" s="14">
        <v>45433</v>
      </c>
      <c r="C1403" s="13" t="s">
        <v>119</v>
      </c>
      <c r="D1403" s="13" t="s">
        <v>259</v>
      </c>
      <c r="E1403" s="13" t="s">
        <v>201</v>
      </c>
      <c r="F1403" s="15">
        <v>3</v>
      </c>
      <c r="G1403" s="15">
        <v>1540</v>
      </c>
      <c r="H1403" s="15">
        <v>21.2</v>
      </c>
      <c r="I1403" s="15">
        <v>3640.56</v>
      </c>
      <c r="J1403" s="13" t="s">
        <v>87</v>
      </c>
      <c r="K1403" s="13" t="s">
        <v>117</v>
      </c>
      <c r="L1403" s="34" t="str">
        <f>VLOOKUP(D1403,Products!$A$2:$F$61,3,FALSE)</f>
        <v>Beauty</v>
      </c>
      <c r="M1403" s="34" t="str">
        <f>VLOOKUP(C1403,Customers!$A$2:$F$301,5,FALSE)</f>
        <v>Corporate</v>
      </c>
      <c r="N1403" s="34">
        <f>VLOOKUP(C1403,Customers!$A$2:$F$301,3,FALSE)</f>
        <v>57</v>
      </c>
      <c r="O1403" s="34" t="str">
        <f>VLOOKUP(E1403,Sales_Reps!$A$2:$E$31,3,FALSE)</f>
        <v>West</v>
      </c>
      <c r="P1403" s="13" t="s">
        <v>201</v>
      </c>
      <c r="Q1403" s="34">
        <f t="shared" si="46"/>
        <v>576305.08000000019</v>
      </c>
      <c r="R1403" s="34" t="str">
        <f>VLOOKUP(E1403,Sales_Reps!$A$2:$E$100,3,FALSE)</f>
        <v>West</v>
      </c>
      <c r="S1403" s="34" t="str">
        <f t="shared" si="47"/>
        <v>Beauty</v>
      </c>
      <c r="T1403" s="38">
        <f>VLOOKUP(D1403,Products!$A$2:$F$68,4,FALSE)</f>
        <v>647</v>
      </c>
    </row>
    <row r="1404" spans="1:20" x14ac:dyDescent="0.35">
      <c r="A1404" s="13" t="s">
        <v>1893</v>
      </c>
      <c r="B1404" s="14">
        <v>45402</v>
      </c>
      <c r="C1404" s="13" t="s">
        <v>390</v>
      </c>
      <c r="D1404" s="13" t="s">
        <v>237</v>
      </c>
      <c r="E1404" s="13" t="s">
        <v>285</v>
      </c>
      <c r="F1404" s="15">
        <v>5</v>
      </c>
      <c r="G1404" s="15">
        <v>3640</v>
      </c>
      <c r="H1404" s="15">
        <v>17.5</v>
      </c>
      <c r="I1404" s="15">
        <v>15015</v>
      </c>
      <c r="J1404" s="13" t="s">
        <v>87</v>
      </c>
      <c r="K1404" s="13" t="s">
        <v>88</v>
      </c>
      <c r="L1404" s="34" t="str">
        <f>VLOOKUP(D1404,Products!$A$2:$F$61,3,FALSE)</f>
        <v>Apparel</v>
      </c>
      <c r="M1404" s="34" t="str">
        <f>VLOOKUP(C1404,Customers!$A$2:$F$301,5,FALSE)</f>
        <v>SMB</v>
      </c>
      <c r="N1404" s="34">
        <f>VLOOKUP(C1404,Customers!$A$2:$F$301,3,FALSE)</f>
        <v>54</v>
      </c>
      <c r="O1404" s="34" t="str">
        <f>VLOOKUP(E1404,Sales_Reps!$A$2:$E$31,3,FALSE)</f>
        <v>East</v>
      </c>
      <c r="P1404" s="13" t="s">
        <v>285</v>
      </c>
      <c r="Q1404" s="34">
        <f t="shared" si="46"/>
        <v>1069570.5400000003</v>
      </c>
      <c r="R1404" s="34" t="str">
        <f>VLOOKUP(E1404,Sales_Reps!$A$2:$E$100,3,FALSE)</f>
        <v>East</v>
      </c>
      <c r="S1404" s="34" t="str">
        <f t="shared" si="47"/>
        <v>Apparel</v>
      </c>
      <c r="T1404" s="38">
        <f>VLOOKUP(D1404,Products!$A$2:$F$68,4,FALSE)</f>
        <v>2611</v>
      </c>
    </row>
    <row r="1405" spans="1:20" x14ac:dyDescent="0.35">
      <c r="A1405" s="13" t="s">
        <v>1894</v>
      </c>
      <c r="B1405" s="14">
        <v>45302</v>
      </c>
      <c r="C1405" s="13" t="s">
        <v>130</v>
      </c>
      <c r="D1405" s="13" t="s">
        <v>461</v>
      </c>
      <c r="E1405" s="13" t="s">
        <v>297</v>
      </c>
      <c r="F1405" s="15">
        <v>4</v>
      </c>
      <c r="G1405" s="15">
        <v>3780</v>
      </c>
      <c r="H1405" s="15">
        <v>9</v>
      </c>
      <c r="I1405" s="15">
        <v>13759.2</v>
      </c>
      <c r="J1405" s="13" t="s">
        <v>93</v>
      </c>
      <c r="K1405" s="13" t="s">
        <v>133</v>
      </c>
      <c r="L1405" s="34" t="str">
        <f>VLOOKUP(D1405,Products!$A$2:$F$61,3,FALSE)</f>
        <v>Sports</v>
      </c>
      <c r="M1405" s="34" t="str">
        <f>VLOOKUP(C1405,Customers!$A$2:$F$301,5,FALSE)</f>
        <v>Retail</v>
      </c>
      <c r="N1405" s="34">
        <f>VLOOKUP(C1405,Customers!$A$2:$F$301,3,FALSE)</f>
        <v>60</v>
      </c>
      <c r="O1405" s="34" t="str">
        <f>VLOOKUP(E1405,Sales_Reps!$A$2:$E$31,3,FALSE)</f>
        <v>North</v>
      </c>
      <c r="P1405" s="13" t="s">
        <v>297</v>
      </c>
      <c r="Q1405" s="34">
        <f t="shared" si="46"/>
        <v>980063.65999999968</v>
      </c>
      <c r="R1405" s="34" t="str">
        <f>VLOOKUP(E1405,Sales_Reps!$A$2:$E$100,3,FALSE)</f>
        <v>North</v>
      </c>
      <c r="S1405" s="34" t="str">
        <f t="shared" si="47"/>
        <v>Sports</v>
      </c>
      <c r="T1405" s="38">
        <f>VLOOKUP(D1405,Products!$A$2:$F$68,4,FALSE)</f>
        <v>1860</v>
      </c>
    </row>
    <row r="1406" spans="1:20" x14ac:dyDescent="0.35">
      <c r="A1406" s="13" t="s">
        <v>1895</v>
      </c>
      <c r="B1406" s="14">
        <v>45526</v>
      </c>
      <c r="C1406" s="13" t="s">
        <v>403</v>
      </c>
      <c r="D1406" s="13" t="s">
        <v>173</v>
      </c>
      <c r="E1406" s="13" t="s">
        <v>111</v>
      </c>
      <c r="F1406" s="15">
        <v>9</v>
      </c>
      <c r="G1406" s="15">
        <v>2720</v>
      </c>
      <c r="H1406" s="15">
        <v>8.9</v>
      </c>
      <c r="I1406" s="15">
        <v>22301.279999999999</v>
      </c>
      <c r="J1406" s="13" t="s">
        <v>87</v>
      </c>
      <c r="K1406" s="13" t="s">
        <v>117</v>
      </c>
      <c r="L1406" s="34" t="str">
        <f>VLOOKUP(D1406,Products!$A$2:$F$61,3,FALSE)</f>
        <v>Apparel</v>
      </c>
      <c r="M1406" s="34" t="str">
        <f>VLOOKUP(C1406,Customers!$A$2:$F$301,5,FALSE)</f>
        <v>Retail</v>
      </c>
      <c r="N1406" s="34">
        <f>VLOOKUP(C1406,Customers!$A$2:$F$301,3,FALSE)</f>
        <v>59</v>
      </c>
      <c r="O1406" s="34" t="str">
        <f>VLOOKUP(E1406,Sales_Reps!$A$2:$E$31,3,FALSE)</f>
        <v>West</v>
      </c>
      <c r="P1406" s="13" t="s">
        <v>111</v>
      </c>
      <c r="Q1406" s="34">
        <f t="shared" si="46"/>
        <v>901298.89</v>
      </c>
      <c r="R1406" s="34" t="str">
        <f>VLOOKUP(E1406,Sales_Reps!$A$2:$E$100,3,FALSE)</f>
        <v>West</v>
      </c>
      <c r="S1406" s="34" t="str">
        <f t="shared" si="47"/>
        <v>Apparel</v>
      </c>
      <c r="T1406" s="38">
        <f>VLOOKUP(D1406,Products!$A$2:$F$68,4,FALSE)</f>
        <v>1962</v>
      </c>
    </row>
    <row r="1407" spans="1:20" x14ac:dyDescent="0.35">
      <c r="A1407" s="13" t="s">
        <v>1896</v>
      </c>
      <c r="B1407" s="14">
        <v>45648</v>
      </c>
      <c r="C1407" s="13" t="s">
        <v>1065</v>
      </c>
      <c r="D1407" s="13" t="s">
        <v>85</v>
      </c>
      <c r="E1407" s="13" t="s">
        <v>139</v>
      </c>
      <c r="F1407" s="15">
        <v>4</v>
      </c>
      <c r="G1407" s="15">
        <v>3620</v>
      </c>
      <c r="H1407" s="15">
        <v>8</v>
      </c>
      <c r="I1407" s="15">
        <v>13321.6</v>
      </c>
      <c r="J1407" s="13" t="s">
        <v>93</v>
      </c>
      <c r="K1407" s="13" t="s">
        <v>94</v>
      </c>
      <c r="L1407" s="34" t="str">
        <f>VLOOKUP(D1407,Products!$A$2:$F$61,3,FALSE)</f>
        <v>Apparel</v>
      </c>
      <c r="M1407" s="34" t="str">
        <f>VLOOKUP(C1407,Customers!$A$2:$F$301,5,FALSE)</f>
        <v>Retail</v>
      </c>
      <c r="N1407" s="34">
        <f>VLOOKUP(C1407,Customers!$A$2:$F$301,3,FALSE)</f>
        <v>49</v>
      </c>
      <c r="O1407" s="34" t="str">
        <f>VLOOKUP(E1407,Sales_Reps!$A$2:$E$31,3,FALSE)</f>
        <v>North</v>
      </c>
      <c r="P1407" s="13" t="s">
        <v>139</v>
      </c>
      <c r="Q1407" s="34">
        <f t="shared" si="46"/>
        <v>589026.2899999998</v>
      </c>
      <c r="R1407" s="34" t="str">
        <f>VLOOKUP(E1407,Sales_Reps!$A$2:$E$100,3,FALSE)</f>
        <v>North</v>
      </c>
      <c r="S1407" s="34" t="str">
        <f t="shared" si="47"/>
        <v>Apparel</v>
      </c>
      <c r="T1407" s="38">
        <f>VLOOKUP(D1407,Products!$A$2:$F$68,4,FALSE)</f>
        <v>2509</v>
      </c>
    </row>
    <row r="1408" spans="1:20" x14ac:dyDescent="0.35">
      <c r="A1408" s="13" t="s">
        <v>1897</v>
      </c>
      <c r="B1408" s="14">
        <v>45325</v>
      </c>
      <c r="C1408" s="13" t="s">
        <v>512</v>
      </c>
      <c r="D1408" s="13" t="s">
        <v>452</v>
      </c>
      <c r="E1408" s="13" t="s">
        <v>139</v>
      </c>
      <c r="F1408" s="15">
        <v>1</v>
      </c>
      <c r="G1408" s="15">
        <v>3450</v>
      </c>
      <c r="H1408" s="15">
        <v>0.2</v>
      </c>
      <c r="I1408" s="15">
        <v>3443.1</v>
      </c>
      <c r="J1408" s="13" t="s">
        <v>87</v>
      </c>
      <c r="K1408" s="13" t="s">
        <v>133</v>
      </c>
      <c r="L1408" s="34" t="str">
        <f>VLOOKUP(D1408,Products!$A$2:$F$61,3,FALSE)</f>
        <v>Apparel</v>
      </c>
      <c r="M1408" s="34" t="str">
        <f>VLOOKUP(C1408,Customers!$A$2:$F$301,5,FALSE)</f>
        <v>Retail</v>
      </c>
      <c r="N1408" s="34">
        <f>VLOOKUP(C1408,Customers!$A$2:$F$301,3,FALSE)</f>
        <v>61</v>
      </c>
      <c r="O1408" s="34" t="str">
        <f>VLOOKUP(E1408,Sales_Reps!$A$2:$E$31,3,FALSE)</f>
        <v>North</v>
      </c>
      <c r="P1408" s="13" t="s">
        <v>139</v>
      </c>
      <c r="Q1408" s="34">
        <f t="shared" si="46"/>
        <v>589026.2899999998</v>
      </c>
      <c r="R1408" s="34" t="str">
        <f>VLOOKUP(E1408,Sales_Reps!$A$2:$E$100,3,FALSE)</f>
        <v>North</v>
      </c>
      <c r="S1408" s="34" t="str">
        <f t="shared" si="47"/>
        <v>Apparel</v>
      </c>
      <c r="T1408" s="38">
        <f>VLOOKUP(D1408,Products!$A$2:$F$68,4,FALSE)</f>
        <v>1748</v>
      </c>
    </row>
    <row r="1409" spans="1:20" x14ac:dyDescent="0.35">
      <c r="A1409" s="13" t="s">
        <v>1898</v>
      </c>
      <c r="B1409" s="14">
        <v>45640</v>
      </c>
      <c r="C1409" s="13" t="s">
        <v>546</v>
      </c>
      <c r="D1409" s="13" t="s">
        <v>237</v>
      </c>
      <c r="E1409" s="13" t="s">
        <v>98</v>
      </c>
      <c r="F1409" s="15">
        <v>7</v>
      </c>
      <c r="G1409" s="15">
        <v>3640</v>
      </c>
      <c r="H1409" s="15">
        <v>4.5999999999999996</v>
      </c>
      <c r="I1409" s="15">
        <v>24307.919999999998</v>
      </c>
      <c r="J1409" s="13" t="s">
        <v>87</v>
      </c>
      <c r="K1409" s="13" t="s">
        <v>99</v>
      </c>
      <c r="L1409" s="34" t="str">
        <f>VLOOKUP(D1409,Products!$A$2:$F$61,3,FALSE)</f>
        <v>Apparel</v>
      </c>
      <c r="M1409" s="34" t="str">
        <f>VLOOKUP(C1409,Customers!$A$2:$F$301,5,FALSE)</f>
        <v>SMB</v>
      </c>
      <c r="N1409" s="34">
        <f>VLOOKUP(C1409,Customers!$A$2:$F$301,3,FALSE)</f>
        <v>29</v>
      </c>
      <c r="O1409" s="34" t="str">
        <f>VLOOKUP(E1409,Sales_Reps!$A$2:$E$31,3,FALSE)</f>
        <v>South</v>
      </c>
      <c r="P1409" s="13" t="s">
        <v>98</v>
      </c>
      <c r="Q1409" s="34">
        <f t="shared" si="46"/>
        <v>995713.54000000015</v>
      </c>
      <c r="R1409" s="34" t="str">
        <f>VLOOKUP(E1409,Sales_Reps!$A$2:$E$100,3,FALSE)</f>
        <v>South</v>
      </c>
      <c r="S1409" s="34" t="str">
        <f t="shared" si="47"/>
        <v>Apparel</v>
      </c>
      <c r="T1409" s="38">
        <f>VLOOKUP(D1409,Products!$A$2:$F$68,4,FALSE)</f>
        <v>2611</v>
      </c>
    </row>
    <row r="1410" spans="1:20" x14ac:dyDescent="0.35">
      <c r="A1410" s="13" t="s">
        <v>1899</v>
      </c>
      <c r="B1410" s="14">
        <v>45423</v>
      </c>
      <c r="C1410" s="13" t="s">
        <v>1036</v>
      </c>
      <c r="D1410" s="13" t="s">
        <v>292</v>
      </c>
      <c r="E1410" s="13" t="s">
        <v>154</v>
      </c>
      <c r="F1410" s="15">
        <v>9</v>
      </c>
      <c r="G1410" s="15">
        <v>620</v>
      </c>
      <c r="H1410" s="15">
        <v>8.5</v>
      </c>
      <c r="I1410" s="15">
        <v>5105.7</v>
      </c>
      <c r="J1410" s="13" t="s">
        <v>87</v>
      </c>
      <c r="K1410" s="13" t="s">
        <v>112</v>
      </c>
      <c r="L1410" s="34" t="str">
        <f>VLOOKUP(D1410,Products!$A$2:$F$61,3,FALSE)</f>
        <v>Apparel</v>
      </c>
      <c r="M1410" s="34" t="str">
        <f>VLOOKUP(C1410,Customers!$A$2:$F$301,5,FALSE)</f>
        <v>Retail</v>
      </c>
      <c r="N1410" s="34">
        <f>VLOOKUP(C1410,Customers!$A$2:$F$301,3,FALSE)</f>
        <v>33</v>
      </c>
      <c r="O1410" s="34" t="str">
        <f>VLOOKUP(E1410,Sales_Reps!$A$2:$E$31,3,FALSE)</f>
        <v>East</v>
      </c>
      <c r="P1410" s="13" t="s">
        <v>154</v>
      </c>
      <c r="Q1410" s="34">
        <f t="shared" si="46"/>
        <v>983787.4800000001</v>
      </c>
      <c r="R1410" s="34" t="str">
        <f>VLOOKUP(E1410,Sales_Reps!$A$2:$E$100,3,FALSE)</f>
        <v>East</v>
      </c>
      <c r="S1410" s="34" t="str">
        <f t="shared" si="47"/>
        <v>Apparel</v>
      </c>
      <c r="T1410" s="38">
        <f>VLOOKUP(D1410,Products!$A$2:$F$68,4,FALSE)</f>
        <v>396</v>
      </c>
    </row>
    <row r="1411" spans="1:20" x14ac:dyDescent="0.35">
      <c r="A1411" s="13" t="s">
        <v>1900</v>
      </c>
      <c r="B1411" s="14">
        <v>45423</v>
      </c>
      <c r="C1411" s="13" t="s">
        <v>714</v>
      </c>
      <c r="D1411" s="13" t="s">
        <v>461</v>
      </c>
      <c r="E1411" s="13" t="s">
        <v>346</v>
      </c>
      <c r="F1411" s="15">
        <v>10</v>
      </c>
      <c r="G1411" s="15">
        <v>3780</v>
      </c>
      <c r="H1411" s="15">
        <v>5.8</v>
      </c>
      <c r="I1411" s="15">
        <v>35607.599999999999</v>
      </c>
      <c r="J1411" s="13" t="s">
        <v>87</v>
      </c>
      <c r="K1411" s="13" t="s">
        <v>99</v>
      </c>
      <c r="L1411" s="34" t="str">
        <f>VLOOKUP(D1411,Products!$A$2:$F$61,3,FALSE)</f>
        <v>Sports</v>
      </c>
      <c r="M1411" s="34" t="str">
        <f>VLOOKUP(C1411,Customers!$A$2:$F$301,5,FALSE)</f>
        <v>Retail</v>
      </c>
      <c r="N1411" s="34">
        <f>VLOOKUP(C1411,Customers!$A$2:$F$301,3,FALSE)</f>
        <v>24</v>
      </c>
      <c r="O1411" s="34" t="str">
        <f>VLOOKUP(E1411,Sales_Reps!$A$2:$E$31,3,FALSE)</f>
        <v>South</v>
      </c>
      <c r="P1411" s="13" t="s">
        <v>346</v>
      </c>
      <c r="Q1411" s="34">
        <f t="shared" ref="Q1411:Q1474" si="48">SUMIFS($I:$I,$E:$E,P1411)</f>
        <v>814563.7100000002</v>
      </c>
      <c r="R1411" s="34" t="str">
        <f>VLOOKUP(E1411,Sales_Reps!$A$2:$E$100,3,FALSE)</f>
        <v>South</v>
      </c>
      <c r="S1411" s="34" t="str">
        <f t="shared" ref="S1411:S1474" si="49">L1411</f>
        <v>Sports</v>
      </c>
      <c r="T1411" s="38">
        <f>VLOOKUP(D1411,Products!$A$2:$F$68,4,FALSE)</f>
        <v>1860</v>
      </c>
    </row>
    <row r="1412" spans="1:20" x14ac:dyDescent="0.35">
      <c r="A1412" s="13" t="s">
        <v>1901</v>
      </c>
      <c r="B1412" s="14">
        <v>45518</v>
      </c>
      <c r="C1412" s="13" t="s">
        <v>522</v>
      </c>
      <c r="D1412" s="13" t="s">
        <v>187</v>
      </c>
      <c r="E1412" s="13" t="s">
        <v>204</v>
      </c>
      <c r="F1412" s="15">
        <v>7</v>
      </c>
      <c r="G1412" s="15">
        <v>3570</v>
      </c>
      <c r="H1412" s="15">
        <v>26.1</v>
      </c>
      <c r="I1412" s="15">
        <v>18467.61</v>
      </c>
      <c r="J1412" s="13" t="s">
        <v>87</v>
      </c>
      <c r="K1412" s="13" t="s">
        <v>99</v>
      </c>
      <c r="L1412" s="34" t="str">
        <f>VLOOKUP(D1412,Products!$A$2:$F$61,3,FALSE)</f>
        <v>Electronics</v>
      </c>
      <c r="M1412" s="34" t="str">
        <f>VLOOKUP(C1412,Customers!$A$2:$F$301,5,FALSE)</f>
        <v>SMB</v>
      </c>
      <c r="N1412" s="34">
        <f>VLOOKUP(C1412,Customers!$A$2:$F$301,3,FALSE)</f>
        <v>55</v>
      </c>
      <c r="O1412" s="34" t="str">
        <f>VLOOKUP(E1412,Sales_Reps!$A$2:$E$31,3,FALSE)</f>
        <v>South</v>
      </c>
      <c r="P1412" s="13" t="s">
        <v>204</v>
      </c>
      <c r="Q1412" s="34">
        <f t="shared" si="48"/>
        <v>914554.71999999986</v>
      </c>
      <c r="R1412" s="34" t="str">
        <f>VLOOKUP(E1412,Sales_Reps!$A$2:$E$100,3,FALSE)</f>
        <v>South</v>
      </c>
      <c r="S1412" s="34" t="str">
        <f t="shared" si="49"/>
        <v>Electronics</v>
      </c>
      <c r="T1412" s="38">
        <f>VLOOKUP(D1412,Products!$A$2:$F$68,4,FALSE)</f>
        <v>1665</v>
      </c>
    </row>
    <row r="1413" spans="1:20" x14ac:dyDescent="0.35">
      <c r="A1413" s="13" t="s">
        <v>1902</v>
      </c>
      <c r="B1413" s="14">
        <v>45306</v>
      </c>
      <c r="C1413" s="13" t="s">
        <v>714</v>
      </c>
      <c r="D1413" s="13" t="s">
        <v>176</v>
      </c>
      <c r="E1413" s="13" t="s">
        <v>297</v>
      </c>
      <c r="F1413" s="15">
        <v>2</v>
      </c>
      <c r="G1413" s="15">
        <v>1650</v>
      </c>
      <c r="H1413" s="15">
        <v>3.8</v>
      </c>
      <c r="I1413" s="15">
        <v>3174.6</v>
      </c>
      <c r="J1413" s="13" t="s">
        <v>87</v>
      </c>
      <c r="K1413" s="13" t="s">
        <v>99</v>
      </c>
      <c r="L1413" s="34" t="str">
        <f>VLOOKUP(D1413,Products!$A$2:$F$61,3,FALSE)</f>
        <v>Beauty</v>
      </c>
      <c r="M1413" s="34" t="str">
        <f>VLOOKUP(C1413,Customers!$A$2:$F$301,5,FALSE)</f>
        <v>Retail</v>
      </c>
      <c r="N1413" s="34">
        <f>VLOOKUP(C1413,Customers!$A$2:$F$301,3,FALSE)</f>
        <v>24</v>
      </c>
      <c r="O1413" s="34" t="str">
        <f>VLOOKUP(E1413,Sales_Reps!$A$2:$E$31,3,FALSE)</f>
        <v>North</v>
      </c>
      <c r="P1413" s="13" t="s">
        <v>297</v>
      </c>
      <c r="Q1413" s="34">
        <f t="shared" si="48"/>
        <v>980063.65999999968</v>
      </c>
      <c r="R1413" s="34" t="str">
        <f>VLOOKUP(E1413,Sales_Reps!$A$2:$E$100,3,FALSE)</f>
        <v>North</v>
      </c>
      <c r="S1413" s="34" t="str">
        <f t="shared" si="49"/>
        <v>Beauty</v>
      </c>
      <c r="T1413" s="38">
        <f>VLOOKUP(D1413,Products!$A$2:$F$68,4,FALSE)</f>
        <v>1222</v>
      </c>
    </row>
    <row r="1414" spans="1:20" x14ac:dyDescent="0.35">
      <c r="A1414" s="13" t="s">
        <v>1903</v>
      </c>
      <c r="B1414" s="14">
        <v>45346</v>
      </c>
      <c r="C1414" s="13" t="s">
        <v>1724</v>
      </c>
      <c r="D1414" s="13" t="s">
        <v>380</v>
      </c>
      <c r="E1414" s="13" t="s">
        <v>325</v>
      </c>
      <c r="F1414" s="15">
        <v>2</v>
      </c>
      <c r="G1414" s="15">
        <v>960</v>
      </c>
      <c r="H1414" s="15">
        <v>6.8</v>
      </c>
      <c r="I1414" s="15">
        <v>1789.44</v>
      </c>
      <c r="J1414" s="13" t="s">
        <v>87</v>
      </c>
      <c r="K1414" s="13" t="s">
        <v>117</v>
      </c>
      <c r="L1414" s="34" t="str">
        <f>VLOOKUP(D1414,Products!$A$2:$F$61,3,FALSE)</f>
        <v>Beauty</v>
      </c>
      <c r="M1414" s="34" t="str">
        <f>VLOOKUP(C1414,Customers!$A$2:$F$301,5,FALSE)</f>
        <v>SMB</v>
      </c>
      <c r="N1414" s="34">
        <f>VLOOKUP(C1414,Customers!$A$2:$F$301,3,FALSE)</f>
        <v>54</v>
      </c>
      <c r="O1414" s="34" t="str">
        <f>VLOOKUP(E1414,Sales_Reps!$A$2:$E$31,3,FALSE)</f>
        <v>South</v>
      </c>
      <c r="P1414" s="13" t="s">
        <v>325</v>
      </c>
      <c r="Q1414" s="34">
        <f t="shared" si="48"/>
        <v>901394.32000000007</v>
      </c>
      <c r="R1414" s="34" t="str">
        <f>VLOOKUP(E1414,Sales_Reps!$A$2:$E$100,3,FALSE)</f>
        <v>South</v>
      </c>
      <c r="S1414" s="34" t="str">
        <f t="shared" si="49"/>
        <v>Beauty</v>
      </c>
      <c r="T1414" s="38">
        <f>VLOOKUP(D1414,Products!$A$2:$F$68,4,FALSE)</f>
        <v>675</v>
      </c>
    </row>
    <row r="1415" spans="1:20" x14ac:dyDescent="0.35">
      <c r="A1415" s="13" t="s">
        <v>1904</v>
      </c>
      <c r="B1415" s="14">
        <v>45376</v>
      </c>
      <c r="C1415" s="13" t="s">
        <v>872</v>
      </c>
      <c r="D1415" s="13" t="s">
        <v>282</v>
      </c>
      <c r="E1415" s="13" t="s">
        <v>103</v>
      </c>
      <c r="F1415" s="15">
        <v>2</v>
      </c>
      <c r="G1415" s="15">
        <v>300</v>
      </c>
      <c r="H1415" s="15">
        <v>2.8</v>
      </c>
      <c r="I1415" s="15">
        <v>583.20000000000005</v>
      </c>
      <c r="J1415" s="13" t="s">
        <v>87</v>
      </c>
      <c r="K1415" s="13" t="s">
        <v>112</v>
      </c>
      <c r="L1415" s="34" t="str">
        <f>VLOOKUP(D1415,Products!$A$2:$F$61,3,FALSE)</f>
        <v>Electronics</v>
      </c>
      <c r="M1415" s="34" t="str">
        <f>VLOOKUP(C1415,Customers!$A$2:$F$301,5,FALSE)</f>
        <v>Corporate</v>
      </c>
      <c r="N1415" s="34">
        <f>VLOOKUP(C1415,Customers!$A$2:$F$301,3,FALSE)</f>
        <v>62</v>
      </c>
      <c r="O1415" s="34" t="str">
        <f>VLOOKUP(E1415,Sales_Reps!$A$2:$E$31,3,FALSE)</f>
        <v>North</v>
      </c>
      <c r="P1415" s="13" t="s">
        <v>103</v>
      </c>
      <c r="Q1415" s="34">
        <f t="shared" si="48"/>
        <v>1138648.73</v>
      </c>
      <c r="R1415" s="34" t="str">
        <f>VLOOKUP(E1415,Sales_Reps!$A$2:$E$100,3,FALSE)</f>
        <v>North</v>
      </c>
      <c r="S1415" s="34" t="str">
        <f t="shared" si="49"/>
        <v>Electronics</v>
      </c>
      <c r="T1415" s="38">
        <f>VLOOKUP(D1415,Products!$A$2:$F$68,4,FALSE)</f>
        <v>128</v>
      </c>
    </row>
    <row r="1416" spans="1:20" x14ac:dyDescent="0.35">
      <c r="A1416" s="13" t="s">
        <v>1905</v>
      </c>
      <c r="B1416" s="14">
        <v>45561</v>
      </c>
      <c r="C1416" s="13" t="s">
        <v>493</v>
      </c>
      <c r="D1416" s="13" t="s">
        <v>351</v>
      </c>
      <c r="E1416" s="13" t="s">
        <v>343</v>
      </c>
      <c r="F1416" s="15">
        <v>10</v>
      </c>
      <c r="G1416" s="15">
        <v>4060</v>
      </c>
      <c r="H1416" s="15">
        <v>15.1</v>
      </c>
      <c r="I1416" s="15">
        <v>34469.4</v>
      </c>
      <c r="J1416" s="13" t="s">
        <v>87</v>
      </c>
      <c r="K1416" s="13" t="s">
        <v>88</v>
      </c>
      <c r="L1416" s="34" t="str">
        <f>VLOOKUP(D1416,Products!$A$2:$F$61,3,FALSE)</f>
        <v>Grocery</v>
      </c>
      <c r="M1416" s="34" t="str">
        <f>VLOOKUP(C1416,Customers!$A$2:$F$301,5,FALSE)</f>
        <v>Retail</v>
      </c>
      <c r="N1416" s="34">
        <f>VLOOKUP(C1416,Customers!$A$2:$F$301,3,FALSE)</f>
        <v>57</v>
      </c>
      <c r="O1416" s="34" t="str">
        <f>VLOOKUP(E1416,Sales_Reps!$A$2:$E$31,3,FALSE)</f>
        <v>West</v>
      </c>
      <c r="P1416" s="13" t="s">
        <v>343</v>
      </c>
      <c r="Q1416" s="34">
        <f t="shared" si="48"/>
        <v>917092.61999999965</v>
      </c>
      <c r="R1416" s="34" t="str">
        <f>VLOOKUP(E1416,Sales_Reps!$A$2:$E$100,3,FALSE)</f>
        <v>West</v>
      </c>
      <c r="S1416" s="34" t="str">
        <f t="shared" si="49"/>
        <v>Grocery</v>
      </c>
      <c r="T1416" s="38">
        <f>VLOOKUP(D1416,Products!$A$2:$F$68,4,FALSE)</f>
        <v>2911</v>
      </c>
    </row>
    <row r="1417" spans="1:20" x14ac:dyDescent="0.35">
      <c r="A1417" s="13" t="s">
        <v>1906</v>
      </c>
      <c r="B1417" s="14">
        <v>45320</v>
      </c>
      <c r="C1417" s="13" t="s">
        <v>1191</v>
      </c>
      <c r="D1417" s="13" t="s">
        <v>364</v>
      </c>
      <c r="E1417" s="13" t="s">
        <v>285</v>
      </c>
      <c r="F1417" s="15">
        <v>6</v>
      </c>
      <c r="G1417" s="15">
        <v>5330</v>
      </c>
      <c r="H1417" s="15">
        <v>2</v>
      </c>
      <c r="I1417" s="15">
        <v>31340.400000000001</v>
      </c>
      <c r="J1417" s="13" t="s">
        <v>87</v>
      </c>
      <c r="K1417" s="13" t="s">
        <v>117</v>
      </c>
      <c r="L1417" s="34" t="str">
        <f>VLOOKUP(D1417,Products!$A$2:$F$61,3,FALSE)</f>
        <v>Electronics</v>
      </c>
      <c r="M1417" s="34" t="str">
        <f>VLOOKUP(C1417,Customers!$A$2:$F$301,5,FALSE)</f>
        <v>Retail</v>
      </c>
      <c r="N1417" s="34">
        <f>VLOOKUP(C1417,Customers!$A$2:$F$301,3,FALSE)</f>
        <v>36</v>
      </c>
      <c r="O1417" s="34" t="str">
        <f>VLOOKUP(E1417,Sales_Reps!$A$2:$E$31,3,FALSE)</f>
        <v>East</v>
      </c>
      <c r="P1417" s="13" t="s">
        <v>285</v>
      </c>
      <c r="Q1417" s="34">
        <f t="shared" si="48"/>
        <v>1069570.5400000003</v>
      </c>
      <c r="R1417" s="34" t="str">
        <f>VLOOKUP(E1417,Sales_Reps!$A$2:$E$100,3,FALSE)</f>
        <v>East</v>
      </c>
      <c r="S1417" s="34" t="str">
        <f t="shared" si="49"/>
        <v>Electronics</v>
      </c>
      <c r="T1417" s="38">
        <f>VLOOKUP(D1417,Products!$A$2:$F$68,4,FALSE)</f>
        <v>2405</v>
      </c>
    </row>
    <row r="1418" spans="1:20" x14ac:dyDescent="0.35">
      <c r="A1418" s="13" t="s">
        <v>1907</v>
      </c>
      <c r="B1418" s="14">
        <v>45572</v>
      </c>
      <c r="C1418" s="13" t="s">
        <v>420</v>
      </c>
      <c r="D1418" s="13" t="s">
        <v>226</v>
      </c>
      <c r="E1418" s="13" t="s">
        <v>158</v>
      </c>
      <c r="F1418" s="15">
        <v>9</v>
      </c>
      <c r="G1418" s="15">
        <v>3730</v>
      </c>
      <c r="H1418" s="15">
        <v>24.5</v>
      </c>
      <c r="I1418" s="15">
        <v>25345.35</v>
      </c>
      <c r="J1418" s="13" t="s">
        <v>144</v>
      </c>
      <c r="K1418" s="13" t="s">
        <v>99</v>
      </c>
      <c r="L1418" s="34" t="str">
        <f>VLOOKUP(D1418,Products!$A$2:$F$61,3,FALSE)</f>
        <v>Home</v>
      </c>
      <c r="M1418" s="34" t="str">
        <f>VLOOKUP(C1418,Customers!$A$2:$F$301,5,FALSE)</f>
        <v>Retail</v>
      </c>
      <c r="N1418" s="34">
        <f>VLOOKUP(C1418,Customers!$A$2:$F$301,3,FALSE)</f>
        <v>44</v>
      </c>
      <c r="O1418" s="34" t="str">
        <f>VLOOKUP(E1418,Sales_Reps!$A$2:$E$31,3,FALSE)</f>
        <v>East</v>
      </c>
      <c r="P1418" s="13" t="s">
        <v>158</v>
      </c>
      <c r="Q1418" s="34">
        <f t="shared" si="48"/>
        <v>761507.17000000027</v>
      </c>
      <c r="R1418" s="34" t="str">
        <f>VLOOKUP(E1418,Sales_Reps!$A$2:$E$100,3,FALSE)</f>
        <v>East</v>
      </c>
      <c r="S1418" s="34" t="str">
        <f t="shared" si="49"/>
        <v>Home</v>
      </c>
      <c r="T1418" s="38">
        <f>VLOOKUP(D1418,Products!$A$2:$F$68,4,FALSE)</f>
        <v>2135</v>
      </c>
    </row>
    <row r="1419" spans="1:20" x14ac:dyDescent="0.35">
      <c r="A1419" s="13" t="s">
        <v>1908</v>
      </c>
      <c r="B1419" s="14">
        <v>45611</v>
      </c>
      <c r="C1419" s="13" t="s">
        <v>353</v>
      </c>
      <c r="D1419" s="13" t="s">
        <v>241</v>
      </c>
      <c r="E1419" s="13" t="s">
        <v>170</v>
      </c>
      <c r="F1419" s="15">
        <v>1</v>
      </c>
      <c r="G1419" s="15">
        <v>6080</v>
      </c>
      <c r="H1419" s="15">
        <v>4.4000000000000004</v>
      </c>
      <c r="I1419" s="15">
        <v>5812.48</v>
      </c>
      <c r="J1419" s="13" t="s">
        <v>140</v>
      </c>
      <c r="K1419" s="13" t="s">
        <v>94</v>
      </c>
      <c r="L1419" s="34" t="str">
        <f>VLOOKUP(D1419,Products!$A$2:$F$61,3,FALSE)</f>
        <v>Beauty</v>
      </c>
      <c r="M1419" s="34" t="str">
        <f>VLOOKUP(C1419,Customers!$A$2:$F$301,5,FALSE)</f>
        <v>Retail</v>
      </c>
      <c r="N1419" s="34">
        <f>VLOOKUP(C1419,Customers!$A$2:$F$301,3,FALSE)</f>
        <v>60</v>
      </c>
      <c r="O1419" s="34" t="str">
        <f>VLOOKUP(E1419,Sales_Reps!$A$2:$E$31,3,FALSE)</f>
        <v>West</v>
      </c>
      <c r="P1419" s="13" t="s">
        <v>170</v>
      </c>
      <c r="Q1419" s="34">
        <f t="shared" si="48"/>
        <v>747624.36999999988</v>
      </c>
      <c r="R1419" s="34" t="str">
        <f>VLOOKUP(E1419,Sales_Reps!$A$2:$E$100,3,FALSE)</f>
        <v>West</v>
      </c>
      <c r="S1419" s="34" t="str">
        <f t="shared" si="49"/>
        <v>Beauty</v>
      </c>
      <c r="T1419" s="38">
        <f>VLOOKUP(D1419,Products!$A$2:$F$68,4,FALSE)</f>
        <v>2617</v>
      </c>
    </row>
    <row r="1420" spans="1:20" x14ac:dyDescent="0.35">
      <c r="A1420" s="13" t="s">
        <v>1909</v>
      </c>
      <c r="B1420" s="14">
        <v>45524</v>
      </c>
      <c r="C1420" s="13" t="s">
        <v>707</v>
      </c>
      <c r="D1420" s="13" t="s">
        <v>173</v>
      </c>
      <c r="E1420" s="13" t="s">
        <v>111</v>
      </c>
      <c r="F1420" s="15">
        <v>5</v>
      </c>
      <c r="G1420" s="15">
        <v>2720</v>
      </c>
      <c r="H1420" s="15">
        <v>9.1999999999999993</v>
      </c>
      <c r="I1420" s="15">
        <v>12348.8</v>
      </c>
      <c r="J1420" s="13" t="s">
        <v>87</v>
      </c>
      <c r="K1420" s="13" t="s">
        <v>112</v>
      </c>
      <c r="L1420" s="34" t="str">
        <f>VLOOKUP(D1420,Products!$A$2:$F$61,3,FALSE)</f>
        <v>Apparel</v>
      </c>
      <c r="M1420" s="34" t="str">
        <f>VLOOKUP(C1420,Customers!$A$2:$F$301,5,FALSE)</f>
        <v>Retail</v>
      </c>
      <c r="N1420" s="34">
        <f>VLOOKUP(C1420,Customers!$A$2:$F$301,3,FALSE)</f>
        <v>33</v>
      </c>
      <c r="O1420" s="34" t="str">
        <f>VLOOKUP(E1420,Sales_Reps!$A$2:$E$31,3,FALSE)</f>
        <v>West</v>
      </c>
      <c r="P1420" s="13" t="s">
        <v>111</v>
      </c>
      <c r="Q1420" s="34">
        <f t="shared" si="48"/>
        <v>901298.89</v>
      </c>
      <c r="R1420" s="34" t="str">
        <f>VLOOKUP(E1420,Sales_Reps!$A$2:$E$100,3,FALSE)</f>
        <v>West</v>
      </c>
      <c r="S1420" s="34" t="str">
        <f t="shared" si="49"/>
        <v>Apparel</v>
      </c>
      <c r="T1420" s="38">
        <f>VLOOKUP(D1420,Products!$A$2:$F$68,4,FALSE)</f>
        <v>1962</v>
      </c>
    </row>
    <row r="1421" spans="1:20" x14ac:dyDescent="0.35">
      <c r="A1421" s="13" t="s">
        <v>1910</v>
      </c>
      <c r="B1421" s="14">
        <v>45438</v>
      </c>
      <c r="C1421" s="13" t="s">
        <v>411</v>
      </c>
      <c r="D1421" s="13" t="s">
        <v>452</v>
      </c>
      <c r="E1421" s="13" t="s">
        <v>154</v>
      </c>
      <c r="F1421" s="15">
        <v>1</v>
      </c>
      <c r="G1421" s="15">
        <v>3450</v>
      </c>
      <c r="H1421" s="15">
        <v>15.6</v>
      </c>
      <c r="I1421" s="15">
        <v>2911.8</v>
      </c>
      <c r="J1421" s="13" t="s">
        <v>87</v>
      </c>
      <c r="K1421" s="13" t="s">
        <v>112</v>
      </c>
      <c r="L1421" s="34" t="str">
        <f>VLOOKUP(D1421,Products!$A$2:$F$61,3,FALSE)</f>
        <v>Apparel</v>
      </c>
      <c r="M1421" s="34" t="str">
        <f>VLOOKUP(C1421,Customers!$A$2:$F$301,5,FALSE)</f>
        <v>Retail</v>
      </c>
      <c r="N1421" s="34">
        <f>VLOOKUP(C1421,Customers!$A$2:$F$301,3,FALSE)</f>
        <v>61</v>
      </c>
      <c r="O1421" s="34" t="str">
        <f>VLOOKUP(E1421,Sales_Reps!$A$2:$E$31,3,FALSE)</f>
        <v>East</v>
      </c>
      <c r="P1421" s="13" t="s">
        <v>154</v>
      </c>
      <c r="Q1421" s="34">
        <f t="shared" si="48"/>
        <v>983787.4800000001</v>
      </c>
      <c r="R1421" s="34" t="str">
        <f>VLOOKUP(E1421,Sales_Reps!$A$2:$E$100,3,FALSE)</f>
        <v>East</v>
      </c>
      <c r="S1421" s="34" t="str">
        <f t="shared" si="49"/>
        <v>Apparel</v>
      </c>
      <c r="T1421" s="38">
        <f>VLOOKUP(D1421,Products!$A$2:$F$68,4,FALSE)</f>
        <v>1748</v>
      </c>
    </row>
    <row r="1422" spans="1:20" x14ac:dyDescent="0.35">
      <c r="A1422" s="13" t="s">
        <v>1911</v>
      </c>
      <c r="B1422" s="14">
        <v>45484</v>
      </c>
      <c r="C1422" s="13" t="s">
        <v>1623</v>
      </c>
      <c r="D1422" s="13" t="s">
        <v>502</v>
      </c>
      <c r="E1422" s="13" t="s">
        <v>285</v>
      </c>
      <c r="F1422" s="15">
        <v>2</v>
      </c>
      <c r="G1422" s="15">
        <v>1090</v>
      </c>
      <c r="H1422" s="15">
        <v>0.4</v>
      </c>
      <c r="I1422" s="15">
        <v>2171.2800000000002</v>
      </c>
      <c r="J1422" s="13" t="s">
        <v>144</v>
      </c>
      <c r="K1422" s="13" t="s">
        <v>117</v>
      </c>
      <c r="L1422" s="34" t="str">
        <f>VLOOKUP(D1422,Products!$A$2:$F$61,3,FALSE)</f>
        <v>Home</v>
      </c>
      <c r="M1422" s="34" t="str">
        <f>VLOOKUP(C1422,Customers!$A$2:$F$301,5,FALSE)</f>
        <v>Retail</v>
      </c>
      <c r="N1422" s="34">
        <f>VLOOKUP(C1422,Customers!$A$2:$F$301,3,FALSE)</f>
        <v>53</v>
      </c>
      <c r="O1422" s="34" t="str">
        <f>VLOOKUP(E1422,Sales_Reps!$A$2:$E$31,3,FALSE)</f>
        <v>East</v>
      </c>
      <c r="P1422" s="13" t="s">
        <v>285</v>
      </c>
      <c r="Q1422" s="34">
        <f t="shared" si="48"/>
        <v>1069570.5400000003</v>
      </c>
      <c r="R1422" s="34" t="str">
        <f>VLOOKUP(E1422,Sales_Reps!$A$2:$E$100,3,FALSE)</f>
        <v>East</v>
      </c>
      <c r="S1422" s="34" t="str">
        <f t="shared" si="49"/>
        <v>Home</v>
      </c>
      <c r="T1422" s="38">
        <f>VLOOKUP(D1422,Products!$A$2:$F$68,4,FALSE)</f>
        <v>464</v>
      </c>
    </row>
    <row r="1423" spans="1:20" x14ac:dyDescent="0.35">
      <c r="A1423" s="13" t="s">
        <v>1912</v>
      </c>
      <c r="B1423" s="14">
        <v>45643</v>
      </c>
      <c r="C1423" s="13" t="s">
        <v>539</v>
      </c>
      <c r="D1423" s="13" t="s">
        <v>187</v>
      </c>
      <c r="E1423" s="13" t="s">
        <v>238</v>
      </c>
      <c r="F1423" s="15">
        <v>2</v>
      </c>
      <c r="G1423" s="15">
        <v>3570</v>
      </c>
      <c r="H1423" s="15">
        <v>9</v>
      </c>
      <c r="I1423" s="15">
        <v>6497.4</v>
      </c>
      <c r="J1423" s="13" t="s">
        <v>87</v>
      </c>
      <c r="K1423" s="13" t="s">
        <v>133</v>
      </c>
      <c r="L1423" s="34" t="str">
        <f>VLOOKUP(D1423,Products!$A$2:$F$61,3,FALSE)</f>
        <v>Electronics</v>
      </c>
      <c r="M1423" s="34" t="str">
        <f>VLOOKUP(C1423,Customers!$A$2:$F$301,5,FALSE)</f>
        <v>Retail</v>
      </c>
      <c r="N1423" s="34">
        <f>VLOOKUP(C1423,Customers!$A$2:$F$301,3,FALSE)</f>
        <v>38</v>
      </c>
      <c r="O1423" s="34" t="str">
        <f>VLOOKUP(E1423,Sales_Reps!$A$2:$E$31,3,FALSE)</f>
        <v>East</v>
      </c>
      <c r="P1423" s="13" t="s">
        <v>238</v>
      </c>
      <c r="Q1423" s="34">
        <f t="shared" si="48"/>
        <v>780384.40999999992</v>
      </c>
      <c r="R1423" s="34" t="str">
        <f>VLOOKUP(E1423,Sales_Reps!$A$2:$E$100,3,FALSE)</f>
        <v>East</v>
      </c>
      <c r="S1423" s="34" t="str">
        <f t="shared" si="49"/>
        <v>Electronics</v>
      </c>
      <c r="T1423" s="38">
        <f>VLOOKUP(D1423,Products!$A$2:$F$68,4,FALSE)</f>
        <v>1665</v>
      </c>
    </row>
    <row r="1424" spans="1:20" x14ac:dyDescent="0.35">
      <c r="A1424" s="13" t="s">
        <v>1913</v>
      </c>
      <c r="B1424" s="14">
        <v>45437</v>
      </c>
      <c r="C1424" s="13" t="s">
        <v>522</v>
      </c>
      <c r="D1424" s="13" t="s">
        <v>167</v>
      </c>
      <c r="E1424" s="13" t="s">
        <v>98</v>
      </c>
      <c r="F1424" s="15">
        <v>9</v>
      </c>
      <c r="G1424" s="15">
        <v>2480</v>
      </c>
      <c r="H1424" s="15">
        <v>3.6</v>
      </c>
      <c r="I1424" s="15">
        <v>21516.48</v>
      </c>
      <c r="J1424" s="13" t="s">
        <v>93</v>
      </c>
      <c r="K1424" s="13" t="s">
        <v>99</v>
      </c>
      <c r="L1424" s="34" t="str">
        <f>VLOOKUP(D1424,Products!$A$2:$F$61,3,FALSE)</f>
        <v>Apparel</v>
      </c>
      <c r="M1424" s="34" t="str">
        <f>VLOOKUP(C1424,Customers!$A$2:$F$301,5,FALSE)</f>
        <v>SMB</v>
      </c>
      <c r="N1424" s="34">
        <f>VLOOKUP(C1424,Customers!$A$2:$F$301,3,FALSE)</f>
        <v>55</v>
      </c>
      <c r="O1424" s="34" t="str">
        <f>VLOOKUP(E1424,Sales_Reps!$A$2:$E$31,3,FALSE)</f>
        <v>South</v>
      </c>
      <c r="P1424" s="13" t="s">
        <v>98</v>
      </c>
      <c r="Q1424" s="34">
        <f t="shared" si="48"/>
        <v>995713.54000000015</v>
      </c>
      <c r="R1424" s="34" t="str">
        <f>VLOOKUP(E1424,Sales_Reps!$A$2:$E$100,3,FALSE)</f>
        <v>South</v>
      </c>
      <c r="S1424" s="34" t="str">
        <f t="shared" si="49"/>
        <v>Apparel</v>
      </c>
      <c r="T1424" s="38">
        <f>VLOOKUP(D1424,Products!$A$2:$F$68,4,FALSE)</f>
        <v>1173</v>
      </c>
    </row>
    <row r="1425" spans="1:20" x14ac:dyDescent="0.35">
      <c r="A1425" s="13" t="s">
        <v>1914</v>
      </c>
      <c r="B1425" s="14">
        <v>45303</v>
      </c>
      <c r="C1425" s="13" t="s">
        <v>544</v>
      </c>
      <c r="D1425" s="13" t="s">
        <v>234</v>
      </c>
      <c r="E1425" s="13" t="s">
        <v>285</v>
      </c>
      <c r="F1425" s="15">
        <v>9</v>
      </c>
      <c r="G1425" s="15">
        <v>3780</v>
      </c>
      <c r="H1425" s="15">
        <v>4.5</v>
      </c>
      <c r="I1425" s="15">
        <v>32489.1</v>
      </c>
      <c r="J1425" s="13" t="s">
        <v>87</v>
      </c>
      <c r="K1425" s="13" t="s">
        <v>133</v>
      </c>
      <c r="L1425" s="34" t="str">
        <f>VLOOKUP(D1425,Products!$A$2:$F$61,3,FALSE)</f>
        <v>Grocery</v>
      </c>
      <c r="M1425" s="34" t="str">
        <f>VLOOKUP(C1425,Customers!$A$2:$F$301,5,FALSE)</f>
        <v>Retail</v>
      </c>
      <c r="N1425" s="34">
        <f>VLOOKUP(C1425,Customers!$A$2:$F$301,3,FALSE)</f>
        <v>25</v>
      </c>
      <c r="O1425" s="34" t="str">
        <f>VLOOKUP(E1425,Sales_Reps!$A$2:$E$31,3,FALSE)</f>
        <v>East</v>
      </c>
      <c r="P1425" s="13" t="s">
        <v>285</v>
      </c>
      <c r="Q1425" s="34">
        <f t="shared" si="48"/>
        <v>1069570.5400000003</v>
      </c>
      <c r="R1425" s="34" t="str">
        <f>VLOOKUP(E1425,Sales_Reps!$A$2:$E$100,3,FALSE)</f>
        <v>East</v>
      </c>
      <c r="S1425" s="34" t="str">
        <f t="shared" si="49"/>
        <v>Grocery</v>
      </c>
      <c r="T1425" s="38">
        <f>VLOOKUP(D1425,Products!$A$2:$F$68,4,FALSE)</f>
        <v>2436</v>
      </c>
    </row>
    <row r="1426" spans="1:20" x14ac:dyDescent="0.35">
      <c r="A1426" s="13" t="s">
        <v>1915</v>
      </c>
      <c r="B1426" s="14">
        <v>45631</v>
      </c>
      <c r="C1426" s="13" t="s">
        <v>359</v>
      </c>
      <c r="D1426" s="13" t="s">
        <v>351</v>
      </c>
      <c r="E1426" s="13" t="s">
        <v>132</v>
      </c>
      <c r="F1426" s="15">
        <v>5</v>
      </c>
      <c r="G1426" s="15">
        <v>4060</v>
      </c>
      <c r="H1426" s="15">
        <v>2.7</v>
      </c>
      <c r="I1426" s="15">
        <v>19751.900000000001</v>
      </c>
      <c r="J1426" s="13" t="s">
        <v>87</v>
      </c>
      <c r="K1426" s="13" t="s">
        <v>99</v>
      </c>
      <c r="L1426" s="34" t="str">
        <f>VLOOKUP(D1426,Products!$A$2:$F$61,3,FALSE)</f>
        <v>Grocery</v>
      </c>
      <c r="M1426" s="34" t="str">
        <f>VLOOKUP(C1426,Customers!$A$2:$F$301,5,FALSE)</f>
        <v>SMB</v>
      </c>
      <c r="N1426" s="34">
        <f>VLOOKUP(C1426,Customers!$A$2:$F$301,3,FALSE)</f>
        <v>28</v>
      </c>
      <c r="O1426" s="34" t="str">
        <f>VLOOKUP(E1426,Sales_Reps!$A$2:$E$31,3,FALSE)</f>
        <v>South</v>
      </c>
      <c r="P1426" s="13" t="s">
        <v>132</v>
      </c>
      <c r="Q1426" s="34">
        <f t="shared" si="48"/>
        <v>880345.20000000007</v>
      </c>
      <c r="R1426" s="34" t="str">
        <f>VLOOKUP(E1426,Sales_Reps!$A$2:$E$100,3,FALSE)</f>
        <v>South</v>
      </c>
      <c r="S1426" s="34" t="str">
        <f t="shared" si="49"/>
        <v>Grocery</v>
      </c>
      <c r="T1426" s="38">
        <f>VLOOKUP(D1426,Products!$A$2:$F$68,4,FALSE)</f>
        <v>2911</v>
      </c>
    </row>
    <row r="1427" spans="1:20" x14ac:dyDescent="0.35">
      <c r="A1427" s="13" t="s">
        <v>1916</v>
      </c>
      <c r="B1427" s="14">
        <v>45564</v>
      </c>
      <c r="C1427" s="13" t="s">
        <v>608</v>
      </c>
      <c r="D1427" s="13" t="s">
        <v>282</v>
      </c>
      <c r="E1427" s="13" t="s">
        <v>297</v>
      </c>
      <c r="F1427" s="15">
        <v>8</v>
      </c>
      <c r="G1427" s="15">
        <v>300</v>
      </c>
      <c r="H1427" s="15">
        <v>19.8</v>
      </c>
      <c r="I1427" s="15">
        <v>1924.8</v>
      </c>
      <c r="J1427" s="13" t="s">
        <v>140</v>
      </c>
      <c r="K1427" s="13" t="s">
        <v>88</v>
      </c>
      <c r="L1427" s="34" t="str">
        <f>VLOOKUP(D1427,Products!$A$2:$F$61,3,FALSE)</f>
        <v>Electronics</v>
      </c>
      <c r="M1427" s="34" t="str">
        <f>VLOOKUP(C1427,Customers!$A$2:$F$301,5,FALSE)</f>
        <v>Corporate</v>
      </c>
      <c r="N1427" s="34">
        <f>VLOOKUP(C1427,Customers!$A$2:$F$301,3,FALSE)</f>
        <v>40</v>
      </c>
      <c r="O1427" s="34" t="str">
        <f>VLOOKUP(E1427,Sales_Reps!$A$2:$E$31,3,FALSE)</f>
        <v>North</v>
      </c>
      <c r="P1427" s="13" t="s">
        <v>297</v>
      </c>
      <c r="Q1427" s="34">
        <f t="shared" si="48"/>
        <v>980063.65999999968</v>
      </c>
      <c r="R1427" s="34" t="str">
        <f>VLOOKUP(E1427,Sales_Reps!$A$2:$E$100,3,FALSE)</f>
        <v>North</v>
      </c>
      <c r="S1427" s="34" t="str">
        <f t="shared" si="49"/>
        <v>Electronics</v>
      </c>
      <c r="T1427" s="38">
        <f>VLOOKUP(D1427,Products!$A$2:$F$68,4,FALSE)</f>
        <v>128</v>
      </c>
    </row>
    <row r="1428" spans="1:20" x14ac:dyDescent="0.35">
      <c r="A1428" s="13" t="s">
        <v>1917</v>
      </c>
      <c r="B1428" s="14">
        <v>45454</v>
      </c>
      <c r="C1428" s="13" t="s">
        <v>350</v>
      </c>
      <c r="D1428" s="13" t="s">
        <v>143</v>
      </c>
      <c r="E1428" s="13" t="s">
        <v>297</v>
      </c>
      <c r="F1428" s="15">
        <v>10</v>
      </c>
      <c r="G1428" s="15">
        <v>3250</v>
      </c>
      <c r="H1428" s="15">
        <v>21.3</v>
      </c>
      <c r="I1428" s="15">
        <v>25577.5</v>
      </c>
      <c r="J1428" s="13" t="s">
        <v>140</v>
      </c>
      <c r="K1428" s="13" t="s">
        <v>112</v>
      </c>
      <c r="L1428" s="34" t="str">
        <f>VLOOKUP(D1428,Products!$A$2:$F$61,3,FALSE)</f>
        <v>Home</v>
      </c>
      <c r="M1428" s="34" t="str">
        <f>VLOOKUP(C1428,Customers!$A$2:$F$301,5,FALSE)</f>
        <v>SMB</v>
      </c>
      <c r="N1428" s="34">
        <f>VLOOKUP(C1428,Customers!$A$2:$F$301,3,FALSE)</f>
        <v>22</v>
      </c>
      <c r="O1428" s="34" t="str">
        <f>VLOOKUP(E1428,Sales_Reps!$A$2:$E$31,3,FALSE)</f>
        <v>North</v>
      </c>
      <c r="P1428" s="13" t="s">
        <v>297</v>
      </c>
      <c r="Q1428" s="34">
        <f t="shared" si="48"/>
        <v>980063.65999999968</v>
      </c>
      <c r="R1428" s="34" t="str">
        <f>VLOOKUP(E1428,Sales_Reps!$A$2:$E$100,3,FALSE)</f>
        <v>North</v>
      </c>
      <c r="S1428" s="34" t="str">
        <f t="shared" si="49"/>
        <v>Home</v>
      </c>
      <c r="T1428" s="38">
        <f>VLOOKUP(D1428,Products!$A$2:$F$68,4,FALSE)</f>
        <v>1556</v>
      </c>
    </row>
    <row r="1429" spans="1:20" x14ac:dyDescent="0.35">
      <c r="A1429" s="13" t="s">
        <v>1918</v>
      </c>
      <c r="B1429" s="14">
        <v>45616</v>
      </c>
      <c r="C1429" s="13" t="s">
        <v>105</v>
      </c>
      <c r="D1429" s="13" t="s">
        <v>195</v>
      </c>
      <c r="E1429" s="13" t="s">
        <v>204</v>
      </c>
      <c r="F1429" s="15">
        <v>2</v>
      </c>
      <c r="G1429" s="15">
        <v>2860</v>
      </c>
      <c r="H1429" s="15">
        <v>13.7</v>
      </c>
      <c r="I1429" s="15">
        <v>4936.3599999999997</v>
      </c>
      <c r="J1429" s="13" t="s">
        <v>87</v>
      </c>
      <c r="K1429" s="13" t="s">
        <v>94</v>
      </c>
      <c r="L1429" s="34" t="str">
        <f>VLOOKUP(D1429,Products!$A$2:$F$61,3,FALSE)</f>
        <v>Sports</v>
      </c>
      <c r="M1429" s="34" t="str">
        <f>VLOOKUP(C1429,Customers!$A$2:$F$301,5,FALSE)</f>
        <v>Retail</v>
      </c>
      <c r="N1429" s="34">
        <f>VLOOKUP(C1429,Customers!$A$2:$F$301,3,FALSE)</f>
        <v>36</v>
      </c>
      <c r="O1429" s="34" t="str">
        <f>VLOOKUP(E1429,Sales_Reps!$A$2:$E$31,3,FALSE)</f>
        <v>South</v>
      </c>
      <c r="P1429" s="13" t="s">
        <v>204</v>
      </c>
      <c r="Q1429" s="34">
        <f t="shared" si="48"/>
        <v>914554.71999999986</v>
      </c>
      <c r="R1429" s="34" t="str">
        <f>VLOOKUP(E1429,Sales_Reps!$A$2:$E$100,3,FALSE)</f>
        <v>South</v>
      </c>
      <c r="S1429" s="34" t="str">
        <f t="shared" si="49"/>
        <v>Sports</v>
      </c>
      <c r="T1429" s="38">
        <f>VLOOKUP(D1429,Products!$A$2:$F$68,4,FALSE)</f>
        <v>2028</v>
      </c>
    </row>
    <row r="1430" spans="1:20" x14ac:dyDescent="0.35">
      <c r="A1430" s="13" t="s">
        <v>1919</v>
      </c>
      <c r="B1430" s="14">
        <v>45523</v>
      </c>
      <c r="C1430" s="13" t="s">
        <v>714</v>
      </c>
      <c r="D1430" s="13" t="s">
        <v>267</v>
      </c>
      <c r="E1430" s="13" t="s">
        <v>238</v>
      </c>
      <c r="F1430" s="15">
        <v>10</v>
      </c>
      <c r="G1430" s="15">
        <v>1220</v>
      </c>
      <c r="H1430" s="15">
        <v>15.4</v>
      </c>
      <c r="I1430" s="15">
        <v>10321.200000000001</v>
      </c>
      <c r="J1430" s="13" t="s">
        <v>87</v>
      </c>
      <c r="K1430" s="13" t="s">
        <v>99</v>
      </c>
      <c r="L1430" s="34" t="str">
        <f>VLOOKUP(D1430,Products!$A$2:$F$61,3,FALSE)</f>
        <v>Electronics</v>
      </c>
      <c r="M1430" s="34" t="str">
        <f>VLOOKUP(C1430,Customers!$A$2:$F$301,5,FALSE)</f>
        <v>Retail</v>
      </c>
      <c r="N1430" s="34">
        <f>VLOOKUP(C1430,Customers!$A$2:$F$301,3,FALSE)</f>
        <v>24</v>
      </c>
      <c r="O1430" s="34" t="str">
        <f>VLOOKUP(E1430,Sales_Reps!$A$2:$E$31,3,FALSE)</f>
        <v>East</v>
      </c>
      <c r="P1430" s="13" t="s">
        <v>238</v>
      </c>
      <c r="Q1430" s="34">
        <f t="shared" si="48"/>
        <v>780384.40999999992</v>
      </c>
      <c r="R1430" s="34" t="str">
        <f>VLOOKUP(E1430,Sales_Reps!$A$2:$E$100,3,FALSE)</f>
        <v>East</v>
      </c>
      <c r="S1430" s="34" t="str">
        <f t="shared" si="49"/>
        <v>Electronics</v>
      </c>
      <c r="T1430" s="38">
        <f>VLOOKUP(D1430,Products!$A$2:$F$68,4,FALSE)</f>
        <v>517</v>
      </c>
    </row>
    <row r="1431" spans="1:20" x14ac:dyDescent="0.35">
      <c r="A1431" s="13" t="s">
        <v>1920</v>
      </c>
      <c r="B1431" s="14">
        <v>45439</v>
      </c>
      <c r="C1431" s="13" t="s">
        <v>256</v>
      </c>
      <c r="D1431" s="13" t="s">
        <v>234</v>
      </c>
      <c r="E1431" s="13" t="s">
        <v>132</v>
      </c>
      <c r="F1431" s="15">
        <v>3</v>
      </c>
      <c r="G1431" s="15">
        <v>3780</v>
      </c>
      <c r="H1431" s="15">
        <v>1.9</v>
      </c>
      <c r="I1431" s="15">
        <v>11124.54</v>
      </c>
      <c r="J1431" s="13" t="s">
        <v>87</v>
      </c>
      <c r="K1431" s="13" t="s">
        <v>133</v>
      </c>
      <c r="L1431" s="34" t="str">
        <f>VLOOKUP(D1431,Products!$A$2:$F$61,3,FALSE)</f>
        <v>Grocery</v>
      </c>
      <c r="M1431" s="34" t="str">
        <f>VLOOKUP(C1431,Customers!$A$2:$F$301,5,FALSE)</f>
        <v>Retail</v>
      </c>
      <c r="N1431" s="34">
        <f>VLOOKUP(C1431,Customers!$A$2:$F$301,3,FALSE)</f>
        <v>27</v>
      </c>
      <c r="O1431" s="34" t="str">
        <f>VLOOKUP(E1431,Sales_Reps!$A$2:$E$31,3,FALSE)</f>
        <v>South</v>
      </c>
      <c r="P1431" s="13" t="s">
        <v>132</v>
      </c>
      <c r="Q1431" s="34">
        <f t="shared" si="48"/>
        <v>880345.20000000007</v>
      </c>
      <c r="R1431" s="34" t="str">
        <f>VLOOKUP(E1431,Sales_Reps!$A$2:$E$100,3,FALSE)</f>
        <v>South</v>
      </c>
      <c r="S1431" s="34" t="str">
        <f t="shared" si="49"/>
        <v>Grocery</v>
      </c>
      <c r="T1431" s="38">
        <f>VLOOKUP(D1431,Products!$A$2:$F$68,4,FALSE)</f>
        <v>2436</v>
      </c>
    </row>
    <row r="1432" spans="1:20" x14ac:dyDescent="0.35">
      <c r="A1432" s="13" t="s">
        <v>1921</v>
      </c>
      <c r="B1432" s="14">
        <v>45579</v>
      </c>
      <c r="C1432" s="13" t="s">
        <v>968</v>
      </c>
      <c r="D1432" s="13" t="s">
        <v>124</v>
      </c>
      <c r="E1432" s="13" t="s">
        <v>303</v>
      </c>
      <c r="F1432" s="15">
        <v>6</v>
      </c>
      <c r="G1432" s="15">
        <v>5490</v>
      </c>
      <c r="H1432" s="15">
        <v>0.5</v>
      </c>
      <c r="I1432" s="15">
        <v>32775.300000000003</v>
      </c>
      <c r="J1432" s="13" t="s">
        <v>93</v>
      </c>
      <c r="K1432" s="13" t="s">
        <v>99</v>
      </c>
      <c r="L1432" s="34" t="str">
        <f>VLOOKUP(D1432,Products!$A$2:$F$61,3,FALSE)</f>
        <v>Home</v>
      </c>
      <c r="M1432" s="34" t="str">
        <f>VLOOKUP(C1432,Customers!$A$2:$F$301,5,FALSE)</f>
        <v>Retail</v>
      </c>
      <c r="N1432" s="34">
        <f>VLOOKUP(C1432,Customers!$A$2:$F$301,3,FALSE)</f>
        <v>47</v>
      </c>
      <c r="O1432" s="34" t="str">
        <f>VLOOKUP(E1432,Sales_Reps!$A$2:$E$31,3,FALSE)</f>
        <v>East</v>
      </c>
      <c r="P1432" s="13" t="s">
        <v>303</v>
      </c>
      <c r="Q1432" s="34">
        <f t="shared" si="48"/>
        <v>1112289.6400000001</v>
      </c>
      <c r="R1432" s="34" t="str">
        <f>VLOOKUP(E1432,Sales_Reps!$A$2:$E$100,3,FALSE)</f>
        <v>East</v>
      </c>
      <c r="S1432" s="34" t="str">
        <f t="shared" si="49"/>
        <v>Home</v>
      </c>
      <c r="T1432" s="38">
        <f>VLOOKUP(D1432,Products!$A$2:$F$68,4,FALSE)</f>
        <v>2549</v>
      </c>
    </row>
    <row r="1433" spans="1:20" x14ac:dyDescent="0.35">
      <c r="A1433" s="13" t="s">
        <v>1922</v>
      </c>
      <c r="B1433" s="14">
        <v>45495</v>
      </c>
      <c r="C1433" s="13" t="s">
        <v>1875</v>
      </c>
      <c r="D1433" s="13" t="s">
        <v>245</v>
      </c>
      <c r="E1433" s="13" t="s">
        <v>229</v>
      </c>
      <c r="F1433" s="15">
        <v>6</v>
      </c>
      <c r="G1433" s="15">
        <v>2270</v>
      </c>
      <c r="H1433" s="15">
        <v>21.5</v>
      </c>
      <c r="I1433" s="15">
        <v>10691.7</v>
      </c>
      <c r="J1433" s="13" t="s">
        <v>87</v>
      </c>
      <c r="K1433" s="13" t="s">
        <v>94</v>
      </c>
      <c r="L1433" s="34" t="str">
        <f>VLOOKUP(D1433,Products!$A$2:$F$61,3,FALSE)</f>
        <v>Grocery</v>
      </c>
      <c r="M1433" s="34" t="str">
        <f>VLOOKUP(C1433,Customers!$A$2:$F$301,5,FALSE)</f>
        <v>Corporate</v>
      </c>
      <c r="N1433" s="34">
        <f>VLOOKUP(C1433,Customers!$A$2:$F$301,3,FALSE)</f>
        <v>54</v>
      </c>
      <c r="O1433" s="34" t="str">
        <f>VLOOKUP(E1433,Sales_Reps!$A$2:$E$31,3,FALSE)</f>
        <v>West</v>
      </c>
      <c r="P1433" s="13" t="s">
        <v>229</v>
      </c>
      <c r="Q1433" s="34">
        <f t="shared" si="48"/>
        <v>1016696.8000000002</v>
      </c>
      <c r="R1433" s="34" t="str">
        <f>VLOOKUP(E1433,Sales_Reps!$A$2:$E$100,3,FALSE)</f>
        <v>West</v>
      </c>
      <c r="S1433" s="34" t="str">
        <f t="shared" si="49"/>
        <v>Grocery</v>
      </c>
      <c r="T1433" s="38">
        <f>VLOOKUP(D1433,Products!$A$2:$F$68,4,FALSE)</f>
        <v>1412</v>
      </c>
    </row>
    <row r="1434" spans="1:20" x14ac:dyDescent="0.35">
      <c r="A1434" s="13" t="s">
        <v>1923</v>
      </c>
      <c r="B1434" s="14">
        <v>45600</v>
      </c>
      <c r="C1434" s="13" t="s">
        <v>405</v>
      </c>
      <c r="D1434" s="13" t="s">
        <v>338</v>
      </c>
      <c r="E1434" s="13" t="s">
        <v>154</v>
      </c>
      <c r="F1434" s="15">
        <v>7</v>
      </c>
      <c r="G1434" s="15">
        <v>2210</v>
      </c>
      <c r="H1434" s="15">
        <v>10.3</v>
      </c>
      <c r="I1434" s="15">
        <v>13876.59</v>
      </c>
      <c r="J1434" s="13" t="s">
        <v>87</v>
      </c>
      <c r="K1434" s="13" t="s">
        <v>94</v>
      </c>
      <c r="L1434" s="34" t="str">
        <f>VLOOKUP(D1434,Products!$A$2:$F$61,3,FALSE)</f>
        <v>Grocery</v>
      </c>
      <c r="M1434" s="34" t="str">
        <f>VLOOKUP(C1434,Customers!$A$2:$F$301,5,FALSE)</f>
        <v>Corporate</v>
      </c>
      <c r="N1434" s="34">
        <f>VLOOKUP(C1434,Customers!$A$2:$F$301,3,FALSE)</f>
        <v>24</v>
      </c>
      <c r="O1434" s="34" t="str">
        <f>VLOOKUP(E1434,Sales_Reps!$A$2:$E$31,3,FALSE)</f>
        <v>East</v>
      </c>
      <c r="P1434" s="13" t="s">
        <v>154</v>
      </c>
      <c r="Q1434" s="34">
        <f t="shared" si="48"/>
        <v>983787.4800000001</v>
      </c>
      <c r="R1434" s="34" t="str">
        <f>VLOOKUP(E1434,Sales_Reps!$A$2:$E$100,3,FALSE)</f>
        <v>East</v>
      </c>
      <c r="S1434" s="34" t="str">
        <f t="shared" si="49"/>
        <v>Grocery</v>
      </c>
      <c r="T1434" s="38">
        <f>VLOOKUP(D1434,Products!$A$2:$F$68,4,FALSE)</f>
        <v>1010</v>
      </c>
    </row>
    <row r="1435" spans="1:20" x14ac:dyDescent="0.35">
      <c r="A1435" s="13" t="s">
        <v>1924</v>
      </c>
      <c r="B1435" s="14">
        <v>45605</v>
      </c>
      <c r="C1435" s="13" t="s">
        <v>1925</v>
      </c>
      <c r="D1435" s="13" t="s">
        <v>502</v>
      </c>
      <c r="E1435" s="13" t="s">
        <v>204</v>
      </c>
      <c r="F1435" s="15">
        <v>8</v>
      </c>
      <c r="G1435" s="15">
        <v>1090</v>
      </c>
      <c r="H1435" s="15">
        <v>21.7</v>
      </c>
      <c r="I1435" s="15">
        <v>6827.76</v>
      </c>
      <c r="J1435" s="13" t="s">
        <v>87</v>
      </c>
      <c r="K1435" s="13" t="s">
        <v>88</v>
      </c>
      <c r="L1435" s="34" t="str">
        <f>VLOOKUP(D1435,Products!$A$2:$F$61,3,FALSE)</f>
        <v>Home</v>
      </c>
      <c r="M1435" s="34" t="e">
        <f>VLOOKUP(C1435,Customers!$A$2:$F$301,5,FALSE)</f>
        <v>#N/A</v>
      </c>
      <c r="N1435" s="34" t="e">
        <f>VLOOKUP(C1435,Customers!$A$2:$F$301,3,FALSE)</f>
        <v>#N/A</v>
      </c>
      <c r="O1435" s="34" t="str">
        <f>VLOOKUP(E1435,Sales_Reps!$A$2:$E$31,3,FALSE)</f>
        <v>South</v>
      </c>
      <c r="P1435" s="13" t="s">
        <v>204</v>
      </c>
      <c r="Q1435" s="34">
        <f t="shared" si="48"/>
        <v>914554.71999999986</v>
      </c>
      <c r="R1435" s="34" t="str">
        <f>VLOOKUP(E1435,Sales_Reps!$A$2:$E$100,3,FALSE)</f>
        <v>South</v>
      </c>
      <c r="S1435" s="34" t="str">
        <f t="shared" si="49"/>
        <v>Home</v>
      </c>
      <c r="T1435" s="38">
        <f>VLOOKUP(D1435,Products!$A$2:$F$68,4,FALSE)</f>
        <v>464</v>
      </c>
    </row>
    <row r="1436" spans="1:20" x14ac:dyDescent="0.35">
      <c r="A1436" s="13" t="s">
        <v>1926</v>
      </c>
      <c r="B1436" s="14">
        <v>45598</v>
      </c>
      <c r="C1436" s="13" t="s">
        <v>841</v>
      </c>
      <c r="D1436" s="13" t="s">
        <v>659</v>
      </c>
      <c r="E1436" s="13" t="s">
        <v>297</v>
      </c>
      <c r="F1436" s="15">
        <v>5</v>
      </c>
      <c r="G1436" s="15">
        <v>3560</v>
      </c>
      <c r="H1436" s="15">
        <v>19.399999999999999</v>
      </c>
      <c r="I1436" s="15">
        <v>14346.8</v>
      </c>
      <c r="J1436" s="13" t="s">
        <v>93</v>
      </c>
      <c r="K1436" s="13" t="s">
        <v>117</v>
      </c>
      <c r="L1436" s="34" t="str">
        <f>VLOOKUP(D1436,Products!$A$2:$F$61,3,FALSE)</f>
        <v>Apparel</v>
      </c>
      <c r="M1436" s="34" t="str">
        <f>VLOOKUP(C1436,Customers!$A$2:$F$301,5,FALSE)</f>
        <v>Corporate</v>
      </c>
      <c r="N1436" s="34">
        <f>VLOOKUP(C1436,Customers!$A$2:$F$301,3,FALSE)</f>
        <v>41</v>
      </c>
      <c r="O1436" s="34" t="str">
        <f>VLOOKUP(E1436,Sales_Reps!$A$2:$E$31,3,FALSE)</f>
        <v>North</v>
      </c>
      <c r="P1436" s="13" t="s">
        <v>297</v>
      </c>
      <c r="Q1436" s="34">
        <f t="shared" si="48"/>
        <v>980063.65999999968</v>
      </c>
      <c r="R1436" s="34" t="str">
        <f>VLOOKUP(E1436,Sales_Reps!$A$2:$E$100,3,FALSE)</f>
        <v>North</v>
      </c>
      <c r="S1436" s="34" t="str">
        <f t="shared" si="49"/>
        <v>Apparel</v>
      </c>
      <c r="T1436" s="38">
        <f>VLOOKUP(D1436,Products!$A$2:$F$68,4,FALSE)</f>
        <v>2629</v>
      </c>
    </row>
    <row r="1437" spans="1:20" x14ac:dyDescent="0.35">
      <c r="A1437" s="13" t="s">
        <v>1927</v>
      </c>
      <c r="B1437" s="14">
        <v>45452</v>
      </c>
      <c r="C1437" s="13" t="s">
        <v>1172</v>
      </c>
      <c r="D1437" s="13" t="s">
        <v>182</v>
      </c>
      <c r="E1437" s="13" t="s">
        <v>128</v>
      </c>
      <c r="F1437" s="15">
        <v>7</v>
      </c>
      <c r="G1437" s="15">
        <v>1010</v>
      </c>
      <c r="H1437" s="15">
        <v>28.2</v>
      </c>
      <c r="I1437" s="15">
        <v>5076.26</v>
      </c>
      <c r="J1437" s="13" t="s">
        <v>87</v>
      </c>
      <c r="K1437" s="13" t="s">
        <v>88</v>
      </c>
      <c r="L1437" s="34" t="str">
        <f>VLOOKUP(D1437,Products!$A$2:$F$61,3,FALSE)</f>
        <v>Sports</v>
      </c>
      <c r="M1437" s="34" t="str">
        <f>VLOOKUP(C1437,Customers!$A$2:$F$301,5,FALSE)</f>
        <v>Retail</v>
      </c>
      <c r="N1437" s="34">
        <f>VLOOKUP(C1437,Customers!$A$2:$F$301,3,FALSE)</f>
        <v>39</v>
      </c>
      <c r="O1437" s="34" t="str">
        <f>VLOOKUP(E1437,Sales_Reps!$A$2:$E$31,3,FALSE)</f>
        <v>West</v>
      </c>
      <c r="P1437" s="13" t="s">
        <v>128</v>
      </c>
      <c r="Q1437" s="34">
        <f t="shared" si="48"/>
        <v>880468.05</v>
      </c>
      <c r="R1437" s="34" t="str">
        <f>VLOOKUP(E1437,Sales_Reps!$A$2:$E$100,3,FALSE)</f>
        <v>West</v>
      </c>
      <c r="S1437" s="34" t="str">
        <f t="shared" si="49"/>
        <v>Sports</v>
      </c>
      <c r="T1437" s="38">
        <f>VLOOKUP(D1437,Products!$A$2:$F$68,4,FALSE)</f>
        <v>516</v>
      </c>
    </row>
    <row r="1438" spans="1:20" x14ac:dyDescent="0.35">
      <c r="A1438" s="13" t="s">
        <v>1928</v>
      </c>
      <c r="B1438" s="14">
        <v>45470</v>
      </c>
      <c r="C1438" s="13" t="s">
        <v>712</v>
      </c>
      <c r="D1438" s="13" t="s">
        <v>295</v>
      </c>
      <c r="E1438" s="13" t="s">
        <v>188</v>
      </c>
      <c r="F1438" s="15">
        <v>2</v>
      </c>
      <c r="G1438" s="15">
        <v>2030</v>
      </c>
      <c r="H1438" s="15">
        <v>27.3</v>
      </c>
      <c r="I1438" s="15">
        <v>2951.62</v>
      </c>
      <c r="J1438" s="13" t="s">
        <v>144</v>
      </c>
      <c r="K1438" s="13" t="s">
        <v>112</v>
      </c>
      <c r="L1438" s="34" t="str">
        <f>VLOOKUP(D1438,Products!$A$2:$F$61,3,FALSE)</f>
        <v>Home</v>
      </c>
      <c r="M1438" s="34" t="str">
        <f>VLOOKUP(C1438,Customers!$A$2:$F$301,5,FALSE)</f>
        <v>Corporate</v>
      </c>
      <c r="N1438" s="34">
        <f>VLOOKUP(C1438,Customers!$A$2:$F$301,3,FALSE)</f>
        <v>51</v>
      </c>
      <c r="O1438" s="34" t="str">
        <f>VLOOKUP(E1438,Sales_Reps!$A$2:$E$31,3,FALSE)</f>
        <v>South</v>
      </c>
      <c r="P1438" s="13" t="s">
        <v>188</v>
      </c>
      <c r="Q1438" s="34">
        <f t="shared" si="48"/>
        <v>1091740.1799999997</v>
      </c>
      <c r="R1438" s="34" t="str">
        <f>VLOOKUP(E1438,Sales_Reps!$A$2:$E$100,3,FALSE)</f>
        <v>South</v>
      </c>
      <c r="S1438" s="34" t="str">
        <f t="shared" si="49"/>
        <v>Home</v>
      </c>
      <c r="T1438" s="38">
        <f>VLOOKUP(D1438,Products!$A$2:$F$68,4,FALSE)</f>
        <v>1143</v>
      </c>
    </row>
    <row r="1439" spans="1:20" x14ac:dyDescent="0.35">
      <c r="A1439" s="13" t="s">
        <v>1929</v>
      </c>
      <c r="B1439" s="14">
        <v>45350</v>
      </c>
      <c r="C1439" s="13" t="s">
        <v>210</v>
      </c>
      <c r="D1439" s="13" t="s">
        <v>364</v>
      </c>
      <c r="E1439" s="13" t="s">
        <v>325</v>
      </c>
      <c r="F1439" s="15">
        <v>6</v>
      </c>
      <c r="G1439" s="15">
        <v>5330</v>
      </c>
      <c r="H1439" s="15">
        <v>0.6</v>
      </c>
      <c r="I1439" s="15">
        <v>31788.12</v>
      </c>
      <c r="J1439" s="13" t="s">
        <v>87</v>
      </c>
      <c r="K1439" s="13" t="s">
        <v>99</v>
      </c>
      <c r="L1439" s="34" t="str">
        <f>VLOOKUP(D1439,Products!$A$2:$F$61,3,FALSE)</f>
        <v>Electronics</v>
      </c>
      <c r="M1439" s="34" t="str">
        <f>VLOOKUP(C1439,Customers!$A$2:$F$301,5,FALSE)</f>
        <v>Retail</v>
      </c>
      <c r="N1439" s="34">
        <f>VLOOKUP(C1439,Customers!$A$2:$F$301,3,FALSE)</f>
        <v>41</v>
      </c>
      <c r="O1439" s="34" t="str">
        <f>VLOOKUP(E1439,Sales_Reps!$A$2:$E$31,3,FALSE)</f>
        <v>South</v>
      </c>
      <c r="P1439" s="13" t="s">
        <v>325</v>
      </c>
      <c r="Q1439" s="34">
        <f t="shared" si="48"/>
        <v>901394.32000000007</v>
      </c>
      <c r="R1439" s="34" t="str">
        <f>VLOOKUP(E1439,Sales_Reps!$A$2:$E$100,3,FALSE)</f>
        <v>South</v>
      </c>
      <c r="S1439" s="34" t="str">
        <f t="shared" si="49"/>
        <v>Electronics</v>
      </c>
      <c r="T1439" s="38">
        <f>VLOOKUP(D1439,Products!$A$2:$F$68,4,FALSE)</f>
        <v>2405</v>
      </c>
    </row>
    <row r="1440" spans="1:20" x14ac:dyDescent="0.35">
      <c r="A1440" s="13" t="s">
        <v>1930</v>
      </c>
      <c r="B1440" s="14">
        <v>45514</v>
      </c>
      <c r="C1440" s="13" t="s">
        <v>310</v>
      </c>
      <c r="D1440" s="13" t="s">
        <v>135</v>
      </c>
      <c r="E1440" s="13" t="s">
        <v>86</v>
      </c>
      <c r="F1440" s="15">
        <v>2</v>
      </c>
      <c r="G1440" s="15">
        <v>2640</v>
      </c>
      <c r="H1440" s="15">
        <v>26</v>
      </c>
      <c r="I1440" s="15">
        <v>3907.2</v>
      </c>
      <c r="J1440" s="13" t="s">
        <v>93</v>
      </c>
      <c r="K1440" s="13" t="s">
        <v>117</v>
      </c>
      <c r="L1440" s="34" t="str">
        <f>VLOOKUP(D1440,Products!$A$2:$F$61,3,FALSE)</f>
        <v>Electronics</v>
      </c>
      <c r="M1440" s="34" t="str">
        <f>VLOOKUP(C1440,Customers!$A$2:$F$301,5,FALSE)</f>
        <v>Retail</v>
      </c>
      <c r="N1440" s="34">
        <f>VLOOKUP(C1440,Customers!$A$2:$F$301,3,FALSE)</f>
        <v>42</v>
      </c>
      <c r="O1440" s="34" t="str">
        <f>VLOOKUP(E1440,Sales_Reps!$A$2:$E$31,3,FALSE)</f>
        <v>North</v>
      </c>
      <c r="P1440" s="13" t="s">
        <v>86</v>
      </c>
      <c r="Q1440" s="34">
        <f t="shared" si="48"/>
        <v>855749.67999999982</v>
      </c>
      <c r="R1440" s="34" t="str">
        <f>VLOOKUP(E1440,Sales_Reps!$A$2:$E$100,3,FALSE)</f>
        <v>North</v>
      </c>
      <c r="S1440" s="34" t="str">
        <f t="shared" si="49"/>
        <v>Electronics</v>
      </c>
      <c r="T1440" s="38">
        <f>VLOOKUP(D1440,Products!$A$2:$F$68,4,FALSE)</f>
        <v>1149</v>
      </c>
    </row>
    <row r="1441" spans="1:20" x14ac:dyDescent="0.35">
      <c r="A1441" s="13" t="s">
        <v>1931</v>
      </c>
      <c r="B1441" s="14">
        <v>45447</v>
      </c>
      <c r="C1441" s="13" t="s">
        <v>350</v>
      </c>
      <c r="D1441" s="13" t="s">
        <v>279</v>
      </c>
      <c r="E1441" s="13" t="s">
        <v>325</v>
      </c>
      <c r="F1441" s="15">
        <v>8</v>
      </c>
      <c r="G1441" s="15">
        <v>2660</v>
      </c>
      <c r="H1441" s="15">
        <v>2.9</v>
      </c>
      <c r="I1441" s="15">
        <v>20662.88</v>
      </c>
      <c r="J1441" s="13" t="s">
        <v>87</v>
      </c>
      <c r="K1441" s="13" t="s">
        <v>112</v>
      </c>
      <c r="L1441" s="34" t="str">
        <f>VLOOKUP(D1441,Products!$A$2:$F$61,3,FALSE)</f>
        <v>Electronics</v>
      </c>
      <c r="M1441" s="34" t="str">
        <f>VLOOKUP(C1441,Customers!$A$2:$F$301,5,FALSE)</f>
        <v>SMB</v>
      </c>
      <c r="N1441" s="34">
        <f>VLOOKUP(C1441,Customers!$A$2:$F$301,3,FALSE)</f>
        <v>22</v>
      </c>
      <c r="O1441" s="34" t="str">
        <f>VLOOKUP(E1441,Sales_Reps!$A$2:$E$31,3,FALSE)</f>
        <v>South</v>
      </c>
      <c r="P1441" s="13" t="s">
        <v>325</v>
      </c>
      <c r="Q1441" s="34">
        <f t="shared" si="48"/>
        <v>901394.32000000007</v>
      </c>
      <c r="R1441" s="34" t="str">
        <f>VLOOKUP(E1441,Sales_Reps!$A$2:$E$100,3,FALSE)</f>
        <v>South</v>
      </c>
      <c r="S1441" s="34" t="str">
        <f t="shared" si="49"/>
        <v>Electronics</v>
      </c>
      <c r="T1441" s="38">
        <f>VLOOKUP(D1441,Products!$A$2:$F$68,4,FALSE)</f>
        <v>1259</v>
      </c>
    </row>
    <row r="1442" spans="1:20" x14ac:dyDescent="0.35">
      <c r="A1442" s="13" t="s">
        <v>1932</v>
      </c>
      <c r="B1442" s="14">
        <v>45390</v>
      </c>
      <c r="C1442" s="13" t="s">
        <v>1072</v>
      </c>
      <c r="D1442" s="13" t="s">
        <v>143</v>
      </c>
      <c r="E1442" s="13" t="s">
        <v>154</v>
      </c>
      <c r="F1442" s="15">
        <v>6</v>
      </c>
      <c r="G1442" s="15">
        <v>3250</v>
      </c>
      <c r="H1442" s="15">
        <v>11.1</v>
      </c>
      <c r="I1442" s="15">
        <v>17335.5</v>
      </c>
      <c r="J1442" s="13" t="s">
        <v>87</v>
      </c>
      <c r="K1442" s="13" t="s">
        <v>112</v>
      </c>
      <c r="L1442" s="34" t="str">
        <f>VLOOKUP(D1442,Products!$A$2:$F$61,3,FALSE)</f>
        <v>Home</v>
      </c>
      <c r="M1442" s="34" t="str">
        <f>VLOOKUP(C1442,Customers!$A$2:$F$301,5,FALSE)</f>
        <v>SMB</v>
      </c>
      <c r="N1442" s="34">
        <f>VLOOKUP(C1442,Customers!$A$2:$F$301,3,FALSE)</f>
        <v>53</v>
      </c>
      <c r="O1442" s="34" t="str">
        <f>VLOOKUP(E1442,Sales_Reps!$A$2:$E$31,3,FALSE)</f>
        <v>East</v>
      </c>
      <c r="P1442" s="13" t="s">
        <v>154</v>
      </c>
      <c r="Q1442" s="34">
        <f t="shared" si="48"/>
        <v>983787.4800000001</v>
      </c>
      <c r="R1442" s="34" t="str">
        <f>VLOOKUP(E1442,Sales_Reps!$A$2:$E$100,3,FALSE)</f>
        <v>East</v>
      </c>
      <c r="S1442" s="34" t="str">
        <f t="shared" si="49"/>
        <v>Home</v>
      </c>
      <c r="T1442" s="38">
        <f>VLOOKUP(D1442,Products!$A$2:$F$68,4,FALSE)</f>
        <v>1556</v>
      </c>
    </row>
    <row r="1443" spans="1:20" x14ac:dyDescent="0.35">
      <c r="A1443" s="13" t="s">
        <v>1933</v>
      </c>
      <c r="B1443" s="14">
        <v>45307</v>
      </c>
      <c r="C1443" s="13" t="s">
        <v>281</v>
      </c>
      <c r="D1443" s="13" t="s">
        <v>338</v>
      </c>
      <c r="E1443" s="13" t="s">
        <v>139</v>
      </c>
      <c r="F1443" s="15">
        <v>1</v>
      </c>
      <c r="G1443" s="15">
        <v>2210</v>
      </c>
      <c r="H1443" s="15">
        <v>3.5</v>
      </c>
      <c r="I1443" s="15">
        <v>2132.65</v>
      </c>
      <c r="J1443" s="13" t="s">
        <v>87</v>
      </c>
      <c r="K1443" s="13" t="s">
        <v>88</v>
      </c>
      <c r="L1443" s="34" t="str">
        <f>VLOOKUP(D1443,Products!$A$2:$F$61,3,FALSE)</f>
        <v>Grocery</v>
      </c>
      <c r="M1443" s="34" t="str">
        <f>VLOOKUP(C1443,Customers!$A$2:$F$301,5,FALSE)</f>
        <v>Retail</v>
      </c>
      <c r="N1443" s="34">
        <f>VLOOKUP(C1443,Customers!$A$2:$F$301,3,FALSE)</f>
        <v>25</v>
      </c>
      <c r="O1443" s="34" t="str">
        <f>VLOOKUP(E1443,Sales_Reps!$A$2:$E$31,3,FALSE)</f>
        <v>North</v>
      </c>
      <c r="P1443" s="13" t="s">
        <v>139</v>
      </c>
      <c r="Q1443" s="34">
        <f t="shared" si="48"/>
        <v>589026.2899999998</v>
      </c>
      <c r="R1443" s="34" t="str">
        <f>VLOOKUP(E1443,Sales_Reps!$A$2:$E$100,3,FALSE)</f>
        <v>North</v>
      </c>
      <c r="S1443" s="34" t="str">
        <f t="shared" si="49"/>
        <v>Grocery</v>
      </c>
      <c r="T1443" s="38">
        <f>VLOOKUP(D1443,Products!$A$2:$F$68,4,FALSE)</f>
        <v>1010</v>
      </c>
    </row>
    <row r="1444" spans="1:20" x14ac:dyDescent="0.35">
      <c r="A1444" s="13" t="s">
        <v>1934</v>
      </c>
      <c r="B1444" s="14">
        <v>45432</v>
      </c>
      <c r="C1444" s="13" t="s">
        <v>493</v>
      </c>
      <c r="D1444" s="13" t="s">
        <v>110</v>
      </c>
      <c r="E1444" s="13" t="s">
        <v>121</v>
      </c>
      <c r="F1444" s="15">
        <v>9</v>
      </c>
      <c r="G1444" s="15">
        <v>370</v>
      </c>
      <c r="H1444" s="15">
        <v>12.4</v>
      </c>
      <c r="I1444" s="15">
        <v>2917.08</v>
      </c>
      <c r="J1444" s="13" t="s">
        <v>87</v>
      </c>
      <c r="K1444" s="13" t="s">
        <v>88</v>
      </c>
      <c r="L1444" s="34" t="str">
        <f>VLOOKUP(D1444,Products!$A$2:$F$61,3,FALSE)</f>
        <v>Home</v>
      </c>
      <c r="M1444" s="34" t="str">
        <f>VLOOKUP(C1444,Customers!$A$2:$F$301,5,FALSE)</f>
        <v>Retail</v>
      </c>
      <c r="N1444" s="34">
        <f>VLOOKUP(C1444,Customers!$A$2:$F$301,3,FALSE)</f>
        <v>57</v>
      </c>
      <c r="O1444" s="34" t="str">
        <f>VLOOKUP(E1444,Sales_Reps!$A$2:$E$31,3,FALSE)</f>
        <v>East</v>
      </c>
      <c r="P1444" s="13" t="s">
        <v>121</v>
      </c>
      <c r="Q1444" s="34">
        <f t="shared" si="48"/>
        <v>971183.52000000014</v>
      </c>
      <c r="R1444" s="34" t="str">
        <f>VLOOKUP(E1444,Sales_Reps!$A$2:$E$100,3,FALSE)</f>
        <v>East</v>
      </c>
      <c r="S1444" s="34" t="str">
        <f t="shared" si="49"/>
        <v>Home</v>
      </c>
      <c r="T1444" s="38">
        <f>VLOOKUP(D1444,Products!$A$2:$F$68,4,FALSE)</f>
        <v>288</v>
      </c>
    </row>
    <row r="1445" spans="1:20" x14ac:dyDescent="0.35">
      <c r="A1445" s="13" t="s">
        <v>1935</v>
      </c>
      <c r="B1445" s="14">
        <v>45453</v>
      </c>
      <c r="C1445" s="13" t="s">
        <v>717</v>
      </c>
      <c r="D1445" s="13" t="s">
        <v>461</v>
      </c>
      <c r="E1445" s="13" t="s">
        <v>285</v>
      </c>
      <c r="F1445" s="15">
        <v>3</v>
      </c>
      <c r="G1445" s="15">
        <v>3780</v>
      </c>
      <c r="H1445" s="15">
        <v>8.5</v>
      </c>
      <c r="I1445" s="15">
        <v>10376.1</v>
      </c>
      <c r="J1445" s="13" t="s">
        <v>93</v>
      </c>
      <c r="K1445" s="13" t="s">
        <v>94</v>
      </c>
      <c r="L1445" s="34" t="str">
        <f>VLOOKUP(D1445,Products!$A$2:$F$61,3,FALSE)</f>
        <v>Sports</v>
      </c>
      <c r="M1445" s="34" t="str">
        <f>VLOOKUP(C1445,Customers!$A$2:$F$301,5,FALSE)</f>
        <v>Retail</v>
      </c>
      <c r="N1445" s="34">
        <f>VLOOKUP(C1445,Customers!$A$2:$F$301,3,FALSE)</f>
        <v>24</v>
      </c>
      <c r="O1445" s="34" t="str">
        <f>VLOOKUP(E1445,Sales_Reps!$A$2:$E$31,3,FALSE)</f>
        <v>East</v>
      </c>
      <c r="P1445" s="13" t="s">
        <v>285</v>
      </c>
      <c r="Q1445" s="34">
        <f t="shared" si="48"/>
        <v>1069570.5400000003</v>
      </c>
      <c r="R1445" s="34" t="str">
        <f>VLOOKUP(E1445,Sales_Reps!$A$2:$E$100,3,FALSE)</f>
        <v>East</v>
      </c>
      <c r="S1445" s="34" t="str">
        <f t="shared" si="49"/>
        <v>Sports</v>
      </c>
      <c r="T1445" s="38">
        <f>VLOOKUP(D1445,Products!$A$2:$F$68,4,FALSE)</f>
        <v>1860</v>
      </c>
    </row>
    <row r="1446" spans="1:20" x14ac:dyDescent="0.35">
      <c r="A1446" s="13" t="s">
        <v>423</v>
      </c>
      <c r="B1446" s="14">
        <v>45397</v>
      </c>
      <c r="C1446" s="13" t="s">
        <v>418</v>
      </c>
      <c r="D1446" s="13" t="s">
        <v>182</v>
      </c>
      <c r="E1446" s="13" t="s">
        <v>297</v>
      </c>
      <c r="F1446" s="15">
        <v>2</v>
      </c>
      <c r="G1446" s="15">
        <v>1010</v>
      </c>
      <c r="H1446" s="15">
        <v>2.7</v>
      </c>
      <c r="I1446" s="15">
        <v>1965.46</v>
      </c>
      <c r="J1446" s="13" t="s">
        <v>87</v>
      </c>
      <c r="K1446" s="13" t="s">
        <v>133</v>
      </c>
      <c r="L1446" s="34" t="str">
        <f>VLOOKUP(D1446,Products!$A$2:$F$61,3,FALSE)</f>
        <v>Sports</v>
      </c>
      <c r="M1446" s="34" t="str">
        <f>VLOOKUP(C1446,Customers!$A$2:$F$301,5,FALSE)</f>
        <v>Retail</v>
      </c>
      <c r="N1446" s="34">
        <f>VLOOKUP(C1446,Customers!$A$2:$F$301,3,FALSE)</f>
        <v>22</v>
      </c>
      <c r="O1446" s="34" t="str">
        <f>VLOOKUP(E1446,Sales_Reps!$A$2:$E$31,3,FALSE)</f>
        <v>North</v>
      </c>
      <c r="P1446" s="13" t="s">
        <v>297</v>
      </c>
      <c r="Q1446" s="34">
        <f t="shared" si="48"/>
        <v>980063.65999999968</v>
      </c>
      <c r="R1446" s="34" t="str">
        <f>VLOOKUP(E1446,Sales_Reps!$A$2:$E$100,3,FALSE)</f>
        <v>North</v>
      </c>
      <c r="S1446" s="34" t="str">
        <f t="shared" si="49"/>
        <v>Sports</v>
      </c>
      <c r="T1446" s="38">
        <f>VLOOKUP(D1446,Products!$A$2:$F$68,4,FALSE)</f>
        <v>516</v>
      </c>
    </row>
    <row r="1447" spans="1:20" x14ac:dyDescent="0.35">
      <c r="A1447" s="13" t="s">
        <v>1936</v>
      </c>
      <c r="B1447" s="14">
        <v>45639</v>
      </c>
      <c r="C1447" s="13" t="s">
        <v>990</v>
      </c>
      <c r="D1447" s="13" t="s">
        <v>91</v>
      </c>
      <c r="E1447" s="13" t="s">
        <v>325</v>
      </c>
      <c r="F1447" s="15">
        <v>2</v>
      </c>
      <c r="G1447" s="15">
        <v>820</v>
      </c>
      <c r="H1447" s="15">
        <v>13.2</v>
      </c>
      <c r="I1447" s="15">
        <v>1423.52</v>
      </c>
      <c r="J1447" s="13" t="s">
        <v>93</v>
      </c>
      <c r="K1447" s="13" t="s">
        <v>117</v>
      </c>
      <c r="L1447" s="34" t="str">
        <f>VLOOKUP(D1447,Products!$A$2:$F$61,3,FALSE)</f>
        <v>Apparel</v>
      </c>
      <c r="M1447" s="34" t="str">
        <f>VLOOKUP(C1447,Customers!$A$2:$F$301,5,FALSE)</f>
        <v>Retail</v>
      </c>
      <c r="N1447" s="34">
        <f>VLOOKUP(C1447,Customers!$A$2:$F$301,3,FALSE)</f>
        <v>61</v>
      </c>
      <c r="O1447" s="34" t="str">
        <f>VLOOKUP(E1447,Sales_Reps!$A$2:$E$31,3,FALSE)</f>
        <v>South</v>
      </c>
      <c r="P1447" s="13" t="s">
        <v>325</v>
      </c>
      <c r="Q1447" s="34">
        <f t="shared" si="48"/>
        <v>901394.32000000007</v>
      </c>
      <c r="R1447" s="34" t="str">
        <f>VLOOKUP(E1447,Sales_Reps!$A$2:$E$100,3,FALSE)</f>
        <v>South</v>
      </c>
      <c r="S1447" s="34" t="str">
        <f t="shared" si="49"/>
        <v>Apparel</v>
      </c>
      <c r="T1447" s="38">
        <f>VLOOKUP(D1447,Products!$A$2:$F$68,4,FALSE)</f>
        <v>391</v>
      </c>
    </row>
    <row r="1448" spans="1:20" x14ac:dyDescent="0.35">
      <c r="A1448" s="13" t="s">
        <v>1937</v>
      </c>
      <c r="B1448" s="14">
        <v>45482</v>
      </c>
      <c r="C1448" s="13" t="s">
        <v>233</v>
      </c>
      <c r="D1448" s="13" t="s">
        <v>102</v>
      </c>
      <c r="E1448" s="13" t="s">
        <v>325</v>
      </c>
      <c r="F1448" s="15">
        <v>1</v>
      </c>
      <c r="G1448" s="15">
        <v>3660</v>
      </c>
      <c r="H1448" s="15">
        <v>14</v>
      </c>
      <c r="I1448" s="15">
        <v>3147.6</v>
      </c>
      <c r="J1448" s="13" t="s">
        <v>144</v>
      </c>
      <c r="K1448" s="13" t="s">
        <v>88</v>
      </c>
      <c r="L1448" s="34" t="str">
        <f>VLOOKUP(D1448,Products!$A$2:$F$61,3,FALSE)</f>
        <v>Grocery</v>
      </c>
      <c r="M1448" s="34" t="str">
        <f>VLOOKUP(C1448,Customers!$A$2:$F$301,5,FALSE)</f>
        <v>SMB</v>
      </c>
      <c r="N1448" s="34">
        <f>VLOOKUP(C1448,Customers!$A$2:$F$301,3,FALSE)</f>
        <v>29</v>
      </c>
      <c r="O1448" s="34" t="str">
        <f>VLOOKUP(E1448,Sales_Reps!$A$2:$E$31,3,FALSE)</f>
        <v>South</v>
      </c>
      <c r="P1448" s="13" t="s">
        <v>325</v>
      </c>
      <c r="Q1448" s="34">
        <f t="shared" si="48"/>
        <v>901394.32000000007</v>
      </c>
      <c r="R1448" s="34" t="str">
        <f>VLOOKUP(E1448,Sales_Reps!$A$2:$E$100,3,FALSE)</f>
        <v>South</v>
      </c>
      <c r="S1448" s="34" t="str">
        <f t="shared" si="49"/>
        <v>Grocery</v>
      </c>
      <c r="T1448" s="38">
        <f>VLOOKUP(D1448,Products!$A$2:$F$68,4,FALSE)</f>
        <v>2214</v>
      </c>
    </row>
    <row r="1449" spans="1:20" x14ac:dyDescent="0.35">
      <c r="A1449" s="13" t="s">
        <v>1938</v>
      </c>
      <c r="B1449" s="14">
        <v>45447</v>
      </c>
      <c r="C1449" s="13" t="s">
        <v>225</v>
      </c>
      <c r="D1449" s="13" t="s">
        <v>245</v>
      </c>
      <c r="E1449" s="13" t="s">
        <v>238</v>
      </c>
      <c r="F1449" s="15">
        <v>6</v>
      </c>
      <c r="G1449" s="15">
        <v>2270</v>
      </c>
      <c r="H1449" s="15">
        <v>16</v>
      </c>
      <c r="I1449" s="15">
        <v>11440.8</v>
      </c>
      <c r="J1449" s="13" t="s">
        <v>87</v>
      </c>
      <c r="K1449" s="13" t="s">
        <v>94</v>
      </c>
      <c r="L1449" s="34" t="str">
        <f>VLOOKUP(D1449,Products!$A$2:$F$61,3,FALSE)</f>
        <v>Grocery</v>
      </c>
      <c r="M1449" s="34" t="str">
        <f>VLOOKUP(C1449,Customers!$A$2:$F$301,5,FALSE)</f>
        <v>Retail</v>
      </c>
      <c r="N1449" s="34">
        <f>VLOOKUP(C1449,Customers!$A$2:$F$301,3,FALSE)</f>
        <v>37</v>
      </c>
      <c r="O1449" s="34" t="str">
        <f>VLOOKUP(E1449,Sales_Reps!$A$2:$E$31,3,FALSE)</f>
        <v>East</v>
      </c>
      <c r="P1449" s="13" t="s">
        <v>238</v>
      </c>
      <c r="Q1449" s="34">
        <f t="shared" si="48"/>
        <v>780384.40999999992</v>
      </c>
      <c r="R1449" s="34" t="str">
        <f>VLOOKUP(E1449,Sales_Reps!$A$2:$E$100,3,FALSE)</f>
        <v>East</v>
      </c>
      <c r="S1449" s="34" t="str">
        <f t="shared" si="49"/>
        <v>Grocery</v>
      </c>
      <c r="T1449" s="38">
        <f>VLOOKUP(D1449,Products!$A$2:$F$68,4,FALSE)</f>
        <v>1412</v>
      </c>
    </row>
    <row r="1450" spans="1:20" x14ac:dyDescent="0.35">
      <c r="A1450" s="13" t="s">
        <v>1939</v>
      </c>
      <c r="B1450" s="14">
        <v>45598</v>
      </c>
      <c r="C1450" s="13" t="s">
        <v>447</v>
      </c>
      <c r="D1450" s="13" t="s">
        <v>380</v>
      </c>
      <c r="E1450" s="13" t="s">
        <v>121</v>
      </c>
      <c r="F1450" s="15">
        <v>7</v>
      </c>
      <c r="G1450" s="15">
        <v>960</v>
      </c>
      <c r="H1450" s="15">
        <v>28.8</v>
      </c>
      <c r="I1450" s="15">
        <v>4784.6400000000003</v>
      </c>
      <c r="J1450" s="13" t="s">
        <v>144</v>
      </c>
      <c r="K1450" s="13" t="s">
        <v>112</v>
      </c>
      <c r="L1450" s="34" t="str">
        <f>VLOOKUP(D1450,Products!$A$2:$F$61,3,FALSE)</f>
        <v>Beauty</v>
      </c>
      <c r="M1450" s="34" t="str">
        <f>VLOOKUP(C1450,Customers!$A$2:$F$301,5,FALSE)</f>
        <v>Retail</v>
      </c>
      <c r="N1450" s="34">
        <f>VLOOKUP(C1450,Customers!$A$2:$F$301,3,FALSE)</f>
        <v>41</v>
      </c>
      <c r="O1450" s="34" t="str">
        <f>VLOOKUP(E1450,Sales_Reps!$A$2:$E$31,3,FALSE)</f>
        <v>East</v>
      </c>
      <c r="P1450" s="13" t="s">
        <v>121</v>
      </c>
      <c r="Q1450" s="34">
        <f t="shared" si="48"/>
        <v>971183.52000000014</v>
      </c>
      <c r="R1450" s="34" t="str">
        <f>VLOOKUP(E1450,Sales_Reps!$A$2:$E$100,3,FALSE)</f>
        <v>East</v>
      </c>
      <c r="S1450" s="34" t="str">
        <f t="shared" si="49"/>
        <v>Beauty</v>
      </c>
      <c r="T1450" s="38">
        <f>VLOOKUP(D1450,Products!$A$2:$F$68,4,FALSE)</f>
        <v>675</v>
      </c>
    </row>
    <row r="1451" spans="1:20" x14ac:dyDescent="0.35">
      <c r="A1451" s="13" t="s">
        <v>1940</v>
      </c>
      <c r="B1451" s="14">
        <v>45645</v>
      </c>
      <c r="C1451" s="13" t="s">
        <v>407</v>
      </c>
      <c r="D1451" s="13" t="s">
        <v>295</v>
      </c>
      <c r="E1451" s="13" t="s">
        <v>111</v>
      </c>
      <c r="F1451" s="15">
        <v>9</v>
      </c>
      <c r="G1451" s="15">
        <v>2030</v>
      </c>
      <c r="H1451" s="15">
        <v>3.4</v>
      </c>
      <c r="I1451" s="15">
        <v>17648.82</v>
      </c>
      <c r="J1451" s="13" t="s">
        <v>87</v>
      </c>
      <c r="K1451" s="13" t="s">
        <v>88</v>
      </c>
      <c r="L1451" s="34" t="str">
        <f>VLOOKUP(D1451,Products!$A$2:$F$61,3,FALSE)</f>
        <v>Home</v>
      </c>
      <c r="M1451" s="34" t="str">
        <f>VLOOKUP(C1451,Customers!$A$2:$F$301,5,FALSE)</f>
        <v>SMB</v>
      </c>
      <c r="N1451" s="34">
        <f>VLOOKUP(C1451,Customers!$A$2:$F$301,3,FALSE)</f>
        <v>53</v>
      </c>
      <c r="O1451" s="34" t="str">
        <f>VLOOKUP(E1451,Sales_Reps!$A$2:$E$31,3,FALSE)</f>
        <v>West</v>
      </c>
      <c r="P1451" s="13" t="s">
        <v>111</v>
      </c>
      <c r="Q1451" s="34">
        <f t="shared" si="48"/>
        <v>901298.89</v>
      </c>
      <c r="R1451" s="34" t="str">
        <f>VLOOKUP(E1451,Sales_Reps!$A$2:$E$100,3,FALSE)</f>
        <v>West</v>
      </c>
      <c r="S1451" s="34" t="str">
        <f t="shared" si="49"/>
        <v>Home</v>
      </c>
      <c r="T1451" s="38">
        <f>VLOOKUP(D1451,Products!$A$2:$F$68,4,FALSE)</f>
        <v>1143</v>
      </c>
    </row>
    <row r="1452" spans="1:20" x14ac:dyDescent="0.35">
      <c r="A1452" s="13" t="s">
        <v>1941</v>
      </c>
      <c r="B1452" s="14">
        <v>45299</v>
      </c>
      <c r="C1452" s="13" t="s">
        <v>1016</v>
      </c>
      <c r="D1452" s="13" t="s">
        <v>367</v>
      </c>
      <c r="E1452" s="13" t="s">
        <v>92</v>
      </c>
      <c r="F1452" s="15">
        <v>6</v>
      </c>
      <c r="G1452" s="15">
        <v>2380</v>
      </c>
      <c r="H1452" s="15">
        <v>13.2</v>
      </c>
      <c r="I1452" s="15">
        <v>12395.04</v>
      </c>
      <c r="J1452" s="13" t="s">
        <v>87</v>
      </c>
      <c r="K1452" s="13" t="s">
        <v>117</v>
      </c>
      <c r="L1452" s="34" t="str">
        <f>VLOOKUP(D1452,Products!$A$2:$F$61,3,FALSE)</f>
        <v>Grocery</v>
      </c>
      <c r="M1452" s="34" t="str">
        <f>VLOOKUP(C1452,Customers!$A$2:$F$301,5,FALSE)</f>
        <v>SMB</v>
      </c>
      <c r="N1452" s="34">
        <f>VLOOKUP(C1452,Customers!$A$2:$F$301,3,FALSE)</f>
        <v>49</v>
      </c>
      <c r="O1452" s="34" t="str">
        <f>VLOOKUP(E1452,Sales_Reps!$A$2:$E$31,3,FALSE)</f>
        <v>North</v>
      </c>
      <c r="P1452" s="13" t="s">
        <v>92</v>
      </c>
      <c r="Q1452" s="34">
        <f t="shared" si="48"/>
        <v>782445.33</v>
      </c>
      <c r="R1452" s="34" t="str">
        <f>VLOOKUP(E1452,Sales_Reps!$A$2:$E$100,3,FALSE)</f>
        <v>North</v>
      </c>
      <c r="S1452" s="34" t="str">
        <f t="shared" si="49"/>
        <v>Grocery</v>
      </c>
      <c r="T1452" s="38">
        <f>VLOOKUP(D1452,Products!$A$2:$F$68,4,FALSE)</f>
        <v>1182</v>
      </c>
    </row>
    <row r="1453" spans="1:20" x14ac:dyDescent="0.35">
      <c r="A1453" s="13" t="s">
        <v>1942</v>
      </c>
      <c r="B1453" s="14">
        <v>45308</v>
      </c>
      <c r="C1453" s="13" t="s">
        <v>401</v>
      </c>
      <c r="D1453" s="13" t="s">
        <v>157</v>
      </c>
      <c r="E1453" s="13" t="s">
        <v>204</v>
      </c>
      <c r="F1453" s="15">
        <v>10</v>
      </c>
      <c r="G1453" s="15">
        <v>3450</v>
      </c>
      <c r="H1453" s="15">
        <v>8.6999999999999993</v>
      </c>
      <c r="I1453" s="15">
        <v>31498.5</v>
      </c>
      <c r="J1453" s="13" t="s">
        <v>87</v>
      </c>
      <c r="K1453" s="13" t="s">
        <v>94</v>
      </c>
      <c r="L1453" s="34" t="str">
        <f>VLOOKUP(D1453,Products!$A$2:$F$61,3,FALSE)</f>
        <v>Beauty</v>
      </c>
      <c r="M1453" s="34" t="str">
        <f>VLOOKUP(C1453,Customers!$A$2:$F$301,5,FALSE)</f>
        <v>SMB</v>
      </c>
      <c r="N1453" s="34">
        <f>VLOOKUP(C1453,Customers!$A$2:$F$301,3,FALSE)</f>
        <v>51</v>
      </c>
      <c r="O1453" s="34" t="str">
        <f>VLOOKUP(E1453,Sales_Reps!$A$2:$E$31,3,FALSE)</f>
        <v>South</v>
      </c>
      <c r="P1453" s="13" t="s">
        <v>204</v>
      </c>
      <c r="Q1453" s="34">
        <f t="shared" si="48"/>
        <v>914554.71999999986</v>
      </c>
      <c r="R1453" s="34" t="str">
        <f>VLOOKUP(E1453,Sales_Reps!$A$2:$E$100,3,FALSE)</f>
        <v>South</v>
      </c>
      <c r="S1453" s="34" t="str">
        <f t="shared" si="49"/>
        <v>Beauty</v>
      </c>
      <c r="T1453" s="38">
        <f>VLOOKUP(D1453,Products!$A$2:$F$68,4,FALSE)</f>
        <v>2420</v>
      </c>
    </row>
    <row r="1454" spans="1:20" x14ac:dyDescent="0.35">
      <c r="A1454" s="13" t="s">
        <v>1943</v>
      </c>
      <c r="B1454" s="14">
        <v>45487</v>
      </c>
      <c r="C1454" s="13" t="s">
        <v>1623</v>
      </c>
      <c r="D1454" s="13" t="s">
        <v>380</v>
      </c>
      <c r="E1454" s="13" t="s">
        <v>158</v>
      </c>
      <c r="F1454" s="15">
        <v>6</v>
      </c>
      <c r="G1454" s="15">
        <v>960</v>
      </c>
      <c r="H1454" s="15">
        <v>20.6</v>
      </c>
      <c r="I1454" s="15">
        <v>4573.4399999999996</v>
      </c>
      <c r="J1454" s="13" t="s">
        <v>93</v>
      </c>
      <c r="K1454" s="13" t="s">
        <v>117</v>
      </c>
      <c r="L1454" s="34" t="str">
        <f>VLOOKUP(D1454,Products!$A$2:$F$61,3,FALSE)</f>
        <v>Beauty</v>
      </c>
      <c r="M1454" s="34" t="str">
        <f>VLOOKUP(C1454,Customers!$A$2:$F$301,5,FALSE)</f>
        <v>Retail</v>
      </c>
      <c r="N1454" s="34">
        <f>VLOOKUP(C1454,Customers!$A$2:$F$301,3,FALSE)</f>
        <v>53</v>
      </c>
      <c r="O1454" s="34" t="str">
        <f>VLOOKUP(E1454,Sales_Reps!$A$2:$E$31,3,FALSE)</f>
        <v>East</v>
      </c>
      <c r="P1454" s="13" t="s">
        <v>158</v>
      </c>
      <c r="Q1454" s="34">
        <f t="shared" si="48"/>
        <v>761507.17000000027</v>
      </c>
      <c r="R1454" s="34" t="str">
        <f>VLOOKUP(E1454,Sales_Reps!$A$2:$E$100,3,FALSE)</f>
        <v>East</v>
      </c>
      <c r="S1454" s="34" t="str">
        <f t="shared" si="49"/>
        <v>Beauty</v>
      </c>
      <c r="T1454" s="38">
        <f>VLOOKUP(D1454,Products!$A$2:$F$68,4,FALSE)</f>
        <v>675</v>
      </c>
    </row>
    <row r="1455" spans="1:20" x14ac:dyDescent="0.35">
      <c r="A1455" s="13" t="s">
        <v>1944</v>
      </c>
      <c r="B1455" s="14">
        <v>45341</v>
      </c>
      <c r="C1455" s="13" t="s">
        <v>797</v>
      </c>
      <c r="D1455" s="13" t="s">
        <v>659</v>
      </c>
      <c r="E1455" s="13" t="s">
        <v>252</v>
      </c>
      <c r="F1455" s="15">
        <v>10</v>
      </c>
      <c r="G1455" s="15">
        <v>3560</v>
      </c>
      <c r="H1455" s="15">
        <v>1.4</v>
      </c>
      <c r="I1455" s="15">
        <v>35101.599999999999</v>
      </c>
      <c r="J1455" s="13" t="s">
        <v>93</v>
      </c>
      <c r="K1455" s="13" t="s">
        <v>99</v>
      </c>
      <c r="L1455" s="34" t="str">
        <f>VLOOKUP(D1455,Products!$A$2:$F$61,3,FALSE)</f>
        <v>Apparel</v>
      </c>
      <c r="M1455" s="34" t="str">
        <f>VLOOKUP(C1455,Customers!$A$2:$F$301,5,FALSE)</f>
        <v>Retail</v>
      </c>
      <c r="N1455" s="34">
        <f>VLOOKUP(C1455,Customers!$A$2:$F$301,3,FALSE)</f>
        <v>63</v>
      </c>
      <c r="O1455" s="34" t="str">
        <f>VLOOKUP(E1455,Sales_Reps!$A$2:$E$31,3,FALSE)</f>
        <v>South</v>
      </c>
      <c r="P1455" s="13" t="s">
        <v>252</v>
      </c>
      <c r="Q1455" s="34">
        <f t="shared" si="48"/>
        <v>811524.37999999989</v>
      </c>
      <c r="R1455" s="34" t="str">
        <f>VLOOKUP(E1455,Sales_Reps!$A$2:$E$100,3,FALSE)</f>
        <v>South</v>
      </c>
      <c r="S1455" s="34" t="str">
        <f t="shared" si="49"/>
        <v>Apparel</v>
      </c>
      <c r="T1455" s="38">
        <f>VLOOKUP(D1455,Products!$A$2:$F$68,4,FALSE)</f>
        <v>2629</v>
      </c>
    </row>
    <row r="1456" spans="1:20" x14ac:dyDescent="0.35">
      <c r="A1456" s="13" t="s">
        <v>1945</v>
      </c>
      <c r="B1456" s="14">
        <v>45354</v>
      </c>
      <c r="C1456" s="13" t="s">
        <v>223</v>
      </c>
      <c r="D1456" s="13" t="s">
        <v>173</v>
      </c>
      <c r="E1456" s="13" t="s">
        <v>98</v>
      </c>
      <c r="F1456" s="15">
        <v>4</v>
      </c>
      <c r="G1456" s="15">
        <v>2720</v>
      </c>
      <c r="H1456" s="15">
        <v>19.399999999999999</v>
      </c>
      <c r="I1456" s="15">
        <v>8769.2800000000007</v>
      </c>
      <c r="J1456" s="13" t="s">
        <v>144</v>
      </c>
      <c r="K1456" s="13" t="s">
        <v>99</v>
      </c>
      <c r="L1456" s="34" t="str">
        <f>VLOOKUP(D1456,Products!$A$2:$F$61,3,FALSE)</f>
        <v>Apparel</v>
      </c>
      <c r="M1456" s="34" t="str">
        <f>VLOOKUP(C1456,Customers!$A$2:$F$301,5,FALSE)</f>
        <v>Retail</v>
      </c>
      <c r="N1456" s="34">
        <f>VLOOKUP(C1456,Customers!$A$2:$F$301,3,FALSE)</f>
        <v>53</v>
      </c>
      <c r="O1456" s="34" t="str">
        <f>VLOOKUP(E1456,Sales_Reps!$A$2:$E$31,3,FALSE)</f>
        <v>South</v>
      </c>
      <c r="P1456" s="13" t="s">
        <v>98</v>
      </c>
      <c r="Q1456" s="34">
        <f t="shared" si="48"/>
        <v>995713.54000000015</v>
      </c>
      <c r="R1456" s="34" t="str">
        <f>VLOOKUP(E1456,Sales_Reps!$A$2:$E$100,3,FALSE)</f>
        <v>South</v>
      </c>
      <c r="S1456" s="34" t="str">
        <f t="shared" si="49"/>
        <v>Apparel</v>
      </c>
      <c r="T1456" s="38">
        <f>VLOOKUP(D1456,Products!$A$2:$F$68,4,FALSE)</f>
        <v>1962</v>
      </c>
    </row>
    <row r="1457" spans="1:20" x14ac:dyDescent="0.35">
      <c r="A1457" s="13" t="s">
        <v>1946</v>
      </c>
      <c r="B1457" s="14">
        <v>45458</v>
      </c>
      <c r="C1457" s="13" t="s">
        <v>741</v>
      </c>
      <c r="D1457" s="13" t="s">
        <v>267</v>
      </c>
      <c r="E1457" s="13" t="s">
        <v>229</v>
      </c>
      <c r="F1457" s="15">
        <v>5</v>
      </c>
      <c r="G1457" s="15">
        <v>1220</v>
      </c>
      <c r="H1457" s="15">
        <v>15.6</v>
      </c>
      <c r="I1457" s="15">
        <v>5148.3999999999996</v>
      </c>
      <c r="J1457" s="13" t="s">
        <v>87</v>
      </c>
      <c r="K1457" s="13" t="s">
        <v>133</v>
      </c>
      <c r="L1457" s="34" t="str">
        <f>VLOOKUP(D1457,Products!$A$2:$F$61,3,FALSE)</f>
        <v>Electronics</v>
      </c>
      <c r="M1457" s="34" t="str">
        <f>VLOOKUP(C1457,Customers!$A$2:$F$301,5,FALSE)</f>
        <v>SMB</v>
      </c>
      <c r="N1457" s="34">
        <f>VLOOKUP(C1457,Customers!$A$2:$F$301,3,FALSE)</f>
        <v>29</v>
      </c>
      <c r="O1457" s="34" t="str">
        <f>VLOOKUP(E1457,Sales_Reps!$A$2:$E$31,3,FALSE)</f>
        <v>West</v>
      </c>
      <c r="P1457" s="13" t="s">
        <v>229</v>
      </c>
      <c r="Q1457" s="34">
        <f t="shared" si="48"/>
        <v>1016696.8000000002</v>
      </c>
      <c r="R1457" s="34" t="str">
        <f>VLOOKUP(E1457,Sales_Reps!$A$2:$E$100,3,FALSE)</f>
        <v>West</v>
      </c>
      <c r="S1457" s="34" t="str">
        <f t="shared" si="49"/>
        <v>Electronics</v>
      </c>
      <c r="T1457" s="38">
        <f>VLOOKUP(D1457,Products!$A$2:$F$68,4,FALSE)</f>
        <v>517</v>
      </c>
    </row>
    <row r="1458" spans="1:20" x14ac:dyDescent="0.35">
      <c r="A1458" s="13" t="s">
        <v>1947</v>
      </c>
      <c r="B1458" s="14">
        <v>45364</v>
      </c>
      <c r="C1458" s="13" t="s">
        <v>256</v>
      </c>
      <c r="D1458" s="13" t="s">
        <v>502</v>
      </c>
      <c r="E1458" s="13" t="s">
        <v>201</v>
      </c>
      <c r="F1458" s="15">
        <v>5</v>
      </c>
      <c r="G1458" s="15">
        <v>1090</v>
      </c>
      <c r="H1458" s="15">
        <v>15</v>
      </c>
      <c r="I1458" s="15">
        <v>4632.5</v>
      </c>
      <c r="J1458" s="13" t="s">
        <v>87</v>
      </c>
      <c r="K1458" s="13" t="s">
        <v>133</v>
      </c>
      <c r="L1458" s="34" t="str">
        <f>VLOOKUP(D1458,Products!$A$2:$F$61,3,FALSE)</f>
        <v>Home</v>
      </c>
      <c r="M1458" s="34" t="str">
        <f>VLOOKUP(C1458,Customers!$A$2:$F$301,5,FALSE)</f>
        <v>Retail</v>
      </c>
      <c r="N1458" s="34">
        <f>VLOOKUP(C1458,Customers!$A$2:$F$301,3,FALSE)</f>
        <v>27</v>
      </c>
      <c r="O1458" s="34" t="str">
        <f>VLOOKUP(E1458,Sales_Reps!$A$2:$E$31,3,FALSE)</f>
        <v>West</v>
      </c>
      <c r="P1458" s="13" t="s">
        <v>201</v>
      </c>
      <c r="Q1458" s="34">
        <f t="shared" si="48"/>
        <v>576305.08000000019</v>
      </c>
      <c r="R1458" s="34" t="str">
        <f>VLOOKUP(E1458,Sales_Reps!$A$2:$E$100,3,FALSE)</f>
        <v>West</v>
      </c>
      <c r="S1458" s="34" t="str">
        <f t="shared" si="49"/>
        <v>Home</v>
      </c>
      <c r="T1458" s="38">
        <f>VLOOKUP(D1458,Products!$A$2:$F$68,4,FALSE)</f>
        <v>464</v>
      </c>
    </row>
    <row r="1459" spans="1:20" x14ac:dyDescent="0.35">
      <c r="A1459" s="13" t="s">
        <v>1948</v>
      </c>
      <c r="B1459" s="14">
        <v>45618</v>
      </c>
      <c r="C1459" s="13" t="s">
        <v>1062</v>
      </c>
      <c r="D1459" s="13" t="s">
        <v>110</v>
      </c>
      <c r="E1459" s="13" t="s">
        <v>229</v>
      </c>
      <c r="F1459" s="15">
        <v>9</v>
      </c>
      <c r="G1459" s="15">
        <v>370</v>
      </c>
      <c r="H1459" s="15">
        <v>25.4</v>
      </c>
      <c r="I1459" s="15">
        <v>2484.1799999999998</v>
      </c>
      <c r="J1459" s="13" t="s">
        <v>87</v>
      </c>
      <c r="K1459" s="13" t="s">
        <v>112</v>
      </c>
      <c r="L1459" s="34" t="str">
        <f>VLOOKUP(D1459,Products!$A$2:$F$61,3,FALSE)</f>
        <v>Home</v>
      </c>
      <c r="M1459" s="34" t="str">
        <f>VLOOKUP(C1459,Customers!$A$2:$F$301,5,FALSE)</f>
        <v>SMB</v>
      </c>
      <c r="N1459" s="34">
        <f>VLOOKUP(C1459,Customers!$A$2:$F$301,3,FALSE)</f>
        <v>54</v>
      </c>
      <c r="O1459" s="34" t="str">
        <f>VLOOKUP(E1459,Sales_Reps!$A$2:$E$31,3,FALSE)</f>
        <v>West</v>
      </c>
      <c r="P1459" s="13" t="s">
        <v>229</v>
      </c>
      <c r="Q1459" s="34">
        <f t="shared" si="48"/>
        <v>1016696.8000000002</v>
      </c>
      <c r="R1459" s="34" t="str">
        <f>VLOOKUP(E1459,Sales_Reps!$A$2:$E$100,3,FALSE)</f>
        <v>West</v>
      </c>
      <c r="S1459" s="34" t="str">
        <f t="shared" si="49"/>
        <v>Home</v>
      </c>
      <c r="T1459" s="38">
        <f>VLOOKUP(D1459,Products!$A$2:$F$68,4,FALSE)</f>
        <v>288</v>
      </c>
    </row>
    <row r="1460" spans="1:20" x14ac:dyDescent="0.35">
      <c r="A1460" s="13" t="s">
        <v>1949</v>
      </c>
      <c r="B1460" s="14">
        <v>45456</v>
      </c>
      <c r="C1460" s="13" t="s">
        <v>905</v>
      </c>
      <c r="D1460" s="13" t="s">
        <v>195</v>
      </c>
      <c r="E1460" s="13" t="s">
        <v>86</v>
      </c>
      <c r="F1460" s="15">
        <v>7</v>
      </c>
      <c r="G1460" s="15">
        <v>2860</v>
      </c>
      <c r="H1460" s="15">
        <v>14</v>
      </c>
      <c r="I1460" s="15">
        <v>17217.2</v>
      </c>
      <c r="J1460" s="13" t="s">
        <v>87</v>
      </c>
      <c r="K1460" s="13" t="s">
        <v>112</v>
      </c>
      <c r="L1460" s="34" t="str">
        <f>VLOOKUP(D1460,Products!$A$2:$F$61,3,FALSE)</f>
        <v>Sports</v>
      </c>
      <c r="M1460" s="34" t="str">
        <f>VLOOKUP(C1460,Customers!$A$2:$F$301,5,FALSE)</f>
        <v>SMB</v>
      </c>
      <c r="N1460" s="34">
        <f>VLOOKUP(C1460,Customers!$A$2:$F$301,3,FALSE)</f>
        <v>43</v>
      </c>
      <c r="O1460" s="34" t="str">
        <f>VLOOKUP(E1460,Sales_Reps!$A$2:$E$31,3,FALSE)</f>
        <v>North</v>
      </c>
      <c r="P1460" s="13" t="s">
        <v>86</v>
      </c>
      <c r="Q1460" s="34">
        <f t="shared" si="48"/>
        <v>855749.67999999982</v>
      </c>
      <c r="R1460" s="34" t="str">
        <f>VLOOKUP(E1460,Sales_Reps!$A$2:$E$100,3,FALSE)</f>
        <v>North</v>
      </c>
      <c r="S1460" s="34" t="str">
        <f t="shared" si="49"/>
        <v>Sports</v>
      </c>
      <c r="T1460" s="38">
        <f>VLOOKUP(D1460,Products!$A$2:$F$68,4,FALSE)</f>
        <v>2028</v>
      </c>
    </row>
    <row r="1461" spans="1:20" x14ac:dyDescent="0.35">
      <c r="A1461" s="13" t="s">
        <v>1950</v>
      </c>
      <c r="B1461" s="14">
        <v>45490</v>
      </c>
      <c r="C1461" s="13" t="s">
        <v>599</v>
      </c>
      <c r="D1461" s="13" t="s">
        <v>338</v>
      </c>
      <c r="E1461" s="13" t="s">
        <v>201</v>
      </c>
      <c r="F1461" s="15">
        <v>1</v>
      </c>
      <c r="G1461" s="15">
        <v>2210</v>
      </c>
      <c r="H1461" s="15">
        <v>1.7</v>
      </c>
      <c r="I1461" s="15">
        <v>2172.4299999999998</v>
      </c>
      <c r="J1461" s="13" t="s">
        <v>87</v>
      </c>
      <c r="K1461" s="13" t="s">
        <v>117</v>
      </c>
      <c r="L1461" s="34" t="str">
        <f>VLOOKUP(D1461,Products!$A$2:$F$61,3,FALSE)</f>
        <v>Grocery</v>
      </c>
      <c r="M1461" s="34" t="str">
        <f>VLOOKUP(C1461,Customers!$A$2:$F$301,5,FALSE)</f>
        <v>Corporate</v>
      </c>
      <c r="N1461" s="34">
        <f>VLOOKUP(C1461,Customers!$A$2:$F$301,3,FALSE)</f>
        <v>26</v>
      </c>
      <c r="O1461" s="34" t="str">
        <f>VLOOKUP(E1461,Sales_Reps!$A$2:$E$31,3,FALSE)</f>
        <v>West</v>
      </c>
      <c r="P1461" s="13" t="s">
        <v>201</v>
      </c>
      <c r="Q1461" s="34">
        <f t="shared" si="48"/>
        <v>576305.08000000019</v>
      </c>
      <c r="R1461" s="34" t="str">
        <f>VLOOKUP(E1461,Sales_Reps!$A$2:$E$100,3,FALSE)</f>
        <v>West</v>
      </c>
      <c r="S1461" s="34" t="str">
        <f t="shared" si="49"/>
        <v>Grocery</v>
      </c>
      <c r="T1461" s="38">
        <f>VLOOKUP(D1461,Products!$A$2:$F$68,4,FALSE)</f>
        <v>1010</v>
      </c>
    </row>
    <row r="1462" spans="1:20" x14ac:dyDescent="0.35">
      <c r="A1462" s="13" t="s">
        <v>1951</v>
      </c>
      <c r="B1462" s="14">
        <v>45584</v>
      </c>
      <c r="C1462" s="13" t="s">
        <v>563</v>
      </c>
      <c r="D1462" s="13" t="s">
        <v>127</v>
      </c>
      <c r="E1462" s="13" t="s">
        <v>111</v>
      </c>
      <c r="F1462" s="15">
        <v>3</v>
      </c>
      <c r="G1462" s="15">
        <v>970</v>
      </c>
      <c r="H1462" s="15">
        <v>20.3</v>
      </c>
      <c r="I1462" s="15">
        <v>2319.27</v>
      </c>
      <c r="J1462" s="13" t="s">
        <v>93</v>
      </c>
      <c r="K1462" s="13" t="s">
        <v>88</v>
      </c>
      <c r="L1462" s="34" t="str">
        <f>VLOOKUP(D1462,Products!$A$2:$F$61,3,FALSE)</f>
        <v>Grocery</v>
      </c>
      <c r="M1462" s="34" t="str">
        <f>VLOOKUP(C1462,Customers!$A$2:$F$301,5,FALSE)</f>
        <v>SMB</v>
      </c>
      <c r="N1462" s="34">
        <f>VLOOKUP(C1462,Customers!$A$2:$F$301,3,FALSE)</f>
        <v>24</v>
      </c>
      <c r="O1462" s="34" t="str">
        <f>VLOOKUP(E1462,Sales_Reps!$A$2:$E$31,3,FALSE)</f>
        <v>West</v>
      </c>
      <c r="P1462" s="13" t="s">
        <v>111</v>
      </c>
      <c r="Q1462" s="34">
        <f t="shared" si="48"/>
        <v>901298.89</v>
      </c>
      <c r="R1462" s="34" t="str">
        <f>VLOOKUP(E1462,Sales_Reps!$A$2:$E$100,3,FALSE)</f>
        <v>West</v>
      </c>
      <c r="S1462" s="34" t="str">
        <f t="shared" si="49"/>
        <v>Grocery</v>
      </c>
      <c r="T1462" s="38">
        <f>VLOOKUP(D1462,Products!$A$2:$F$68,4,FALSE)</f>
        <v>434</v>
      </c>
    </row>
    <row r="1463" spans="1:20" x14ac:dyDescent="0.35">
      <c r="A1463" s="13" t="s">
        <v>1952</v>
      </c>
      <c r="B1463" s="14">
        <v>45476</v>
      </c>
      <c r="C1463" s="13" t="s">
        <v>1000</v>
      </c>
      <c r="D1463" s="13" t="s">
        <v>659</v>
      </c>
      <c r="E1463" s="13" t="s">
        <v>158</v>
      </c>
      <c r="F1463" s="15">
        <v>5</v>
      </c>
      <c r="G1463" s="15">
        <v>3560</v>
      </c>
      <c r="H1463" s="15">
        <v>17.100000000000001</v>
      </c>
      <c r="I1463" s="15">
        <v>14756.2</v>
      </c>
      <c r="J1463" s="13" t="s">
        <v>87</v>
      </c>
      <c r="K1463" s="13" t="s">
        <v>117</v>
      </c>
      <c r="L1463" s="34" t="str">
        <f>VLOOKUP(D1463,Products!$A$2:$F$61,3,FALSE)</f>
        <v>Apparel</v>
      </c>
      <c r="M1463" s="34" t="str">
        <f>VLOOKUP(C1463,Customers!$A$2:$F$301,5,FALSE)</f>
        <v>Retail</v>
      </c>
      <c r="N1463" s="34">
        <f>VLOOKUP(C1463,Customers!$A$2:$F$301,3,FALSE)</f>
        <v>27</v>
      </c>
      <c r="O1463" s="34" t="str">
        <f>VLOOKUP(E1463,Sales_Reps!$A$2:$E$31,3,FALSE)</f>
        <v>East</v>
      </c>
      <c r="P1463" s="13" t="s">
        <v>158</v>
      </c>
      <c r="Q1463" s="34">
        <f t="shared" si="48"/>
        <v>761507.17000000027</v>
      </c>
      <c r="R1463" s="34" t="str">
        <f>VLOOKUP(E1463,Sales_Reps!$A$2:$E$100,3,FALSE)</f>
        <v>East</v>
      </c>
      <c r="S1463" s="34" t="str">
        <f t="shared" si="49"/>
        <v>Apparel</v>
      </c>
      <c r="T1463" s="38">
        <f>VLOOKUP(D1463,Products!$A$2:$F$68,4,FALSE)</f>
        <v>2629</v>
      </c>
    </row>
    <row r="1464" spans="1:20" x14ac:dyDescent="0.35">
      <c r="A1464" s="13" t="s">
        <v>1953</v>
      </c>
      <c r="B1464" s="14">
        <v>45387</v>
      </c>
      <c r="C1464" s="13" t="s">
        <v>190</v>
      </c>
      <c r="D1464" s="13" t="s">
        <v>164</v>
      </c>
      <c r="E1464" s="13" t="s">
        <v>154</v>
      </c>
      <c r="F1464" s="15">
        <v>10</v>
      </c>
      <c r="G1464" s="15">
        <v>1080</v>
      </c>
      <c r="H1464" s="15">
        <v>12.8</v>
      </c>
      <c r="I1464" s="15">
        <v>9417.6</v>
      </c>
      <c r="J1464" s="13" t="s">
        <v>87</v>
      </c>
      <c r="K1464" s="13" t="s">
        <v>133</v>
      </c>
      <c r="L1464" s="34" t="str">
        <f>VLOOKUP(D1464,Products!$A$2:$F$61,3,FALSE)</f>
        <v>Home</v>
      </c>
      <c r="M1464" s="34" t="str">
        <f>VLOOKUP(C1464,Customers!$A$2:$F$301,5,FALSE)</f>
        <v>Corporate</v>
      </c>
      <c r="N1464" s="34">
        <f>VLOOKUP(C1464,Customers!$A$2:$F$301,3,FALSE)</f>
        <v>56</v>
      </c>
      <c r="O1464" s="34" t="str">
        <f>VLOOKUP(E1464,Sales_Reps!$A$2:$E$31,3,FALSE)</f>
        <v>East</v>
      </c>
      <c r="P1464" s="13" t="s">
        <v>154</v>
      </c>
      <c r="Q1464" s="34">
        <f t="shared" si="48"/>
        <v>983787.4800000001</v>
      </c>
      <c r="R1464" s="34" t="str">
        <f>VLOOKUP(E1464,Sales_Reps!$A$2:$E$100,3,FALSE)</f>
        <v>East</v>
      </c>
      <c r="S1464" s="34" t="str">
        <f t="shared" si="49"/>
        <v>Home</v>
      </c>
      <c r="T1464" s="38">
        <f>VLOOKUP(D1464,Products!$A$2:$F$68,4,FALSE)</f>
        <v>519</v>
      </c>
    </row>
    <row r="1465" spans="1:20" x14ac:dyDescent="0.35">
      <c r="A1465" s="13" t="s">
        <v>1954</v>
      </c>
      <c r="B1465" s="14">
        <v>45324</v>
      </c>
      <c r="C1465" s="13" t="s">
        <v>507</v>
      </c>
      <c r="D1465" s="13" t="s">
        <v>267</v>
      </c>
      <c r="E1465" s="13" t="s">
        <v>273</v>
      </c>
      <c r="F1465" s="15">
        <v>3</v>
      </c>
      <c r="G1465" s="15">
        <v>1220</v>
      </c>
      <c r="H1465" s="15">
        <v>1.9</v>
      </c>
      <c r="I1465" s="15">
        <v>3590.46</v>
      </c>
      <c r="J1465" s="13" t="s">
        <v>87</v>
      </c>
      <c r="K1465" s="13" t="s">
        <v>88</v>
      </c>
      <c r="L1465" s="34" t="str">
        <f>VLOOKUP(D1465,Products!$A$2:$F$61,3,FALSE)</f>
        <v>Electronics</v>
      </c>
      <c r="M1465" s="34" t="str">
        <f>VLOOKUP(C1465,Customers!$A$2:$F$301,5,FALSE)</f>
        <v>Retail</v>
      </c>
      <c r="N1465" s="34">
        <f>VLOOKUP(C1465,Customers!$A$2:$F$301,3,FALSE)</f>
        <v>59</v>
      </c>
      <c r="O1465" s="34" t="str">
        <f>VLOOKUP(E1465,Sales_Reps!$A$2:$E$31,3,FALSE)</f>
        <v>South</v>
      </c>
      <c r="P1465" s="13" t="s">
        <v>273</v>
      </c>
      <c r="Q1465" s="34">
        <f t="shared" si="48"/>
        <v>735207.75999999989</v>
      </c>
      <c r="R1465" s="34" t="str">
        <f>VLOOKUP(E1465,Sales_Reps!$A$2:$E$100,3,FALSE)</f>
        <v>South</v>
      </c>
      <c r="S1465" s="34" t="str">
        <f t="shared" si="49"/>
        <v>Electronics</v>
      </c>
      <c r="T1465" s="38">
        <f>VLOOKUP(D1465,Products!$A$2:$F$68,4,FALSE)</f>
        <v>517</v>
      </c>
    </row>
    <row r="1466" spans="1:20" x14ac:dyDescent="0.35">
      <c r="A1466" s="13" t="s">
        <v>1955</v>
      </c>
      <c r="B1466" s="14">
        <v>45479</v>
      </c>
      <c r="C1466" s="13" t="s">
        <v>1956</v>
      </c>
      <c r="D1466" s="13" t="s">
        <v>226</v>
      </c>
      <c r="E1466" s="13" t="s">
        <v>204</v>
      </c>
      <c r="F1466" s="15">
        <v>1</v>
      </c>
      <c r="G1466" s="15">
        <v>3730</v>
      </c>
      <c r="H1466" s="15">
        <v>14.7</v>
      </c>
      <c r="I1466" s="15">
        <v>3181.69</v>
      </c>
      <c r="J1466" s="13" t="s">
        <v>93</v>
      </c>
      <c r="K1466" s="13" t="s">
        <v>88</v>
      </c>
      <c r="L1466" s="34" t="str">
        <f>VLOOKUP(D1466,Products!$A$2:$F$61,3,FALSE)</f>
        <v>Home</v>
      </c>
      <c r="M1466" s="34" t="e">
        <f>VLOOKUP(C1466,Customers!$A$2:$F$301,5,FALSE)</f>
        <v>#N/A</v>
      </c>
      <c r="N1466" s="34" t="e">
        <f>VLOOKUP(C1466,Customers!$A$2:$F$301,3,FALSE)</f>
        <v>#N/A</v>
      </c>
      <c r="O1466" s="34" t="str">
        <f>VLOOKUP(E1466,Sales_Reps!$A$2:$E$31,3,FALSE)</f>
        <v>South</v>
      </c>
      <c r="P1466" s="13" t="s">
        <v>204</v>
      </c>
      <c r="Q1466" s="34">
        <f t="shared" si="48"/>
        <v>914554.71999999986</v>
      </c>
      <c r="R1466" s="34" t="str">
        <f>VLOOKUP(E1466,Sales_Reps!$A$2:$E$100,3,FALSE)</f>
        <v>South</v>
      </c>
      <c r="S1466" s="34" t="str">
        <f t="shared" si="49"/>
        <v>Home</v>
      </c>
      <c r="T1466" s="38">
        <f>VLOOKUP(D1466,Products!$A$2:$F$68,4,FALSE)</f>
        <v>2135</v>
      </c>
    </row>
    <row r="1467" spans="1:20" x14ac:dyDescent="0.35">
      <c r="A1467" s="13" t="s">
        <v>1957</v>
      </c>
      <c r="B1467" s="14">
        <v>45628</v>
      </c>
      <c r="C1467" s="13" t="s">
        <v>186</v>
      </c>
      <c r="D1467" s="13" t="s">
        <v>120</v>
      </c>
      <c r="E1467" s="13" t="s">
        <v>215</v>
      </c>
      <c r="F1467" s="15">
        <v>3</v>
      </c>
      <c r="G1467" s="15">
        <v>1430</v>
      </c>
      <c r="H1467" s="15">
        <v>13.2</v>
      </c>
      <c r="I1467" s="15">
        <v>3723.72</v>
      </c>
      <c r="J1467" s="13" t="s">
        <v>87</v>
      </c>
      <c r="K1467" s="13" t="s">
        <v>94</v>
      </c>
      <c r="L1467" s="34" t="str">
        <f>VLOOKUP(D1467,Products!$A$2:$F$61,3,FALSE)</f>
        <v>Electronics</v>
      </c>
      <c r="M1467" s="34" t="str">
        <f>VLOOKUP(C1467,Customers!$A$2:$F$301,5,FALSE)</f>
        <v>SMB</v>
      </c>
      <c r="N1467" s="34">
        <f>VLOOKUP(C1467,Customers!$A$2:$F$301,3,FALSE)</f>
        <v>52</v>
      </c>
      <c r="O1467" s="34" t="str">
        <f>VLOOKUP(E1467,Sales_Reps!$A$2:$E$31,3,FALSE)</f>
        <v>North</v>
      </c>
      <c r="P1467" s="13" t="s">
        <v>215</v>
      </c>
      <c r="Q1467" s="34">
        <f t="shared" si="48"/>
        <v>789849.60000000009</v>
      </c>
      <c r="R1467" s="34" t="str">
        <f>VLOOKUP(E1467,Sales_Reps!$A$2:$E$100,3,FALSE)</f>
        <v>North</v>
      </c>
      <c r="S1467" s="34" t="str">
        <f t="shared" si="49"/>
        <v>Electronics</v>
      </c>
      <c r="T1467" s="38">
        <f>VLOOKUP(D1467,Products!$A$2:$F$68,4,FALSE)</f>
        <v>861</v>
      </c>
    </row>
    <row r="1468" spans="1:20" x14ac:dyDescent="0.35">
      <c r="A1468" s="13" t="s">
        <v>1958</v>
      </c>
      <c r="B1468" s="14">
        <v>45413</v>
      </c>
      <c r="C1468" s="13" t="s">
        <v>190</v>
      </c>
      <c r="D1468" s="13" t="s">
        <v>241</v>
      </c>
      <c r="E1468" s="13" t="s">
        <v>303</v>
      </c>
      <c r="F1468" s="15">
        <v>2</v>
      </c>
      <c r="G1468" s="15">
        <v>6080</v>
      </c>
      <c r="H1468" s="15">
        <v>21.8</v>
      </c>
      <c r="I1468" s="15">
        <v>9509.1200000000008</v>
      </c>
      <c r="J1468" s="13" t="s">
        <v>140</v>
      </c>
      <c r="K1468" s="13" t="s">
        <v>133</v>
      </c>
      <c r="L1468" s="34" t="str">
        <f>VLOOKUP(D1468,Products!$A$2:$F$61,3,FALSE)</f>
        <v>Beauty</v>
      </c>
      <c r="M1468" s="34" t="str">
        <f>VLOOKUP(C1468,Customers!$A$2:$F$301,5,FALSE)</f>
        <v>Corporate</v>
      </c>
      <c r="N1468" s="34">
        <f>VLOOKUP(C1468,Customers!$A$2:$F$301,3,FALSE)</f>
        <v>56</v>
      </c>
      <c r="O1468" s="34" t="str">
        <f>VLOOKUP(E1468,Sales_Reps!$A$2:$E$31,3,FALSE)</f>
        <v>East</v>
      </c>
      <c r="P1468" s="13" t="s">
        <v>303</v>
      </c>
      <c r="Q1468" s="34">
        <f t="shared" si="48"/>
        <v>1112289.6400000001</v>
      </c>
      <c r="R1468" s="34" t="str">
        <f>VLOOKUP(E1468,Sales_Reps!$A$2:$E$100,3,FALSE)</f>
        <v>East</v>
      </c>
      <c r="S1468" s="34" t="str">
        <f t="shared" si="49"/>
        <v>Beauty</v>
      </c>
      <c r="T1468" s="38">
        <f>VLOOKUP(D1468,Products!$A$2:$F$68,4,FALSE)</f>
        <v>2617</v>
      </c>
    </row>
    <row r="1469" spans="1:20" x14ac:dyDescent="0.35">
      <c r="A1469" s="13" t="s">
        <v>1959</v>
      </c>
      <c r="B1469" s="14">
        <v>45343</v>
      </c>
      <c r="C1469" s="13" t="s">
        <v>680</v>
      </c>
      <c r="D1469" s="13" t="s">
        <v>191</v>
      </c>
      <c r="E1469" s="13" t="s">
        <v>188</v>
      </c>
      <c r="F1469" s="15">
        <v>9</v>
      </c>
      <c r="G1469" s="15">
        <v>5100</v>
      </c>
      <c r="H1469" s="15">
        <v>29.3</v>
      </c>
      <c r="I1469" s="15">
        <v>32451.3</v>
      </c>
      <c r="J1469" s="13" t="s">
        <v>87</v>
      </c>
      <c r="K1469" s="13" t="s">
        <v>94</v>
      </c>
      <c r="L1469" s="34" t="str">
        <f>VLOOKUP(D1469,Products!$A$2:$F$61,3,FALSE)</f>
        <v>Beauty</v>
      </c>
      <c r="M1469" s="34" t="str">
        <f>VLOOKUP(C1469,Customers!$A$2:$F$301,5,FALSE)</f>
        <v>Retail</v>
      </c>
      <c r="N1469" s="34">
        <f>VLOOKUP(C1469,Customers!$A$2:$F$301,3,FALSE)</f>
        <v>26</v>
      </c>
      <c r="O1469" s="34" t="str">
        <f>VLOOKUP(E1469,Sales_Reps!$A$2:$E$31,3,FALSE)</f>
        <v>South</v>
      </c>
      <c r="P1469" s="13" t="s">
        <v>188</v>
      </c>
      <c r="Q1469" s="34">
        <f t="shared" si="48"/>
        <v>1091740.1799999997</v>
      </c>
      <c r="R1469" s="34" t="str">
        <f>VLOOKUP(E1469,Sales_Reps!$A$2:$E$100,3,FALSE)</f>
        <v>South</v>
      </c>
      <c r="S1469" s="34" t="str">
        <f t="shared" si="49"/>
        <v>Beauty</v>
      </c>
      <c r="T1469" s="38">
        <f>VLOOKUP(D1469,Products!$A$2:$F$68,4,FALSE)</f>
        <v>2237</v>
      </c>
    </row>
    <row r="1470" spans="1:20" x14ac:dyDescent="0.35">
      <c r="A1470" s="13" t="s">
        <v>1960</v>
      </c>
      <c r="B1470" s="14">
        <v>45424</v>
      </c>
      <c r="C1470" s="13" t="s">
        <v>905</v>
      </c>
      <c r="D1470" s="13" t="s">
        <v>452</v>
      </c>
      <c r="E1470" s="13" t="s">
        <v>98</v>
      </c>
      <c r="F1470" s="15">
        <v>5</v>
      </c>
      <c r="G1470" s="15">
        <v>3450</v>
      </c>
      <c r="H1470" s="15">
        <v>5.3</v>
      </c>
      <c r="I1470" s="15">
        <v>16335.75</v>
      </c>
      <c r="J1470" s="13" t="s">
        <v>87</v>
      </c>
      <c r="K1470" s="13" t="s">
        <v>112</v>
      </c>
      <c r="L1470" s="34" t="str">
        <f>VLOOKUP(D1470,Products!$A$2:$F$61,3,FALSE)</f>
        <v>Apparel</v>
      </c>
      <c r="M1470" s="34" t="str">
        <f>VLOOKUP(C1470,Customers!$A$2:$F$301,5,FALSE)</f>
        <v>SMB</v>
      </c>
      <c r="N1470" s="34">
        <f>VLOOKUP(C1470,Customers!$A$2:$F$301,3,FALSE)</f>
        <v>43</v>
      </c>
      <c r="O1470" s="34" t="str">
        <f>VLOOKUP(E1470,Sales_Reps!$A$2:$E$31,3,FALSE)</f>
        <v>South</v>
      </c>
      <c r="P1470" s="13" t="s">
        <v>98</v>
      </c>
      <c r="Q1470" s="34">
        <f t="shared" si="48"/>
        <v>995713.54000000015</v>
      </c>
      <c r="R1470" s="34" t="str">
        <f>VLOOKUP(E1470,Sales_Reps!$A$2:$E$100,3,FALSE)</f>
        <v>South</v>
      </c>
      <c r="S1470" s="34" t="str">
        <f t="shared" si="49"/>
        <v>Apparel</v>
      </c>
      <c r="T1470" s="38">
        <f>VLOOKUP(D1470,Products!$A$2:$F$68,4,FALSE)</f>
        <v>1748</v>
      </c>
    </row>
    <row r="1471" spans="1:20" x14ac:dyDescent="0.35">
      <c r="A1471" s="13" t="s">
        <v>1961</v>
      </c>
      <c r="B1471" s="14">
        <v>45632</v>
      </c>
      <c r="C1471" s="13" t="s">
        <v>388</v>
      </c>
      <c r="D1471" s="13" t="s">
        <v>187</v>
      </c>
      <c r="E1471" s="13" t="s">
        <v>297</v>
      </c>
      <c r="F1471" s="15">
        <v>6</v>
      </c>
      <c r="G1471" s="15">
        <v>3570</v>
      </c>
      <c r="H1471" s="15">
        <v>17.3</v>
      </c>
      <c r="I1471" s="15">
        <v>17714.34</v>
      </c>
      <c r="J1471" s="13" t="s">
        <v>87</v>
      </c>
      <c r="K1471" s="13" t="s">
        <v>133</v>
      </c>
      <c r="L1471" s="34" t="str">
        <f>VLOOKUP(D1471,Products!$A$2:$F$61,3,FALSE)</f>
        <v>Electronics</v>
      </c>
      <c r="M1471" s="34" t="str">
        <f>VLOOKUP(C1471,Customers!$A$2:$F$301,5,FALSE)</f>
        <v>Retail</v>
      </c>
      <c r="N1471" s="34">
        <f>VLOOKUP(C1471,Customers!$A$2:$F$301,3,FALSE)</f>
        <v>44</v>
      </c>
      <c r="O1471" s="34" t="str">
        <f>VLOOKUP(E1471,Sales_Reps!$A$2:$E$31,3,FALSE)</f>
        <v>North</v>
      </c>
      <c r="P1471" s="13" t="s">
        <v>297</v>
      </c>
      <c r="Q1471" s="34">
        <f t="shared" si="48"/>
        <v>980063.65999999968</v>
      </c>
      <c r="R1471" s="34" t="str">
        <f>VLOOKUP(E1471,Sales_Reps!$A$2:$E$100,3,FALSE)</f>
        <v>North</v>
      </c>
      <c r="S1471" s="34" t="str">
        <f t="shared" si="49"/>
        <v>Electronics</v>
      </c>
      <c r="T1471" s="38">
        <f>VLOOKUP(D1471,Products!$A$2:$F$68,4,FALSE)</f>
        <v>1665</v>
      </c>
    </row>
    <row r="1472" spans="1:20" x14ac:dyDescent="0.35">
      <c r="A1472" s="13" t="s">
        <v>1962</v>
      </c>
      <c r="B1472" s="14">
        <v>45444</v>
      </c>
      <c r="C1472" s="13" t="s">
        <v>289</v>
      </c>
      <c r="D1472" s="13" t="s">
        <v>226</v>
      </c>
      <c r="E1472" s="13" t="s">
        <v>303</v>
      </c>
      <c r="F1472" s="15">
        <v>6</v>
      </c>
      <c r="G1472" s="15">
        <v>3730</v>
      </c>
      <c r="H1472" s="15">
        <v>1</v>
      </c>
      <c r="I1472" s="15">
        <v>22156.2</v>
      </c>
      <c r="J1472" s="13" t="s">
        <v>87</v>
      </c>
      <c r="K1472" s="13" t="s">
        <v>94</v>
      </c>
      <c r="L1472" s="34" t="str">
        <f>VLOOKUP(D1472,Products!$A$2:$F$61,3,FALSE)</f>
        <v>Home</v>
      </c>
      <c r="M1472" s="34" t="str">
        <f>VLOOKUP(C1472,Customers!$A$2:$F$301,5,FALSE)</f>
        <v>Retail</v>
      </c>
      <c r="N1472" s="34">
        <f>VLOOKUP(C1472,Customers!$A$2:$F$301,3,FALSE)</f>
        <v>38</v>
      </c>
      <c r="O1472" s="34" t="str">
        <f>VLOOKUP(E1472,Sales_Reps!$A$2:$E$31,3,FALSE)</f>
        <v>East</v>
      </c>
      <c r="P1472" s="13" t="s">
        <v>303</v>
      </c>
      <c r="Q1472" s="34">
        <f t="shared" si="48"/>
        <v>1112289.6400000001</v>
      </c>
      <c r="R1472" s="34" t="str">
        <f>VLOOKUP(E1472,Sales_Reps!$A$2:$E$100,3,FALSE)</f>
        <v>East</v>
      </c>
      <c r="S1472" s="34" t="str">
        <f t="shared" si="49"/>
        <v>Home</v>
      </c>
      <c r="T1472" s="38">
        <f>VLOOKUP(D1472,Products!$A$2:$F$68,4,FALSE)</f>
        <v>2135</v>
      </c>
    </row>
    <row r="1473" spans="1:20" x14ac:dyDescent="0.35">
      <c r="A1473" s="13" t="s">
        <v>1963</v>
      </c>
      <c r="B1473" s="14">
        <v>45545</v>
      </c>
      <c r="C1473" s="13" t="s">
        <v>1038</v>
      </c>
      <c r="D1473" s="13" t="s">
        <v>461</v>
      </c>
      <c r="E1473" s="13" t="s">
        <v>121</v>
      </c>
      <c r="F1473" s="15">
        <v>4</v>
      </c>
      <c r="G1473" s="15">
        <v>3780</v>
      </c>
      <c r="H1473" s="15">
        <v>13.1</v>
      </c>
      <c r="I1473" s="15">
        <v>13139.28</v>
      </c>
      <c r="J1473" s="13" t="s">
        <v>87</v>
      </c>
      <c r="K1473" s="13" t="s">
        <v>117</v>
      </c>
      <c r="L1473" s="34" t="str">
        <f>VLOOKUP(D1473,Products!$A$2:$F$61,3,FALSE)</f>
        <v>Sports</v>
      </c>
      <c r="M1473" s="34" t="str">
        <f>VLOOKUP(C1473,Customers!$A$2:$F$301,5,FALSE)</f>
        <v>Corporate</v>
      </c>
      <c r="N1473" s="34">
        <f>VLOOKUP(C1473,Customers!$A$2:$F$301,3,FALSE)</f>
        <v>55</v>
      </c>
      <c r="O1473" s="34" t="str">
        <f>VLOOKUP(E1473,Sales_Reps!$A$2:$E$31,3,FALSE)</f>
        <v>East</v>
      </c>
      <c r="P1473" s="13" t="s">
        <v>121</v>
      </c>
      <c r="Q1473" s="34">
        <f t="shared" si="48"/>
        <v>971183.52000000014</v>
      </c>
      <c r="R1473" s="34" t="str">
        <f>VLOOKUP(E1473,Sales_Reps!$A$2:$E$100,3,FALSE)</f>
        <v>East</v>
      </c>
      <c r="S1473" s="34" t="str">
        <f t="shared" si="49"/>
        <v>Sports</v>
      </c>
      <c r="T1473" s="38">
        <f>VLOOKUP(D1473,Products!$A$2:$F$68,4,FALSE)</f>
        <v>1860</v>
      </c>
    </row>
    <row r="1474" spans="1:20" x14ac:dyDescent="0.35">
      <c r="A1474" s="13" t="s">
        <v>1964</v>
      </c>
      <c r="B1474" s="14">
        <v>45511</v>
      </c>
      <c r="C1474" s="13" t="s">
        <v>610</v>
      </c>
      <c r="D1474" s="13" t="s">
        <v>355</v>
      </c>
      <c r="E1474" s="13" t="s">
        <v>273</v>
      </c>
      <c r="F1474" s="15">
        <v>1</v>
      </c>
      <c r="G1474" s="15">
        <v>2510</v>
      </c>
      <c r="H1474" s="15">
        <v>27.8</v>
      </c>
      <c r="I1474" s="15">
        <v>1812.22</v>
      </c>
      <c r="J1474" s="13" t="s">
        <v>140</v>
      </c>
      <c r="K1474" s="13" t="s">
        <v>117</v>
      </c>
      <c r="L1474" s="34" t="str">
        <f>VLOOKUP(D1474,Products!$A$2:$F$61,3,FALSE)</f>
        <v>Apparel</v>
      </c>
      <c r="M1474" s="34" t="str">
        <f>VLOOKUP(C1474,Customers!$A$2:$F$301,5,FALSE)</f>
        <v>SMB</v>
      </c>
      <c r="N1474" s="34">
        <f>VLOOKUP(C1474,Customers!$A$2:$F$301,3,FALSE)</f>
        <v>42</v>
      </c>
      <c r="O1474" s="34" t="str">
        <f>VLOOKUP(E1474,Sales_Reps!$A$2:$E$31,3,FALSE)</f>
        <v>South</v>
      </c>
      <c r="P1474" s="13" t="s">
        <v>273</v>
      </c>
      <c r="Q1474" s="34">
        <f t="shared" si="48"/>
        <v>735207.75999999989</v>
      </c>
      <c r="R1474" s="34" t="str">
        <f>VLOOKUP(E1474,Sales_Reps!$A$2:$E$100,3,FALSE)</f>
        <v>South</v>
      </c>
      <c r="S1474" s="34" t="str">
        <f t="shared" si="49"/>
        <v>Apparel</v>
      </c>
      <c r="T1474" s="38">
        <f>VLOOKUP(D1474,Products!$A$2:$F$68,4,FALSE)</f>
        <v>1075</v>
      </c>
    </row>
    <row r="1475" spans="1:20" x14ac:dyDescent="0.35">
      <c r="A1475" s="13" t="s">
        <v>1965</v>
      </c>
      <c r="B1475" s="14">
        <v>45577</v>
      </c>
      <c r="C1475" s="13" t="s">
        <v>797</v>
      </c>
      <c r="D1475" s="13" t="s">
        <v>203</v>
      </c>
      <c r="E1475" s="13" t="s">
        <v>86</v>
      </c>
      <c r="F1475" s="15">
        <v>9</v>
      </c>
      <c r="G1475" s="15">
        <v>660</v>
      </c>
      <c r="H1475" s="15">
        <v>29.3</v>
      </c>
      <c r="I1475" s="15">
        <v>4199.58</v>
      </c>
      <c r="J1475" s="13" t="s">
        <v>87</v>
      </c>
      <c r="K1475" s="13" t="s">
        <v>99</v>
      </c>
      <c r="L1475" s="34" t="str">
        <f>VLOOKUP(D1475,Products!$A$2:$F$61,3,FALSE)</f>
        <v>Home</v>
      </c>
      <c r="M1475" s="34" t="str">
        <f>VLOOKUP(C1475,Customers!$A$2:$F$301,5,FALSE)</f>
        <v>Retail</v>
      </c>
      <c r="N1475" s="34">
        <f>VLOOKUP(C1475,Customers!$A$2:$F$301,3,FALSE)</f>
        <v>63</v>
      </c>
      <c r="O1475" s="34" t="str">
        <f>VLOOKUP(E1475,Sales_Reps!$A$2:$E$31,3,FALSE)</f>
        <v>North</v>
      </c>
      <c r="P1475" s="13" t="s">
        <v>86</v>
      </c>
      <c r="Q1475" s="34">
        <f t="shared" ref="Q1475:Q1538" si="50">SUMIFS($I:$I,$E:$E,P1475)</f>
        <v>855749.67999999982</v>
      </c>
      <c r="R1475" s="34" t="str">
        <f>VLOOKUP(E1475,Sales_Reps!$A$2:$E$100,3,FALSE)</f>
        <v>North</v>
      </c>
      <c r="S1475" s="34" t="str">
        <f t="shared" ref="S1475:S1538" si="51">L1475</f>
        <v>Home</v>
      </c>
      <c r="T1475" s="38">
        <f>VLOOKUP(D1475,Products!$A$2:$F$68,4,FALSE)</f>
        <v>329</v>
      </c>
    </row>
    <row r="1476" spans="1:20" x14ac:dyDescent="0.35">
      <c r="A1476" s="13" t="s">
        <v>1966</v>
      </c>
      <c r="B1476" s="14">
        <v>45507</v>
      </c>
      <c r="C1476" s="13" t="s">
        <v>1036</v>
      </c>
      <c r="D1476" s="13" t="s">
        <v>237</v>
      </c>
      <c r="E1476" s="13" t="s">
        <v>170</v>
      </c>
      <c r="F1476" s="15">
        <v>7</v>
      </c>
      <c r="G1476" s="15">
        <v>3640</v>
      </c>
      <c r="H1476" s="15">
        <v>11.6</v>
      </c>
      <c r="I1476" s="15">
        <v>22524.32</v>
      </c>
      <c r="J1476" s="13" t="s">
        <v>87</v>
      </c>
      <c r="K1476" s="13" t="s">
        <v>112</v>
      </c>
      <c r="L1476" s="34" t="str">
        <f>VLOOKUP(D1476,Products!$A$2:$F$61,3,FALSE)</f>
        <v>Apparel</v>
      </c>
      <c r="M1476" s="34" t="str">
        <f>VLOOKUP(C1476,Customers!$A$2:$F$301,5,FALSE)</f>
        <v>Retail</v>
      </c>
      <c r="N1476" s="34">
        <f>VLOOKUP(C1476,Customers!$A$2:$F$301,3,FALSE)</f>
        <v>33</v>
      </c>
      <c r="O1476" s="34" t="str">
        <f>VLOOKUP(E1476,Sales_Reps!$A$2:$E$31,3,FALSE)</f>
        <v>West</v>
      </c>
      <c r="P1476" s="13" t="s">
        <v>170</v>
      </c>
      <c r="Q1476" s="34">
        <f t="shared" si="50"/>
        <v>747624.36999999988</v>
      </c>
      <c r="R1476" s="34" t="str">
        <f>VLOOKUP(E1476,Sales_Reps!$A$2:$E$100,3,FALSE)</f>
        <v>West</v>
      </c>
      <c r="S1476" s="34" t="str">
        <f t="shared" si="51"/>
        <v>Apparel</v>
      </c>
      <c r="T1476" s="38">
        <f>VLOOKUP(D1476,Products!$A$2:$F$68,4,FALSE)</f>
        <v>2611</v>
      </c>
    </row>
    <row r="1477" spans="1:20" x14ac:dyDescent="0.35">
      <c r="A1477" s="13" t="s">
        <v>1967</v>
      </c>
      <c r="B1477" s="14">
        <v>45415</v>
      </c>
      <c r="C1477" s="13" t="s">
        <v>986</v>
      </c>
      <c r="D1477" s="13" t="s">
        <v>360</v>
      </c>
      <c r="E1477" s="13" t="s">
        <v>121</v>
      </c>
      <c r="F1477" s="15">
        <v>8</v>
      </c>
      <c r="G1477" s="15">
        <v>5410</v>
      </c>
      <c r="H1477" s="15">
        <v>25.6</v>
      </c>
      <c r="I1477" s="15">
        <v>32200.32</v>
      </c>
      <c r="J1477" s="13" t="s">
        <v>87</v>
      </c>
      <c r="K1477" s="13" t="s">
        <v>94</v>
      </c>
      <c r="L1477" s="34" t="str">
        <f>VLOOKUP(D1477,Products!$A$2:$F$61,3,FALSE)</f>
        <v>Sports</v>
      </c>
      <c r="M1477" s="34" t="str">
        <f>VLOOKUP(C1477,Customers!$A$2:$F$301,5,FALSE)</f>
        <v>Corporate</v>
      </c>
      <c r="N1477" s="34">
        <f>VLOOKUP(C1477,Customers!$A$2:$F$301,3,FALSE)</f>
        <v>52</v>
      </c>
      <c r="O1477" s="34" t="str">
        <f>VLOOKUP(E1477,Sales_Reps!$A$2:$E$31,3,FALSE)</f>
        <v>East</v>
      </c>
      <c r="P1477" s="13" t="s">
        <v>121</v>
      </c>
      <c r="Q1477" s="34">
        <f t="shared" si="50"/>
        <v>971183.52000000014</v>
      </c>
      <c r="R1477" s="34" t="str">
        <f>VLOOKUP(E1477,Sales_Reps!$A$2:$E$100,3,FALSE)</f>
        <v>East</v>
      </c>
      <c r="S1477" s="34" t="str">
        <f t="shared" si="51"/>
        <v>Sports</v>
      </c>
      <c r="T1477" s="38">
        <f>VLOOKUP(D1477,Products!$A$2:$F$68,4,FALSE)</f>
        <v>2265</v>
      </c>
    </row>
    <row r="1478" spans="1:20" x14ac:dyDescent="0.35">
      <c r="A1478" s="13" t="s">
        <v>1968</v>
      </c>
      <c r="B1478" s="14">
        <v>45342</v>
      </c>
      <c r="C1478" s="13" t="s">
        <v>970</v>
      </c>
      <c r="D1478" s="13" t="s">
        <v>151</v>
      </c>
      <c r="E1478" s="13" t="s">
        <v>107</v>
      </c>
      <c r="F1478" s="15">
        <v>4</v>
      </c>
      <c r="G1478" s="15">
        <v>2400</v>
      </c>
      <c r="H1478" s="15">
        <v>10.4</v>
      </c>
      <c r="I1478" s="15">
        <v>8601.6</v>
      </c>
      <c r="J1478" s="13" t="s">
        <v>87</v>
      </c>
      <c r="K1478" s="13" t="s">
        <v>112</v>
      </c>
      <c r="L1478" s="34" t="str">
        <f>VLOOKUP(D1478,Products!$A$2:$F$61,3,FALSE)</f>
        <v>Sports</v>
      </c>
      <c r="M1478" s="34" t="str">
        <f>VLOOKUP(C1478,Customers!$A$2:$F$301,5,FALSE)</f>
        <v>Retail</v>
      </c>
      <c r="N1478" s="34">
        <f>VLOOKUP(C1478,Customers!$A$2:$F$301,3,FALSE)</f>
        <v>40</v>
      </c>
      <c r="O1478" s="34" t="str">
        <f>VLOOKUP(E1478,Sales_Reps!$A$2:$E$31,3,FALSE)</f>
        <v>North</v>
      </c>
      <c r="P1478" s="13" t="s">
        <v>107</v>
      </c>
      <c r="Q1478" s="34">
        <f t="shared" si="50"/>
        <v>861553.33</v>
      </c>
      <c r="R1478" s="34" t="str">
        <f>VLOOKUP(E1478,Sales_Reps!$A$2:$E$100,3,FALSE)</f>
        <v>North</v>
      </c>
      <c r="S1478" s="34" t="str">
        <f t="shared" si="51"/>
        <v>Sports</v>
      </c>
      <c r="T1478" s="38">
        <f>VLOOKUP(D1478,Products!$A$2:$F$68,4,FALSE)</f>
        <v>974</v>
      </c>
    </row>
    <row r="1479" spans="1:20" x14ac:dyDescent="0.35">
      <c r="A1479" s="13" t="s">
        <v>1969</v>
      </c>
      <c r="B1479" s="14">
        <v>45333</v>
      </c>
      <c r="C1479" s="13" t="s">
        <v>472</v>
      </c>
      <c r="D1479" s="13" t="s">
        <v>124</v>
      </c>
      <c r="E1479" s="13" t="s">
        <v>128</v>
      </c>
      <c r="F1479" s="15">
        <v>2</v>
      </c>
      <c r="G1479" s="15">
        <v>5490</v>
      </c>
      <c r="H1479" s="15">
        <v>5.4</v>
      </c>
      <c r="I1479" s="15">
        <v>10387.08</v>
      </c>
      <c r="J1479" s="13" t="s">
        <v>87</v>
      </c>
      <c r="K1479" s="13" t="s">
        <v>94</v>
      </c>
      <c r="L1479" s="34" t="str">
        <f>VLOOKUP(D1479,Products!$A$2:$F$61,3,FALSE)</f>
        <v>Home</v>
      </c>
      <c r="M1479" s="34" t="str">
        <f>VLOOKUP(C1479,Customers!$A$2:$F$301,5,FALSE)</f>
        <v>Corporate</v>
      </c>
      <c r="N1479" s="34">
        <f>VLOOKUP(C1479,Customers!$A$2:$F$301,3,FALSE)</f>
        <v>35</v>
      </c>
      <c r="O1479" s="34" t="str">
        <f>VLOOKUP(E1479,Sales_Reps!$A$2:$E$31,3,FALSE)</f>
        <v>West</v>
      </c>
      <c r="P1479" s="13" t="s">
        <v>128</v>
      </c>
      <c r="Q1479" s="34">
        <f t="shared" si="50"/>
        <v>880468.05</v>
      </c>
      <c r="R1479" s="34" t="str">
        <f>VLOOKUP(E1479,Sales_Reps!$A$2:$E$100,3,FALSE)</f>
        <v>West</v>
      </c>
      <c r="S1479" s="34" t="str">
        <f t="shared" si="51"/>
        <v>Home</v>
      </c>
      <c r="T1479" s="38">
        <f>VLOOKUP(D1479,Products!$A$2:$F$68,4,FALSE)</f>
        <v>2549</v>
      </c>
    </row>
    <row r="1480" spans="1:20" x14ac:dyDescent="0.35">
      <c r="A1480" s="13" t="s">
        <v>1970</v>
      </c>
      <c r="B1480" s="14">
        <v>45516</v>
      </c>
      <c r="C1480" s="13" t="s">
        <v>1231</v>
      </c>
      <c r="D1480" s="13" t="s">
        <v>259</v>
      </c>
      <c r="E1480" s="13" t="s">
        <v>346</v>
      </c>
      <c r="F1480" s="15">
        <v>6</v>
      </c>
      <c r="G1480" s="15">
        <v>1540</v>
      </c>
      <c r="H1480" s="15">
        <v>0.6</v>
      </c>
      <c r="I1480" s="15">
        <v>9184.56</v>
      </c>
      <c r="J1480" s="13" t="s">
        <v>87</v>
      </c>
      <c r="K1480" s="13" t="s">
        <v>88</v>
      </c>
      <c r="L1480" s="34" t="str">
        <f>VLOOKUP(D1480,Products!$A$2:$F$61,3,FALSE)</f>
        <v>Beauty</v>
      </c>
      <c r="M1480" s="34" t="str">
        <f>VLOOKUP(C1480,Customers!$A$2:$F$301,5,FALSE)</f>
        <v>Retail</v>
      </c>
      <c r="N1480" s="34">
        <f>VLOOKUP(C1480,Customers!$A$2:$F$301,3,FALSE)</f>
        <v>42</v>
      </c>
      <c r="O1480" s="34" t="str">
        <f>VLOOKUP(E1480,Sales_Reps!$A$2:$E$31,3,FALSE)</f>
        <v>South</v>
      </c>
      <c r="P1480" s="13" t="s">
        <v>346</v>
      </c>
      <c r="Q1480" s="34">
        <f t="shared" si="50"/>
        <v>814563.7100000002</v>
      </c>
      <c r="R1480" s="34" t="str">
        <f>VLOOKUP(E1480,Sales_Reps!$A$2:$E$100,3,FALSE)</f>
        <v>South</v>
      </c>
      <c r="S1480" s="34" t="str">
        <f t="shared" si="51"/>
        <v>Beauty</v>
      </c>
      <c r="T1480" s="38">
        <f>VLOOKUP(D1480,Products!$A$2:$F$68,4,FALSE)</f>
        <v>647</v>
      </c>
    </row>
    <row r="1481" spans="1:20" x14ac:dyDescent="0.35">
      <c r="A1481" s="13" t="s">
        <v>1971</v>
      </c>
      <c r="B1481" s="14">
        <v>45343</v>
      </c>
      <c r="C1481" s="13" t="s">
        <v>908</v>
      </c>
      <c r="D1481" s="13" t="s">
        <v>364</v>
      </c>
      <c r="E1481" s="13" t="s">
        <v>215</v>
      </c>
      <c r="F1481" s="15">
        <v>3</v>
      </c>
      <c r="G1481" s="15">
        <v>5330</v>
      </c>
      <c r="H1481" s="15">
        <v>1</v>
      </c>
      <c r="I1481" s="15">
        <v>15830.1</v>
      </c>
      <c r="J1481" s="13" t="s">
        <v>93</v>
      </c>
      <c r="K1481" s="13" t="s">
        <v>133</v>
      </c>
      <c r="L1481" s="34" t="str">
        <f>VLOOKUP(D1481,Products!$A$2:$F$61,3,FALSE)</f>
        <v>Electronics</v>
      </c>
      <c r="M1481" s="34" t="str">
        <f>VLOOKUP(C1481,Customers!$A$2:$F$301,5,FALSE)</f>
        <v>Retail</v>
      </c>
      <c r="N1481" s="34">
        <f>VLOOKUP(C1481,Customers!$A$2:$F$301,3,FALSE)</f>
        <v>31</v>
      </c>
      <c r="O1481" s="34" t="str">
        <f>VLOOKUP(E1481,Sales_Reps!$A$2:$E$31,3,FALSE)</f>
        <v>North</v>
      </c>
      <c r="P1481" s="13" t="s">
        <v>215</v>
      </c>
      <c r="Q1481" s="34">
        <f t="shared" si="50"/>
        <v>789849.60000000009</v>
      </c>
      <c r="R1481" s="34" t="str">
        <f>VLOOKUP(E1481,Sales_Reps!$A$2:$E$100,3,FALSE)</f>
        <v>North</v>
      </c>
      <c r="S1481" s="34" t="str">
        <f t="shared" si="51"/>
        <v>Electronics</v>
      </c>
      <c r="T1481" s="38">
        <f>VLOOKUP(D1481,Products!$A$2:$F$68,4,FALSE)</f>
        <v>2405</v>
      </c>
    </row>
    <row r="1482" spans="1:20" x14ac:dyDescent="0.35">
      <c r="A1482" s="13" t="s">
        <v>1972</v>
      </c>
      <c r="B1482" s="14">
        <v>45522</v>
      </c>
      <c r="C1482" s="13" t="s">
        <v>1575</v>
      </c>
      <c r="D1482" s="13" t="s">
        <v>195</v>
      </c>
      <c r="E1482" s="13" t="s">
        <v>325</v>
      </c>
      <c r="F1482" s="15">
        <v>6</v>
      </c>
      <c r="G1482" s="15">
        <v>2860</v>
      </c>
      <c r="H1482" s="15">
        <v>13.3</v>
      </c>
      <c r="I1482" s="15">
        <v>14877.72</v>
      </c>
      <c r="J1482" s="13" t="s">
        <v>87</v>
      </c>
      <c r="K1482" s="13" t="s">
        <v>133</v>
      </c>
      <c r="L1482" s="34" t="str">
        <f>VLOOKUP(D1482,Products!$A$2:$F$61,3,FALSE)</f>
        <v>Sports</v>
      </c>
      <c r="M1482" s="34" t="str">
        <f>VLOOKUP(C1482,Customers!$A$2:$F$301,5,FALSE)</f>
        <v>Corporate</v>
      </c>
      <c r="N1482" s="34">
        <f>VLOOKUP(C1482,Customers!$A$2:$F$301,3,FALSE)</f>
        <v>60</v>
      </c>
      <c r="O1482" s="34" t="str">
        <f>VLOOKUP(E1482,Sales_Reps!$A$2:$E$31,3,FALSE)</f>
        <v>South</v>
      </c>
      <c r="P1482" s="13" t="s">
        <v>325</v>
      </c>
      <c r="Q1482" s="34">
        <f t="shared" si="50"/>
        <v>901394.32000000007</v>
      </c>
      <c r="R1482" s="34" t="str">
        <f>VLOOKUP(E1482,Sales_Reps!$A$2:$E$100,3,FALSE)</f>
        <v>South</v>
      </c>
      <c r="S1482" s="34" t="str">
        <f t="shared" si="51"/>
        <v>Sports</v>
      </c>
      <c r="T1482" s="38">
        <f>VLOOKUP(D1482,Products!$A$2:$F$68,4,FALSE)</f>
        <v>2028</v>
      </c>
    </row>
    <row r="1483" spans="1:20" x14ac:dyDescent="0.35">
      <c r="A1483" s="13" t="s">
        <v>1973</v>
      </c>
      <c r="B1483" s="14">
        <v>45305</v>
      </c>
      <c r="C1483" s="13" t="s">
        <v>606</v>
      </c>
      <c r="D1483" s="13" t="s">
        <v>184</v>
      </c>
      <c r="E1483" s="13" t="s">
        <v>103</v>
      </c>
      <c r="F1483" s="15">
        <v>3</v>
      </c>
      <c r="G1483" s="15">
        <v>4880</v>
      </c>
      <c r="H1483" s="15">
        <v>12.1</v>
      </c>
      <c r="I1483" s="15">
        <v>12868.56</v>
      </c>
      <c r="J1483" s="13" t="s">
        <v>87</v>
      </c>
      <c r="K1483" s="13" t="s">
        <v>112</v>
      </c>
      <c r="L1483" s="34" t="str">
        <f>VLOOKUP(D1483,Products!$A$2:$F$61,3,FALSE)</f>
        <v>Beauty</v>
      </c>
      <c r="M1483" s="34" t="str">
        <f>VLOOKUP(C1483,Customers!$A$2:$F$301,5,FALSE)</f>
        <v>Retail</v>
      </c>
      <c r="N1483" s="34">
        <f>VLOOKUP(C1483,Customers!$A$2:$F$301,3,FALSE)</f>
        <v>52</v>
      </c>
      <c r="O1483" s="34" t="str">
        <f>VLOOKUP(E1483,Sales_Reps!$A$2:$E$31,3,FALSE)</f>
        <v>North</v>
      </c>
      <c r="P1483" s="13" t="s">
        <v>103</v>
      </c>
      <c r="Q1483" s="34">
        <f t="shared" si="50"/>
        <v>1138648.73</v>
      </c>
      <c r="R1483" s="34" t="str">
        <f>VLOOKUP(E1483,Sales_Reps!$A$2:$E$100,3,FALSE)</f>
        <v>North</v>
      </c>
      <c r="S1483" s="34" t="str">
        <f t="shared" si="51"/>
        <v>Beauty</v>
      </c>
      <c r="T1483" s="38">
        <f>VLOOKUP(D1483,Products!$A$2:$F$68,4,FALSE)</f>
        <v>2768</v>
      </c>
    </row>
    <row r="1484" spans="1:20" x14ac:dyDescent="0.35">
      <c r="A1484" s="13" t="s">
        <v>1974</v>
      </c>
      <c r="B1484" s="14">
        <v>45353</v>
      </c>
      <c r="C1484" s="13" t="s">
        <v>474</v>
      </c>
      <c r="D1484" s="13" t="s">
        <v>355</v>
      </c>
      <c r="E1484" s="13" t="s">
        <v>92</v>
      </c>
      <c r="F1484" s="15">
        <v>5</v>
      </c>
      <c r="G1484" s="15">
        <v>2510</v>
      </c>
      <c r="H1484" s="15">
        <v>2.9</v>
      </c>
      <c r="I1484" s="15">
        <v>12186.05</v>
      </c>
      <c r="J1484" s="13" t="s">
        <v>93</v>
      </c>
      <c r="K1484" s="13" t="s">
        <v>99</v>
      </c>
      <c r="L1484" s="34" t="str">
        <f>VLOOKUP(D1484,Products!$A$2:$F$61,3,FALSE)</f>
        <v>Apparel</v>
      </c>
      <c r="M1484" s="34" t="str">
        <f>VLOOKUP(C1484,Customers!$A$2:$F$301,5,FALSE)</f>
        <v>SMB</v>
      </c>
      <c r="N1484" s="34">
        <f>VLOOKUP(C1484,Customers!$A$2:$F$301,3,FALSE)</f>
        <v>59</v>
      </c>
      <c r="O1484" s="34" t="str">
        <f>VLOOKUP(E1484,Sales_Reps!$A$2:$E$31,3,FALSE)</f>
        <v>North</v>
      </c>
      <c r="P1484" s="13" t="s">
        <v>92</v>
      </c>
      <c r="Q1484" s="34">
        <f t="shared" si="50"/>
        <v>782445.33</v>
      </c>
      <c r="R1484" s="34" t="str">
        <f>VLOOKUP(E1484,Sales_Reps!$A$2:$E$100,3,FALSE)</f>
        <v>North</v>
      </c>
      <c r="S1484" s="34" t="str">
        <f t="shared" si="51"/>
        <v>Apparel</v>
      </c>
      <c r="T1484" s="38">
        <f>VLOOKUP(D1484,Products!$A$2:$F$68,4,FALSE)</f>
        <v>1075</v>
      </c>
    </row>
    <row r="1485" spans="1:20" x14ac:dyDescent="0.35">
      <c r="A1485" s="13" t="s">
        <v>1975</v>
      </c>
      <c r="B1485" s="14">
        <v>45525</v>
      </c>
      <c r="C1485" s="13" t="s">
        <v>1976</v>
      </c>
      <c r="D1485" s="13" t="s">
        <v>408</v>
      </c>
      <c r="E1485" s="13" t="s">
        <v>192</v>
      </c>
      <c r="F1485" s="15">
        <v>9</v>
      </c>
      <c r="G1485" s="15">
        <v>3970</v>
      </c>
      <c r="H1485" s="15">
        <v>28</v>
      </c>
      <c r="I1485" s="15">
        <v>25725.599999999999</v>
      </c>
      <c r="J1485" s="13" t="s">
        <v>87</v>
      </c>
      <c r="K1485" s="13" t="s">
        <v>88</v>
      </c>
      <c r="L1485" s="34" t="str">
        <f>VLOOKUP(D1485,Products!$A$2:$F$61,3,FALSE)</f>
        <v>Electronics</v>
      </c>
      <c r="M1485" s="34" t="e">
        <f>VLOOKUP(C1485,Customers!$A$2:$F$301,5,FALSE)</f>
        <v>#N/A</v>
      </c>
      <c r="N1485" s="34" t="e">
        <f>VLOOKUP(C1485,Customers!$A$2:$F$301,3,FALSE)</f>
        <v>#N/A</v>
      </c>
      <c r="O1485" s="34" t="str">
        <f>VLOOKUP(E1485,Sales_Reps!$A$2:$E$31,3,FALSE)</f>
        <v>East</v>
      </c>
      <c r="P1485" s="13" t="s">
        <v>192</v>
      </c>
      <c r="Q1485" s="34">
        <f t="shared" si="50"/>
        <v>906107.71000000008</v>
      </c>
      <c r="R1485" s="34" t="str">
        <f>VLOOKUP(E1485,Sales_Reps!$A$2:$E$100,3,FALSE)</f>
        <v>East</v>
      </c>
      <c r="S1485" s="34" t="str">
        <f t="shared" si="51"/>
        <v>Electronics</v>
      </c>
      <c r="T1485" s="38">
        <f>VLOOKUP(D1485,Products!$A$2:$F$68,4,FALSE)</f>
        <v>2865</v>
      </c>
    </row>
    <row r="1486" spans="1:20" x14ac:dyDescent="0.35">
      <c r="A1486" s="13" t="s">
        <v>1977</v>
      </c>
      <c r="B1486" s="14">
        <v>45593</v>
      </c>
      <c r="C1486" s="13" t="s">
        <v>1217</v>
      </c>
      <c r="D1486" s="13" t="s">
        <v>97</v>
      </c>
      <c r="E1486" s="13" t="s">
        <v>343</v>
      </c>
      <c r="F1486" s="15">
        <v>4</v>
      </c>
      <c r="G1486" s="15">
        <v>470</v>
      </c>
      <c r="H1486" s="15">
        <v>19.100000000000001</v>
      </c>
      <c r="I1486" s="15">
        <v>1520.92</v>
      </c>
      <c r="J1486" s="13" t="s">
        <v>93</v>
      </c>
      <c r="K1486" s="13" t="s">
        <v>112</v>
      </c>
      <c r="L1486" s="34" t="str">
        <f>VLOOKUP(D1486,Products!$A$2:$F$61,3,FALSE)</f>
        <v>Sports</v>
      </c>
      <c r="M1486" s="34" t="str">
        <f>VLOOKUP(C1486,Customers!$A$2:$F$301,5,FALSE)</f>
        <v>Retail</v>
      </c>
      <c r="N1486" s="34">
        <f>VLOOKUP(C1486,Customers!$A$2:$F$301,3,FALSE)</f>
        <v>44</v>
      </c>
      <c r="O1486" s="34" t="str">
        <f>VLOOKUP(E1486,Sales_Reps!$A$2:$E$31,3,FALSE)</f>
        <v>West</v>
      </c>
      <c r="P1486" s="13" t="s">
        <v>343</v>
      </c>
      <c r="Q1486" s="34">
        <f t="shared" si="50"/>
        <v>917092.61999999965</v>
      </c>
      <c r="R1486" s="34" t="str">
        <f>VLOOKUP(E1486,Sales_Reps!$A$2:$E$100,3,FALSE)</f>
        <v>West</v>
      </c>
      <c r="S1486" s="34" t="str">
        <f t="shared" si="51"/>
        <v>Sports</v>
      </c>
      <c r="T1486" s="38">
        <f>VLOOKUP(D1486,Products!$A$2:$F$68,4,FALSE)</f>
        <v>302</v>
      </c>
    </row>
    <row r="1487" spans="1:20" x14ac:dyDescent="0.35">
      <c r="A1487" s="13" t="s">
        <v>1978</v>
      </c>
      <c r="B1487" s="14">
        <v>45550</v>
      </c>
      <c r="C1487" s="13" t="s">
        <v>299</v>
      </c>
      <c r="D1487" s="13" t="s">
        <v>364</v>
      </c>
      <c r="E1487" s="13" t="s">
        <v>111</v>
      </c>
      <c r="F1487" s="15">
        <v>7</v>
      </c>
      <c r="G1487" s="15">
        <v>5330</v>
      </c>
      <c r="H1487" s="15">
        <v>17.2</v>
      </c>
      <c r="I1487" s="15">
        <v>30892.68</v>
      </c>
      <c r="J1487" s="13" t="s">
        <v>140</v>
      </c>
      <c r="K1487" s="13" t="s">
        <v>133</v>
      </c>
      <c r="L1487" s="34" t="str">
        <f>VLOOKUP(D1487,Products!$A$2:$F$61,3,FALSE)</f>
        <v>Electronics</v>
      </c>
      <c r="M1487" s="34" t="str">
        <f>VLOOKUP(C1487,Customers!$A$2:$F$301,5,FALSE)</f>
        <v>Retail</v>
      </c>
      <c r="N1487" s="34">
        <f>VLOOKUP(C1487,Customers!$A$2:$F$301,3,FALSE)</f>
        <v>29</v>
      </c>
      <c r="O1487" s="34" t="str">
        <f>VLOOKUP(E1487,Sales_Reps!$A$2:$E$31,3,FALSE)</f>
        <v>West</v>
      </c>
      <c r="P1487" s="13" t="s">
        <v>111</v>
      </c>
      <c r="Q1487" s="34">
        <f t="shared" si="50"/>
        <v>901298.89</v>
      </c>
      <c r="R1487" s="34" t="str">
        <f>VLOOKUP(E1487,Sales_Reps!$A$2:$E$100,3,FALSE)</f>
        <v>West</v>
      </c>
      <c r="S1487" s="34" t="str">
        <f t="shared" si="51"/>
        <v>Electronics</v>
      </c>
      <c r="T1487" s="38">
        <f>VLOOKUP(D1487,Products!$A$2:$F$68,4,FALSE)</f>
        <v>2405</v>
      </c>
    </row>
    <row r="1488" spans="1:20" x14ac:dyDescent="0.35">
      <c r="A1488" s="13" t="s">
        <v>1979</v>
      </c>
      <c r="B1488" s="14">
        <v>45511</v>
      </c>
      <c r="C1488" s="13" t="s">
        <v>153</v>
      </c>
      <c r="D1488" s="13" t="s">
        <v>502</v>
      </c>
      <c r="E1488" s="13" t="s">
        <v>325</v>
      </c>
      <c r="F1488" s="15">
        <v>4</v>
      </c>
      <c r="G1488" s="15">
        <v>1090</v>
      </c>
      <c r="H1488" s="15">
        <v>4.9000000000000004</v>
      </c>
      <c r="I1488" s="15">
        <v>4146.3599999999997</v>
      </c>
      <c r="J1488" s="13" t="s">
        <v>140</v>
      </c>
      <c r="K1488" s="13" t="s">
        <v>117</v>
      </c>
      <c r="L1488" s="34" t="str">
        <f>VLOOKUP(D1488,Products!$A$2:$F$61,3,FALSE)</f>
        <v>Home</v>
      </c>
      <c r="M1488" s="34" t="str">
        <f>VLOOKUP(C1488,Customers!$A$2:$F$301,5,FALSE)</f>
        <v>SMB</v>
      </c>
      <c r="N1488" s="34">
        <f>VLOOKUP(C1488,Customers!$A$2:$F$301,3,FALSE)</f>
        <v>46</v>
      </c>
      <c r="O1488" s="34" t="str">
        <f>VLOOKUP(E1488,Sales_Reps!$A$2:$E$31,3,FALSE)</f>
        <v>South</v>
      </c>
      <c r="P1488" s="13" t="s">
        <v>325</v>
      </c>
      <c r="Q1488" s="34">
        <f t="shared" si="50"/>
        <v>901394.32000000007</v>
      </c>
      <c r="R1488" s="34" t="str">
        <f>VLOOKUP(E1488,Sales_Reps!$A$2:$E$100,3,FALSE)</f>
        <v>South</v>
      </c>
      <c r="S1488" s="34" t="str">
        <f t="shared" si="51"/>
        <v>Home</v>
      </c>
      <c r="T1488" s="38">
        <f>VLOOKUP(D1488,Products!$A$2:$F$68,4,FALSE)</f>
        <v>464</v>
      </c>
    </row>
    <row r="1489" spans="1:20" x14ac:dyDescent="0.35">
      <c r="A1489" s="13" t="s">
        <v>1980</v>
      </c>
      <c r="B1489" s="14">
        <v>45456</v>
      </c>
      <c r="C1489" s="13" t="s">
        <v>440</v>
      </c>
      <c r="D1489" s="13" t="s">
        <v>182</v>
      </c>
      <c r="E1489" s="13" t="s">
        <v>204</v>
      </c>
      <c r="F1489" s="15">
        <v>2</v>
      </c>
      <c r="G1489" s="15">
        <v>1010</v>
      </c>
      <c r="H1489" s="15">
        <v>14</v>
      </c>
      <c r="I1489" s="15">
        <v>1737.2</v>
      </c>
      <c r="J1489" s="13" t="s">
        <v>87</v>
      </c>
      <c r="K1489" s="13" t="s">
        <v>88</v>
      </c>
      <c r="L1489" s="34" t="str">
        <f>VLOOKUP(D1489,Products!$A$2:$F$61,3,FALSE)</f>
        <v>Sports</v>
      </c>
      <c r="M1489" s="34" t="str">
        <f>VLOOKUP(C1489,Customers!$A$2:$F$301,5,FALSE)</f>
        <v>SMB</v>
      </c>
      <c r="N1489" s="34">
        <f>VLOOKUP(C1489,Customers!$A$2:$F$301,3,FALSE)</f>
        <v>30</v>
      </c>
      <c r="O1489" s="34" t="str">
        <f>VLOOKUP(E1489,Sales_Reps!$A$2:$E$31,3,FALSE)</f>
        <v>South</v>
      </c>
      <c r="P1489" s="13" t="s">
        <v>204</v>
      </c>
      <c r="Q1489" s="34">
        <f t="shared" si="50"/>
        <v>914554.71999999986</v>
      </c>
      <c r="R1489" s="34" t="str">
        <f>VLOOKUP(E1489,Sales_Reps!$A$2:$E$100,3,FALSE)</f>
        <v>South</v>
      </c>
      <c r="S1489" s="34" t="str">
        <f t="shared" si="51"/>
        <v>Sports</v>
      </c>
      <c r="T1489" s="38">
        <f>VLOOKUP(D1489,Products!$A$2:$F$68,4,FALSE)</f>
        <v>516</v>
      </c>
    </row>
    <row r="1490" spans="1:20" x14ac:dyDescent="0.35">
      <c r="A1490" s="13" t="s">
        <v>1981</v>
      </c>
      <c r="B1490" s="14">
        <v>45343</v>
      </c>
      <c r="C1490" s="13" t="s">
        <v>608</v>
      </c>
      <c r="D1490" s="13" t="s">
        <v>248</v>
      </c>
      <c r="E1490" s="13" t="s">
        <v>346</v>
      </c>
      <c r="F1490" s="15">
        <v>9</v>
      </c>
      <c r="G1490" s="15">
        <v>3870</v>
      </c>
      <c r="H1490" s="15">
        <v>8.1999999999999993</v>
      </c>
      <c r="I1490" s="15">
        <v>31973.94</v>
      </c>
      <c r="J1490" s="13" t="s">
        <v>87</v>
      </c>
      <c r="K1490" s="13" t="s">
        <v>786</v>
      </c>
      <c r="L1490" s="34" t="str">
        <f>VLOOKUP(D1490,Products!$A$2:$F$61,3,FALSE)</f>
        <v>Electronics</v>
      </c>
      <c r="M1490" s="34" t="str">
        <f>VLOOKUP(C1490,Customers!$A$2:$F$301,5,FALSE)</f>
        <v>Corporate</v>
      </c>
      <c r="N1490" s="34">
        <f>VLOOKUP(C1490,Customers!$A$2:$F$301,3,FALSE)</f>
        <v>40</v>
      </c>
      <c r="O1490" s="34" t="str">
        <f>VLOOKUP(E1490,Sales_Reps!$A$2:$E$31,3,FALSE)</f>
        <v>South</v>
      </c>
      <c r="P1490" s="13" t="s">
        <v>346</v>
      </c>
      <c r="Q1490" s="34">
        <f t="shared" si="50"/>
        <v>814563.7100000002</v>
      </c>
      <c r="R1490" s="34" t="str">
        <f>VLOOKUP(E1490,Sales_Reps!$A$2:$E$100,3,FALSE)</f>
        <v>South</v>
      </c>
      <c r="S1490" s="34" t="str">
        <f t="shared" si="51"/>
        <v>Electronics</v>
      </c>
      <c r="T1490" s="38">
        <f>VLOOKUP(D1490,Products!$A$2:$F$68,4,FALSE)</f>
        <v>1559</v>
      </c>
    </row>
    <row r="1491" spans="1:20" x14ac:dyDescent="0.35">
      <c r="A1491" s="13" t="s">
        <v>1982</v>
      </c>
      <c r="B1491" s="14">
        <v>45491</v>
      </c>
      <c r="C1491" s="13" t="s">
        <v>1047</v>
      </c>
      <c r="D1491" s="13" t="s">
        <v>279</v>
      </c>
      <c r="E1491" s="13" t="s">
        <v>252</v>
      </c>
      <c r="F1491" s="15">
        <v>7</v>
      </c>
      <c r="G1491" s="15">
        <v>2660</v>
      </c>
      <c r="H1491" s="15">
        <v>15.9</v>
      </c>
      <c r="I1491" s="15">
        <v>15659.42</v>
      </c>
      <c r="J1491" s="13" t="s">
        <v>87</v>
      </c>
      <c r="K1491" s="13" t="s">
        <v>133</v>
      </c>
      <c r="L1491" s="34" t="str">
        <f>VLOOKUP(D1491,Products!$A$2:$F$61,3,FALSE)</f>
        <v>Electronics</v>
      </c>
      <c r="M1491" s="34" t="str">
        <f>VLOOKUP(C1491,Customers!$A$2:$F$301,5,FALSE)</f>
        <v>Retail</v>
      </c>
      <c r="N1491" s="34">
        <f>VLOOKUP(C1491,Customers!$A$2:$F$301,3,FALSE)</f>
        <v>41</v>
      </c>
      <c r="O1491" s="34" t="str">
        <f>VLOOKUP(E1491,Sales_Reps!$A$2:$E$31,3,FALSE)</f>
        <v>South</v>
      </c>
      <c r="P1491" s="13" t="s">
        <v>252</v>
      </c>
      <c r="Q1491" s="34">
        <f t="shared" si="50"/>
        <v>811524.37999999989</v>
      </c>
      <c r="R1491" s="34" t="str">
        <f>VLOOKUP(E1491,Sales_Reps!$A$2:$E$100,3,FALSE)</f>
        <v>South</v>
      </c>
      <c r="S1491" s="34" t="str">
        <f t="shared" si="51"/>
        <v>Electronics</v>
      </c>
      <c r="T1491" s="38">
        <f>VLOOKUP(D1491,Products!$A$2:$F$68,4,FALSE)</f>
        <v>1259</v>
      </c>
    </row>
    <row r="1492" spans="1:20" x14ac:dyDescent="0.35">
      <c r="A1492" s="13" t="s">
        <v>1983</v>
      </c>
      <c r="B1492" s="14">
        <v>45619</v>
      </c>
      <c r="C1492" s="13" t="s">
        <v>524</v>
      </c>
      <c r="D1492" s="13" t="s">
        <v>120</v>
      </c>
      <c r="E1492" s="13" t="s">
        <v>121</v>
      </c>
      <c r="F1492" s="15">
        <v>4</v>
      </c>
      <c r="G1492" s="15">
        <v>1430</v>
      </c>
      <c r="H1492" s="15">
        <v>25.6</v>
      </c>
      <c r="I1492" s="15">
        <v>4255.68</v>
      </c>
      <c r="J1492" s="13" t="s">
        <v>87</v>
      </c>
      <c r="K1492" s="13" t="s">
        <v>112</v>
      </c>
      <c r="L1492" s="34" t="str">
        <f>VLOOKUP(D1492,Products!$A$2:$F$61,3,FALSE)</f>
        <v>Electronics</v>
      </c>
      <c r="M1492" s="34" t="str">
        <f>VLOOKUP(C1492,Customers!$A$2:$F$301,5,FALSE)</f>
        <v>Corporate</v>
      </c>
      <c r="N1492" s="34">
        <f>VLOOKUP(C1492,Customers!$A$2:$F$301,3,FALSE)</f>
        <v>55</v>
      </c>
      <c r="O1492" s="34" t="str">
        <f>VLOOKUP(E1492,Sales_Reps!$A$2:$E$31,3,FALSE)</f>
        <v>East</v>
      </c>
      <c r="P1492" s="13" t="s">
        <v>121</v>
      </c>
      <c r="Q1492" s="34">
        <f t="shared" si="50"/>
        <v>971183.52000000014</v>
      </c>
      <c r="R1492" s="34" t="str">
        <f>VLOOKUP(E1492,Sales_Reps!$A$2:$E$100,3,FALSE)</f>
        <v>East</v>
      </c>
      <c r="S1492" s="34" t="str">
        <f t="shared" si="51"/>
        <v>Electronics</v>
      </c>
      <c r="T1492" s="38">
        <f>VLOOKUP(D1492,Products!$A$2:$F$68,4,FALSE)</f>
        <v>861</v>
      </c>
    </row>
    <row r="1493" spans="1:20" x14ac:dyDescent="0.35">
      <c r="A1493" s="13" t="s">
        <v>1984</v>
      </c>
      <c r="B1493" s="14">
        <v>45374</v>
      </c>
      <c r="C1493" s="13" t="s">
        <v>504</v>
      </c>
      <c r="D1493" s="13" t="s">
        <v>184</v>
      </c>
      <c r="E1493" s="13" t="s">
        <v>154</v>
      </c>
      <c r="F1493" s="15">
        <v>4</v>
      </c>
      <c r="G1493" s="15">
        <v>4880</v>
      </c>
      <c r="H1493" s="15">
        <v>19.399999999999999</v>
      </c>
      <c r="I1493" s="15">
        <v>15733.12</v>
      </c>
      <c r="J1493" s="13" t="s">
        <v>140</v>
      </c>
      <c r="K1493" s="13" t="s">
        <v>117</v>
      </c>
      <c r="L1493" s="34" t="str">
        <f>VLOOKUP(D1493,Products!$A$2:$F$61,3,FALSE)</f>
        <v>Beauty</v>
      </c>
      <c r="M1493" s="34" t="str">
        <f>VLOOKUP(C1493,Customers!$A$2:$F$301,5,FALSE)</f>
        <v>Corporate</v>
      </c>
      <c r="N1493" s="34">
        <f>VLOOKUP(C1493,Customers!$A$2:$F$301,3,FALSE)</f>
        <v>36</v>
      </c>
      <c r="O1493" s="34" t="str">
        <f>VLOOKUP(E1493,Sales_Reps!$A$2:$E$31,3,FALSE)</f>
        <v>East</v>
      </c>
      <c r="P1493" s="13" t="s">
        <v>154</v>
      </c>
      <c r="Q1493" s="34">
        <f t="shared" si="50"/>
        <v>983787.4800000001</v>
      </c>
      <c r="R1493" s="34" t="str">
        <f>VLOOKUP(E1493,Sales_Reps!$A$2:$E$100,3,FALSE)</f>
        <v>East</v>
      </c>
      <c r="S1493" s="34" t="str">
        <f t="shared" si="51"/>
        <v>Beauty</v>
      </c>
      <c r="T1493" s="38">
        <f>VLOOKUP(D1493,Products!$A$2:$F$68,4,FALSE)</f>
        <v>2768</v>
      </c>
    </row>
    <row r="1494" spans="1:20" x14ac:dyDescent="0.35">
      <c r="A1494" s="13" t="s">
        <v>1985</v>
      </c>
      <c r="B1494" s="14">
        <v>45566</v>
      </c>
      <c r="C1494" s="13" t="s">
        <v>463</v>
      </c>
      <c r="D1494" s="13" t="s">
        <v>147</v>
      </c>
      <c r="E1494" s="13" t="s">
        <v>215</v>
      </c>
      <c r="F1494" s="15">
        <v>2</v>
      </c>
      <c r="G1494" s="15">
        <v>190</v>
      </c>
      <c r="H1494" s="15">
        <v>9</v>
      </c>
      <c r="I1494" s="15">
        <v>345.8</v>
      </c>
      <c r="J1494" s="13" t="s">
        <v>87</v>
      </c>
      <c r="K1494" s="13" t="s">
        <v>117</v>
      </c>
      <c r="L1494" s="34" t="str">
        <f>VLOOKUP(D1494,Products!$A$2:$F$61,3,FALSE)</f>
        <v>Sports</v>
      </c>
      <c r="M1494" s="34" t="str">
        <f>VLOOKUP(C1494,Customers!$A$2:$F$301,5,FALSE)</f>
        <v>Retail</v>
      </c>
      <c r="N1494" s="34">
        <f>VLOOKUP(C1494,Customers!$A$2:$F$301,3,FALSE)</f>
        <v>55</v>
      </c>
      <c r="O1494" s="34" t="str">
        <f>VLOOKUP(E1494,Sales_Reps!$A$2:$E$31,3,FALSE)</f>
        <v>North</v>
      </c>
      <c r="P1494" s="13" t="s">
        <v>215</v>
      </c>
      <c r="Q1494" s="34">
        <f t="shared" si="50"/>
        <v>789849.60000000009</v>
      </c>
      <c r="R1494" s="34" t="str">
        <f>VLOOKUP(E1494,Sales_Reps!$A$2:$E$100,3,FALSE)</f>
        <v>North</v>
      </c>
      <c r="S1494" s="34" t="str">
        <f t="shared" si="51"/>
        <v>Sports</v>
      </c>
      <c r="T1494" s="38">
        <f>VLOOKUP(D1494,Products!$A$2:$F$68,4,FALSE)</f>
        <v>147</v>
      </c>
    </row>
    <row r="1495" spans="1:20" x14ac:dyDescent="0.35">
      <c r="A1495" s="13" t="s">
        <v>1986</v>
      </c>
      <c r="B1495" s="14">
        <v>45415</v>
      </c>
      <c r="C1495" s="13" t="s">
        <v>434</v>
      </c>
      <c r="D1495" s="13" t="s">
        <v>276</v>
      </c>
      <c r="E1495" s="13" t="s">
        <v>121</v>
      </c>
      <c r="F1495" s="15">
        <v>1</v>
      </c>
      <c r="G1495" s="15">
        <v>3020</v>
      </c>
      <c r="H1495" s="15">
        <v>3.6</v>
      </c>
      <c r="I1495" s="15">
        <v>2911.28</v>
      </c>
      <c r="J1495" s="13" t="s">
        <v>144</v>
      </c>
      <c r="K1495" s="13" t="s">
        <v>99</v>
      </c>
      <c r="L1495" s="34" t="str">
        <f>VLOOKUP(D1495,Products!$A$2:$F$61,3,FALSE)</f>
        <v>Beauty</v>
      </c>
      <c r="M1495" s="34" t="str">
        <f>VLOOKUP(C1495,Customers!$A$2:$F$301,5,FALSE)</f>
        <v>Corporate</v>
      </c>
      <c r="N1495" s="34">
        <f>VLOOKUP(C1495,Customers!$A$2:$F$301,3,FALSE)</f>
        <v>31</v>
      </c>
      <c r="O1495" s="34" t="str">
        <f>VLOOKUP(E1495,Sales_Reps!$A$2:$E$31,3,FALSE)</f>
        <v>East</v>
      </c>
      <c r="P1495" s="13" t="s">
        <v>121</v>
      </c>
      <c r="Q1495" s="34">
        <f t="shared" si="50"/>
        <v>971183.52000000014</v>
      </c>
      <c r="R1495" s="34" t="str">
        <f>VLOOKUP(E1495,Sales_Reps!$A$2:$E$100,3,FALSE)</f>
        <v>East</v>
      </c>
      <c r="S1495" s="34" t="str">
        <f t="shared" si="51"/>
        <v>Beauty</v>
      </c>
      <c r="T1495" s="38">
        <f>VLOOKUP(D1495,Products!$A$2:$F$68,4,FALSE)</f>
        <v>1626</v>
      </c>
    </row>
    <row r="1496" spans="1:20" x14ac:dyDescent="0.35">
      <c r="A1496" s="13" t="s">
        <v>1987</v>
      </c>
      <c r="B1496" s="14">
        <v>45601</v>
      </c>
      <c r="C1496" s="13" t="s">
        <v>119</v>
      </c>
      <c r="D1496" s="13" t="s">
        <v>184</v>
      </c>
      <c r="E1496" s="13" t="s">
        <v>121</v>
      </c>
      <c r="F1496" s="15">
        <v>2</v>
      </c>
      <c r="G1496" s="15">
        <v>4880</v>
      </c>
      <c r="H1496" s="15">
        <v>2</v>
      </c>
      <c r="I1496" s="15">
        <v>9564.7999999999993</v>
      </c>
      <c r="J1496" s="13" t="s">
        <v>140</v>
      </c>
      <c r="K1496" s="13" t="s">
        <v>117</v>
      </c>
      <c r="L1496" s="34" t="str">
        <f>VLOOKUP(D1496,Products!$A$2:$F$61,3,FALSE)</f>
        <v>Beauty</v>
      </c>
      <c r="M1496" s="34" t="str">
        <f>VLOOKUP(C1496,Customers!$A$2:$F$301,5,FALSE)</f>
        <v>Corporate</v>
      </c>
      <c r="N1496" s="34">
        <f>VLOOKUP(C1496,Customers!$A$2:$F$301,3,FALSE)</f>
        <v>57</v>
      </c>
      <c r="O1496" s="34" t="str">
        <f>VLOOKUP(E1496,Sales_Reps!$A$2:$E$31,3,FALSE)</f>
        <v>East</v>
      </c>
      <c r="P1496" s="13" t="s">
        <v>121</v>
      </c>
      <c r="Q1496" s="34">
        <f t="shared" si="50"/>
        <v>971183.52000000014</v>
      </c>
      <c r="R1496" s="34" t="str">
        <f>VLOOKUP(E1496,Sales_Reps!$A$2:$E$100,3,FALSE)</f>
        <v>East</v>
      </c>
      <c r="S1496" s="34" t="str">
        <f t="shared" si="51"/>
        <v>Beauty</v>
      </c>
      <c r="T1496" s="38">
        <f>VLOOKUP(D1496,Products!$A$2:$F$68,4,FALSE)</f>
        <v>2768</v>
      </c>
    </row>
    <row r="1497" spans="1:20" x14ac:dyDescent="0.35">
      <c r="A1497" s="13" t="s">
        <v>1988</v>
      </c>
      <c r="B1497" s="14">
        <v>45319</v>
      </c>
      <c r="C1497" s="13" t="s">
        <v>841</v>
      </c>
      <c r="D1497" s="13" t="s">
        <v>151</v>
      </c>
      <c r="E1497" s="13" t="s">
        <v>343</v>
      </c>
      <c r="F1497" s="15">
        <v>4</v>
      </c>
      <c r="G1497" s="15">
        <v>2400</v>
      </c>
      <c r="H1497" s="15">
        <v>11.5</v>
      </c>
      <c r="I1497" s="15">
        <v>8496</v>
      </c>
      <c r="J1497" s="13" t="s">
        <v>87</v>
      </c>
      <c r="K1497" s="13" t="s">
        <v>117</v>
      </c>
      <c r="L1497" s="34" t="str">
        <f>VLOOKUP(D1497,Products!$A$2:$F$61,3,FALSE)</f>
        <v>Sports</v>
      </c>
      <c r="M1497" s="34" t="str">
        <f>VLOOKUP(C1497,Customers!$A$2:$F$301,5,FALSE)</f>
        <v>Corporate</v>
      </c>
      <c r="N1497" s="34">
        <f>VLOOKUP(C1497,Customers!$A$2:$F$301,3,FALSE)</f>
        <v>41</v>
      </c>
      <c r="O1497" s="34" t="str">
        <f>VLOOKUP(E1497,Sales_Reps!$A$2:$E$31,3,FALSE)</f>
        <v>West</v>
      </c>
      <c r="P1497" s="13" t="s">
        <v>343</v>
      </c>
      <c r="Q1497" s="34">
        <f t="shared" si="50"/>
        <v>917092.61999999965</v>
      </c>
      <c r="R1497" s="34" t="str">
        <f>VLOOKUP(E1497,Sales_Reps!$A$2:$E$100,3,FALSE)</f>
        <v>West</v>
      </c>
      <c r="S1497" s="34" t="str">
        <f t="shared" si="51"/>
        <v>Sports</v>
      </c>
      <c r="T1497" s="38">
        <f>VLOOKUP(D1497,Products!$A$2:$F$68,4,FALSE)</f>
        <v>974</v>
      </c>
    </row>
    <row r="1498" spans="1:20" x14ac:dyDescent="0.35">
      <c r="A1498" s="13" t="s">
        <v>1989</v>
      </c>
      <c r="B1498" s="14">
        <v>45357</v>
      </c>
      <c r="C1498" s="13" t="s">
        <v>557</v>
      </c>
      <c r="D1498" s="13" t="s">
        <v>241</v>
      </c>
      <c r="E1498" s="13" t="s">
        <v>297</v>
      </c>
      <c r="F1498" s="15">
        <v>2</v>
      </c>
      <c r="G1498" s="15">
        <v>6080</v>
      </c>
      <c r="H1498" s="15">
        <v>0.5</v>
      </c>
      <c r="I1498" s="15">
        <v>12099.2</v>
      </c>
      <c r="J1498" s="13" t="s">
        <v>140</v>
      </c>
      <c r="K1498" s="13" t="s">
        <v>112</v>
      </c>
      <c r="L1498" s="34" t="str">
        <f>VLOOKUP(D1498,Products!$A$2:$F$61,3,FALSE)</f>
        <v>Beauty</v>
      </c>
      <c r="M1498" s="34" t="str">
        <f>VLOOKUP(C1498,Customers!$A$2:$F$301,5,FALSE)</f>
        <v>Retail</v>
      </c>
      <c r="N1498" s="34">
        <f>VLOOKUP(C1498,Customers!$A$2:$F$301,3,FALSE)</f>
        <v>65</v>
      </c>
      <c r="O1498" s="34" t="str">
        <f>VLOOKUP(E1498,Sales_Reps!$A$2:$E$31,3,FALSE)</f>
        <v>North</v>
      </c>
      <c r="P1498" s="13" t="s">
        <v>297</v>
      </c>
      <c r="Q1498" s="34">
        <f t="shared" si="50"/>
        <v>980063.65999999968</v>
      </c>
      <c r="R1498" s="34" t="str">
        <f>VLOOKUP(E1498,Sales_Reps!$A$2:$E$100,3,FALSE)</f>
        <v>North</v>
      </c>
      <c r="S1498" s="34" t="str">
        <f t="shared" si="51"/>
        <v>Beauty</v>
      </c>
      <c r="T1498" s="38">
        <f>VLOOKUP(D1498,Products!$A$2:$F$68,4,FALSE)</f>
        <v>2617</v>
      </c>
    </row>
    <row r="1499" spans="1:20" x14ac:dyDescent="0.35">
      <c r="A1499" s="13" t="s">
        <v>1990</v>
      </c>
      <c r="B1499" s="14">
        <v>45384</v>
      </c>
      <c r="C1499" s="13" t="s">
        <v>823</v>
      </c>
      <c r="D1499" s="13" t="s">
        <v>367</v>
      </c>
      <c r="E1499" s="13" t="s">
        <v>154</v>
      </c>
      <c r="F1499" s="15">
        <v>7</v>
      </c>
      <c r="G1499" s="15">
        <v>2380</v>
      </c>
      <c r="H1499" s="15">
        <v>12.3</v>
      </c>
      <c r="I1499" s="15">
        <v>14610.82</v>
      </c>
      <c r="J1499" s="13" t="s">
        <v>87</v>
      </c>
      <c r="K1499" s="13" t="s">
        <v>94</v>
      </c>
      <c r="L1499" s="34" t="str">
        <f>VLOOKUP(D1499,Products!$A$2:$F$61,3,FALSE)</f>
        <v>Grocery</v>
      </c>
      <c r="M1499" s="34" t="str">
        <f>VLOOKUP(C1499,Customers!$A$2:$F$301,5,FALSE)</f>
        <v>Retail</v>
      </c>
      <c r="N1499" s="34">
        <f>VLOOKUP(C1499,Customers!$A$2:$F$301,3,FALSE)</f>
        <v>32</v>
      </c>
      <c r="O1499" s="34" t="str">
        <f>VLOOKUP(E1499,Sales_Reps!$A$2:$E$31,3,FALSE)</f>
        <v>East</v>
      </c>
      <c r="P1499" s="13" t="s">
        <v>154</v>
      </c>
      <c r="Q1499" s="34">
        <f t="shared" si="50"/>
        <v>983787.4800000001</v>
      </c>
      <c r="R1499" s="34" t="str">
        <f>VLOOKUP(E1499,Sales_Reps!$A$2:$E$100,3,FALSE)</f>
        <v>East</v>
      </c>
      <c r="S1499" s="34" t="str">
        <f t="shared" si="51"/>
        <v>Grocery</v>
      </c>
      <c r="T1499" s="38">
        <f>VLOOKUP(D1499,Products!$A$2:$F$68,4,FALSE)</f>
        <v>1182</v>
      </c>
    </row>
    <row r="1500" spans="1:20" x14ac:dyDescent="0.35">
      <c r="A1500" s="13" t="s">
        <v>1991</v>
      </c>
      <c r="B1500" s="14">
        <v>45509</v>
      </c>
      <c r="C1500" s="13" t="s">
        <v>369</v>
      </c>
      <c r="D1500" s="13" t="s">
        <v>259</v>
      </c>
      <c r="E1500" s="13" t="s">
        <v>215</v>
      </c>
      <c r="F1500" s="15">
        <v>10</v>
      </c>
      <c r="G1500" s="15">
        <v>1540</v>
      </c>
      <c r="H1500" s="15">
        <v>20.6</v>
      </c>
      <c r="I1500" s="15">
        <v>12227.6</v>
      </c>
      <c r="J1500" s="13" t="s">
        <v>87</v>
      </c>
      <c r="K1500" s="13" t="s">
        <v>94</v>
      </c>
      <c r="L1500" s="34" t="str">
        <f>VLOOKUP(D1500,Products!$A$2:$F$61,3,FALSE)</f>
        <v>Beauty</v>
      </c>
      <c r="M1500" s="34" t="str">
        <f>VLOOKUP(C1500,Customers!$A$2:$F$301,5,FALSE)</f>
        <v>SMB</v>
      </c>
      <c r="N1500" s="34">
        <f>VLOOKUP(C1500,Customers!$A$2:$F$301,3,FALSE)</f>
        <v>62</v>
      </c>
      <c r="O1500" s="34" t="str">
        <f>VLOOKUP(E1500,Sales_Reps!$A$2:$E$31,3,FALSE)</f>
        <v>North</v>
      </c>
      <c r="P1500" s="13" t="s">
        <v>215</v>
      </c>
      <c r="Q1500" s="34">
        <f t="shared" si="50"/>
        <v>789849.60000000009</v>
      </c>
      <c r="R1500" s="34" t="str">
        <f>VLOOKUP(E1500,Sales_Reps!$A$2:$E$100,3,FALSE)</f>
        <v>North</v>
      </c>
      <c r="S1500" s="34" t="str">
        <f t="shared" si="51"/>
        <v>Beauty</v>
      </c>
      <c r="T1500" s="38">
        <f>VLOOKUP(D1500,Products!$A$2:$F$68,4,FALSE)</f>
        <v>647</v>
      </c>
    </row>
    <row r="1501" spans="1:20" x14ac:dyDescent="0.35">
      <c r="A1501" s="13" t="s">
        <v>1992</v>
      </c>
      <c r="B1501" s="14">
        <v>45520</v>
      </c>
      <c r="C1501" s="13" t="s">
        <v>163</v>
      </c>
      <c r="D1501" s="13" t="s">
        <v>248</v>
      </c>
      <c r="E1501" s="13" t="s">
        <v>128</v>
      </c>
      <c r="F1501" s="15">
        <v>7</v>
      </c>
      <c r="G1501" s="15">
        <v>3870</v>
      </c>
      <c r="H1501" s="15">
        <v>6.1</v>
      </c>
      <c r="I1501" s="15">
        <v>25437.51</v>
      </c>
      <c r="J1501" s="13" t="s">
        <v>87</v>
      </c>
      <c r="K1501" s="13" t="s">
        <v>94</v>
      </c>
      <c r="L1501" s="34" t="str">
        <f>VLOOKUP(D1501,Products!$A$2:$F$61,3,FALSE)</f>
        <v>Electronics</v>
      </c>
      <c r="M1501" s="34" t="str">
        <f>VLOOKUP(C1501,Customers!$A$2:$F$301,5,FALSE)</f>
        <v>Retail</v>
      </c>
      <c r="N1501" s="34">
        <f>VLOOKUP(C1501,Customers!$A$2:$F$301,3,FALSE)</f>
        <v>49</v>
      </c>
      <c r="O1501" s="34" t="str">
        <f>VLOOKUP(E1501,Sales_Reps!$A$2:$E$31,3,FALSE)</f>
        <v>West</v>
      </c>
      <c r="P1501" s="13" t="s">
        <v>128</v>
      </c>
      <c r="Q1501" s="34">
        <f t="shared" si="50"/>
        <v>880468.05</v>
      </c>
      <c r="R1501" s="34" t="str">
        <f>VLOOKUP(E1501,Sales_Reps!$A$2:$E$100,3,FALSE)</f>
        <v>West</v>
      </c>
      <c r="S1501" s="34" t="str">
        <f t="shared" si="51"/>
        <v>Electronics</v>
      </c>
      <c r="T1501" s="38">
        <f>VLOOKUP(D1501,Products!$A$2:$F$68,4,FALSE)</f>
        <v>1559</v>
      </c>
    </row>
    <row r="1502" spans="1:20" x14ac:dyDescent="0.35">
      <c r="A1502" s="13" t="s">
        <v>1993</v>
      </c>
      <c r="B1502" s="14">
        <v>45383</v>
      </c>
      <c r="C1502" s="13" t="s">
        <v>580</v>
      </c>
      <c r="D1502" s="13" t="s">
        <v>110</v>
      </c>
      <c r="E1502" s="13" t="s">
        <v>158</v>
      </c>
      <c r="F1502" s="15">
        <v>3</v>
      </c>
      <c r="G1502" s="15">
        <v>370</v>
      </c>
      <c r="H1502" s="15">
        <v>13.7</v>
      </c>
      <c r="I1502" s="15">
        <v>957.93</v>
      </c>
      <c r="J1502" s="13" t="s">
        <v>87</v>
      </c>
      <c r="K1502" s="13" t="s">
        <v>88</v>
      </c>
      <c r="L1502" s="34" t="str">
        <f>VLOOKUP(D1502,Products!$A$2:$F$61,3,FALSE)</f>
        <v>Home</v>
      </c>
      <c r="M1502" s="34" t="str">
        <f>VLOOKUP(C1502,Customers!$A$2:$F$301,5,FALSE)</f>
        <v>Corporate</v>
      </c>
      <c r="N1502" s="34">
        <f>VLOOKUP(C1502,Customers!$A$2:$F$301,3,FALSE)</f>
        <v>40</v>
      </c>
      <c r="O1502" s="34" t="str">
        <f>VLOOKUP(E1502,Sales_Reps!$A$2:$E$31,3,FALSE)</f>
        <v>East</v>
      </c>
      <c r="P1502" s="13" t="s">
        <v>158</v>
      </c>
      <c r="Q1502" s="34">
        <f t="shared" si="50"/>
        <v>761507.17000000027</v>
      </c>
      <c r="R1502" s="34" t="str">
        <f>VLOOKUP(E1502,Sales_Reps!$A$2:$E$100,3,FALSE)</f>
        <v>East</v>
      </c>
      <c r="S1502" s="34" t="str">
        <f t="shared" si="51"/>
        <v>Home</v>
      </c>
      <c r="T1502" s="38">
        <f>VLOOKUP(D1502,Products!$A$2:$F$68,4,FALSE)</f>
        <v>288</v>
      </c>
    </row>
    <row r="1503" spans="1:20" x14ac:dyDescent="0.35">
      <c r="A1503" s="13" t="s">
        <v>1994</v>
      </c>
      <c r="B1503" s="14">
        <v>45328</v>
      </c>
      <c r="C1503" s="13" t="s">
        <v>371</v>
      </c>
      <c r="D1503" s="13" t="s">
        <v>147</v>
      </c>
      <c r="E1503" s="13" t="s">
        <v>343</v>
      </c>
      <c r="F1503" s="15">
        <v>8</v>
      </c>
      <c r="G1503" s="15">
        <v>190</v>
      </c>
      <c r="H1503" s="15">
        <v>0.2</v>
      </c>
      <c r="I1503" s="15">
        <v>1516.96</v>
      </c>
      <c r="J1503" s="13" t="s">
        <v>87</v>
      </c>
      <c r="K1503" s="13" t="s">
        <v>112</v>
      </c>
      <c r="L1503" s="34" t="str">
        <f>VLOOKUP(D1503,Products!$A$2:$F$61,3,FALSE)</f>
        <v>Sports</v>
      </c>
      <c r="M1503" s="34" t="str">
        <f>VLOOKUP(C1503,Customers!$A$2:$F$301,5,FALSE)</f>
        <v>Retail</v>
      </c>
      <c r="N1503" s="34">
        <f>VLOOKUP(C1503,Customers!$A$2:$F$301,3,FALSE)</f>
        <v>42</v>
      </c>
      <c r="O1503" s="34" t="str">
        <f>VLOOKUP(E1503,Sales_Reps!$A$2:$E$31,3,FALSE)</f>
        <v>West</v>
      </c>
      <c r="P1503" s="13" t="s">
        <v>343</v>
      </c>
      <c r="Q1503" s="34">
        <f t="shared" si="50"/>
        <v>917092.61999999965</v>
      </c>
      <c r="R1503" s="34" t="str">
        <f>VLOOKUP(E1503,Sales_Reps!$A$2:$E$100,3,FALSE)</f>
        <v>West</v>
      </c>
      <c r="S1503" s="34" t="str">
        <f t="shared" si="51"/>
        <v>Sports</v>
      </c>
      <c r="T1503" s="38">
        <f>VLOOKUP(D1503,Products!$A$2:$F$68,4,FALSE)</f>
        <v>147</v>
      </c>
    </row>
    <row r="1504" spans="1:20" x14ac:dyDescent="0.35">
      <c r="A1504" s="13" t="s">
        <v>1995</v>
      </c>
      <c r="B1504" s="14">
        <v>45501</v>
      </c>
      <c r="C1504" s="13" t="s">
        <v>90</v>
      </c>
      <c r="D1504" s="13" t="s">
        <v>120</v>
      </c>
      <c r="E1504" s="13" t="s">
        <v>273</v>
      </c>
      <c r="F1504" s="15">
        <v>6</v>
      </c>
      <c r="G1504" s="15">
        <v>1430</v>
      </c>
      <c r="H1504" s="15">
        <v>0.1</v>
      </c>
      <c r="I1504" s="15">
        <v>8571.42</v>
      </c>
      <c r="J1504" s="13" t="s">
        <v>87</v>
      </c>
      <c r="K1504" s="13" t="s">
        <v>94</v>
      </c>
      <c r="L1504" s="34" t="str">
        <f>VLOOKUP(D1504,Products!$A$2:$F$61,3,FALSE)</f>
        <v>Electronics</v>
      </c>
      <c r="M1504" s="34" t="str">
        <f>VLOOKUP(C1504,Customers!$A$2:$F$301,5,FALSE)</f>
        <v>Retail</v>
      </c>
      <c r="N1504" s="34">
        <f>VLOOKUP(C1504,Customers!$A$2:$F$301,3,FALSE)</f>
        <v>39</v>
      </c>
      <c r="O1504" s="34" t="str">
        <f>VLOOKUP(E1504,Sales_Reps!$A$2:$E$31,3,FALSE)</f>
        <v>South</v>
      </c>
      <c r="P1504" s="13" t="s">
        <v>273</v>
      </c>
      <c r="Q1504" s="34">
        <f t="shared" si="50"/>
        <v>735207.75999999989</v>
      </c>
      <c r="R1504" s="34" t="str">
        <f>VLOOKUP(E1504,Sales_Reps!$A$2:$E$100,3,FALSE)</f>
        <v>South</v>
      </c>
      <c r="S1504" s="34" t="str">
        <f t="shared" si="51"/>
        <v>Electronics</v>
      </c>
      <c r="T1504" s="38">
        <f>VLOOKUP(D1504,Products!$A$2:$F$68,4,FALSE)</f>
        <v>861</v>
      </c>
    </row>
    <row r="1505" spans="1:20" x14ac:dyDescent="0.35">
      <c r="A1505" s="13" t="s">
        <v>1996</v>
      </c>
      <c r="B1505" s="14">
        <v>45346</v>
      </c>
      <c r="C1505" s="13" t="s">
        <v>472</v>
      </c>
      <c r="D1505" s="13" t="s">
        <v>97</v>
      </c>
      <c r="E1505" s="13" t="s">
        <v>192</v>
      </c>
      <c r="F1505" s="15">
        <v>4</v>
      </c>
      <c r="G1505" s="15">
        <v>470</v>
      </c>
      <c r="H1505" s="15">
        <v>3</v>
      </c>
      <c r="I1505" s="15">
        <v>1823.6</v>
      </c>
      <c r="J1505" s="13" t="s">
        <v>87</v>
      </c>
      <c r="K1505" s="13" t="s">
        <v>94</v>
      </c>
      <c r="L1505" s="34" t="str">
        <f>VLOOKUP(D1505,Products!$A$2:$F$61,3,FALSE)</f>
        <v>Sports</v>
      </c>
      <c r="M1505" s="34" t="str">
        <f>VLOOKUP(C1505,Customers!$A$2:$F$301,5,FALSE)</f>
        <v>Corporate</v>
      </c>
      <c r="N1505" s="34">
        <f>VLOOKUP(C1505,Customers!$A$2:$F$301,3,FALSE)</f>
        <v>35</v>
      </c>
      <c r="O1505" s="34" t="str">
        <f>VLOOKUP(E1505,Sales_Reps!$A$2:$E$31,3,FALSE)</f>
        <v>East</v>
      </c>
      <c r="P1505" s="13" t="s">
        <v>192</v>
      </c>
      <c r="Q1505" s="34">
        <f t="shared" si="50"/>
        <v>906107.71000000008</v>
      </c>
      <c r="R1505" s="34" t="str">
        <f>VLOOKUP(E1505,Sales_Reps!$A$2:$E$100,3,FALSE)</f>
        <v>East</v>
      </c>
      <c r="S1505" s="34" t="str">
        <f t="shared" si="51"/>
        <v>Sports</v>
      </c>
      <c r="T1505" s="38">
        <f>VLOOKUP(D1505,Products!$A$2:$F$68,4,FALSE)</f>
        <v>302</v>
      </c>
    </row>
    <row r="1506" spans="1:20" x14ac:dyDescent="0.35">
      <c r="A1506" s="13" t="s">
        <v>1997</v>
      </c>
      <c r="B1506" s="14">
        <v>45446</v>
      </c>
      <c r="C1506" s="13" t="s">
        <v>485</v>
      </c>
      <c r="D1506" s="13" t="s">
        <v>659</v>
      </c>
      <c r="E1506" s="13" t="s">
        <v>139</v>
      </c>
      <c r="F1506" s="15">
        <v>4</v>
      </c>
      <c r="G1506" s="15">
        <v>3560</v>
      </c>
      <c r="H1506" s="15">
        <v>1.1000000000000001</v>
      </c>
      <c r="I1506" s="15">
        <v>14083.36</v>
      </c>
      <c r="J1506" s="13" t="s">
        <v>87</v>
      </c>
      <c r="K1506" s="13" t="s">
        <v>88</v>
      </c>
      <c r="L1506" s="34" t="str">
        <f>VLOOKUP(D1506,Products!$A$2:$F$61,3,FALSE)</f>
        <v>Apparel</v>
      </c>
      <c r="M1506" s="34" t="str">
        <f>VLOOKUP(C1506,Customers!$A$2:$F$301,5,FALSE)</f>
        <v>Retail</v>
      </c>
      <c r="N1506" s="34">
        <f>VLOOKUP(C1506,Customers!$A$2:$F$301,3,FALSE)</f>
        <v>49</v>
      </c>
      <c r="O1506" s="34" t="str">
        <f>VLOOKUP(E1506,Sales_Reps!$A$2:$E$31,3,FALSE)</f>
        <v>North</v>
      </c>
      <c r="P1506" s="13" t="s">
        <v>139</v>
      </c>
      <c r="Q1506" s="34">
        <f t="shared" si="50"/>
        <v>589026.2899999998</v>
      </c>
      <c r="R1506" s="34" t="str">
        <f>VLOOKUP(E1506,Sales_Reps!$A$2:$E$100,3,FALSE)</f>
        <v>North</v>
      </c>
      <c r="S1506" s="34" t="str">
        <f t="shared" si="51"/>
        <v>Apparel</v>
      </c>
      <c r="T1506" s="38">
        <f>VLOOKUP(D1506,Products!$A$2:$F$68,4,FALSE)</f>
        <v>2629</v>
      </c>
    </row>
    <row r="1507" spans="1:20" x14ac:dyDescent="0.35">
      <c r="A1507" s="13" t="s">
        <v>1998</v>
      </c>
      <c r="B1507" s="14">
        <v>45521</v>
      </c>
      <c r="C1507" s="13" t="s">
        <v>635</v>
      </c>
      <c r="D1507" s="13" t="s">
        <v>184</v>
      </c>
      <c r="E1507" s="13" t="s">
        <v>325</v>
      </c>
      <c r="F1507" s="15">
        <v>5</v>
      </c>
      <c r="G1507" s="15">
        <v>4880</v>
      </c>
      <c r="H1507" s="15">
        <v>17</v>
      </c>
      <c r="I1507" s="15">
        <v>20252</v>
      </c>
      <c r="J1507" s="13" t="s">
        <v>87</v>
      </c>
      <c r="K1507" s="13" t="s">
        <v>99</v>
      </c>
      <c r="L1507" s="34" t="str">
        <f>VLOOKUP(D1507,Products!$A$2:$F$61,3,FALSE)</f>
        <v>Beauty</v>
      </c>
      <c r="M1507" s="34" t="str">
        <f>VLOOKUP(C1507,Customers!$A$2:$F$301,5,FALSE)</f>
        <v>Retail</v>
      </c>
      <c r="N1507" s="34">
        <f>VLOOKUP(C1507,Customers!$A$2:$F$301,3,FALSE)</f>
        <v>49</v>
      </c>
      <c r="O1507" s="34" t="str">
        <f>VLOOKUP(E1507,Sales_Reps!$A$2:$E$31,3,FALSE)</f>
        <v>South</v>
      </c>
      <c r="P1507" s="13" t="s">
        <v>325</v>
      </c>
      <c r="Q1507" s="34">
        <f t="shared" si="50"/>
        <v>901394.32000000007</v>
      </c>
      <c r="R1507" s="34" t="str">
        <f>VLOOKUP(E1507,Sales_Reps!$A$2:$E$100,3,FALSE)</f>
        <v>South</v>
      </c>
      <c r="S1507" s="34" t="str">
        <f t="shared" si="51"/>
        <v>Beauty</v>
      </c>
      <c r="T1507" s="38">
        <f>VLOOKUP(D1507,Products!$A$2:$F$68,4,FALSE)</f>
        <v>2768</v>
      </c>
    </row>
    <row r="1508" spans="1:20" x14ac:dyDescent="0.35">
      <c r="A1508" s="13" t="s">
        <v>1999</v>
      </c>
      <c r="B1508" s="14">
        <v>45483</v>
      </c>
      <c r="C1508" s="13" t="s">
        <v>680</v>
      </c>
      <c r="D1508" s="13" t="s">
        <v>187</v>
      </c>
      <c r="E1508" s="13" t="s">
        <v>204</v>
      </c>
      <c r="F1508" s="15">
        <v>9</v>
      </c>
      <c r="G1508" s="15">
        <v>3570</v>
      </c>
      <c r="H1508" s="15">
        <v>12</v>
      </c>
      <c r="I1508" s="15">
        <v>28274.400000000001</v>
      </c>
      <c r="J1508" s="13" t="s">
        <v>87</v>
      </c>
      <c r="K1508" s="13" t="s">
        <v>94</v>
      </c>
      <c r="L1508" s="34" t="str">
        <f>VLOOKUP(D1508,Products!$A$2:$F$61,3,FALSE)</f>
        <v>Electronics</v>
      </c>
      <c r="M1508" s="34" t="str">
        <f>VLOOKUP(C1508,Customers!$A$2:$F$301,5,FALSE)</f>
        <v>Retail</v>
      </c>
      <c r="N1508" s="34">
        <f>VLOOKUP(C1508,Customers!$A$2:$F$301,3,FALSE)</f>
        <v>26</v>
      </c>
      <c r="O1508" s="34" t="str">
        <f>VLOOKUP(E1508,Sales_Reps!$A$2:$E$31,3,FALSE)</f>
        <v>South</v>
      </c>
      <c r="P1508" s="13" t="s">
        <v>204</v>
      </c>
      <c r="Q1508" s="34">
        <f t="shared" si="50"/>
        <v>914554.71999999986</v>
      </c>
      <c r="R1508" s="34" t="str">
        <f>VLOOKUP(E1508,Sales_Reps!$A$2:$E$100,3,FALSE)</f>
        <v>South</v>
      </c>
      <c r="S1508" s="34" t="str">
        <f t="shared" si="51"/>
        <v>Electronics</v>
      </c>
      <c r="T1508" s="38">
        <f>VLOOKUP(D1508,Products!$A$2:$F$68,4,FALSE)</f>
        <v>1665</v>
      </c>
    </row>
    <row r="1509" spans="1:20" x14ac:dyDescent="0.35">
      <c r="A1509" s="13" t="s">
        <v>2000</v>
      </c>
      <c r="B1509" s="14">
        <v>45370</v>
      </c>
      <c r="C1509" s="13" t="s">
        <v>1361</v>
      </c>
      <c r="D1509" s="13" t="s">
        <v>161</v>
      </c>
      <c r="E1509" s="13" t="s">
        <v>111</v>
      </c>
      <c r="F1509" s="15">
        <v>6</v>
      </c>
      <c r="G1509" s="15">
        <v>3450</v>
      </c>
      <c r="H1509" s="15">
        <v>22.7</v>
      </c>
      <c r="I1509" s="15">
        <v>16001.1</v>
      </c>
      <c r="J1509" s="13" t="s">
        <v>140</v>
      </c>
      <c r="K1509" s="13" t="s">
        <v>94</v>
      </c>
      <c r="L1509" s="34" t="str">
        <f>VLOOKUP(D1509,Products!$A$2:$F$61,3,FALSE)</f>
        <v>Sports</v>
      </c>
      <c r="M1509" s="34" t="str">
        <f>VLOOKUP(C1509,Customers!$A$2:$F$301,5,FALSE)</f>
        <v>Retail</v>
      </c>
      <c r="N1509" s="34">
        <f>VLOOKUP(C1509,Customers!$A$2:$F$301,3,FALSE)</f>
        <v>34</v>
      </c>
      <c r="O1509" s="34" t="str">
        <f>VLOOKUP(E1509,Sales_Reps!$A$2:$E$31,3,FALSE)</f>
        <v>West</v>
      </c>
      <c r="P1509" s="13" t="s">
        <v>111</v>
      </c>
      <c r="Q1509" s="34">
        <f t="shared" si="50"/>
        <v>901298.89</v>
      </c>
      <c r="R1509" s="34" t="str">
        <f>VLOOKUP(E1509,Sales_Reps!$A$2:$E$100,3,FALSE)</f>
        <v>West</v>
      </c>
      <c r="S1509" s="34" t="str">
        <f t="shared" si="51"/>
        <v>Sports</v>
      </c>
      <c r="T1509" s="38">
        <f>VLOOKUP(D1509,Products!$A$2:$F$68,4,FALSE)</f>
        <v>2467</v>
      </c>
    </row>
    <row r="1510" spans="1:20" x14ac:dyDescent="0.35">
      <c r="A1510" s="13" t="s">
        <v>2001</v>
      </c>
      <c r="B1510" s="14">
        <v>45456</v>
      </c>
      <c r="C1510" s="13" t="s">
        <v>178</v>
      </c>
      <c r="D1510" s="13" t="s">
        <v>164</v>
      </c>
      <c r="E1510" s="13" t="s">
        <v>297</v>
      </c>
      <c r="F1510" s="15">
        <v>10</v>
      </c>
      <c r="G1510" s="15">
        <v>1080</v>
      </c>
      <c r="H1510" s="15">
        <v>27.4</v>
      </c>
      <c r="I1510" s="15">
        <v>7840.8</v>
      </c>
      <c r="J1510" s="13" t="s">
        <v>87</v>
      </c>
      <c r="K1510" s="13" t="s">
        <v>94</v>
      </c>
      <c r="L1510" s="34" t="str">
        <f>VLOOKUP(D1510,Products!$A$2:$F$61,3,FALSE)</f>
        <v>Home</v>
      </c>
      <c r="M1510" s="34" t="str">
        <f>VLOOKUP(C1510,Customers!$A$2:$F$301,5,FALSE)</f>
        <v>Corporate</v>
      </c>
      <c r="N1510" s="34">
        <f>VLOOKUP(C1510,Customers!$A$2:$F$301,3,FALSE)</f>
        <v>55</v>
      </c>
      <c r="O1510" s="34" t="str">
        <f>VLOOKUP(E1510,Sales_Reps!$A$2:$E$31,3,FALSE)</f>
        <v>North</v>
      </c>
      <c r="P1510" s="13" t="s">
        <v>297</v>
      </c>
      <c r="Q1510" s="34">
        <f t="shared" si="50"/>
        <v>980063.65999999968</v>
      </c>
      <c r="R1510" s="34" t="str">
        <f>VLOOKUP(E1510,Sales_Reps!$A$2:$E$100,3,FALSE)</f>
        <v>North</v>
      </c>
      <c r="S1510" s="34" t="str">
        <f t="shared" si="51"/>
        <v>Home</v>
      </c>
      <c r="T1510" s="38">
        <f>VLOOKUP(D1510,Products!$A$2:$F$68,4,FALSE)</f>
        <v>519</v>
      </c>
    </row>
    <row r="1511" spans="1:20" x14ac:dyDescent="0.35">
      <c r="A1511" s="13" t="s">
        <v>2002</v>
      </c>
      <c r="B1511" s="14">
        <v>45605</v>
      </c>
      <c r="C1511" s="13" t="s">
        <v>856</v>
      </c>
      <c r="D1511" s="13" t="s">
        <v>259</v>
      </c>
      <c r="E1511" s="13" t="s">
        <v>111</v>
      </c>
      <c r="F1511" s="15">
        <v>6</v>
      </c>
      <c r="G1511" s="15">
        <v>1540</v>
      </c>
      <c r="H1511" s="15">
        <v>17.100000000000001</v>
      </c>
      <c r="I1511" s="15">
        <v>7659.96</v>
      </c>
      <c r="J1511" s="13" t="s">
        <v>87</v>
      </c>
      <c r="K1511" s="13" t="s">
        <v>88</v>
      </c>
      <c r="L1511" s="34" t="str">
        <f>VLOOKUP(D1511,Products!$A$2:$F$61,3,FALSE)</f>
        <v>Beauty</v>
      </c>
      <c r="M1511" s="34" t="str">
        <f>VLOOKUP(C1511,Customers!$A$2:$F$301,5,FALSE)</f>
        <v>SMB</v>
      </c>
      <c r="N1511" s="34">
        <f>VLOOKUP(C1511,Customers!$A$2:$F$301,3,FALSE)</f>
        <v>59</v>
      </c>
      <c r="O1511" s="34" t="str">
        <f>VLOOKUP(E1511,Sales_Reps!$A$2:$E$31,3,FALSE)</f>
        <v>West</v>
      </c>
      <c r="P1511" s="13" t="s">
        <v>111</v>
      </c>
      <c r="Q1511" s="34">
        <f t="shared" si="50"/>
        <v>901298.89</v>
      </c>
      <c r="R1511" s="34" t="str">
        <f>VLOOKUP(E1511,Sales_Reps!$A$2:$E$100,3,FALSE)</f>
        <v>West</v>
      </c>
      <c r="S1511" s="34" t="str">
        <f t="shared" si="51"/>
        <v>Beauty</v>
      </c>
      <c r="T1511" s="38">
        <f>VLOOKUP(D1511,Products!$A$2:$F$68,4,FALSE)</f>
        <v>647</v>
      </c>
    </row>
    <row r="1512" spans="1:20" x14ac:dyDescent="0.35">
      <c r="A1512" s="13" t="s">
        <v>2003</v>
      </c>
      <c r="B1512" s="14">
        <v>45556</v>
      </c>
      <c r="C1512" s="13" t="s">
        <v>2004</v>
      </c>
      <c r="D1512" s="13" t="s">
        <v>173</v>
      </c>
      <c r="E1512" s="13" t="s">
        <v>252</v>
      </c>
      <c r="F1512" s="15">
        <v>6</v>
      </c>
      <c r="G1512" s="15">
        <v>2720</v>
      </c>
      <c r="H1512" s="15">
        <v>28.1</v>
      </c>
      <c r="I1512" s="15">
        <v>11734.08</v>
      </c>
      <c r="J1512" s="13" t="s">
        <v>87</v>
      </c>
      <c r="K1512" s="13" t="s">
        <v>112</v>
      </c>
      <c r="L1512" s="34" t="str">
        <f>VLOOKUP(D1512,Products!$A$2:$F$61,3,FALSE)</f>
        <v>Apparel</v>
      </c>
      <c r="M1512" s="34" t="e">
        <f>VLOOKUP(C1512,Customers!$A$2:$F$301,5,FALSE)</f>
        <v>#N/A</v>
      </c>
      <c r="N1512" s="34" t="e">
        <f>VLOOKUP(C1512,Customers!$A$2:$F$301,3,FALSE)</f>
        <v>#N/A</v>
      </c>
      <c r="O1512" s="34" t="str">
        <f>VLOOKUP(E1512,Sales_Reps!$A$2:$E$31,3,FALSE)</f>
        <v>South</v>
      </c>
      <c r="P1512" s="13" t="s">
        <v>252</v>
      </c>
      <c r="Q1512" s="34">
        <f t="shared" si="50"/>
        <v>811524.37999999989</v>
      </c>
      <c r="R1512" s="34" t="str">
        <f>VLOOKUP(E1512,Sales_Reps!$A$2:$E$100,3,FALSE)</f>
        <v>South</v>
      </c>
      <c r="S1512" s="34" t="str">
        <f t="shared" si="51"/>
        <v>Apparel</v>
      </c>
      <c r="T1512" s="38">
        <f>VLOOKUP(D1512,Products!$A$2:$F$68,4,FALSE)</f>
        <v>1962</v>
      </c>
    </row>
    <row r="1513" spans="1:20" x14ac:dyDescent="0.35">
      <c r="A1513" s="13" t="s">
        <v>2005</v>
      </c>
      <c r="B1513" s="14">
        <v>45569</v>
      </c>
      <c r="C1513" s="13" t="s">
        <v>256</v>
      </c>
      <c r="D1513" s="13" t="s">
        <v>443</v>
      </c>
      <c r="E1513" s="13" t="s">
        <v>92</v>
      </c>
      <c r="F1513" s="15">
        <v>2</v>
      </c>
      <c r="G1513" s="15">
        <v>5080</v>
      </c>
      <c r="H1513" s="15">
        <v>11.1</v>
      </c>
      <c r="I1513" s="15">
        <v>9032.24</v>
      </c>
      <c r="J1513" s="13" t="s">
        <v>87</v>
      </c>
      <c r="K1513" s="13" t="s">
        <v>133</v>
      </c>
      <c r="L1513" s="34" t="str">
        <f>VLOOKUP(D1513,Products!$A$2:$F$61,3,FALSE)</f>
        <v>Home</v>
      </c>
      <c r="M1513" s="34" t="str">
        <f>VLOOKUP(C1513,Customers!$A$2:$F$301,5,FALSE)</f>
        <v>Retail</v>
      </c>
      <c r="N1513" s="34">
        <f>VLOOKUP(C1513,Customers!$A$2:$F$301,3,FALSE)</f>
        <v>27</v>
      </c>
      <c r="O1513" s="34" t="str">
        <f>VLOOKUP(E1513,Sales_Reps!$A$2:$E$31,3,FALSE)</f>
        <v>North</v>
      </c>
      <c r="P1513" s="13" t="s">
        <v>92</v>
      </c>
      <c r="Q1513" s="34">
        <f t="shared" si="50"/>
        <v>782445.33</v>
      </c>
      <c r="R1513" s="34" t="str">
        <f>VLOOKUP(E1513,Sales_Reps!$A$2:$E$100,3,FALSE)</f>
        <v>North</v>
      </c>
      <c r="S1513" s="34" t="str">
        <f t="shared" si="51"/>
        <v>Home</v>
      </c>
      <c r="T1513" s="38">
        <f>VLOOKUP(D1513,Products!$A$2:$F$68,4,FALSE)</f>
        <v>2459</v>
      </c>
    </row>
    <row r="1514" spans="1:20" x14ac:dyDescent="0.35">
      <c r="A1514" s="13" t="s">
        <v>2006</v>
      </c>
      <c r="B1514" s="14">
        <v>45329</v>
      </c>
      <c r="C1514" s="13" t="s">
        <v>2007</v>
      </c>
      <c r="D1514" s="13" t="s">
        <v>292</v>
      </c>
      <c r="E1514" s="13" t="s">
        <v>107</v>
      </c>
      <c r="F1514" s="15">
        <v>5</v>
      </c>
      <c r="G1514" s="15">
        <v>620</v>
      </c>
      <c r="H1514" s="15">
        <v>10.9</v>
      </c>
      <c r="I1514" s="15">
        <v>2762.1</v>
      </c>
      <c r="J1514" s="13" t="s">
        <v>93</v>
      </c>
      <c r="K1514" s="13" t="s">
        <v>94</v>
      </c>
      <c r="L1514" s="34" t="str">
        <f>VLOOKUP(D1514,Products!$A$2:$F$61,3,FALSE)</f>
        <v>Apparel</v>
      </c>
      <c r="M1514" s="34" t="e">
        <f>VLOOKUP(C1514,Customers!$A$2:$F$301,5,FALSE)</f>
        <v>#N/A</v>
      </c>
      <c r="N1514" s="34" t="e">
        <f>VLOOKUP(C1514,Customers!$A$2:$F$301,3,FALSE)</f>
        <v>#N/A</v>
      </c>
      <c r="O1514" s="34" t="str">
        <f>VLOOKUP(E1514,Sales_Reps!$A$2:$E$31,3,FALSE)</f>
        <v>North</v>
      </c>
      <c r="P1514" s="13" t="s">
        <v>107</v>
      </c>
      <c r="Q1514" s="34">
        <f t="shared" si="50"/>
        <v>861553.33</v>
      </c>
      <c r="R1514" s="34" t="str">
        <f>VLOOKUP(E1514,Sales_Reps!$A$2:$E$100,3,FALSE)</f>
        <v>North</v>
      </c>
      <c r="S1514" s="34" t="str">
        <f t="shared" si="51"/>
        <v>Apparel</v>
      </c>
      <c r="T1514" s="38">
        <f>VLOOKUP(D1514,Products!$A$2:$F$68,4,FALSE)</f>
        <v>396</v>
      </c>
    </row>
    <row r="1515" spans="1:20" x14ac:dyDescent="0.35">
      <c r="A1515" s="13" t="s">
        <v>2008</v>
      </c>
      <c r="B1515" s="14">
        <v>45377</v>
      </c>
      <c r="C1515" s="13" t="s">
        <v>308</v>
      </c>
      <c r="D1515" s="13" t="s">
        <v>167</v>
      </c>
      <c r="E1515" s="13" t="s">
        <v>148</v>
      </c>
      <c r="F1515" s="15">
        <v>3</v>
      </c>
      <c r="G1515" s="15">
        <v>2480</v>
      </c>
      <c r="H1515" s="15">
        <v>5</v>
      </c>
      <c r="I1515" s="15">
        <v>7068</v>
      </c>
      <c r="J1515" s="13" t="s">
        <v>87</v>
      </c>
      <c r="K1515" s="13" t="s">
        <v>88</v>
      </c>
      <c r="L1515" s="34" t="str">
        <f>VLOOKUP(D1515,Products!$A$2:$F$61,3,FALSE)</f>
        <v>Apparel</v>
      </c>
      <c r="M1515" s="34" t="str">
        <f>VLOOKUP(C1515,Customers!$A$2:$F$301,5,FALSE)</f>
        <v>SMB</v>
      </c>
      <c r="N1515" s="34">
        <f>VLOOKUP(C1515,Customers!$A$2:$F$301,3,FALSE)</f>
        <v>54</v>
      </c>
      <c r="O1515" s="34" t="str">
        <f>VLOOKUP(E1515,Sales_Reps!$A$2:$E$31,3,FALSE)</f>
        <v>North</v>
      </c>
      <c r="P1515" s="13" t="s">
        <v>148</v>
      </c>
      <c r="Q1515" s="34">
        <f t="shared" si="50"/>
        <v>986692.91</v>
      </c>
      <c r="R1515" s="34" t="str">
        <f>VLOOKUP(E1515,Sales_Reps!$A$2:$E$100,3,FALSE)</f>
        <v>North</v>
      </c>
      <c r="S1515" s="34" t="str">
        <f t="shared" si="51"/>
        <v>Apparel</v>
      </c>
      <c r="T1515" s="38">
        <f>VLOOKUP(D1515,Products!$A$2:$F$68,4,FALSE)</f>
        <v>1173</v>
      </c>
    </row>
    <row r="1516" spans="1:20" x14ac:dyDescent="0.35">
      <c r="A1516" s="13" t="s">
        <v>2009</v>
      </c>
      <c r="B1516" s="14">
        <v>45537</v>
      </c>
      <c r="C1516" s="13" t="s">
        <v>524</v>
      </c>
      <c r="D1516" s="13" t="s">
        <v>182</v>
      </c>
      <c r="E1516" s="13" t="s">
        <v>92</v>
      </c>
      <c r="F1516" s="15">
        <v>9</v>
      </c>
      <c r="G1516" s="15">
        <v>1010</v>
      </c>
      <c r="H1516" s="15">
        <v>21.9</v>
      </c>
      <c r="I1516" s="15">
        <v>7099.29</v>
      </c>
      <c r="J1516" s="13" t="s">
        <v>87</v>
      </c>
      <c r="K1516" s="13" t="s">
        <v>112</v>
      </c>
      <c r="L1516" s="34" t="str">
        <f>VLOOKUP(D1516,Products!$A$2:$F$61,3,FALSE)</f>
        <v>Sports</v>
      </c>
      <c r="M1516" s="34" t="str">
        <f>VLOOKUP(C1516,Customers!$A$2:$F$301,5,FALSE)</f>
        <v>Corporate</v>
      </c>
      <c r="N1516" s="34">
        <f>VLOOKUP(C1516,Customers!$A$2:$F$301,3,FALSE)</f>
        <v>55</v>
      </c>
      <c r="O1516" s="34" t="str">
        <f>VLOOKUP(E1516,Sales_Reps!$A$2:$E$31,3,FALSE)</f>
        <v>North</v>
      </c>
      <c r="P1516" s="13" t="s">
        <v>92</v>
      </c>
      <c r="Q1516" s="34">
        <f t="shared" si="50"/>
        <v>782445.33</v>
      </c>
      <c r="R1516" s="34" t="str">
        <f>VLOOKUP(E1516,Sales_Reps!$A$2:$E$100,3,FALSE)</f>
        <v>North</v>
      </c>
      <c r="S1516" s="34" t="str">
        <f t="shared" si="51"/>
        <v>Sports</v>
      </c>
      <c r="T1516" s="38">
        <f>VLOOKUP(D1516,Products!$A$2:$F$68,4,FALSE)</f>
        <v>516</v>
      </c>
    </row>
    <row r="1517" spans="1:20" x14ac:dyDescent="0.35">
      <c r="A1517" s="13" t="s">
        <v>2010</v>
      </c>
      <c r="B1517" s="14">
        <v>45550</v>
      </c>
      <c r="C1517" s="13" t="s">
        <v>413</v>
      </c>
      <c r="D1517" s="13" t="s">
        <v>164</v>
      </c>
      <c r="E1517" s="13" t="s">
        <v>139</v>
      </c>
      <c r="F1517" s="15">
        <v>2</v>
      </c>
      <c r="G1517" s="15">
        <v>1080</v>
      </c>
      <c r="H1517" s="15">
        <v>8.5</v>
      </c>
      <c r="I1517" s="15">
        <v>1976.4</v>
      </c>
      <c r="J1517" s="13" t="s">
        <v>87</v>
      </c>
      <c r="K1517" s="13" t="s">
        <v>88</v>
      </c>
      <c r="L1517" s="34" t="str">
        <f>VLOOKUP(D1517,Products!$A$2:$F$61,3,FALSE)</f>
        <v>Home</v>
      </c>
      <c r="M1517" s="34" t="str">
        <f>VLOOKUP(C1517,Customers!$A$2:$F$301,5,FALSE)</f>
        <v>Retail</v>
      </c>
      <c r="N1517" s="34">
        <f>VLOOKUP(C1517,Customers!$A$2:$F$301,3,FALSE)</f>
        <v>22</v>
      </c>
      <c r="O1517" s="34" t="str">
        <f>VLOOKUP(E1517,Sales_Reps!$A$2:$E$31,3,FALSE)</f>
        <v>North</v>
      </c>
      <c r="P1517" s="13" t="s">
        <v>139</v>
      </c>
      <c r="Q1517" s="34">
        <f t="shared" si="50"/>
        <v>589026.2899999998</v>
      </c>
      <c r="R1517" s="34" t="str">
        <f>VLOOKUP(E1517,Sales_Reps!$A$2:$E$100,3,FALSE)</f>
        <v>North</v>
      </c>
      <c r="S1517" s="34" t="str">
        <f t="shared" si="51"/>
        <v>Home</v>
      </c>
      <c r="T1517" s="38">
        <f>VLOOKUP(D1517,Products!$A$2:$F$68,4,FALSE)</f>
        <v>519</v>
      </c>
    </row>
    <row r="1518" spans="1:20" x14ac:dyDescent="0.35">
      <c r="A1518" s="13" t="s">
        <v>2011</v>
      </c>
      <c r="B1518" s="14">
        <v>45325</v>
      </c>
      <c r="C1518" s="13" t="s">
        <v>223</v>
      </c>
      <c r="D1518" s="13" t="s">
        <v>97</v>
      </c>
      <c r="E1518" s="13" t="s">
        <v>111</v>
      </c>
      <c r="F1518" s="15">
        <v>5</v>
      </c>
      <c r="G1518" s="15">
        <v>470</v>
      </c>
      <c r="H1518" s="15">
        <v>8</v>
      </c>
      <c r="I1518" s="15">
        <v>2162</v>
      </c>
      <c r="J1518" s="13" t="s">
        <v>87</v>
      </c>
      <c r="K1518" s="13" t="s">
        <v>99</v>
      </c>
      <c r="L1518" s="34" t="str">
        <f>VLOOKUP(D1518,Products!$A$2:$F$61,3,FALSE)</f>
        <v>Sports</v>
      </c>
      <c r="M1518" s="34" t="str">
        <f>VLOOKUP(C1518,Customers!$A$2:$F$301,5,FALSE)</f>
        <v>Retail</v>
      </c>
      <c r="N1518" s="34">
        <f>VLOOKUP(C1518,Customers!$A$2:$F$301,3,FALSE)</f>
        <v>53</v>
      </c>
      <c r="O1518" s="34" t="str">
        <f>VLOOKUP(E1518,Sales_Reps!$A$2:$E$31,3,FALSE)</f>
        <v>West</v>
      </c>
      <c r="P1518" s="13" t="s">
        <v>111</v>
      </c>
      <c r="Q1518" s="34">
        <f t="shared" si="50"/>
        <v>901298.89</v>
      </c>
      <c r="R1518" s="34" t="str">
        <f>VLOOKUP(E1518,Sales_Reps!$A$2:$E$100,3,FALSE)</f>
        <v>West</v>
      </c>
      <c r="S1518" s="34" t="str">
        <f t="shared" si="51"/>
        <v>Sports</v>
      </c>
      <c r="T1518" s="38">
        <f>VLOOKUP(D1518,Products!$A$2:$F$68,4,FALSE)</f>
        <v>302</v>
      </c>
    </row>
    <row r="1519" spans="1:20" x14ac:dyDescent="0.35">
      <c r="A1519" s="13" t="s">
        <v>2012</v>
      </c>
      <c r="B1519" s="14">
        <v>45375</v>
      </c>
      <c r="C1519" s="13" t="s">
        <v>340</v>
      </c>
      <c r="D1519" s="13" t="s">
        <v>408</v>
      </c>
      <c r="E1519" s="13" t="s">
        <v>192</v>
      </c>
      <c r="F1519" s="15">
        <v>9</v>
      </c>
      <c r="G1519" s="15">
        <v>3970</v>
      </c>
      <c r="H1519" s="15">
        <v>18.5</v>
      </c>
      <c r="I1519" s="15">
        <v>29119.95</v>
      </c>
      <c r="J1519" s="13" t="s">
        <v>87</v>
      </c>
      <c r="K1519" s="13" t="s">
        <v>88</v>
      </c>
      <c r="L1519" s="34" t="str">
        <f>VLOOKUP(D1519,Products!$A$2:$F$61,3,FALSE)</f>
        <v>Electronics</v>
      </c>
      <c r="M1519" s="34" t="str">
        <f>VLOOKUP(C1519,Customers!$A$2:$F$301,5,FALSE)</f>
        <v>Retail</v>
      </c>
      <c r="N1519" s="34">
        <f>VLOOKUP(C1519,Customers!$A$2:$F$301,3,FALSE)</f>
        <v>25</v>
      </c>
      <c r="O1519" s="34" t="str">
        <f>VLOOKUP(E1519,Sales_Reps!$A$2:$E$31,3,FALSE)</f>
        <v>East</v>
      </c>
      <c r="P1519" s="13" t="s">
        <v>192</v>
      </c>
      <c r="Q1519" s="34">
        <f t="shared" si="50"/>
        <v>906107.71000000008</v>
      </c>
      <c r="R1519" s="34" t="str">
        <f>VLOOKUP(E1519,Sales_Reps!$A$2:$E$100,3,FALSE)</f>
        <v>East</v>
      </c>
      <c r="S1519" s="34" t="str">
        <f t="shared" si="51"/>
        <v>Electronics</v>
      </c>
      <c r="T1519" s="38">
        <f>VLOOKUP(D1519,Products!$A$2:$F$68,4,FALSE)</f>
        <v>2865</v>
      </c>
    </row>
    <row r="1520" spans="1:20" x14ac:dyDescent="0.35">
      <c r="A1520" s="13" t="s">
        <v>2013</v>
      </c>
      <c r="B1520" s="14">
        <v>45614</v>
      </c>
      <c r="C1520" s="13" t="s">
        <v>1234</v>
      </c>
      <c r="D1520" s="13" t="s">
        <v>176</v>
      </c>
      <c r="E1520" s="13" t="s">
        <v>132</v>
      </c>
      <c r="F1520" s="15">
        <v>9</v>
      </c>
      <c r="G1520" s="15">
        <v>1650</v>
      </c>
      <c r="H1520" s="15">
        <v>19.5</v>
      </c>
      <c r="I1520" s="15">
        <v>11954.25</v>
      </c>
      <c r="J1520" s="13" t="s">
        <v>87</v>
      </c>
      <c r="K1520" s="13" t="s">
        <v>112</v>
      </c>
      <c r="L1520" s="34" t="str">
        <f>VLOOKUP(D1520,Products!$A$2:$F$61,3,FALSE)</f>
        <v>Beauty</v>
      </c>
      <c r="M1520" s="34" t="str">
        <f>VLOOKUP(C1520,Customers!$A$2:$F$301,5,FALSE)</f>
        <v>Retail</v>
      </c>
      <c r="N1520" s="34">
        <f>VLOOKUP(C1520,Customers!$A$2:$F$301,3,FALSE)</f>
        <v>29</v>
      </c>
      <c r="O1520" s="34" t="str">
        <f>VLOOKUP(E1520,Sales_Reps!$A$2:$E$31,3,FALSE)</f>
        <v>South</v>
      </c>
      <c r="P1520" s="13" t="s">
        <v>132</v>
      </c>
      <c r="Q1520" s="34">
        <f t="shared" si="50"/>
        <v>880345.20000000007</v>
      </c>
      <c r="R1520" s="34" t="str">
        <f>VLOOKUP(E1520,Sales_Reps!$A$2:$E$100,3,FALSE)</f>
        <v>South</v>
      </c>
      <c r="S1520" s="34" t="str">
        <f t="shared" si="51"/>
        <v>Beauty</v>
      </c>
      <c r="T1520" s="38">
        <f>VLOOKUP(D1520,Products!$A$2:$F$68,4,FALSE)</f>
        <v>1222</v>
      </c>
    </row>
    <row r="1521" spans="1:20" x14ac:dyDescent="0.35">
      <c r="A1521" s="13" t="s">
        <v>2014</v>
      </c>
      <c r="B1521" s="14">
        <v>45364</v>
      </c>
      <c r="C1521" s="13" t="s">
        <v>669</v>
      </c>
      <c r="D1521" s="13" t="s">
        <v>179</v>
      </c>
      <c r="E1521" s="13" t="s">
        <v>103</v>
      </c>
      <c r="F1521" s="15">
        <v>9</v>
      </c>
      <c r="G1521" s="15">
        <v>3350</v>
      </c>
      <c r="H1521" s="15">
        <v>4.0999999999999996</v>
      </c>
      <c r="I1521" s="15">
        <v>28913.85</v>
      </c>
      <c r="J1521" s="13" t="s">
        <v>87</v>
      </c>
      <c r="K1521" s="13" t="s">
        <v>133</v>
      </c>
      <c r="L1521" s="34" t="str">
        <f>VLOOKUP(D1521,Products!$A$2:$F$61,3,FALSE)</f>
        <v>Beauty</v>
      </c>
      <c r="M1521" s="34" t="str">
        <f>VLOOKUP(C1521,Customers!$A$2:$F$301,5,FALSE)</f>
        <v>Retail</v>
      </c>
      <c r="N1521" s="34">
        <f>VLOOKUP(C1521,Customers!$A$2:$F$301,3,FALSE)</f>
        <v>31</v>
      </c>
      <c r="O1521" s="34" t="str">
        <f>VLOOKUP(E1521,Sales_Reps!$A$2:$E$31,3,FALSE)</f>
        <v>North</v>
      </c>
      <c r="P1521" s="13" t="s">
        <v>103</v>
      </c>
      <c r="Q1521" s="34">
        <f t="shared" si="50"/>
        <v>1138648.73</v>
      </c>
      <c r="R1521" s="34" t="str">
        <f>VLOOKUP(E1521,Sales_Reps!$A$2:$E$100,3,FALSE)</f>
        <v>North</v>
      </c>
      <c r="S1521" s="34" t="str">
        <f t="shared" si="51"/>
        <v>Beauty</v>
      </c>
      <c r="T1521" s="38">
        <f>VLOOKUP(D1521,Products!$A$2:$F$68,4,FALSE)</f>
        <v>1728</v>
      </c>
    </row>
    <row r="1522" spans="1:20" x14ac:dyDescent="0.35">
      <c r="A1522" s="13" t="s">
        <v>2015</v>
      </c>
      <c r="B1522" s="14">
        <v>45342</v>
      </c>
      <c r="C1522" s="13" t="s">
        <v>266</v>
      </c>
      <c r="D1522" s="13" t="s">
        <v>408</v>
      </c>
      <c r="E1522" s="13" t="s">
        <v>154</v>
      </c>
      <c r="F1522" s="15">
        <v>7</v>
      </c>
      <c r="G1522" s="15">
        <v>3970</v>
      </c>
      <c r="H1522" s="15">
        <v>15.6</v>
      </c>
      <c r="I1522" s="15">
        <v>23454.76</v>
      </c>
      <c r="J1522" s="13" t="s">
        <v>87</v>
      </c>
      <c r="K1522" s="13" t="s">
        <v>99</v>
      </c>
      <c r="L1522" s="34" t="str">
        <f>VLOOKUP(D1522,Products!$A$2:$F$61,3,FALSE)</f>
        <v>Electronics</v>
      </c>
      <c r="M1522" s="34" t="str">
        <f>VLOOKUP(C1522,Customers!$A$2:$F$301,5,FALSE)</f>
        <v>Corporate</v>
      </c>
      <c r="N1522" s="34">
        <f>VLOOKUP(C1522,Customers!$A$2:$F$301,3,FALSE)</f>
        <v>55</v>
      </c>
      <c r="O1522" s="34" t="str">
        <f>VLOOKUP(E1522,Sales_Reps!$A$2:$E$31,3,FALSE)</f>
        <v>East</v>
      </c>
      <c r="P1522" s="13" t="s">
        <v>154</v>
      </c>
      <c r="Q1522" s="34">
        <f t="shared" si="50"/>
        <v>983787.4800000001</v>
      </c>
      <c r="R1522" s="34" t="str">
        <f>VLOOKUP(E1522,Sales_Reps!$A$2:$E$100,3,FALSE)</f>
        <v>East</v>
      </c>
      <c r="S1522" s="34" t="str">
        <f t="shared" si="51"/>
        <v>Electronics</v>
      </c>
      <c r="T1522" s="38">
        <f>VLOOKUP(D1522,Products!$A$2:$F$68,4,FALSE)</f>
        <v>2865</v>
      </c>
    </row>
    <row r="1523" spans="1:20" x14ac:dyDescent="0.35">
      <c r="A1523" s="13" t="s">
        <v>2016</v>
      </c>
      <c r="B1523" s="14">
        <v>45454</v>
      </c>
      <c r="C1523" s="13" t="s">
        <v>738</v>
      </c>
      <c r="D1523" s="13" t="s">
        <v>234</v>
      </c>
      <c r="E1523" s="13" t="s">
        <v>303</v>
      </c>
      <c r="F1523" s="15">
        <v>7</v>
      </c>
      <c r="G1523" s="15">
        <v>3780</v>
      </c>
      <c r="H1523" s="15">
        <v>18.7</v>
      </c>
      <c r="I1523" s="15">
        <v>21511.98</v>
      </c>
      <c r="J1523" s="13" t="s">
        <v>87</v>
      </c>
      <c r="K1523" s="13" t="s">
        <v>88</v>
      </c>
      <c r="L1523" s="34" t="str">
        <f>VLOOKUP(D1523,Products!$A$2:$F$61,3,FALSE)</f>
        <v>Grocery</v>
      </c>
      <c r="M1523" s="34" t="str">
        <f>VLOOKUP(C1523,Customers!$A$2:$F$301,5,FALSE)</f>
        <v>Retail</v>
      </c>
      <c r="N1523" s="34">
        <f>VLOOKUP(C1523,Customers!$A$2:$F$301,3,FALSE)</f>
        <v>36</v>
      </c>
      <c r="O1523" s="34" t="str">
        <f>VLOOKUP(E1523,Sales_Reps!$A$2:$E$31,3,FALSE)</f>
        <v>East</v>
      </c>
      <c r="P1523" s="13" t="s">
        <v>303</v>
      </c>
      <c r="Q1523" s="34">
        <f t="shared" si="50"/>
        <v>1112289.6400000001</v>
      </c>
      <c r="R1523" s="34" t="str">
        <f>VLOOKUP(E1523,Sales_Reps!$A$2:$E$100,3,FALSE)</f>
        <v>East</v>
      </c>
      <c r="S1523" s="34" t="str">
        <f t="shared" si="51"/>
        <v>Grocery</v>
      </c>
      <c r="T1523" s="38">
        <f>VLOOKUP(D1523,Products!$A$2:$F$68,4,FALSE)</f>
        <v>2436</v>
      </c>
    </row>
    <row r="1524" spans="1:20" x14ac:dyDescent="0.35">
      <c r="A1524" s="13" t="s">
        <v>2017</v>
      </c>
      <c r="B1524" s="14">
        <v>45625</v>
      </c>
      <c r="C1524" s="13" t="s">
        <v>635</v>
      </c>
      <c r="D1524" s="13" t="s">
        <v>91</v>
      </c>
      <c r="E1524" s="13" t="s">
        <v>252</v>
      </c>
      <c r="F1524" s="15">
        <v>4</v>
      </c>
      <c r="G1524" s="15">
        <v>820</v>
      </c>
      <c r="H1524" s="15">
        <v>18.8</v>
      </c>
      <c r="I1524" s="15">
        <v>2663.36</v>
      </c>
      <c r="J1524" s="13" t="s">
        <v>140</v>
      </c>
      <c r="K1524" s="13" t="s">
        <v>99</v>
      </c>
      <c r="L1524" s="34" t="str">
        <f>VLOOKUP(D1524,Products!$A$2:$F$61,3,FALSE)</f>
        <v>Apparel</v>
      </c>
      <c r="M1524" s="34" t="str">
        <f>VLOOKUP(C1524,Customers!$A$2:$F$301,5,FALSE)</f>
        <v>Retail</v>
      </c>
      <c r="N1524" s="34">
        <f>VLOOKUP(C1524,Customers!$A$2:$F$301,3,FALSE)</f>
        <v>49</v>
      </c>
      <c r="O1524" s="34" t="str">
        <f>VLOOKUP(E1524,Sales_Reps!$A$2:$E$31,3,FALSE)</f>
        <v>South</v>
      </c>
      <c r="P1524" s="13" t="s">
        <v>252</v>
      </c>
      <c r="Q1524" s="34">
        <f t="shared" si="50"/>
        <v>811524.37999999989</v>
      </c>
      <c r="R1524" s="34" t="str">
        <f>VLOOKUP(E1524,Sales_Reps!$A$2:$E$100,3,FALSE)</f>
        <v>South</v>
      </c>
      <c r="S1524" s="34" t="str">
        <f t="shared" si="51"/>
        <v>Apparel</v>
      </c>
      <c r="T1524" s="38">
        <f>VLOOKUP(D1524,Products!$A$2:$F$68,4,FALSE)</f>
        <v>391</v>
      </c>
    </row>
    <row r="1525" spans="1:20" x14ac:dyDescent="0.35">
      <c r="A1525" s="13" t="s">
        <v>2018</v>
      </c>
      <c r="B1525" s="14">
        <v>45600</v>
      </c>
      <c r="C1525" s="13" t="s">
        <v>729</v>
      </c>
      <c r="D1525" s="13" t="s">
        <v>176</v>
      </c>
      <c r="E1525" s="13" t="s">
        <v>285</v>
      </c>
      <c r="F1525" s="15">
        <v>1</v>
      </c>
      <c r="G1525" s="15">
        <v>1650</v>
      </c>
      <c r="H1525" s="15">
        <v>18.8</v>
      </c>
      <c r="I1525" s="15">
        <v>1339.8</v>
      </c>
      <c r="J1525" s="13" t="s">
        <v>140</v>
      </c>
      <c r="K1525" s="13" t="s">
        <v>112</v>
      </c>
      <c r="L1525" s="34" t="str">
        <f>VLOOKUP(D1525,Products!$A$2:$F$61,3,FALSE)</f>
        <v>Beauty</v>
      </c>
      <c r="M1525" s="34" t="str">
        <f>VLOOKUP(C1525,Customers!$A$2:$F$301,5,FALSE)</f>
        <v>Retail</v>
      </c>
      <c r="N1525" s="34">
        <f>VLOOKUP(C1525,Customers!$A$2:$F$301,3,FALSE)</f>
        <v>56</v>
      </c>
      <c r="O1525" s="34" t="str">
        <f>VLOOKUP(E1525,Sales_Reps!$A$2:$E$31,3,FALSE)</f>
        <v>East</v>
      </c>
      <c r="P1525" s="13" t="s">
        <v>285</v>
      </c>
      <c r="Q1525" s="34">
        <f t="shared" si="50"/>
        <v>1069570.5400000003</v>
      </c>
      <c r="R1525" s="34" t="str">
        <f>VLOOKUP(E1525,Sales_Reps!$A$2:$E$100,3,FALSE)</f>
        <v>East</v>
      </c>
      <c r="S1525" s="34" t="str">
        <f t="shared" si="51"/>
        <v>Beauty</v>
      </c>
      <c r="T1525" s="38">
        <f>VLOOKUP(D1525,Products!$A$2:$F$68,4,FALSE)</f>
        <v>1222</v>
      </c>
    </row>
    <row r="1526" spans="1:20" x14ac:dyDescent="0.35">
      <c r="A1526" s="13" t="s">
        <v>2019</v>
      </c>
      <c r="B1526" s="14">
        <v>45397</v>
      </c>
      <c r="C1526" s="13" t="s">
        <v>340</v>
      </c>
      <c r="D1526" s="13" t="s">
        <v>234</v>
      </c>
      <c r="E1526" s="13" t="s">
        <v>158</v>
      </c>
      <c r="F1526" s="15">
        <v>2</v>
      </c>
      <c r="G1526" s="15">
        <v>3780</v>
      </c>
      <c r="H1526" s="15">
        <v>1</v>
      </c>
      <c r="I1526" s="15">
        <v>7484.4</v>
      </c>
      <c r="J1526" s="13" t="s">
        <v>144</v>
      </c>
      <c r="K1526" s="13" t="s">
        <v>88</v>
      </c>
      <c r="L1526" s="34" t="str">
        <f>VLOOKUP(D1526,Products!$A$2:$F$61,3,FALSE)</f>
        <v>Grocery</v>
      </c>
      <c r="M1526" s="34" t="str">
        <f>VLOOKUP(C1526,Customers!$A$2:$F$301,5,FALSE)</f>
        <v>Retail</v>
      </c>
      <c r="N1526" s="34">
        <f>VLOOKUP(C1526,Customers!$A$2:$F$301,3,FALSE)</f>
        <v>25</v>
      </c>
      <c r="O1526" s="34" t="str">
        <f>VLOOKUP(E1526,Sales_Reps!$A$2:$E$31,3,FALSE)</f>
        <v>East</v>
      </c>
      <c r="P1526" s="13" t="s">
        <v>158</v>
      </c>
      <c r="Q1526" s="34">
        <f t="shared" si="50"/>
        <v>761507.17000000027</v>
      </c>
      <c r="R1526" s="34" t="str">
        <f>VLOOKUP(E1526,Sales_Reps!$A$2:$E$100,3,FALSE)</f>
        <v>East</v>
      </c>
      <c r="S1526" s="34" t="str">
        <f t="shared" si="51"/>
        <v>Grocery</v>
      </c>
      <c r="T1526" s="38">
        <f>VLOOKUP(D1526,Products!$A$2:$F$68,4,FALSE)</f>
        <v>2436</v>
      </c>
    </row>
    <row r="1527" spans="1:20" x14ac:dyDescent="0.35">
      <c r="A1527" s="13" t="s">
        <v>2020</v>
      </c>
      <c r="B1527" s="14">
        <v>45417</v>
      </c>
      <c r="C1527" s="13" t="s">
        <v>447</v>
      </c>
      <c r="D1527" s="13" t="s">
        <v>338</v>
      </c>
      <c r="E1527" s="13" t="s">
        <v>343</v>
      </c>
      <c r="F1527" s="15">
        <v>5</v>
      </c>
      <c r="G1527" s="15">
        <v>2210</v>
      </c>
      <c r="H1527" s="15">
        <v>16.600000000000001</v>
      </c>
      <c r="I1527" s="15">
        <v>9215.7000000000007</v>
      </c>
      <c r="J1527" s="13" t="s">
        <v>87</v>
      </c>
      <c r="K1527" s="13" t="s">
        <v>112</v>
      </c>
      <c r="L1527" s="34" t="str">
        <f>VLOOKUP(D1527,Products!$A$2:$F$61,3,FALSE)</f>
        <v>Grocery</v>
      </c>
      <c r="M1527" s="34" t="str">
        <f>VLOOKUP(C1527,Customers!$A$2:$F$301,5,FALSE)</f>
        <v>Retail</v>
      </c>
      <c r="N1527" s="34">
        <f>VLOOKUP(C1527,Customers!$A$2:$F$301,3,FALSE)</f>
        <v>41</v>
      </c>
      <c r="O1527" s="34" t="str">
        <f>VLOOKUP(E1527,Sales_Reps!$A$2:$E$31,3,FALSE)</f>
        <v>West</v>
      </c>
      <c r="P1527" s="13" t="s">
        <v>343</v>
      </c>
      <c r="Q1527" s="34">
        <f t="shared" si="50"/>
        <v>917092.61999999965</v>
      </c>
      <c r="R1527" s="34" t="str">
        <f>VLOOKUP(E1527,Sales_Reps!$A$2:$E$100,3,FALSE)</f>
        <v>West</v>
      </c>
      <c r="S1527" s="34" t="str">
        <f t="shared" si="51"/>
        <v>Grocery</v>
      </c>
      <c r="T1527" s="38">
        <f>VLOOKUP(D1527,Products!$A$2:$F$68,4,FALSE)</f>
        <v>1010</v>
      </c>
    </row>
    <row r="1528" spans="1:20" x14ac:dyDescent="0.35">
      <c r="A1528" s="13" t="s">
        <v>2021</v>
      </c>
      <c r="B1528" s="14">
        <v>45487</v>
      </c>
      <c r="C1528" s="13" t="s">
        <v>655</v>
      </c>
      <c r="D1528" s="13" t="s">
        <v>515</v>
      </c>
      <c r="E1528" s="13" t="s">
        <v>132</v>
      </c>
      <c r="F1528" s="15">
        <v>10</v>
      </c>
      <c r="G1528" s="15">
        <v>6940</v>
      </c>
      <c r="H1528" s="15">
        <v>10.6</v>
      </c>
      <c r="I1528" s="15">
        <v>62043.6</v>
      </c>
      <c r="J1528" s="13" t="s">
        <v>87</v>
      </c>
      <c r="K1528" s="13" t="s">
        <v>133</v>
      </c>
      <c r="L1528" s="34" t="str">
        <f>VLOOKUP(D1528,Products!$A$2:$F$61,3,FALSE)</f>
        <v>Sports</v>
      </c>
      <c r="M1528" s="34" t="str">
        <f>VLOOKUP(C1528,Customers!$A$2:$F$301,5,FALSE)</f>
        <v>Retail</v>
      </c>
      <c r="N1528" s="34">
        <f>VLOOKUP(C1528,Customers!$A$2:$F$301,3,FALSE)</f>
        <v>27</v>
      </c>
      <c r="O1528" s="34" t="str">
        <f>VLOOKUP(E1528,Sales_Reps!$A$2:$E$31,3,FALSE)</f>
        <v>South</v>
      </c>
      <c r="P1528" s="13" t="s">
        <v>132</v>
      </c>
      <c r="Q1528" s="34">
        <f t="shared" si="50"/>
        <v>880345.20000000007</v>
      </c>
      <c r="R1528" s="34" t="str">
        <f>VLOOKUP(E1528,Sales_Reps!$A$2:$E$100,3,FALSE)</f>
        <v>South</v>
      </c>
      <c r="S1528" s="34" t="str">
        <f t="shared" si="51"/>
        <v>Sports</v>
      </c>
      <c r="T1528" s="38">
        <f>VLOOKUP(D1528,Products!$A$2:$F$68,4,FALSE)</f>
        <v>2827</v>
      </c>
    </row>
    <row r="1529" spans="1:20" x14ac:dyDescent="0.35">
      <c r="A1529" s="13" t="s">
        <v>2022</v>
      </c>
      <c r="B1529" s="14">
        <v>45454</v>
      </c>
      <c r="C1529" s="13" t="s">
        <v>369</v>
      </c>
      <c r="D1529" s="13" t="s">
        <v>386</v>
      </c>
      <c r="E1529" s="13" t="s">
        <v>92</v>
      </c>
      <c r="F1529" s="15">
        <v>8</v>
      </c>
      <c r="G1529" s="15">
        <v>2290</v>
      </c>
      <c r="H1529" s="15">
        <v>12.2</v>
      </c>
      <c r="I1529" s="15">
        <v>16084.96</v>
      </c>
      <c r="J1529" s="13" t="s">
        <v>87</v>
      </c>
      <c r="K1529" s="13" t="s">
        <v>94</v>
      </c>
      <c r="L1529" s="34" t="str">
        <f>VLOOKUP(D1529,Products!$A$2:$F$61,3,FALSE)</f>
        <v>Beauty</v>
      </c>
      <c r="M1529" s="34" t="str">
        <f>VLOOKUP(C1529,Customers!$A$2:$F$301,5,FALSE)</f>
        <v>SMB</v>
      </c>
      <c r="N1529" s="34">
        <f>VLOOKUP(C1529,Customers!$A$2:$F$301,3,FALSE)</f>
        <v>62</v>
      </c>
      <c r="O1529" s="34" t="str">
        <f>VLOOKUP(E1529,Sales_Reps!$A$2:$E$31,3,FALSE)</f>
        <v>North</v>
      </c>
      <c r="P1529" s="13" t="s">
        <v>92</v>
      </c>
      <c r="Q1529" s="34">
        <f t="shared" si="50"/>
        <v>782445.33</v>
      </c>
      <c r="R1529" s="34" t="str">
        <f>VLOOKUP(E1529,Sales_Reps!$A$2:$E$100,3,FALSE)</f>
        <v>North</v>
      </c>
      <c r="S1529" s="34" t="str">
        <f t="shared" si="51"/>
        <v>Beauty</v>
      </c>
      <c r="T1529" s="38">
        <f>VLOOKUP(D1529,Products!$A$2:$F$68,4,FALSE)</f>
        <v>1219</v>
      </c>
    </row>
    <row r="1530" spans="1:20" x14ac:dyDescent="0.35">
      <c r="A1530" s="13" t="s">
        <v>2023</v>
      </c>
      <c r="B1530" s="14">
        <v>45529</v>
      </c>
      <c r="C1530" s="13" t="s">
        <v>342</v>
      </c>
      <c r="D1530" s="13" t="s">
        <v>295</v>
      </c>
      <c r="E1530" s="13" t="s">
        <v>111</v>
      </c>
      <c r="F1530" s="15">
        <v>5</v>
      </c>
      <c r="G1530" s="15">
        <v>2030</v>
      </c>
      <c r="H1530" s="15">
        <v>23.8</v>
      </c>
      <c r="I1530" s="15">
        <v>7734.3</v>
      </c>
      <c r="J1530" s="13" t="s">
        <v>140</v>
      </c>
      <c r="K1530" s="13" t="s">
        <v>94</v>
      </c>
      <c r="L1530" s="34" t="str">
        <f>VLOOKUP(D1530,Products!$A$2:$F$61,3,FALSE)</f>
        <v>Home</v>
      </c>
      <c r="M1530" s="34" t="str">
        <f>VLOOKUP(C1530,Customers!$A$2:$F$301,5,FALSE)</f>
        <v>Retail</v>
      </c>
      <c r="N1530" s="34">
        <f>VLOOKUP(C1530,Customers!$A$2:$F$301,3,FALSE)</f>
        <v>26</v>
      </c>
      <c r="O1530" s="34" t="str">
        <f>VLOOKUP(E1530,Sales_Reps!$A$2:$E$31,3,FALSE)</f>
        <v>West</v>
      </c>
      <c r="P1530" s="13" t="s">
        <v>111</v>
      </c>
      <c r="Q1530" s="34">
        <f t="shared" si="50"/>
        <v>901298.89</v>
      </c>
      <c r="R1530" s="34" t="str">
        <f>VLOOKUP(E1530,Sales_Reps!$A$2:$E$100,3,FALSE)</f>
        <v>West</v>
      </c>
      <c r="S1530" s="34" t="str">
        <f t="shared" si="51"/>
        <v>Home</v>
      </c>
      <c r="T1530" s="38">
        <f>VLOOKUP(D1530,Products!$A$2:$F$68,4,FALSE)</f>
        <v>1143</v>
      </c>
    </row>
    <row r="1531" spans="1:20" x14ac:dyDescent="0.35">
      <c r="A1531" s="13" t="s">
        <v>2024</v>
      </c>
      <c r="B1531" s="14">
        <v>45546</v>
      </c>
      <c r="C1531" s="13" t="s">
        <v>440</v>
      </c>
      <c r="D1531" s="13" t="s">
        <v>408</v>
      </c>
      <c r="E1531" s="13" t="s">
        <v>229</v>
      </c>
      <c r="F1531" s="15">
        <v>3</v>
      </c>
      <c r="G1531" s="15">
        <v>3970</v>
      </c>
      <c r="H1531" s="15">
        <v>7.7</v>
      </c>
      <c r="I1531" s="15">
        <v>10992.93</v>
      </c>
      <c r="J1531" s="13" t="s">
        <v>87</v>
      </c>
      <c r="K1531" s="13" t="s">
        <v>88</v>
      </c>
      <c r="L1531" s="34" t="str">
        <f>VLOOKUP(D1531,Products!$A$2:$F$61,3,FALSE)</f>
        <v>Electronics</v>
      </c>
      <c r="M1531" s="34" t="str">
        <f>VLOOKUP(C1531,Customers!$A$2:$F$301,5,FALSE)</f>
        <v>SMB</v>
      </c>
      <c r="N1531" s="34">
        <f>VLOOKUP(C1531,Customers!$A$2:$F$301,3,FALSE)</f>
        <v>30</v>
      </c>
      <c r="O1531" s="34" t="str">
        <f>VLOOKUP(E1531,Sales_Reps!$A$2:$E$31,3,FALSE)</f>
        <v>West</v>
      </c>
      <c r="P1531" s="13" t="s">
        <v>229</v>
      </c>
      <c r="Q1531" s="34">
        <f t="shared" si="50"/>
        <v>1016696.8000000002</v>
      </c>
      <c r="R1531" s="34" t="str">
        <f>VLOOKUP(E1531,Sales_Reps!$A$2:$E$100,3,FALSE)</f>
        <v>West</v>
      </c>
      <c r="S1531" s="34" t="str">
        <f t="shared" si="51"/>
        <v>Electronics</v>
      </c>
      <c r="T1531" s="38">
        <f>VLOOKUP(D1531,Products!$A$2:$F$68,4,FALSE)</f>
        <v>2865</v>
      </c>
    </row>
    <row r="1532" spans="1:20" x14ac:dyDescent="0.35">
      <c r="A1532" s="13" t="s">
        <v>2025</v>
      </c>
      <c r="B1532" s="14">
        <v>45481</v>
      </c>
      <c r="C1532" s="13" t="s">
        <v>712</v>
      </c>
      <c r="D1532" s="13" t="s">
        <v>91</v>
      </c>
      <c r="E1532" s="13" t="s">
        <v>346</v>
      </c>
      <c r="F1532" s="15">
        <v>1</v>
      </c>
      <c r="G1532" s="15">
        <v>820</v>
      </c>
      <c r="H1532" s="15">
        <v>5.4</v>
      </c>
      <c r="I1532" s="15">
        <v>775.72</v>
      </c>
      <c r="J1532" s="13" t="s">
        <v>87</v>
      </c>
      <c r="K1532" s="13" t="s">
        <v>112</v>
      </c>
      <c r="L1532" s="34" t="str">
        <f>VLOOKUP(D1532,Products!$A$2:$F$61,3,FALSE)</f>
        <v>Apparel</v>
      </c>
      <c r="M1532" s="34" t="str">
        <f>VLOOKUP(C1532,Customers!$A$2:$F$301,5,FALSE)</f>
        <v>Corporate</v>
      </c>
      <c r="N1532" s="34">
        <f>VLOOKUP(C1532,Customers!$A$2:$F$301,3,FALSE)</f>
        <v>51</v>
      </c>
      <c r="O1532" s="34" t="str">
        <f>VLOOKUP(E1532,Sales_Reps!$A$2:$E$31,3,FALSE)</f>
        <v>South</v>
      </c>
      <c r="P1532" s="13" t="s">
        <v>346</v>
      </c>
      <c r="Q1532" s="34">
        <f t="shared" si="50"/>
        <v>814563.7100000002</v>
      </c>
      <c r="R1532" s="34" t="str">
        <f>VLOOKUP(E1532,Sales_Reps!$A$2:$E$100,3,FALSE)</f>
        <v>South</v>
      </c>
      <c r="S1532" s="34" t="str">
        <f t="shared" si="51"/>
        <v>Apparel</v>
      </c>
      <c r="T1532" s="38">
        <f>VLOOKUP(D1532,Products!$A$2:$F$68,4,FALSE)</f>
        <v>391</v>
      </c>
    </row>
    <row r="1533" spans="1:20" x14ac:dyDescent="0.35">
      <c r="A1533" s="13" t="s">
        <v>2026</v>
      </c>
      <c r="B1533" s="14">
        <v>45472</v>
      </c>
      <c r="C1533" s="13" t="s">
        <v>322</v>
      </c>
      <c r="D1533" s="13" t="s">
        <v>248</v>
      </c>
      <c r="E1533" s="13" t="s">
        <v>111</v>
      </c>
      <c r="F1533" s="15">
        <v>3</v>
      </c>
      <c r="G1533" s="15">
        <v>3870</v>
      </c>
      <c r="H1533" s="15">
        <v>1.9</v>
      </c>
      <c r="I1533" s="15">
        <v>11389.41</v>
      </c>
      <c r="J1533" s="13" t="s">
        <v>87</v>
      </c>
      <c r="K1533" s="13" t="s">
        <v>99</v>
      </c>
      <c r="L1533" s="34" t="str">
        <f>VLOOKUP(D1533,Products!$A$2:$F$61,3,FALSE)</f>
        <v>Electronics</v>
      </c>
      <c r="M1533" s="34" t="str">
        <f>VLOOKUP(C1533,Customers!$A$2:$F$301,5,FALSE)</f>
        <v>Retail</v>
      </c>
      <c r="N1533" s="34">
        <f>VLOOKUP(C1533,Customers!$A$2:$F$301,3,FALSE)</f>
        <v>31</v>
      </c>
      <c r="O1533" s="34" t="str">
        <f>VLOOKUP(E1533,Sales_Reps!$A$2:$E$31,3,FALSE)</f>
        <v>West</v>
      </c>
      <c r="P1533" s="13" t="s">
        <v>111</v>
      </c>
      <c r="Q1533" s="34">
        <f t="shared" si="50"/>
        <v>901298.89</v>
      </c>
      <c r="R1533" s="34" t="str">
        <f>VLOOKUP(E1533,Sales_Reps!$A$2:$E$100,3,FALSE)</f>
        <v>West</v>
      </c>
      <c r="S1533" s="34" t="str">
        <f t="shared" si="51"/>
        <v>Electronics</v>
      </c>
      <c r="T1533" s="38">
        <f>VLOOKUP(D1533,Products!$A$2:$F$68,4,FALSE)</f>
        <v>1559</v>
      </c>
    </row>
    <row r="1534" spans="1:20" x14ac:dyDescent="0.35">
      <c r="A1534" s="13" t="s">
        <v>2027</v>
      </c>
      <c r="B1534" s="14">
        <v>45296</v>
      </c>
      <c r="C1534" s="13" t="s">
        <v>528</v>
      </c>
      <c r="D1534" s="13" t="s">
        <v>127</v>
      </c>
      <c r="E1534" s="13" t="s">
        <v>285</v>
      </c>
      <c r="F1534" s="15">
        <v>6</v>
      </c>
      <c r="G1534" s="15">
        <v>970</v>
      </c>
      <c r="H1534" s="15">
        <v>27.1</v>
      </c>
      <c r="I1534" s="15">
        <v>4242.78</v>
      </c>
      <c r="J1534" s="13" t="s">
        <v>87</v>
      </c>
      <c r="K1534" s="13" t="s">
        <v>112</v>
      </c>
      <c r="L1534" s="34" t="str">
        <f>VLOOKUP(D1534,Products!$A$2:$F$61,3,FALSE)</f>
        <v>Grocery</v>
      </c>
      <c r="M1534" s="34" t="str">
        <f>VLOOKUP(C1534,Customers!$A$2:$F$301,5,FALSE)</f>
        <v>Retail</v>
      </c>
      <c r="N1534" s="34">
        <f>VLOOKUP(C1534,Customers!$A$2:$F$301,3,FALSE)</f>
        <v>44</v>
      </c>
      <c r="O1534" s="34" t="str">
        <f>VLOOKUP(E1534,Sales_Reps!$A$2:$E$31,3,FALSE)</f>
        <v>East</v>
      </c>
      <c r="P1534" s="13" t="s">
        <v>285</v>
      </c>
      <c r="Q1534" s="34">
        <f t="shared" si="50"/>
        <v>1069570.5400000003</v>
      </c>
      <c r="R1534" s="34" t="str">
        <f>VLOOKUP(E1534,Sales_Reps!$A$2:$E$100,3,FALSE)</f>
        <v>East</v>
      </c>
      <c r="S1534" s="34" t="str">
        <f t="shared" si="51"/>
        <v>Grocery</v>
      </c>
      <c r="T1534" s="38">
        <f>VLOOKUP(D1534,Products!$A$2:$F$68,4,FALSE)</f>
        <v>434</v>
      </c>
    </row>
    <row r="1535" spans="1:20" x14ac:dyDescent="0.35">
      <c r="A1535" s="13" t="s">
        <v>2028</v>
      </c>
      <c r="B1535" s="14">
        <v>45567</v>
      </c>
      <c r="C1535" s="13" t="s">
        <v>294</v>
      </c>
      <c r="D1535" s="13" t="s">
        <v>184</v>
      </c>
      <c r="E1535" s="13" t="s">
        <v>111</v>
      </c>
      <c r="F1535" s="15">
        <v>1</v>
      </c>
      <c r="G1535" s="15">
        <v>4880</v>
      </c>
      <c r="H1535" s="15">
        <v>26.8</v>
      </c>
      <c r="I1535" s="15">
        <v>3572.16</v>
      </c>
      <c r="J1535" s="13" t="s">
        <v>87</v>
      </c>
      <c r="K1535" s="13" t="s">
        <v>133</v>
      </c>
      <c r="L1535" s="34" t="str">
        <f>VLOOKUP(D1535,Products!$A$2:$F$61,3,FALSE)</f>
        <v>Beauty</v>
      </c>
      <c r="M1535" s="34" t="str">
        <f>VLOOKUP(C1535,Customers!$A$2:$F$301,5,FALSE)</f>
        <v>SMB</v>
      </c>
      <c r="N1535" s="34">
        <f>VLOOKUP(C1535,Customers!$A$2:$F$301,3,FALSE)</f>
        <v>43</v>
      </c>
      <c r="O1535" s="34" t="str">
        <f>VLOOKUP(E1535,Sales_Reps!$A$2:$E$31,3,FALSE)</f>
        <v>West</v>
      </c>
      <c r="P1535" s="13" t="s">
        <v>111</v>
      </c>
      <c r="Q1535" s="34">
        <f t="shared" si="50"/>
        <v>901298.89</v>
      </c>
      <c r="R1535" s="34" t="str">
        <f>VLOOKUP(E1535,Sales_Reps!$A$2:$E$100,3,FALSE)</f>
        <v>West</v>
      </c>
      <c r="S1535" s="34" t="str">
        <f t="shared" si="51"/>
        <v>Beauty</v>
      </c>
      <c r="T1535" s="38">
        <f>VLOOKUP(D1535,Products!$A$2:$F$68,4,FALSE)</f>
        <v>2768</v>
      </c>
    </row>
    <row r="1536" spans="1:20" x14ac:dyDescent="0.35">
      <c r="A1536" s="13" t="s">
        <v>2029</v>
      </c>
      <c r="B1536" s="14">
        <v>45337</v>
      </c>
      <c r="C1536" s="13" t="s">
        <v>841</v>
      </c>
      <c r="D1536" s="13" t="s">
        <v>245</v>
      </c>
      <c r="E1536" s="13" t="s">
        <v>154</v>
      </c>
      <c r="F1536" s="15">
        <v>1</v>
      </c>
      <c r="G1536" s="15">
        <v>2270</v>
      </c>
      <c r="H1536" s="15">
        <v>22.2</v>
      </c>
      <c r="I1536" s="15">
        <v>1766.06</v>
      </c>
      <c r="J1536" s="13" t="s">
        <v>87</v>
      </c>
      <c r="K1536" s="13" t="s">
        <v>117</v>
      </c>
      <c r="L1536" s="34" t="str">
        <f>VLOOKUP(D1536,Products!$A$2:$F$61,3,FALSE)</f>
        <v>Grocery</v>
      </c>
      <c r="M1536" s="34" t="str">
        <f>VLOOKUP(C1536,Customers!$A$2:$F$301,5,FALSE)</f>
        <v>Corporate</v>
      </c>
      <c r="N1536" s="34">
        <f>VLOOKUP(C1536,Customers!$A$2:$F$301,3,FALSE)</f>
        <v>41</v>
      </c>
      <c r="O1536" s="34" t="str">
        <f>VLOOKUP(E1536,Sales_Reps!$A$2:$E$31,3,FALSE)</f>
        <v>East</v>
      </c>
      <c r="P1536" s="13" t="s">
        <v>154</v>
      </c>
      <c r="Q1536" s="34">
        <f t="shared" si="50"/>
        <v>983787.4800000001</v>
      </c>
      <c r="R1536" s="34" t="str">
        <f>VLOOKUP(E1536,Sales_Reps!$A$2:$E$100,3,FALSE)</f>
        <v>East</v>
      </c>
      <c r="S1536" s="34" t="str">
        <f t="shared" si="51"/>
        <v>Grocery</v>
      </c>
      <c r="T1536" s="38">
        <f>VLOOKUP(D1536,Products!$A$2:$F$68,4,FALSE)</f>
        <v>1412</v>
      </c>
    </row>
    <row r="1537" spans="1:20" x14ac:dyDescent="0.35">
      <c r="A1537" s="13" t="s">
        <v>2030</v>
      </c>
      <c r="B1537" s="14">
        <v>45376</v>
      </c>
      <c r="C1537" s="13" t="s">
        <v>153</v>
      </c>
      <c r="D1537" s="13" t="s">
        <v>157</v>
      </c>
      <c r="E1537" s="13" t="s">
        <v>201</v>
      </c>
      <c r="F1537" s="15">
        <v>10</v>
      </c>
      <c r="G1537" s="15">
        <v>3450</v>
      </c>
      <c r="H1537" s="15">
        <v>21.9</v>
      </c>
      <c r="I1537" s="15">
        <v>26944.5</v>
      </c>
      <c r="J1537" s="13" t="s">
        <v>87</v>
      </c>
      <c r="K1537" s="13" t="s">
        <v>117</v>
      </c>
      <c r="L1537" s="34" t="str">
        <f>VLOOKUP(D1537,Products!$A$2:$F$61,3,FALSE)</f>
        <v>Beauty</v>
      </c>
      <c r="M1537" s="34" t="str">
        <f>VLOOKUP(C1537,Customers!$A$2:$F$301,5,FALSE)</f>
        <v>SMB</v>
      </c>
      <c r="N1537" s="34">
        <f>VLOOKUP(C1537,Customers!$A$2:$F$301,3,FALSE)</f>
        <v>46</v>
      </c>
      <c r="O1537" s="34" t="str">
        <f>VLOOKUP(E1537,Sales_Reps!$A$2:$E$31,3,FALSE)</f>
        <v>West</v>
      </c>
      <c r="P1537" s="13" t="s">
        <v>201</v>
      </c>
      <c r="Q1537" s="34">
        <f t="shared" si="50"/>
        <v>576305.08000000019</v>
      </c>
      <c r="R1537" s="34" t="str">
        <f>VLOOKUP(E1537,Sales_Reps!$A$2:$E$100,3,FALSE)</f>
        <v>West</v>
      </c>
      <c r="S1537" s="34" t="str">
        <f t="shared" si="51"/>
        <v>Beauty</v>
      </c>
      <c r="T1537" s="38">
        <f>VLOOKUP(D1537,Products!$A$2:$F$68,4,FALSE)</f>
        <v>2420</v>
      </c>
    </row>
    <row r="1538" spans="1:20" x14ac:dyDescent="0.35">
      <c r="A1538" s="13" t="s">
        <v>2031</v>
      </c>
      <c r="B1538" s="14">
        <v>45616</v>
      </c>
      <c r="C1538" s="13" t="s">
        <v>561</v>
      </c>
      <c r="D1538" s="13" t="s">
        <v>245</v>
      </c>
      <c r="E1538" s="13" t="s">
        <v>273</v>
      </c>
      <c r="F1538" s="15">
        <v>3</v>
      </c>
      <c r="G1538" s="15">
        <v>2270</v>
      </c>
      <c r="H1538" s="15">
        <v>19.100000000000001</v>
      </c>
      <c r="I1538" s="15">
        <v>5509.29</v>
      </c>
      <c r="J1538" s="13" t="s">
        <v>140</v>
      </c>
      <c r="K1538" s="13" t="s">
        <v>133</v>
      </c>
      <c r="L1538" s="34" t="str">
        <f>VLOOKUP(D1538,Products!$A$2:$F$61,3,FALSE)</f>
        <v>Grocery</v>
      </c>
      <c r="M1538" s="34" t="str">
        <f>VLOOKUP(C1538,Customers!$A$2:$F$301,5,FALSE)</f>
        <v>SMB</v>
      </c>
      <c r="N1538" s="34">
        <f>VLOOKUP(C1538,Customers!$A$2:$F$301,3,FALSE)</f>
        <v>43</v>
      </c>
      <c r="O1538" s="34" t="str">
        <f>VLOOKUP(E1538,Sales_Reps!$A$2:$E$31,3,FALSE)</f>
        <v>South</v>
      </c>
      <c r="P1538" s="13" t="s">
        <v>273</v>
      </c>
      <c r="Q1538" s="34">
        <f t="shared" si="50"/>
        <v>735207.75999999989</v>
      </c>
      <c r="R1538" s="34" t="str">
        <f>VLOOKUP(E1538,Sales_Reps!$A$2:$E$100,3,FALSE)</f>
        <v>South</v>
      </c>
      <c r="S1538" s="34" t="str">
        <f t="shared" si="51"/>
        <v>Grocery</v>
      </c>
      <c r="T1538" s="38">
        <f>VLOOKUP(D1538,Products!$A$2:$F$68,4,FALSE)</f>
        <v>1412</v>
      </c>
    </row>
    <row r="1539" spans="1:20" x14ac:dyDescent="0.35">
      <c r="A1539" s="13" t="s">
        <v>2032</v>
      </c>
      <c r="B1539" s="14">
        <v>45360</v>
      </c>
      <c r="C1539" s="13" t="s">
        <v>921</v>
      </c>
      <c r="D1539" s="13" t="s">
        <v>338</v>
      </c>
      <c r="E1539" s="13" t="s">
        <v>170</v>
      </c>
      <c r="F1539" s="15">
        <v>10</v>
      </c>
      <c r="G1539" s="15">
        <v>2210</v>
      </c>
      <c r="H1539" s="15">
        <v>22.3</v>
      </c>
      <c r="I1539" s="15">
        <v>17171.7</v>
      </c>
      <c r="J1539" s="13" t="s">
        <v>87</v>
      </c>
      <c r="K1539" s="13" t="s">
        <v>117</v>
      </c>
      <c r="L1539" s="34" t="str">
        <f>VLOOKUP(D1539,Products!$A$2:$F$61,3,FALSE)</f>
        <v>Grocery</v>
      </c>
      <c r="M1539" s="34" t="str">
        <f>VLOOKUP(C1539,Customers!$A$2:$F$301,5,FALSE)</f>
        <v>Retail</v>
      </c>
      <c r="N1539" s="34">
        <f>VLOOKUP(C1539,Customers!$A$2:$F$301,3,FALSE)</f>
        <v>28</v>
      </c>
      <c r="O1539" s="34" t="str">
        <f>VLOOKUP(E1539,Sales_Reps!$A$2:$E$31,3,FALSE)</f>
        <v>West</v>
      </c>
      <c r="P1539" s="13" t="s">
        <v>170</v>
      </c>
      <c r="Q1539" s="34">
        <f t="shared" ref="Q1539:Q1602" si="52">SUMIFS($I:$I,$E:$E,P1539)</f>
        <v>747624.36999999988</v>
      </c>
      <c r="R1539" s="34" t="str">
        <f>VLOOKUP(E1539,Sales_Reps!$A$2:$E$100,3,FALSE)</f>
        <v>West</v>
      </c>
      <c r="S1539" s="34" t="str">
        <f t="shared" ref="S1539:S1602" si="53">L1539</f>
        <v>Grocery</v>
      </c>
      <c r="T1539" s="38">
        <f>VLOOKUP(D1539,Products!$A$2:$F$68,4,FALSE)</f>
        <v>1010</v>
      </c>
    </row>
    <row r="1540" spans="1:20" x14ac:dyDescent="0.35">
      <c r="A1540" s="13" t="s">
        <v>2033</v>
      </c>
      <c r="B1540" s="14">
        <v>45465</v>
      </c>
      <c r="C1540" s="13" t="s">
        <v>474</v>
      </c>
      <c r="D1540" s="13" t="s">
        <v>295</v>
      </c>
      <c r="E1540" s="13" t="s">
        <v>273</v>
      </c>
      <c r="F1540" s="15">
        <v>9</v>
      </c>
      <c r="G1540" s="15">
        <v>2030</v>
      </c>
      <c r="H1540" s="15">
        <v>24.8</v>
      </c>
      <c r="I1540" s="15">
        <v>13739.04</v>
      </c>
      <c r="J1540" s="13" t="s">
        <v>87</v>
      </c>
      <c r="K1540" s="13" t="s">
        <v>99</v>
      </c>
      <c r="L1540" s="34" t="str">
        <f>VLOOKUP(D1540,Products!$A$2:$F$61,3,FALSE)</f>
        <v>Home</v>
      </c>
      <c r="M1540" s="34" t="str">
        <f>VLOOKUP(C1540,Customers!$A$2:$F$301,5,FALSE)</f>
        <v>SMB</v>
      </c>
      <c r="N1540" s="34">
        <f>VLOOKUP(C1540,Customers!$A$2:$F$301,3,FALSE)</f>
        <v>59</v>
      </c>
      <c r="O1540" s="34" t="str">
        <f>VLOOKUP(E1540,Sales_Reps!$A$2:$E$31,3,FALSE)</f>
        <v>South</v>
      </c>
      <c r="P1540" s="13" t="s">
        <v>273</v>
      </c>
      <c r="Q1540" s="34">
        <f t="shared" si="52"/>
        <v>735207.75999999989</v>
      </c>
      <c r="R1540" s="34" t="str">
        <f>VLOOKUP(E1540,Sales_Reps!$A$2:$E$100,3,FALSE)</f>
        <v>South</v>
      </c>
      <c r="S1540" s="34" t="str">
        <f t="shared" si="53"/>
        <v>Home</v>
      </c>
      <c r="T1540" s="38">
        <f>VLOOKUP(D1540,Products!$A$2:$F$68,4,FALSE)</f>
        <v>1143</v>
      </c>
    </row>
    <row r="1541" spans="1:20" x14ac:dyDescent="0.35">
      <c r="A1541" s="13" t="s">
        <v>2034</v>
      </c>
      <c r="B1541" s="14">
        <v>45380</v>
      </c>
      <c r="C1541" s="13" t="s">
        <v>388</v>
      </c>
      <c r="D1541" s="13" t="s">
        <v>179</v>
      </c>
      <c r="E1541" s="13" t="s">
        <v>154</v>
      </c>
      <c r="F1541" s="15">
        <v>5</v>
      </c>
      <c r="G1541" s="15">
        <v>3350</v>
      </c>
      <c r="H1541" s="15">
        <v>18.2</v>
      </c>
      <c r="I1541" s="15">
        <v>13701.5</v>
      </c>
      <c r="J1541" s="13" t="s">
        <v>87</v>
      </c>
      <c r="K1541" s="13" t="s">
        <v>133</v>
      </c>
      <c r="L1541" s="34" t="str">
        <f>VLOOKUP(D1541,Products!$A$2:$F$61,3,FALSE)</f>
        <v>Beauty</v>
      </c>
      <c r="M1541" s="34" t="str">
        <f>VLOOKUP(C1541,Customers!$A$2:$F$301,5,FALSE)</f>
        <v>Retail</v>
      </c>
      <c r="N1541" s="34">
        <f>VLOOKUP(C1541,Customers!$A$2:$F$301,3,FALSE)</f>
        <v>44</v>
      </c>
      <c r="O1541" s="34" t="str">
        <f>VLOOKUP(E1541,Sales_Reps!$A$2:$E$31,3,FALSE)</f>
        <v>East</v>
      </c>
      <c r="P1541" s="13" t="s">
        <v>154</v>
      </c>
      <c r="Q1541" s="34">
        <f t="shared" si="52"/>
        <v>983787.4800000001</v>
      </c>
      <c r="R1541" s="34" t="str">
        <f>VLOOKUP(E1541,Sales_Reps!$A$2:$E$100,3,FALSE)</f>
        <v>East</v>
      </c>
      <c r="S1541" s="34" t="str">
        <f t="shared" si="53"/>
        <v>Beauty</v>
      </c>
      <c r="T1541" s="38">
        <f>VLOOKUP(D1541,Products!$A$2:$F$68,4,FALSE)</f>
        <v>1728</v>
      </c>
    </row>
    <row r="1542" spans="1:20" x14ac:dyDescent="0.35">
      <c r="A1542" s="13" t="s">
        <v>2035</v>
      </c>
      <c r="B1542" s="14">
        <v>45358</v>
      </c>
      <c r="C1542" s="13" t="s">
        <v>1628</v>
      </c>
      <c r="D1542" s="13" t="s">
        <v>237</v>
      </c>
      <c r="E1542" s="13" t="s">
        <v>107</v>
      </c>
      <c r="F1542" s="15">
        <v>7</v>
      </c>
      <c r="G1542" s="15">
        <v>3640</v>
      </c>
      <c r="H1542" s="15">
        <v>14.4</v>
      </c>
      <c r="I1542" s="15">
        <v>21810.880000000001</v>
      </c>
      <c r="J1542" s="13" t="s">
        <v>87</v>
      </c>
      <c r="K1542" s="13" t="s">
        <v>94</v>
      </c>
      <c r="L1542" s="34" t="str">
        <f>VLOOKUP(D1542,Products!$A$2:$F$61,3,FALSE)</f>
        <v>Apparel</v>
      </c>
      <c r="M1542" s="34" t="str">
        <f>VLOOKUP(C1542,Customers!$A$2:$F$301,5,FALSE)</f>
        <v>Retail</v>
      </c>
      <c r="N1542" s="34">
        <f>VLOOKUP(C1542,Customers!$A$2:$F$301,3,FALSE)</f>
        <v>35</v>
      </c>
      <c r="O1542" s="34" t="str">
        <f>VLOOKUP(E1542,Sales_Reps!$A$2:$E$31,3,FALSE)</f>
        <v>North</v>
      </c>
      <c r="P1542" s="13" t="s">
        <v>107</v>
      </c>
      <c r="Q1542" s="34">
        <f t="shared" si="52"/>
        <v>861553.33</v>
      </c>
      <c r="R1542" s="34" t="str">
        <f>VLOOKUP(E1542,Sales_Reps!$A$2:$E$100,3,FALSE)</f>
        <v>North</v>
      </c>
      <c r="S1542" s="34" t="str">
        <f t="shared" si="53"/>
        <v>Apparel</v>
      </c>
      <c r="T1542" s="38">
        <f>VLOOKUP(D1542,Products!$A$2:$F$68,4,FALSE)</f>
        <v>2611</v>
      </c>
    </row>
    <row r="1543" spans="1:20" x14ac:dyDescent="0.35">
      <c r="A1543" s="13" t="s">
        <v>2036</v>
      </c>
      <c r="B1543" s="14">
        <v>45385</v>
      </c>
      <c r="C1543" s="13" t="s">
        <v>902</v>
      </c>
      <c r="D1543" s="13" t="s">
        <v>161</v>
      </c>
      <c r="E1543" s="13" t="s">
        <v>303</v>
      </c>
      <c r="F1543" s="15">
        <v>9</v>
      </c>
      <c r="G1543" s="15">
        <v>3450</v>
      </c>
      <c r="H1543" s="15">
        <v>20.100000000000001</v>
      </c>
      <c r="I1543" s="15">
        <v>24808.95</v>
      </c>
      <c r="J1543" s="13" t="s">
        <v>87</v>
      </c>
      <c r="K1543" s="13" t="s">
        <v>112</v>
      </c>
      <c r="L1543" s="34" t="str">
        <f>VLOOKUP(D1543,Products!$A$2:$F$61,3,FALSE)</f>
        <v>Sports</v>
      </c>
      <c r="M1543" s="34" t="str">
        <f>VLOOKUP(C1543,Customers!$A$2:$F$301,5,FALSE)</f>
        <v>Retail</v>
      </c>
      <c r="N1543" s="34">
        <f>VLOOKUP(C1543,Customers!$A$2:$F$301,3,FALSE)</f>
        <v>37</v>
      </c>
      <c r="O1543" s="34" t="str">
        <f>VLOOKUP(E1543,Sales_Reps!$A$2:$E$31,3,FALSE)</f>
        <v>East</v>
      </c>
      <c r="P1543" s="13" t="s">
        <v>303</v>
      </c>
      <c r="Q1543" s="34">
        <f t="shared" si="52"/>
        <v>1112289.6400000001</v>
      </c>
      <c r="R1543" s="34" t="str">
        <f>VLOOKUP(E1543,Sales_Reps!$A$2:$E$100,3,FALSE)</f>
        <v>East</v>
      </c>
      <c r="S1543" s="34" t="str">
        <f t="shared" si="53"/>
        <v>Sports</v>
      </c>
      <c r="T1543" s="38">
        <f>VLOOKUP(D1543,Products!$A$2:$F$68,4,FALSE)</f>
        <v>2467</v>
      </c>
    </row>
    <row r="1544" spans="1:20" x14ac:dyDescent="0.35">
      <c r="A1544" s="13" t="s">
        <v>2037</v>
      </c>
      <c r="B1544" s="14">
        <v>45443</v>
      </c>
      <c r="C1544" s="13" t="s">
        <v>868</v>
      </c>
      <c r="D1544" s="13" t="s">
        <v>157</v>
      </c>
      <c r="E1544" s="13" t="s">
        <v>148</v>
      </c>
      <c r="F1544" s="15">
        <v>6</v>
      </c>
      <c r="G1544" s="15">
        <v>3450</v>
      </c>
      <c r="H1544" s="15">
        <v>19.899999999999999</v>
      </c>
      <c r="I1544" s="15">
        <v>16580.7</v>
      </c>
      <c r="J1544" s="13" t="s">
        <v>93</v>
      </c>
      <c r="K1544" s="13" t="s">
        <v>99</v>
      </c>
      <c r="L1544" s="34" t="str">
        <f>VLOOKUP(D1544,Products!$A$2:$F$61,3,FALSE)</f>
        <v>Beauty</v>
      </c>
      <c r="M1544" s="34" t="str">
        <f>VLOOKUP(C1544,Customers!$A$2:$F$301,5,FALSE)</f>
        <v>SMB</v>
      </c>
      <c r="N1544" s="34">
        <f>VLOOKUP(C1544,Customers!$A$2:$F$301,3,FALSE)</f>
        <v>38</v>
      </c>
      <c r="O1544" s="34" t="str">
        <f>VLOOKUP(E1544,Sales_Reps!$A$2:$E$31,3,FALSE)</f>
        <v>North</v>
      </c>
      <c r="P1544" s="13" t="s">
        <v>148</v>
      </c>
      <c r="Q1544" s="34">
        <f t="shared" si="52"/>
        <v>986692.91</v>
      </c>
      <c r="R1544" s="34" t="str">
        <f>VLOOKUP(E1544,Sales_Reps!$A$2:$E$100,3,FALSE)</f>
        <v>North</v>
      </c>
      <c r="S1544" s="34" t="str">
        <f t="shared" si="53"/>
        <v>Beauty</v>
      </c>
      <c r="T1544" s="38">
        <f>VLOOKUP(D1544,Products!$A$2:$F$68,4,FALSE)</f>
        <v>2420</v>
      </c>
    </row>
    <row r="1545" spans="1:20" x14ac:dyDescent="0.35">
      <c r="A1545" s="13" t="s">
        <v>2038</v>
      </c>
      <c r="B1545" s="14">
        <v>45599</v>
      </c>
      <c r="C1545" s="13" t="s">
        <v>181</v>
      </c>
      <c r="D1545" s="13" t="s">
        <v>386</v>
      </c>
      <c r="E1545" s="13" t="s">
        <v>285</v>
      </c>
      <c r="F1545" s="15">
        <v>4</v>
      </c>
      <c r="G1545" s="15">
        <v>2290</v>
      </c>
      <c r="H1545" s="15">
        <v>4.8</v>
      </c>
      <c r="I1545" s="15">
        <v>8720.32</v>
      </c>
      <c r="J1545" s="13" t="s">
        <v>93</v>
      </c>
      <c r="K1545" s="13" t="s">
        <v>99</v>
      </c>
      <c r="L1545" s="34" t="str">
        <f>VLOOKUP(D1545,Products!$A$2:$F$61,3,FALSE)</f>
        <v>Beauty</v>
      </c>
      <c r="M1545" s="34" t="str">
        <f>VLOOKUP(C1545,Customers!$A$2:$F$301,5,FALSE)</f>
        <v>Retail</v>
      </c>
      <c r="N1545" s="34">
        <f>VLOOKUP(C1545,Customers!$A$2:$F$301,3,FALSE)</f>
        <v>31</v>
      </c>
      <c r="O1545" s="34" t="str">
        <f>VLOOKUP(E1545,Sales_Reps!$A$2:$E$31,3,FALSE)</f>
        <v>East</v>
      </c>
      <c r="P1545" s="13" t="s">
        <v>285</v>
      </c>
      <c r="Q1545" s="34">
        <f t="shared" si="52"/>
        <v>1069570.5400000003</v>
      </c>
      <c r="R1545" s="34" t="str">
        <f>VLOOKUP(E1545,Sales_Reps!$A$2:$E$100,3,FALSE)</f>
        <v>East</v>
      </c>
      <c r="S1545" s="34" t="str">
        <f t="shared" si="53"/>
        <v>Beauty</v>
      </c>
      <c r="T1545" s="38">
        <f>VLOOKUP(D1545,Products!$A$2:$F$68,4,FALSE)</f>
        <v>1219</v>
      </c>
    </row>
    <row r="1546" spans="1:20" x14ac:dyDescent="0.35">
      <c r="A1546" s="13" t="s">
        <v>2039</v>
      </c>
      <c r="B1546" s="14">
        <v>45479</v>
      </c>
      <c r="C1546" s="13" t="s">
        <v>697</v>
      </c>
      <c r="D1546" s="13" t="s">
        <v>115</v>
      </c>
      <c r="E1546" s="13" t="s">
        <v>132</v>
      </c>
      <c r="F1546" s="15">
        <v>9</v>
      </c>
      <c r="G1546" s="15">
        <v>960</v>
      </c>
      <c r="H1546" s="15">
        <v>2.4</v>
      </c>
      <c r="I1546" s="15">
        <v>8432.64</v>
      </c>
      <c r="J1546" s="13" t="s">
        <v>87</v>
      </c>
      <c r="K1546" s="13" t="s">
        <v>133</v>
      </c>
      <c r="L1546" s="34" t="str">
        <f>VLOOKUP(D1546,Products!$A$2:$F$61,3,FALSE)</f>
        <v>Sports</v>
      </c>
      <c r="M1546" s="34" t="str">
        <f>VLOOKUP(C1546,Customers!$A$2:$F$301,5,FALSE)</f>
        <v>Retail</v>
      </c>
      <c r="N1546" s="34">
        <f>VLOOKUP(C1546,Customers!$A$2:$F$301,3,FALSE)</f>
        <v>65</v>
      </c>
      <c r="O1546" s="34" t="str">
        <f>VLOOKUP(E1546,Sales_Reps!$A$2:$E$31,3,FALSE)</f>
        <v>South</v>
      </c>
      <c r="P1546" s="13" t="s">
        <v>132</v>
      </c>
      <c r="Q1546" s="34">
        <f t="shared" si="52"/>
        <v>880345.20000000007</v>
      </c>
      <c r="R1546" s="34" t="str">
        <f>VLOOKUP(E1546,Sales_Reps!$A$2:$E$100,3,FALSE)</f>
        <v>South</v>
      </c>
      <c r="S1546" s="34" t="str">
        <f t="shared" si="53"/>
        <v>Sports</v>
      </c>
      <c r="T1546" s="38">
        <f>VLOOKUP(D1546,Products!$A$2:$F$68,4,FALSE)</f>
        <v>705</v>
      </c>
    </row>
    <row r="1547" spans="1:20" x14ac:dyDescent="0.35">
      <c r="A1547" s="13" t="s">
        <v>2040</v>
      </c>
      <c r="B1547" s="14">
        <v>45489</v>
      </c>
      <c r="C1547" s="13" t="s">
        <v>725</v>
      </c>
      <c r="D1547" s="13" t="s">
        <v>270</v>
      </c>
      <c r="E1547" s="13" t="s">
        <v>111</v>
      </c>
      <c r="F1547" s="15">
        <v>9</v>
      </c>
      <c r="G1547" s="15">
        <v>4610</v>
      </c>
      <c r="H1547" s="15">
        <v>21.3</v>
      </c>
      <c r="I1547" s="15">
        <v>32652.63</v>
      </c>
      <c r="J1547" s="13" t="s">
        <v>87</v>
      </c>
      <c r="K1547" s="13" t="s">
        <v>99</v>
      </c>
      <c r="L1547" s="34" t="str">
        <f>VLOOKUP(D1547,Products!$A$2:$F$61,3,FALSE)</f>
        <v>Home</v>
      </c>
      <c r="M1547" s="34" t="str">
        <f>VLOOKUP(C1547,Customers!$A$2:$F$301,5,FALSE)</f>
        <v>SMB</v>
      </c>
      <c r="N1547" s="34">
        <f>VLOOKUP(C1547,Customers!$A$2:$F$301,3,FALSE)</f>
        <v>26</v>
      </c>
      <c r="O1547" s="34" t="str">
        <f>VLOOKUP(E1547,Sales_Reps!$A$2:$E$31,3,FALSE)</f>
        <v>West</v>
      </c>
      <c r="P1547" s="13" t="s">
        <v>111</v>
      </c>
      <c r="Q1547" s="34">
        <f t="shared" si="52"/>
        <v>901298.89</v>
      </c>
      <c r="R1547" s="34" t="str">
        <f>VLOOKUP(E1547,Sales_Reps!$A$2:$E$100,3,FALSE)</f>
        <v>West</v>
      </c>
      <c r="S1547" s="34" t="str">
        <f t="shared" si="53"/>
        <v>Home</v>
      </c>
      <c r="T1547" s="38">
        <f>VLOOKUP(D1547,Products!$A$2:$F$68,4,FALSE)</f>
        <v>1850</v>
      </c>
    </row>
    <row r="1548" spans="1:20" x14ac:dyDescent="0.35">
      <c r="A1548" s="13" t="s">
        <v>2041</v>
      </c>
      <c r="B1548" s="14">
        <v>45514</v>
      </c>
      <c r="C1548" s="13" t="s">
        <v>1072</v>
      </c>
      <c r="D1548" s="13" t="s">
        <v>102</v>
      </c>
      <c r="E1548" s="13" t="s">
        <v>148</v>
      </c>
      <c r="F1548" s="15">
        <v>1</v>
      </c>
      <c r="G1548" s="15">
        <v>3660</v>
      </c>
      <c r="H1548" s="15">
        <v>15.6</v>
      </c>
      <c r="I1548" s="15">
        <v>3089.04</v>
      </c>
      <c r="J1548" s="13" t="s">
        <v>87</v>
      </c>
      <c r="K1548" s="13" t="s">
        <v>112</v>
      </c>
      <c r="L1548" s="34" t="str">
        <f>VLOOKUP(D1548,Products!$A$2:$F$61,3,FALSE)</f>
        <v>Grocery</v>
      </c>
      <c r="M1548" s="34" t="str">
        <f>VLOOKUP(C1548,Customers!$A$2:$F$301,5,FALSE)</f>
        <v>SMB</v>
      </c>
      <c r="N1548" s="34">
        <f>VLOOKUP(C1548,Customers!$A$2:$F$301,3,FALSE)</f>
        <v>53</v>
      </c>
      <c r="O1548" s="34" t="str">
        <f>VLOOKUP(E1548,Sales_Reps!$A$2:$E$31,3,FALSE)</f>
        <v>North</v>
      </c>
      <c r="P1548" s="13" t="s">
        <v>148</v>
      </c>
      <c r="Q1548" s="34">
        <f t="shared" si="52"/>
        <v>986692.91</v>
      </c>
      <c r="R1548" s="34" t="str">
        <f>VLOOKUP(E1548,Sales_Reps!$A$2:$E$100,3,FALSE)</f>
        <v>North</v>
      </c>
      <c r="S1548" s="34" t="str">
        <f t="shared" si="53"/>
        <v>Grocery</v>
      </c>
      <c r="T1548" s="38">
        <f>VLOOKUP(D1548,Products!$A$2:$F$68,4,FALSE)</f>
        <v>2214</v>
      </c>
    </row>
    <row r="1549" spans="1:20" x14ac:dyDescent="0.35">
      <c r="A1549" s="13" t="s">
        <v>2042</v>
      </c>
      <c r="B1549" s="14">
        <v>45653</v>
      </c>
      <c r="C1549" s="13" t="s">
        <v>305</v>
      </c>
      <c r="D1549" s="13" t="s">
        <v>279</v>
      </c>
      <c r="E1549" s="13" t="s">
        <v>325</v>
      </c>
      <c r="F1549" s="15">
        <v>5</v>
      </c>
      <c r="G1549" s="15">
        <v>2660</v>
      </c>
      <c r="H1549" s="15">
        <v>20.399999999999999</v>
      </c>
      <c r="I1549" s="15">
        <v>10586.8</v>
      </c>
      <c r="J1549" s="13" t="s">
        <v>87</v>
      </c>
      <c r="K1549" s="13" t="s">
        <v>133</v>
      </c>
      <c r="L1549" s="34" t="str">
        <f>VLOOKUP(D1549,Products!$A$2:$F$61,3,FALSE)</f>
        <v>Electronics</v>
      </c>
      <c r="M1549" s="34" t="str">
        <f>VLOOKUP(C1549,Customers!$A$2:$F$301,5,FALSE)</f>
        <v>Corporate</v>
      </c>
      <c r="N1549" s="34">
        <f>VLOOKUP(C1549,Customers!$A$2:$F$301,3,FALSE)</f>
        <v>46</v>
      </c>
      <c r="O1549" s="34" t="str">
        <f>VLOOKUP(E1549,Sales_Reps!$A$2:$E$31,3,FALSE)</f>
        <v>South</v>
      </c>
      <c r="P1549" s="13" t="s">
        <v>325</v>
      </c>
      <c r="Q1549" s="34">
        <f t="shared" si="52"/>
        <v>901394.32000000007</v>
      </c>
      <c r="R1549" s="34" t="str">
        <f>VLOOKUP(E1549,Sales_Reps!$A$2:$E$100,3,FALSE)</f>
        <v>South</v>
      </c>
      <c r="S1549" s="34" t="str">
        <f t="shared" si="53"/>
        <v>Electronics</v>
      </c>
      <c r="T1549" s="38">
        <f>VLOOKUP(D1549,Products!$A$2:$F$68,4,FALSE)</f>
        <v>1259</v>
      </c>
    </row>
    <row r="1550" spans="1:20" x14ac:dyDescent="0.35">
      <c r="A1550" s="13" t="s">
        <v>2043</v>
      </c>
      <c r="B1550" s="14">
        <v>45401</v>
      </c>
      <c r="C1550" s="13" t="s">
        <v>868</v>
      </c>
      <c r="D1550" s="13" t="s">
        <v>259</v>
      </c>
      <c r="E1550" s="13" t="s">
        <v>201</v>
      </c>
      <c r="F1550" s="15">
        <v>8</v>
      </c>
      <c r="G1550" s="15">
        <v>1540</v>
      </c>
      <c r="H1550" s="15">
        <v>0.5</v>
      </c>
      <c r="I1550" s="15">
        <v>12258.4</v>
      </c>
      <c r="J1550" s="13" t="s">
        <v>87</v>
      </c>
      <c r="K1550" s="13" t="s">
        <v>99</v>
      </c>
      <c r="L1550" s="34" t="str">
        <f>VLOOKUP(D1550,Products!$A$2:$F$61,3,FALSE)</f>
        <v>Beauty</v>
      </c>
      <c r="M1550" s="34" t="str">
        <f>VLOOKUP(C1550,Customers!$A$2:$F$301,5,FALSE)</f>
        <v>SMB</v>
      </c>
      <c r="N1550" s="34">
        <f>VLOOKUP(C1550,Customers!$A$2:$F$301,3,FALSE)</f>
        <v>38</v>
      </c>
      <c r="O1550" s="34" t="str">
        <f>VLOOKUP(E1550,Sales_Reps!$A$2:$E$31,3,FALSE)</f>
        <v>West</v>
      </c>
      <c r="P1550" s="13" t="s">
        <v>201</v>
      </c>
      <c r="Q1550" s="34">
        <f t="shared" si="52"/>
        <v>576305.08000000019</v>
      </c>
      <c r="R1550" s="34" t="str">
        <f>VLOOKUP(E1550,Sales_Reps!$A$2:$E$100,3,FALSE)</f>
        <v>West</v>
      </c>
      <c r="S1550" s="34" t="str">
        <f t="shared" si="53"/>
        <v>Beauty</v>
      </c>
      <c r="T1550" s="38">
        <f>VLOOKUP(D1550,Products!$A$2:$F$68,4,FALSE)</f>
        <v>647</v>
      </c>
    </row>
    <row r="1551" spans="1:20" x14ac:dyDescent="0.35">
      <c r="A1551" s="13" t="s">
        <v>2044</v>
      </c>
      <c r="B1551" s="14">
        <v>45621</v>
      </c>
      <c r="C1551" s="13" t="s">
        <v>507</v>
      </c>
      <c r="D1551" s="13" t="s">
        <v>408</v>
      </c>
      <c r="E1551" s="13" t="s">
        <v>139</v>
      </c>
      <c r="F1551" s="15">
        <v>4</v>
      </c>
      <c r="G1551" s="15">
        <v>3970</v>
      </c>
      <c r="H1551" s="15">
        <v>22.5</v>
      </c>
      <c r="I1551" s="15">
        <v>12307</v>
      </c>
      <c r="J1551" s="13" t="s">
        <v>87</v>
      </c>
      <c r="K1551" s="13" t="s">
        <v>88</v>
      </c>
      <c r="L1551" s="34" t="str">
        <f>VLOOKUP(D1551,Products!$A$2:$F$61,3,FALSE)</f>
        <v>Electronics</v>
      </c>
      <c r="M1551" s="34" t="str">
        <f>VLOOKUP(C1551,Customers!$A$2:$F$301,5,FALSE)</f>
        <v>Retail</v>
      </c>
      <c r="N1551" s="34">
        <f>VLOOKUP(C1551,Customers!$A$2:$F$301,3,FALSE)</f>
        <v>59</v>
      </c>
      <c r="O1551" s="34" t="str">
        <f>VLOOKUP(E1551,Sales_Reps!$A$2:$E$31,3,FALSE)</f>
        <v>North</v>
      </c>
      <c r="P1551" s="13" t="s">
        <v>139</v>
      </c>
      <c r="Q1551" s="34">
        <f t="shared" si="52"/>
        <v>589026.2899999998</v>
      </c>
      <c r="R1551" s="34" t="str">
        <f>VLOOKUP(E1551,Sales_Reps!$A$2:$E$100,3,FALSE)</f>
        <v>North</v>
      </c>
      <c r="S1551" s="34" t="str">
        <f t="shared" si="53"/>
        <v>Electronics</v>
      </c>
      <c r="T1551" s="38">
        <f>VLOOKUP(D1551,Products!$A$2:$F$68,4,FALSE)</f>
        <v>2865</v>
      </c>
    </row>
    <row r="1552" spans="1:20" x14ac:dyDescent="0.35">
      <c r="A1552" s="13" t="s">
        <v>2045</v>
      </c>
      <c r="B1552" s="14">
        <v>45368</v>
      </c>
      <c r="C1552" s="13" t="s">
        <v>369</v>
      </c>
      <c r="D1552" s="13" t="s">
        <v>461</v>
      </c>
      <c r="E1552" s="13" t="s">
        <v>86</v>
      </c>
      <c r="F1552" s="15">
        <v>8</v>
      </c>
      <c r="G1552" s="15">
        <v>3780</v>
      </c>
      <c r="H1552" s="15">
        <v>3.8</v>
      </c>
      <c r="I1552" s="15">
        <v>29090.880000000001</v>
      </c>
      <c r="J1552" s="13" t="s">
        <v>87</v>
      </c>
      <c r="K1552" s="13" t="s">
        <v>94</v>
      </c>
      <c r="L1552" s="34" t="str">
        <f>VLOOKUP(D1552,Products!$A$2:$F$61,3,FALSE)</f>
        <v>Sports</v>
      </c>
      <c r="M1552" s="34" t="str">
        <f>VLOOKUP(C1552,Customers!$A$2:$F$301,5,FALSE)</f>
        <v>SMB</v>
      </c>
      <c r="N1552" s="34">
        <f>VLOOKUP(C1552,Customers!$A$2:$F$301,3,FALSE)</f>
        <v>62</v>
      </c>
      <c r="O1552" s="34" t="str">
        <f>VLOOKUP(E1552,Sales_Reps!$A$2:$E$31,3,FALSE)</f>
        <v>North</v>
      </c>
      <c r="P1552" s="13" t="s">
        <v>86</v>
      </c>
      <c r="Q1552" s="34">
        <f t="shared" si="52"/>
        <v>855749.67999999982</v>
      </c>
      <c r="R1552" s="34" t="str">
        <f>VLOOKUP(E1552,Sales_Reps!$A$2:$E$100,3,FALSE)</f>
        <v>North</v>
      </c>
      <c r="S1552" s="34" t="str">
        <f t="shared" si="53"/>
        <v>Sports</v>
      </c>
      <c r="T1552" s="38">
        <f>VLOOKUP(D1552,Products!$A$2:$F$68,4,FALSE)</f>
        <v>1860</v>
      </c>
    </row>
    <row r="1553" spans="1:20" x14ac:dyDescent="0.35">
      <c r="A1553" s="13" t="s">
        <v>2046</v>
      </c>
      <c r="B1553" s="14">
        <v>45550</v>
      </c>
      <c r="C1553" s="13" t="s">
        <v>394</v>
      </c>
      <c r="D1553" s="13" t="s">
        <v>245</v>
      </c>
      <c r="E1553" s="13" t="s">
        <v>139</v>
      </c>
      <c r="F1553" s="15">
        <v>4</v>
      </c>
      <c r="G1553" s="15">
        <v>2270</v>
      </c>
      <c r="H1553" s="15">
        <v>3.8</v>
      </c>
      <c r="I1553" s="15">
        <v>8734.9599999999991</v>
      </c>
      <c r="J1553" s="13" t="s">
        <v>140</v>
      </c>
      <c r="K1553" s="13" t="s">
        <v>117</v>
      </c>
      <c r="L1553" s="34" t="str">
        <f>VLOOKUP(D1553,Products!$A$2:$F$61,3,FALSE)</f>
        <v>Grocery</v>
      </c>
      <c r="M1553" s="34" t="str">
        <f>VLOOKUP(C1553,Customers!$A$2:$F$301,5,FALSE)</f>
        <v>SMB</v>
      </c>
      <c r="N1553" s="34">
        <f>VLOOKUP(C1553,Customers!$A$2:$F$301,3,FALSE)</f>
        <v>28</v>
      </c>
      <c r="O1553" s="34" t="str">
        <f>VLOOKUP(E1553,Sales_Reps!$A$2:$E$31,3,FALSE)</f>
        <v>North</v>
      </c>
      <c r="P1553" s="13" t="s">
        <v>139</v>
      </c>
      <c r="Q1553" s="34">
        <f t="shared" si="52"/>
        <v>589026.2899999998</v>
      </c>
      <c r="R1553" s="34" t="str">
        <f>VLOOKUP(E1553,Sales_Reps!$A$2:$E$100,3,FALSE)</f>
        <v>North</v>
      </c>
      <c r="S1553" s="34" t="str">
        <f t="shared" si="53"/>
        <v>Grocery</v>
      </c>
      <c r="T1553" s="38">
        <f>VLOOKUP(D1553,Products!$A$2:$F$68,4,FALSE)</f>
        <v>1412</v>
      </c>
    </row>
    <row r="1554" spans="1:20" x14ac:dyDescent="0.35">
      <c r="A1554" s="13" t="s">
        <v>2047</v>
      </c>
      <c r="B1554" s="14">
        <v>45304</v>
      </c>
      <c r="C1554" s="13" t="s">
        <v>333</v>
      </c>
      <c r="D1554" s="13" t="s">
        <v>267</v>
      </c>
      <c r="E1554" s="13" t="s">
        <v>204</v>
      </c>
      <c r="F1554" s="15">
        <v>10</v>
      </c>
      <c r="G1554" s="15">
        <v>1220</v>
      </c>
      <c r="H1554" s="15">
        <v>19.5</v>
      </c>
      <c r="I1554" s="15">
        <v>9821</v>
      </c>
      <c r="J1554" s="13" t="s">
        <v>87</v>
      </c>
      <c r="K1554" s="13" t="s">
        <v>133</v>
      </c>
      <c r="L1554" s="34" t="str">
        <f>VLOOKUP(D1554,Products!$A$2:$F$61,3,FALSE)</f>
        <v>Electronics</v>
      </c>
      <c r="M1554" s="34" t="str">
        <f>VLOOKUP(C1554,Customers!$A$2:$F$301,5,FALSE)</f>
        <v>SMB</v>
      </c>
      <c r="N1554" s="34">
        <f>VLOOKUP(C1554,Customers!$A$2:$F$301,3,FALSE)</f>
        <v>65</v>
      </c>
      <c r="O1554" s="34" t="str">
        <f>VLOOKUP(E1554,Sales_Reps!$A$2:$E$31,3,FALSE)</f>
        <v>South</v>
      </c>
      <c r="P1554" s="13" t="s">
        <v>204</v>
      </c>
      <c r="Q1554" s="34">
        <f t="shared" si="52"/>
        <v>914554.71999999986</v>
      </c>
      <c r="R1554" s="34" t="str">
        <f>VLOOKUP(E1554,Sales_Reps!$A$2:$E$100,3,FALSE)</f>
        <v>South</v>
      </c>
      <c r="S1554" s="34" t="str">
        <f t="shared" si="53"/>
        <v>Electronics</v>
      </c>
      <c r="T1554" s="38">
        <f>VLOOKUP(D1554,Products!$A$2:$F$68,4,FALSE)</f>
        <v>517</v>
      </c>
    </row>
    <row r="1555" spans="1:20" x14ac:dyDescent="0.35">
      <c r="A1555" s="13" t="s">
        <v>2048</v>
      </c>
      <c r="B1555" s="14">
        <v>45321</v>
      </c>
      <c r="C1555" s="13" t="s">
        <v>299</v>
      </c>
      <c r="D1555" s="13" t="s">
        <v>179</v>
      </c>
      <c r="E1555" s="13" t="s">
        <v>188</v>
      </c>
      <c r="F1555" s="15">
        <v>10</v>
      </c>
      <c r="G1555" s="15">
        <v>3350</v>
      </c>
      <c r="H1555" s="15">
        <v>7.8</v>
      </c>
      <c r="I1555" s="15">
        <v>30887</v>
      </c>
      <c r="J1555" s="13" t="s">
        <v>87</v>
      </c>
      <c r="K1555" s="13" t="s">
        <v>133</v>
      </c>
      <c r="L1555" s="34" t="str">
        <f>VLOOKUP(D1555,Products!$A$2:$F$61,3,FALSE)</f>
        <v>Beauty</v>
      </c>
      <c r="M1555" s="34" t="str">
        <f>VLOOKUP(C1555,Customers!$A$2:$F$301,5,FALSE)</f>
        <v>Retail</v>
      </c>
      <c r="N1555" s="34">
        <f>VLOOKUP(C1555,Customers!$A$2:$F$301,3,FALSE)</f>
        <v>29</v>
      </c>
      <c r="O1555" s="34" t="str">
        <f>VLOOKUP(E1555,Sales_Reps!$A$2:$E$31,3,FALSE)</f>
        <v>South</v>
      </c>
      <c r="P1555" s="13" t="s">
        <v>188</v>
      </c>
      <c r="Q1555" s="34">
        <f t="shared" si="52"/>
        <v>1091740.1799999997</v>
      </c>
      <c r="R1555" s="34" t="str">
        <f>VLOOKUP(E1555,Sales_Reps!$A$2:$E$100,3,FALSE)</f>
        <v>South</v>
      </c>
      <c r="S1555" s="34" t="str">
        <f t="shared" si="53"/>
        <v>Beauty</v>
      </c>
      <c r="T1555" s="38">
        <f>VLOOKUP(D1555,Products!$A$2:$F$68,4,FALSE)</f>
        <v>1728</v>
      </c>
    </row>
    <row r="1556" spans="1:20" x14ac:dyDescent="0.35">
      <c r="A1556" s="13" t="s">
        <v>2049</v>
      </c>
      <c r="B1556" s="14">
        <v>45358</v>
      </c>
      <c r="C1556" s="13" t="s">
        <v>2050</v>
      </c>
      <c r="D1556" s="13" t="s">
        <v>179</v>
      </c>
      <c r="E1556" s="13" t="s">
        <v>170</v>
      </c>
      <c r="F1556" s="15">
        <v>7</v>
      </c>
      <c r="G1556" s="15">
        <v>3350</v>
      </c>
      <c r="H1556" s="15">
        <v>14.5</v>
      </c>
      <c r="I1556" s="15">
        <v>20049.75</v>
      </c>
      <c r="J1556" s="13" t="s">
        <v>87</v>
      </c>
      <c r="K1556" s="13" t="s">
        <v>117</v>
      </c>
      <c r="L1556" s="34" t="str">
        <f>VLOOKUP(D1556,Products!$A$2:$F$61,3,FALSE)</f>
        <v>Beauty</v>
      </c>
      <c r="M1556" s="34" t="e">
        <f>VLOOKUP(C1556,Customers!$A$2:$F$301,5,FALSE)</f>
        <v>#N/A</v>
      </c>
      <c r="N1556" s="34" t="e">
        <f>VLOOKUP(C1556,Customers!$A$2:$F$301,3,FALSE)</f>
        <v>#N/A</v>
      </c>
      <c r="O1556" s="34" t="str">
        <f>VLOOKUP(E1556,Sales_Reps!$A$2:$E$31,3,FALSE)</f>
        <v>West</v>
      </c>
      <c r="P1556" s="13" t="s">
        <v>170</v>
      </c>
      <c r="Q1556" s="34">
        <f t="shared" si="52"/>
        <v>747624.36999999988</v>
      </c>
      <c r="R1556" s="34" t="str">
        <f>VLOOKUP(E1556,Sales_Reps!$A$2:$E$100,3,FALSE)</f>
        <v>West</v>
      </c>
      <c r="S1556" s="34" t="str">
        <f t="shared" si="53"/>
        <v>Beauty</v>
      </c>
      <c r="T1556" s="38">
        <f>VLOOKUP(D1556,Products!$A$2:$F$68,4,FALSE)</f>
        <v>1728</v>
      </c>
    </row>
    <row r="1557" spans="1:20" x14ac:dyDescent="0.35">
      <c r="A1557" s="13" t="s">
        <v>2051</v>
      </c>
      <c r="B1557" s="14">
        <v>45440</v>
      </c>
      <c r="C1557" s="13" t="s">
        <v>217</v>
      </c>
      <c r="D1557" s="13" t="s">
        <v>124</v>
      </c>
      <c r="E1557" s="13" t="s">
        <v>98</v>
      </c>
      <c r="F1557" s="15">
        <v>6</v>
      </c>
      <c r="G1557" s="15">
        <v>5490</v>
      </c>
      <c r="H1557" s="15">
        <v>8</v>
      </c>
      <c r="I1557" s="15">
        <v>30304.799999999999</v>
      </c>
      <c r="J1557" s="13" t="s">
        <v>87</v>
      </c>
      <c r="K1557" s="13" t="s">
        <v>94</v>
      </c>
      <c r="L1557" s="34" t="str">
        <f>VLOOKUP(D1557,Products!$A$2:$F$61,3,FALSE)</f>
        <v>Home</v>
      </c>
      <c r="M1557" s="34" t="str">
        <f>VLOOKUP(C1557,Customers!$A$2:$F$301,5,FALSE)</f>
        <v>Retail</v>
      </c>
      <c r="N1557" s="34">
        <f>VLOOKUP(C1557,Customers!$A$2:$F$301,3,FALSE)</f>
        <v>51</v>
      </c>
      <c r="O1557" s="34" t="str">
        <f>VLOOKUP(E1557,Sales_Reps!$A$2:$E$31,3,FALSE)</f>
        <v>South</v>
      </c>
      <c r="P1557" s="13" t="s">
        <v>98</v>
      </c>
      <c r="Q1557" s="34">
        <f t="shared" si="52"/>
        <v>995713.54000000015</v>
      </c>
      <c r="R1557" s="34" t="str">
        <f>VLOOKUP(E1557,Sales_Reps!$A$2:$E$100,3,FALSE)</f>
        <v>South</v>
      </c>
      <c r="S1557" s="34" t="str">
        <f t="shared" si="53"/>
        <v>Home</v>
      </c>
      <c r="T1557" s="38">
        <f>VLOOKUP(D1557,Products!$A$2:$F$68,4,FALSE)</f>
        <v>2549</v>
      </c>
    </row>
    <row r="1558" spans="1:20" x14ac:dyDescent="0.35">
      <c r="A1558" s="13" t="s">
        <v>2052</v>
      </c>
      <c r="B1558" s="14">
        <v>45618</v>
      </c>
      <c r="C1558" s="13" t="s">
        <v>2053</v>
      </c>
      <c r="D1558" s="13" t="s">
        <v>195</v>
      </c>
      <c r="E1558" s="13" t="s">
        <v>303</v>
      </c>
      <c r="F1558" s="15">
        <v>3</v>
      </c>
      <c r="G1558" s="15">
        <v>2860</v>
      </c>
      <c r="H1558" s="15">
        <v>19.899999999999999</v>
      </c>
      <c r="I1558" s="15">
        <v>6872.58</v>
      </c>
      <c r="J1558" s="13" t="s">
        <v>87</v>
      </c>
      <c r="K1558" s="13" t="s">
        <v>133</v>
      </c>
      <c r="L1558" s="34" t="str">
        <f>VLOOKUP(D1558,Products!$A$2:$F$61,3,FALSE)</f>
        <v>Sports</v>
      </c>
      <c r="M1558" s="34" t="str">
        <f>VLOOKUP(C1558,Customers!$A$2:$F$301,5,FALSE)</f>
        <v>SMB</v>
      </c>
      <c r="N1558" s="34">
        <f>VLOOKUP(C1558,Customers!$A$2:$F$301,3,FALSE)</f>
        <v>39</v>
      </c>
      <c r="O1558" s="34" t="str">
        <f>VLOOKUP(E1558,Sales_Reps!$A$2:$E$31,3,FALSE)</f>
        <v>East</v>
      </c>
      <c r="P1558" s="13" t="s">
        <v>303</v>
      </c>
      <c r="Q1558" s="34">
        <f t="shared" si="52"/>
        <v>1112289.6400000001</v>
      </c>
      <c r="R1558" s="34" t="str">
        <f>VLOOKUP(E1558,Sales_Reps!$A$2:$E$100,3,FALSE)</f>
        <v>East</v>
      </c>
      <c r="S1558" s="34" t="str">
        <f t="shared" si="53"/>
        <v>Sports</v>
      </c>
      <c r="T1558" s="38">
        <f>VLOOKUP(D1558,Products!$A$2:$F$68,4,FALSE)</f>
        <v>2028</v>
      </c>
    </row>
    <row r="1559" spans="1:20" x14ac:dyDescent="0.35">
      <c r="A1559" s="13" t="s">
        <v>2054</v>
      </c>
      <c r="B1559" s="14">
        <v>45295</v>
      </c>
      <c r="C1559" s="13" t="s">
        <v>717</v>
      </c>
      <c r="D1559" s="13" t="s">
        <v>135</v>
      </c>
      <c r="E1559" s="13" t="s">
        <v>116</v>
      </c>
      <c r="F1559" s="15">
        <v>3</v>
      </c>
      <c r="G1559" s="15">
        <v>2640</v>
      </c>
      <c r="H1559" s="15">
        <v>29.3</v>
      </c>
      <c r="I1559" s="15">
        <v>5599.44</v>
      </c>
      <c r="J1559" s="13" t="s">
        <v>87</v>
      </c>
      <c r="K1559" s="13" t="s">
        <v>94</v>
      </c>
      <c r="L1559" s="34" t="str">
        <f>VLOOKUP(D1559,Products!$A$2:$F$61,3,FALSE)</f>
        <v>Electronics</v>
      </c>
      <c r="M1559" s="34" t="str">
        <f>VLOOKUP(C1559,Customers!$A$2:$F$301,5,FALSE)</f>
        <v>Retail</v>
      </c>
      <c r="N1559" s="34">
        <f>VLOOKUP(C1559,Customers!$A$2:$F$301,3,FALSE)</f>
        <v>24</v>
      </c>
      <c r="O1559" s="34" t="str">
        <f>VLOOKUP(E1559,Sales_Reps!$A$2:$E$31,3,FALSE)</f>
        <v>West</v>
      </c>
      <c r="P1559" s="13" t="s">
        <v>116</v>
      </c>
      <c r="Q1559" s="34">
        <f t="shared" si="52"/>
        <v>819558.58</v>
      </c>
      <c r="R1559" s="34" t="str">
        <f>VLOOKUP(E1559,Sales_Reps!$A$2:$E$100,3,FALSE)</f>
        <v>West</v>
      </c>
      <c r="S1559" s="34" t="str">
        <f t="shared" si="53"/>
        <v>Electronics</v>
      </c>
      <c r="T1559" s="38">
        <f>VLOOKUP(D1559,Products!$A$2:$F$68,4,FALSE)</f>
        <v>1149</v>
      </c>
    </row>
    <row r="1560" spans="1:20" x14ac:dyDescent="0.35">
      <c r="A1560" s="13" t="s">
        <v>2055</v>
      </c>
      <c r="B1560" s="14">
        <v>45384</v>
      </c>
      <c r="C1560" s="13" t="s">
        <v>541</v>
      </c>
      <c r="D1560" s="13" t="s">
        <v>452</v>
      </c>
      <c r="E1560" s="13" t="s">
        <v>229</v>
      </c>
      <c r="F1560" s="15">
        <v>8</v>
      </c>
      <c r="G1560" s="15">
        <v>3450</v>
      </c>
      <c r="H1560" s="15">
        <v>15.2</v>
      </c>
      <c r="I1560" s="15">
        <v>23404.799999999999</v>
      </c>
      <c r="J1560" s="13" t="s">
        <v>140</v>
      </c>
      <c r="K1560" s="13" t="s">
        <v>94</v>
      </c>
      <c r="L1560" s="34" t="str">
        <f>VLOOKUP(D1560,Products!$A$2:$F$61,3,FALSE)</f>
        <v>Apparel</v>
      </c>
      <c r="M1560" s="34" t="str">
        <f>VLOOKUP(C1560,Customers!$A$2:$F$301,5,FALSE)</f>
        <v>Corporate</v>
      </c>
      <c r="N1560" s="34">
        <f>VLOOKUP(C1560,Customers!$A$2:$F$301,3,FALSE)</f>
        <v>34</v>
      </c>
      <c r="O1560" s="34" t="str">
        <f>VLOOKUP(E1560,Sales_Reps!$A$2:$E$31,3,FALSE)</f>
        <v>West</v>
      </c>
      <c r="P1560" s="13" t="s">
        <v>229</v>
      </c>
      <c r="Q1560" s="34">
        <f t="shared" si="52"/>
        <v>1016696.8000000002</v>
      </c>
      <c r="R1560" s="34" t="str">
        <f>VLOOKUP(E1560,Sales_Reps!$A$2:$E$100,3,FALSE)</f>
        <v>West</v>
      </c>
      <c r="S1560" s="34" t="str">
        <f t="shared" si="53"/>
        <v>Apparel</v>
      </c>
      <c r="T1560" s="38">
        <f>VLOOKUP(D1560,Products!$A$2:$F$68,4,FALSE)</f>
        <v>1748</v>
      </c>
    </row>
    <row r="1561" spans="1:20" x14ac:dyDescent="0.35">
      <c r="A1561" s="13" t="s">
        <v>2056</v>
      </c>
      <c r="B1561" s="14">
        <v>45349</v>
      </c>
      <c r="C1561" s="13" t="s">
        <v>868</v>
      </c>
      <c r="D1561" s="13" t="s">
        <v>110</v>
      </c>
      <c r="E1561" s="13" t="s">
        <v>111</v>
      </c>
      <c r="F1561" s="15">
        <v>6</v>
      </c>
      <c r="G1561" s="15">
        <v>370</v>
      </c>
      <c r="H1561" s="15">
        <v>7</v>
      </c>
      <c r="I1561" s="15">
        <v>2064.6</v>
      </c>
      <c r="J1561" s="13" t="s">
        <v>87</v>
      </c>
      <c r="K1561" s="13" t="s">
        <v>99</v>
      </c>
      <c r="L1561" s="34" t="str">
        <f>VLOOKUP(D1561,Products!$A$2:$F$61,3,FALSE)</f>
        <v>Home</v>
      </c>
      <c r="M1561" s="34" t="str">
        <f>VLOOKUP(C1561,Customers!$A$2:$F$301,5,FALSE)</f>
        <v>SMB</v>
      </c>
      <c r="N1561" s="34">
        <f>VLOOKUP(C1561,Customers!$A$2:$F$301,3,FALSE)</f>
        <v>38</v>
      </c>
      <c r="O1561" s="34" t="str">
        <f>VLOOKUP(E1561,Sales_Reps!$A$2:$E$31,3,FALSE)</f>
        <v>West</v>
      </c>
      <c r="P1561" s="13" t="s">
        <v>111</v>
      </c>
      <c r="Q1561" s="34">
        <f t="shared" si="52"/>
        <v>901298.89</v>
      </c>
      <c r="R1561" s="34" t="str">
        <f>VLOOKUP(E1561,Sales_Reps!$A$2:$E$100,3,FALSE)</f>
        <v>West</v>
      </c>
      <c r="S1561" s="34" t="str">
        <f t="shared" si="53"/>
        <v>Home</v>
      </c>
      <c r="T1561" s="38">
        <f>VLOOKUP(D1561,Products!$A$2:$F$68,4,FALSE)</f>
        <v>288</v>
      </c>
    </row>
    <row r="1562" spans="1:20" x14ac:dyDescent="0.35">
      <c r="A1562" s="13" t="s">
        <v>2057</v>
      </c>
      <c r="B1562" s="14">
        <v>45439</v>
      </c>
      <c r="C1562" s="13" t="s">
        <v>350</v>
      </c>
      <c r="D1562" s="13" t="s">
        <v>351</v>
      </c>
      <c r="E1562" s="13" t="s">
        <v>229</v>
      </c>
      <c r="F1562" s="15">
        <v>10</v>
      </c>
      <c r="G1562" s="15">
        <v>4060</v>
      </c>
      <c r="H1562" s="15">
        <v>4.7</v>
      </c>
      <c r="I1562" s="15">
        <v>38691.800000000003</v>
      </c>
      <c r="J1562" s="13" t="s">
        <v>140</v>
      </c>
      <c r="K1562" s="13" t="s">
        <v>112</v>
      </c>
      <c r="L1562" s="34" t="str">
        <f>VLOOKUP(D1562,Products!$A$2:$F$61,3,FALSE)</f>
        <v>Grocery</v>
      </c>
      <c r="M1562" s="34" t="str">
        <f>VLOOKUP(C1562,Customers!$A$2:$F$301,5,FALSE)</f>
        <v>SMB</v>
      </c>
      <c r="N1562" s="34">
        <f>VLOOKUP(C1562,Customers!$A$2:$F$301,3,FALSE)</f>
        <v>22</v>
      </c>
      <c r="O1562" s="34" t="str">
        <f>VLOOKUP(E1562,Sales_Reps!$A$2:$E$31,3,FALSE)</f>
        <v>West</v>
      </c>
      <c r="P1562" s="13" t="s">
        <v>229</v>
      </c>
      <c r="Q1562" s="34">
        <f t="shared" si="52"/>
        <v>1016696.8000000002</v>
      </c>
      <c r="R1562" s="34" t="str">
        <f>VLOOKUP(E1562,Sales_Reps!$A$2:$E$100,3,FALSE)</f>
        <v>West</v>
      </c>
      <c r="S1562" s="34" t="str">
        <f t="shared" si="53"/>
        <v>Grocery</v>
      </c>
      <c r="T1562" s="38">
        <f>VLOOKUP(D1562,Products!$A$2:$F$68,4,FALSE)</f>
        <v>2911</v>
      </c>
    </row>
    <row r="1563" spans="1:20" x14ac:dyDescent="0.35">
      <c r="A1563" s="13" t="s">
        <v>2058</v>
      </c>
      <c r="B1563" s="14">
        <v>45426</v>
      </c>
      <c r="C1563" s="13" t="s">
        <v>1038</v>
      </c>
      <c r="D1563" s="13" t="s">
        <v>248</v>
      </c>
      <c r="E1563" s="13" t="s">
        <v>116</v>
      </c>
      <c r="F1563" s="15">
        <v>1</v>
      </c>
      <c r="G1563" s="15">
        <v>3870</v>
      </c>
      <c r="H1563" s="15">
        <v>18.2</v>
      </c>
      <c r="I1563" s="15">
        <v>3165.66</v>
      </c>
      <c r="J1563" s="13" t="s">
        <v>93</v>
      </c>
      <c r="K1563" s="13" t="s">
        <v>117</v>
      </c>
      <c r="L1563" s="34" t="str">
        <f>VLOOKUP(D1563,Products!$A$2:$F$61,3,FALSE)</f>
        <v>Electronics</v>
      </c>
      <c r="M1563" s="34" t="str">
        <f>VLOOKUP(C1563,Customers!$A$2:$F$301,5,FALSE)</f>
        <v>Corporate</v>
      </c>
      <c r="N1563" s="34">
        <f>VLOOKUP(C1563,Customers!$A$2:$F$301,3,FALSE)</f>
        <v>55</v>
      </c>
      <c r="O1563" s="34" t="str">
        <f>VLOOKUP(E1563,Sales_Reps!$A$2:$E$31,3,FALSE)</f>
        <v>West</v>
      </c>
      <c r="P1563" s="13" t="s">
        <v>116</v>
      </c>
      <c r="Q1563" s="34">
        <f t="shared" si="52"/>
        <v>819558.58</v>
      </c>
      <c r="R1563" s="34" t="str">
        <f>VLOOKUP(E1563,Sales_Reps!$A$2:$E$100,3,FALSE)</f>
        <v>West</v>
      </c>
      <c r="S1563" s="34" t="str">
        <f t="shared" si="53"/>
        <v>Electronics</v>
      </c>
      <c r="T1563" s="38">
        <f>VLOOKUP(D1563,Products!$A$2:$F$68,4,FALSE)</f>
        <v>1559</v>
      </c>
    </row>
    <row r="1564" spans="1:20" x14ac:dyDescent="0.35">
      <c r="A1564" s="13" t="s">
        <v>2059</v>
      </c>
      <c r="B1564" s="14">
        <v>45385</v>
      </c>
      <c r="C1564" s="13" t="s">
        <v>1096</v>
      </c>
      <c r="D1564" s="13" t="s">
        <v>364</v>
      </c>
      <c r="E1564" s="13" t="s">
        <v>103</v>
      </c>
      <c r="F1564" s="15">
        <v>1</v>
      </c>
      <c r="G1564" s="15">
        <v>5330</v>
      </c>
      <c r="H1564" s="15">
        <v>3.9</v>
      </c>
      <c r="I1564" s="15">
        <v>5122.13</v>
      </c>
      <c r="J1564" s="13" t="s">
        <v>144</v>
      </c>
      <c r="K1564" s="13" t="s">
        <v>88</v>
      </c>
      <c r="L1564" s="34" t="str">
        <f>VLOOKUP(D1564,Products!$A$2:$F$61,3,FALSE)</f>
        <v>Electronics</v>
      </c>
      <c r="M1564" s="34" t="str">
        <f>VLOOKUP(C1564,Customers!$A$2:$F$301,5,FALSE)</f>
        <v>Corporate</v>
      </c>
      <c r="N1564" s="34">
        <f>VLOOKUP(C1564,Customers!$A$2:$F$301,3,FALSE)</f>
        <v>42</v>
      </c>
      <c r="O1564" s="34" t="str">
        <f>VLOOKUP(E1564,Sales_Reps!$A$2:$E$31,3,FALSE)</f>
        <v>North</v>
      </c>
      <c r="P1564" s="13" t="s">
        <v>103</v>
      </c>
      <c r="Q1564" s="34">
        <f t="shared" si="52"/>
        <v>1138648.73</v>
      </c>
      <c r="R1564" s="34" t="str">
        <f>VLOOKUP(E1564,Sales_Reps!$A$2:$E$100,3,FALSE)</f>
        <v>North</v>
      </c>
      <c r="S1564" s="34" t="str">
        <f t="shared" si="53"/>
        <v>Electronics</v>
      </c>
      <c r="T1564" s="38">
        <f>VLOOKUP(D1564,Products!$A$2:$F$68,4,FALSE)</f>
        <v>2405</v>
      </c>
    </row>
    <row r="1565" spans="1:20" x14ac:dyDescent="0.35">
      <c r="A1565" s="13" t="s">
        <v>2060</v>
      </c>
      <c r="B1565" s="14">
        <v>45312</v>
      </c>
      <c r="C1565" s="13" t="s">
        <v>655</v>
      </c>
      <c r="D1565" s="13" t="s">
        <v>110</v>
      </c>
      <c r="E1565" s="13" t="s">
        <v>192</v>
      </c>
      <c r="F1565" s="15">
        <v>8</v>
      </c>
      <c r="G1565" s="15">
        <v>370</v>
      </c>
      <c r="H1565" s="15">
        <v>1.3</v>
      </c>
      <c r="I1565" s="15">
        <v>2921.52</v>
      </c>
      <c r="J1565" s="13" t="s">
        <v>87</v>
      </c>
      <c r="K1565" s="13" t="s">
        <v>133</v>
      </c>
      <c r="L1565" s="34" t="str">
        <f>VLOOKUP(D1565,Products!$A$2:$F$61,3,FALSE)</f>
        <v>Home</v>
      </c>
      <c r="M1565" s="34" t="str">
        <f>VLOOKUP(C1565,Customers!$A$2:$F$301,5,FALSE)</f>
        <v>Retail</v>
      </c>
      <c r="N1565" s="34">
        <f>VLOOKUP(C1565,Customers!$A$2:$F$301,3,FALSE)</f>
        <v>27</v>
      </c>
      <c r="O1565" s="34" t="str">
        <f>VLOOKUP(E1565,Sales_Reps!$A$2:$E$31,3,FALSE)</f>
        <v>East</v>
      </c>
      <c r="P1565" s="13" t="s">
        <v>192</v>
      </c>
      <c r="Q1565" s="34">
        <f t="shared" si="52"/>
        <v>906107.71000000008</v>
      </c>
      <c r="R1565" s="34" t="str">
        <f>VLOOKUP(E1565,Sales_Reps!$A$2:$E$100,3,FALSE)</f>
        <v>East</v>
      </c>
      <c r="S1565" s="34" t="str">
        <f t="shared" si="53"/>
        <v>Home</v>
      </c>
      <c r="T1565" s="38">
        <f>VLOOKUP(D1565,Products!$A$2:$F$68,4,FALSE)</f>
        <v>288</v>
      </c>
    </row>
    <row r="1566" spans="1:20" x14ac:dyDescent="0.35">
      <c r="A1566" s="13" t="s">
        <v>2061</v>
      </c>
      <c r="B1566" s="14">
        <v>45622</v>
      </c>
      <c r="C1566" s="13" t="s">
        <v>465</v>
      </c>
      <c r="D1566" s="13" t="s">
        <v>282</v>
      </c>
      <c r="E1566" s="13" t="s">
        <v>192</v>
      </c>
      <c r="F1566" s="15">
        <v>7</v>
      </c>
      <c r="G1566" s="15">
        <v>300</v>
      </c>
      <c r="H1566" s="15">
        <v>7.1</v>
      </c>
      <c r="I1566" s="15">
        <v>1950.9</v>
      </c>
      <c r="J1566" s="13" t="s">
        <v>87</v>
      </c>
      <c r="K1566" s="13" t="s">
        <v>112</v>
      </c>
      <c r="L1566" s="34" t="str">
        <f>VLOOKUP(D1566,Products!$A$2:$F$61,3,FALSE)</f>
        <v>Electronics</v>
      </c>
      <c r="M1566" s="34" t="str">
        <f>VLOOKUP(C1566,Customers!$A$2:$F$301,5,FALSE)</f>
        <v>Retail</v>
      </c>
      <c r="N1566" s="34">
        <f>VLOOKUP(C1566,Customers!$A$2:$F$301,3,FALSE)</f>
        <v>61</v>
      </c>
      <c r="O1566" s="34" t="str">
        <f>VLOOKUP(E1566,Sales_Reps!$A$2:$E$31,3,FALSE)</f>
        <v>East</v>
      </c>
      <c r="P1566" s="13" t="s">
        <v>192</v>
      </c>
      <c r="Q1566" s="34">
        <f t="shared" si="52"/>
        <v>906107.71000000008</v>
      </c>
      <c r="R1566" s="34" t="str">
        <f>VLOOKUP(E1566,Sales_Reps!$A$2:$E$100,3,FALSE)</f>
        <v>East</v>
      </c>
      <c r="S1566" s="34" t="str">
        <f t="shared" si="53"/>
        <v>Electronics</v>
      </c>
      <c r="T1566" s="38">
        <f>VLOOKUP(D1566,Products!$A$2:$F$68,4,FALSE)</f>
        <v>128</v>
      </c>
    </row>
    <row r="1567" spans="1:20" x14ac:dyDescent="0.35">
      <c r="A1567" s="13" t="s">
        <v>2062</v>
      </c>
      <c r="B1567" s="14">
        <v>45508</v>
      </c>
      <c r="C1567" s="13" t="s">
        <v>615</v>
      </c>
      <c r="D1567" s="13" t="s">
        <v>179</v>
      </c>
      <c r="E1567" s="13" t="s">
        <v>325</v>
      </c>
      <c r="F1567" s="15">
        <v>8</v>
      </c>
      <c r="G1567" s="15">
        <v>3350</v>
      </c>
      <c r="H1567" s="15">
        <v>11.2</v>
      </c>
      <c r="I1567" s="15">
        <v>23798.400000000001</v>
      </c>
      <c r="J1567" s="13" t="s">
        <v>87</v>
      </c>
      <c r="K1567" s="13" t="s">
        <v>112</v>
      </c>
      <c r="L1567" s="34" t="str">
        <f>VLOOKUP(D1567,Products!$A$2:$F$61,3,FALSE)</f>
        <v>Beauty</v>
      </c>
      <c r="M1567" s="34" t="str">
        <f>VLOOKUP(C1567,Customers!$A$2:$F$301,5,FALSE)</f>
        <v>Retail</v>
      </c>
      <c r="N1567" s="34">
        <f>VLOOKUP(C1567,Customers!$A$2:$F$301,3,FALSE)</f>
        <v>53</v>
      </c>
      <c r="O1567" s="34" t="str">
        <f>VLOOKUP(E1567,Sales_Reps!$A$2:$E$31,3,FALSE)</f>
        <v>South</v>
      </c>
      <c r="P1567" s="13" t="s">
        <v>325</v>
      </c>
      <c r="Q1567" s="34">
        <f t="shared" si="52"/>
        <v>901394.32000000007</v>
      </c>
      <c r="R1567" s="34" t="str">
        <f>VLOOKUP(E1567,Sales_Reps!$A$2:$E$100,3,FALSE)</f>
        <v>South</v>
      </c>
      <c r="S1567" s="34" t="str">
        <f t="shared" si="53"/>
        <v>Beauty</v>
      </c>
      <c r="T1567" s="38">
        <f>VLOOKUP(D1567,Products!$A$2:$F$68,4,FALSE)</f>
        <v>1728</v>
      </c>
    </row>
    <row r="1568" spans="1:20" x14ac:dyDescent="0.35">
      <c r="A1568" s="13" t="s">
        <v>2063</v>
      </c>
      <c r="B1568" s="14">
        <v>45528</v>
      </c>
      <c r="C1568" s="13" t="s">
        <v>1308</v>
      </c>
      <c r="D1568" s="13" t="s">
        <v>515</v>
      </c>
      <c r="E1568" s="13" t="s">
        <v>204</v>
      </c>
      <c r="F1568" s="15">
        <v>6</v>
      </c>
      <c r="G1568" s="15">
        <v>6940</v>
      </c>
      <c r="H1568" s="15">
        <v>0.3</v>
      </c>
      <c r="I1568" s="15">
        <v>41515.08</v>
      </c>
      <c r="J1568" s="13" t="s">
        <v>87</v>
      </c>
      <c r="K1568" s="13" t="s">
        <v>94</v>
      </c>
      <c r="L1568" s="34" t="str">
        <f>VLOOKUP(D1568,Products!$A$2:$F$61,3,FALSE)</f>
        <v>Sports</v>
      </c>
      <c r="M1568" s="34" t="str">
        <f>VLOOKUP(C1568,Customers!$A$2:$F$301,5,FALSE)</f>
        <v>SMB</v>
      </c>
      <c r="N1568" s="34">
        <f>VLOOKUP(C1568,Customers!$A$2:$F$301,3,FALSE)</f>
        <v>51</v>
      </c>
      <c r="O1568" s="34" t="str">
        <f>VLOOKUP(E1568,Sales_Reps!$A$2:$E$31,3,FALSE)</f>
        <v>South</v>
      </c>
      <c r="P1568" s="13" t="s">
        <v>204</v>
      </c>
      <c r="Q1568" s="34">
        <f t="shared" si="52"/>
        <v>914554.71999999986</v>
      </c>
      <c r="R1568" s="34" t="str">
        <f>VLOOKUP(E1568,Sales_Reps!$A$2:$E$100,3,FALSE)</f>
        <v>South</v>
      </c>
      <c r="S1568" s="34" t="str">
        <f t="shared" si="53"/>
        <v>Sports</v>
      </c>
      <c r="T1568" s="38">
        <f>VLOOKUP(D1568,Products!$A$2:$F$68,4,FALSE)</f>
        <v>2827</v>
      </c>
    </row>
    <row r="1569" spans="1:20" x14ac:dyDescent="0.35">
      <c r="A1569" s="13" t="s">
        <v>2064</v>
      </c>
      <c r="B1569" s="14">
        <v>45483</v>
      </c>
      <c r="C1569" s="13" t="s">
        <v>752</v>
      </c>
      <c r="D1569" s="13" t="s">
        <v>380</v>
      </c>
      <c r="E1569" s="13" t="s">
        <v>107</v>
      </c>
      <c r="F1569" s="15">
        <v>10</v>
      </c>
      <c r="G1569" s="15">
        <v>960</v>
      </c>
      <c r="H1569" s="15">
        <v>9.3000000000000007</v>
      </c>
      <c r="I1569" s="15">
        <v>8707.2000000000007</v>
      </c>
      <c r="J1569" s="13" t="s">
        <v>140</v>
      </c>
      <c r="K1569" s="13" t="s">
        <v>117</v>
      </c>
      <c r="L1569" s="34" t="str">
        <f>VLOOKUP(D1569,Products!$A$2:$F$61,3,FALSE)</f>
        <v>Beauty</v>
      </c>
      <c r="M1569" s="34" t="str">
        <f>VLOOKUP(C1569,Customers!$A$2:$F$301,5,FALSE)</f>
        <v>Retail</v>
      </c>
      <c r="N1569" s="34">
        <f>VLOOKUP(C1569,Customers!$A$2:$F$301,3,FALSE)</f>
        <v>32</v>
      </c>
      <c r="O1569" s="34" t="str">
        <f>VLOOKUP(E1569,Sales_Reps!$A$2:$E$31,3,FALSE)</f>
        <v>North</v>
      </c>
      <c r="P1569" s="13" t="s">
        <v>107</v>
      </c>
      <c r="Q1569" s="34">
        <f t="shared" si="52"/>
        <v>861553.33</v>
      </c>
      <c r="R1569" s="34" t="str">
        <f>VLOOKUP(E1569,Sales_Reps!$A$2:$E$100,3,FALSE)</f>
        <v>North</v>
      </c>
      <c r="S1569" s="34" t="str">
        <f t="shared" si="53"/>
        <v>Beauty</v>
      </c>
      <c r="T1569" s="38">
        <f>VLOOKUP(D1569,Products!$A$2:$F$68,4,FALSE)</f>
        <v>675</v>
      </c>
    </row>
    <row r="1570" spans="1:20" x14ac:dyDescent="0.35">
      <c r="A1570" s="13" t="s">
        <v>2065</v>
      </c>
      <c r="B1570" s="14">
        <v>45625</v>
      </c>
      <c r="C1570" s="13" t="s">
        <v>1350</v>
      </c>
      <c r="D1570" s="13" t="s">
        <v>200</v>
      </c>
      <c r="E1570" s="13" t="s">
        <v>158</v>
      </c>
      <c r="F1570" s="15">
        <v>10</v>
      </c>
      <c r="G1570" s="15">
        <v>2760</v>
      </c>
      <c r="H1570" s="15">
        <v>17.2</v>
      </c>
      <c r="I1570" s="15">
        <v>22852.799999999999</v>
      </c>
      <c r="J1570" s="13" t="s">
        <v>87</v>
      </c>
      <c r="K1570" s="13" t="s">
        <v>112</v>
      </c>
      <c r="L1570" s="34" t="str">
        <f>VLOOKUP(D1570,Products!$A$2:$F$61,3,FALSE)</f>
        <v>Grocery</v>
      </c>
      <c r="M1570" s="34" t="str">
        <f>VLOOKUP(C1570,Customers!$A$2:$F$301,5,FALSE)</f>
        <v>Retail</v>
      </c>
      <c r="N1570" s="34">
        <f>VLOOKUP(C1570,Customers!$A$2:$F$301,3,FALSE)</f>
        <v>38</v>
      </c>
      <c r="O1570" s="34" t="str">
        <f>VLOOKUP(E1570,Sales_Reps!$A$2:$E$31,3,FALSE)</f>
        <v>East</v>
      </c>
      <c r="P1570" s="13" t="s">
        <v>158</v>
      </c>
      <c r="Q1570" s="34">
        <f t="shared" si="52"/>
        <v>761507.17000000027</v>
      </c>
      <c r="R1570" s="34" t="str">
        <f>VLOOKUP(E1570,Sales_Reps!$A$2:$E$100,3,FALSE)</f>
        <v>East</v>
      </c>
      <c r="S1570" s="34" t="str">
        <f t="shared" si="53"/>
        <v>Grocery</v>
      </c>
      <c r="T1570" s="38">
        <f>VLOOKUP(D1570,Products!$A$2:$F$68,4,FALSE)</f>
        <v>1435</v>
      </c>
    </row>
    <row r="1571" spans="1:20" x14ac:dyDescent="0.35">
      <c r="A1571" s="13" t="s">
        <v>2066</v>
      </c>
      <c r="B1571" s="14">
        <v>45358</v>
      </c>
      <c r="C1571" s="13" t="s">
        <v>231</v>
      </c>
      <c r="D1571" s="13" t="s">
        <v>131</v>
      </c>
      <c r="E1571" s="13" t="s">
        <v>201</v>
      </c>
      <c r="F1571" s="15">
        <v>4</v>
      </c>
      <c r="G1571" s="15">
        <v>2270</v>
      </c>
      <c r="H1571" s="15">
        <v>26.8</v>
      </c>
      <c r="I1571" s="15">
        <v>6646.56</v>
      </c>
      <c r="J1571" s="13" t="s">
        <v>87</v>
      </c>
      <c r="K1571" s="13" t="s">
        <v>117</v>
      </c>
      <c r="L1571" s="34" t="str">
        <f>VLOOKUP(D1571,Products!$A$2:$F$61,3,FALSE)</f>
        <v>Grocery</v>
      </c>
      <c r="M1571" s="34" t="str">
        <f>VLOOKUP(C1571,Customers!$A$2:$F$301,5,FALSE)</f>
        <v>SMB</v>
      </c>
      <c r="N1571" s="34">
        <f>VLOOKUP(C1571,Customers!$A$2:$F$301,3,FALSE)</f>
        <v>64</v>
      </c>
      <c r="O1571" s="34" t="str">
        <f>VLOOKUP(E1571,Sales_Reps!$A$2:$E$31,3,FALSE)</f>
        <v>West</v>
      </c>
      <c r="P1571" s="13" t="s">
        <v>201</v>
      </c>
      <c r="Q1571" s="34">
        <f t="shared" si="52"/>
        <v>576305.08000000019</v>
      </c>
      <c r="R1571" s="34" t="str">
        <f>VLOOKUP(E1571,Sales_Reps!$A$2:$E$100,3,FALSE)</f>
        <v>West</v>
      </c>
      <c r="S1571" s="34" t="str">
        <f t="shared" si="53"/>
        <v>Grocery</v>
      </c>
      <c r="T1571" s="38">
        <f>VLOOKUP(D1571,Products!$A$2:$F$68,4,FALSE)</f>
        <v>1203</v>
      </c>
    </row>
    <row r="1572" spans="1:20" x14ac:dyDescent="0.35">
      <c r="A1572" s="13" t="s">
        <v>2067</v>
      </c>
      <c r="B1572" s="14">
        <v>45342</v>
      </c>
      <c r="C1572" s="13" t="s">
        <v>418</v>
      </c>
      <c r="D1572" s="13" t="s">
        <v>138</v>
      </c>
      <c r="E1572" s="13" t="s">
        <v>158</v>
      </c>
      <c r="F1572" s="15">
        <v>2</v>
      </c>
      <c r="G1572" s="15">
        <v>2600</v>
      </c>
      <c r="H1572" s="15">
        <v>27</v>
      </c>
      <c r="I1572" s="15">
        <v>3796</v>
      </c>
      <c r="J1572" s="13" t="s">
        <v>87</v>
      </c>
      <c r="K1572" s="13" t="s">
        <v>133</v>
      </c>
      <c r="L1572" s="34" t="str">
        <f>VLOOKUP(D1572,Products!$A$2:$F$61,3,FALSE)</f>
        <v>Electronics</v>
      </c>
      <c r="M1572" s="34" t="str">
        <f>VLOOKUP(C1572,Customers!$A$2:$F$301,5,FALSE)</f>
        <v>Retail</v>
      </c>
      <c r="N1572" s="34">
        <f>VLOOKUP(C1572,Customers!$A$2:$F$301,3,FALSE)</f>
        <v>22</v>
      </c>
      <c r="O1572" s="34" t="str">
        <f>VLOOKUP(E1572,Sales_Reps!$A$2:$E$31,3,FALSE)</f>
        <v>East</v>
      </c>
      <c r="P1572" s="13" t="s">
        <v>158</v>
      </c>
      <c r="Q1572" s="34">
        <f t="shared" si="52"/>
        <v>761507.17000000027</v>
      </c>
      <c r="R1572" s="34" t="str">
        <f>VLOOKUP(E1572,Sales_Reps!$A$2:$E$100,3,FALSE)</f>
        <v>East</v>
      </c>
      <c r="S1572" s="34" t="str">
        <f t="shared" si="53"/>
        <v>Electronics</v>
      </c>
      <c r="T1572" s="38">
        <f>VLOOKUP(D1572,Products!$A$2:$F$68,4,FALSE)</f>
        <v>1052</v>
      </c>
    </row>
    <row r="1573" spans="1:20" x14ac:dyDescent="0.35">
      <c r="A1573" s="13" t="s">
        <v>2068</v>
      </c>
      <c r="B1573" s="14">
        <v>45304</v>
      </c>
      <c r="C1573" s="13" t="s">
        <v>983</v>
      </c>
      <c r="D1573" s="13" t="s">
        <v>187</v>
      </c>
      <c r="E1573" s="13" t="s">
        <v>116</v>
      </c>
      <c r="F1573" s="15">
        <v>4</v>
      </c>
      <c r="G1573" s="15">
        <v>3570</v>
      </c>
      <c r="H1573" s="15">
        <v>12.3</v>
      </c>
      <c r="I1573" s="15">
        <v>12523.56</v>
      </c>
      <c r="J1573" s="13" t="s">
        <v>87</v>
      </c>
      <c r="K1573" s="13" t="s">
        <v>117</v>
      </c>
      <c r="L1573" s="34" t="str">
        <f>VLOOKUP(D1573,Products!$A$2:$F$61,3,FALSE)</f>
        <v>Electronics</v>
      </c>
      <c r="M1573" s="34" t="str">
        <f>VLOOKUP(C1573,Customers!$A$2:$F$301,5,FALSE)</f>
        <v>SMB</v>
      </c>
      <c r="N1573" s="34">
        <f>VLOOKUP(C1573,Customers!$A$2:$F$301,3,FALSE)</f>
        <v>36</v>
      </c>
      <c r="O1573" s="34" t="str">
        <f>VLOOKUP(E1573,Sales_Reps!$A$2:$E$31,3,FALSE)</f>
        <v>West</v>
      </c>
      <c r="P1573" s="13" t="s">
        <v>116</v>
      </c>
      <c r="Q1573" s="34">
        <f t="shared" si="52"/>
        <v>819558.58</v>
      </c>
      <c r="R1573" s="34" t="str">
        <f>VLOOKUP(E1573,Sales_Reps!$A$2:$E$100,3,FALSE)</f>
        <v>West</v>
      </c>
      <c r="S1573" s="34" t="str">
        <f t="shared" si="53"/>
        <v>Electronics</v>
      </c>
      <c r="T1573" s="38">
        <f>VLOOKUP(D1573,Products!$A$2:$F$68,4,FALSE)</f>
        <v>1665</v>
      </c>
    </row>
    <row r="1574" spans="1:20" x14ac:dyDescent="0.35">
      <c r="A1574" s="13" t="s">
        <v>2069</v>
      </c>
      <c r="B1574" s="14">
        <v>45316</v>
      </c>
      <c r="C1574" s="13" t="s">
        <v>553</v>
      </c>
      <c r="D1574" s="13" t="s">
        <v>443</v>
      </c>
      <c r="E1574" s="13" t="s">
        <v>346</v>
      </c>
      <c r="F1574" s="15">
        <v>5</v>
      </c>
      <c r="G1574" s="15">
        <v>5080</v>
      </c>
      <c r="H1574" s="15">
        <v>1.3</v>
      </c>
      <c r="I1574" s="15">
        <v>25069.8</v>
      </c>
      <c r="J1574" s="13" t="s">
        <v>87</v>
      </c>
      <c r="K1574" s="13" t="s">
        <v>112</v>
      </c>
      <c r="L1574" s="34" t="str">
        <f>VLOOKUP(D1574,Products!$A$2:$F$61,3,FALSE)</f>
        <v>Home</v>
      </c>
      <c r="M1574" s="34" t="str">
        <f>VLOOKUP(C1574,Customers!$A$2:$F$301,5,FALSE)</f>
        <v>Retail</v>
      </c>
      <c r="N1574" s="34">
        <f>VLOOKUP(C1574,Customers!$A$2:$F$301,3,FALSE)</f>
        <v>65</v>
      </c>
      <c r="O1574" s="34" t="str">
        <f>VLOOKUP(E1574,Sales_Reps!$A$2:$E$31,3,FALSE)</f>
        <v>South</v>
      </c>
      <c r="P1574" s="13" t="s">
        <v>346</v>
      </c>
      <c r="Q1574" s="34">
        <f t="shared" si="52"/>
        <v>814563.7100000002</v>
      </c>
      <c r="R1574" s="34" t="str">
        <f>VLOOKUP(E1574,Sales_Reps!$A$2:$E$100,3,FALSE)</f>
        <v>South</v>
      </c>
      <c r="S1574" s="34" t="str">
        <f t="shared" si="53"/>
        <v>Home</v>
      </c>
      <c r="T1574" s="38">
        <f>VLOOKUP(D1574,Products!$A$2:$F$68,4,FALSE)</f>
        <v>2459</v>
      </c>
    </row>
    <row r="1575" spans="1:20" x14ac:dyDescent="0.35">
      <c r="A1575" s="13" t="s">
        <v>2070</v>
      </c>
      <c r="B1575" s="14">
        <v>45340</v>
      </c>
      <c r="C1575" s="13" t="s">
        <v>970</v>
      </c>
      <c r="D1575" s="13" t="s">
        <v>380</v>
      </c>
      <c r="E1575" s="13" t="s">
        <v>346</v>
      </c>
      <c r="F1575" s="15">
        <v>5</v>
      </c>
      <c r="G1575" s="15">
        <v>960</v>
      </c>
      <c r="H1575" s="15">
        <v>25.2</v>
      </c>
      <c r="I1575" s="15">
        <v>3590.4</v>
      </c>
      <c r="J1575" s="13" t="s">
        <v>87</v>
      </c>
      <c r="K1575" s="13" t="s">
        <v>112</v>
      </c>
      <c r="L1575" s="34" t="str">
        <f>VLOOKUP(D1575,Products!$A$2:$F$61,3,FALSE)</f>
        <v>Beauty</v>
      </c>
      <c r="M1575" s="34" t="str">
        <f>VLOOKUP(C1575,Customers!$A$2:$F$301,5,FALSE)</f>
        <v>Retail</v>
      </c>
      <c r="N1575" s="34">
        <f>VLOOKUP(C1575,Customers!$A$2:$F$301,3,FALSE)</f>
        <v>40</v>
      </c>
      <c r="O1575" s="34" t="str">
        <f>VLOOKUP(E1575,Sales_Reps!$A$2:$E$31,3,FALSE)</f>
        <v>South</v>
      </c>
      <c r="P1575" s="13" t="s">
        <v>346</v>
      </c>
      <c r="Q1575" s="34">
        <f t="shared" si="52"/>
        <v>814563.7100000002</v>
      </c>
      <c r="R1575" s="34" t="str">
        <f>VLOOKUP(E1575,Sales_Reps!$A$2:$E$100,3,FALSE)</f>
        <v>South</v>
      </c>
      <c r="S1575" s="34" t="str">
        <f t="shared" si="53"/>
        <v>Beauty</v>
      </c>
      <c r="T1575" s="38">
        <f>VLOOKUP(D1575,Products!$A$2:$F$68,4,FALSE)</f>
        <v>675</v>
      </c>
    </row>
    <row r="1576" spans="1:20" x14ac:dyDescent="0.35">
      <c r="A1576" s="13" t="s">
        <v>2071</v>
      </c>
      <c r="B1576" s="14">
        <v>45604</v>
      </c>
      <c r="C1576" s="13" t="s">
        <v>878</v>
      </c>
      <c r="D1576" s="13" t="s">
        <v>97</v>
      </c>
      <c r="E1576" s="13" t="s">
        <v>132</v>
      </c>
      <c r="F1576" s="15">
        <v>7</v>
      </c>
      <c r="G1576" s="15">
        <v>470</v>
      </c>
      <c r="H1576" s="15">
        <v>21.6</v>
      </c>
      <c r="I1576" s="15">
        <v>2579.36</v>
      </c>
      <c r="J1576" s="13" t="s">
        <v>87</v>
      </c>
      <c r="K1576" s="13" t="s">
        <v>112</v>
      </c>
      <c r="L1576" s="34" t="str">
        <f>VLOOKUP(D1576,Products!$A$2:$F$61,3,FALSE)</f>
        <v>Sports</v>
      </c>
      <c r="M1576" s="34" t="str">
        <f>VLOOKUP(C1576,Customers!$A$2:$F$301,5,FALSE)</f>
        <v>Corporate</v>
      </c>
      <c r="N1576" s="34">
        <f>VLOOKUP(C1576,Customers!$A$2:$F$301,3,FALSE)</f>
        <v>62</v>
      </c>
      <c r="O1576" s="34" t="str">
        <f>VLOOKUP(E1576,Sales_Reps!$A$2:$E$31,3,FALSE)</f>
        <v>South</v>
      </c>
      <c r="P1576" s="13" t="s">
        <v>132</v>
      </c>
      <c r="Q1576" s="34">
        <f t="shared" si="52"/>
        <v>880345.20000000007</v>
      </c>
      <c r="R1576" s="34" t="str">
        <f>VLOOKUP(E1576,Sales_Reps!$A$2:$E$100,3,FALSE)</f>
        <v>South</v>
      </c>
      <c r="S1576" s="34" t="str">
        <f t="shared" si="53"/>
        <v>Sports</v>
      </c>
      <c r="T1576" s="38">
        <f>VLOOKUP(D1576,Products!$A$2:$F$68,4,FALSE)</f>
        <v>302</v>
      </c>
    </row>
    <row r="1577" spans="1:20" x14ac:dyDescent="0.35">
      <c r="A1577" s="13" t="s">
        <v>2072</v>
      </c>
      <c r="B1577" s="14">
        <v>45625</v>
      </c>
      <c r="C1577" s="13" t="s">
        <v>705</v>
      </c>
      <c r="D1577" s="13" t="s">
        <v>267</v>
      </c>
      <c r="E1577" s="13" t="s">
        <v>343</v>
      </c>
      <c r="F1577" s="15">
        <v>4</v>
      </c>
      <c r="G1577" s="15">
        <v>1220</v>
      </c>
      <c r="H1577" s="15">
        <v>12.6</v>
      </c>
      <c r="I1577" s="15">
        <v>4265.12</v>
      </c>
      <c r="J1577" s="13" t="s">
        <v>87</v>
      </c>
      <c r="K1577" s="13" t="s">
        <v>99</v>
      </c>
      <c r="L1577" s="34" t="str">
        <f>VLOOKUP(D1577,Products!$A$2:$F$61,3,FALSE)</f>
        <v>Electronics</v>
      </c>
      <c r="M1577" s="34" t="str">
        <f>VLOOKUP(C1577,Customers!$A$2:$F$301,5,FALSE)</f>
        <v>Retail</v>
      </c>
      <c r="N1577" s="34">
        <f>VLOOKUP(C1577,Customers!$A$2:$F$301,3,FALSE)</f>
        <v>53</v>
      </c>
      <c r="O1577" s="34" t="str">
        <f>VLOOKUP(E1577,Sales_Reps!$A$2:$E$31,3,FALSE)</f>
        <v>West</v>
      </c>
      <c r="P1577" s="13" t="s">
        <v>343</v>
      </c>
      <c r="Q1577" s="34">
        <f t="shared" si="52"/>
        <v>917092.61999999965</v>
      </c>
      <c r="R1577" s="34" t="str">
        <f>VLOOKUP(E1577,Sales_Reps!$A$2:$E$100,3,FALSE)</f>
        <v>West</v>
      </c>
      <c r="S1577" s="34" t="str">
        <f t="shared" si="53"/>
        <v>Electronics</v>
      </c>
      <c r="T1577" s="38">
        <f>VLOOKUP(D1577,Products!$A$2:$F$68,4,FALSE)</f>
        <v>517</v>
      </c>
    </row>
    <row r="1578" spans="1:20" x14ac:dyDescent="0.35">
      <c r="A1578" s="13" t="s">
        <v>2073</v>
      </c>
      <c r="B1578" s="14">
        <v>45293</v>
      </c>
      <c r="C1578" s="13" t="s">
        <v>613</v>
      </c>
      <c r="D1578" s="13" t="s">
        <v>182</v>
      </c>
      <c r="E1578" s="13" t="s">
        <v>107</v>
      </c>
      <c r="F1578" s="15">
        <v>4</v>
      </c>
      <c r="G1578" s="15">
        <v>1010</v>
      </c>
      <c r="H1578" s="15">
        <v>11.3</v>
      </c>
      <c r="I1578" s="15">
        <v>3583.48</v>
      </c>
      <c r="J1578" s="13" t="s">
        <v>87</v>
      </c>
      <c r="K1578" s="13" t="s">
        <v>112</v>
      </c>
      <c r="L1578" s="34" t="str">
        <f>VLOOKUP(D1578,Products!$A$2:$F$61,3,FALSE)</f>
        <v>Sports</v>
      </c>
      <c r="M1578" s="34" t="str">
        <f>VLOOKUP(C1578,Customers!$A$2:$F$301,5,FALSE)</f>
        <v>Retail</v>
      </c>
      <c r="N1578" s="34">
        <f>VLOOKUP(C1578,Customers!$A$2:$F$301,3,FALSE)</f>
        <v>44</v>
      </c>
      <c r="O1578" s="34" t="str">
        <f>VLOOKUP(E1578,Sales_Reps!$A$2:$E$31,3,FALSE)</f>
        <v>North</v>
      </c>
      <c r="P1578" s="13" t="s">
        <v>107</v>
      </c>
      <c r="Q1578" s="34">
        <f t="shared" si="52"/>
        <v>861553.33</v>
      </c>
      <c r="R1578" s="34" t="str">
        <f>VLOOKUP(E1578,Sales_Reps!$A$2:$E$100,3,FALSE)</f>
        <v>North</v>
      </c>
      <c r="S1578" s="34" t="str">
        <f t="shared" si="53"/>
        <v>Sports</v>
      </c>
      <c r="T1578" s="38">
        <f>VLOOKUP(D1578,Products!$A$2:$F$68,4,FALSE)</f>
        <v>516</v>
      </c>
    </row>
    <row r="1579" spans="1:20" x14ac:dyDescent="0.35">
      <c r="A1579" s="13" t="s">
        <v>2074</v>
      </c>
      <c r="B1579" s="14">
        <v>45454</v>
      </c>
      <c r="C1579" s="13" t="s">
        <v>333</v>
      </c>
      <c r="D1579" s="13" t="s">
        <v>102</v>
      </c>
      <c r="E1579" s="13" t="s">
        <v>92</v>
      </c>
      <c r="F1579" s="15">
        <v>4</v>
      </c>
      <c r="G1579" s="15">
        <v>3660</v>
      </c>
      <c r="H1579" s="15">
        <v>7.2</v>
      </c>
      <c r="I1579" s="15">
        <v>13585.92</v>
      </c>
      <c r="J1579" s="13" t="s">
        <v>87</v>
      </c>
      <c r="K1579" s="13" t="s">
        <v>133</v>
      </c>
      <c r="L1579" s="34" t="str">
        <f>VLOOKUP(D1579,Products!$A$2:$F$61,3,FALSE)</f>
        <v>Grocery</v>
      </c>
      <c r="M1579" s="34" t="str">
        <f>VLOOKUP(C1579,Customers!$A$2:$F$301,5,FALSE)</f>
        <v>SMB</v>
      </c>
      <c r="N1579" s="34">
        <f>VLOOKUP(C1579,Customers!$A$2:$F$301,3,FALSE)</f>
        <v>65</v>
      </c>
      <c r="O1579" s="34" t="str">
        <f>VLOOKUP(E1579,Sales_Reps!$A$2:$E$31,3,FALSE)</f>
        <v>North</v>
      </c>
      <c r="P1579" s="13" t="s">
        <v>92</v>
      </c>
      <c r="Q1579" s="34">
        <f t="shared" si="52"/>
        <v>782445.33</v>
      </c>
      <c r="R1579" s="34" t="str">
        <f>VLOOKUP(E1579,Sales_Reps!$A$2:$E$100,3,FALSE)</f>
        <v>North</v>
      </c>
      <c r="S1579" s="34" t="str">
        <f t="shared" si="53"/>
        <v>Grocery</v>
      </c>
      <c r="T1579" s="38">
        <f>VLOOKUP(D1579,Products!$A$2:$F$68,4,FALSE)</f>
        <v>2214</v>
      </c>
    </row>
    <row r="1580" spans="1:20" x14ac:dyDescent="0.35">
      <c r="A1580" s="13" t="s">
        <v>2075</v>
      </c>
      <c r="B1580" s="14">
        <v>45345</v>
      </c>
      <c r="C1580" s="13" t="s">
        <v>795</v>
      </c>
      <c r="D1580" s="13" t="s">
        <v>124</v>
      </c>
      <c r="E1580" s="13" t="s">
        <v>132</v>
      </c>
      <c r="F1580" s="15">
        <v>4</v>
      </c>
      <c r="G1580" s="15">
        <v>5490</v>
      </c>
      <c r="H1580" s="15">
        <v>8</v>
      </c>
      <c r="I1580" s="15">
        <v>20203.2</v>
      </c>
      <c r="J1580" s="13" t="s">
        <v>87</v>
      </c>
      <c r="K1580" s="13" t="s">
        <v>94</v>
      </c>
      <c r="L1580" s="34" t="str">
        <f>VLOOKUP(D1580,Products!$A$2:$F$61,3,FALSE)</f>
        <v>Home</v>
      </c>
      <c r="M1580" s="34" t="str">
        <f>VLOOKUP(C1580,Customers!$A$2:$F$301,5,FALSE)</f>
        <v>Retail</v>
      </c>
      <c r="N1580" s="34">
        <f>VLOOKUP(C1580,Customers!$A$2:$F$301,3,FALSE)</f>
        <v>22</v>
      </c>
      <c r="O1580" s="34" t="str">
        <f>VLOOKUP(E1580,Sales_Reps!$A$2:$E$31,3,FALSE)</f>
        <v>South</v>
      </c>
      <c r="P1580" s="13" t="s">
        <v>132</v>
      </c>
      <c r="Q1580" s="34">
        <f t="shared" si="52"/>
        <v>880345.20000000007</v>
      </c>
      <c r="R1580" s="34" t="str">
        <f>VLOOKUP(E1580,Sales_Reps!$A$2:$E$100,3,FALSE)</f>
        <v>South</v>
      </c>
      <c r="S1580" s="34" t="str">
        <f t="shared" si="53"/>
        <v>Home</v>
      </c>
      <c r="T1580" s="38">
        <f>VLOOKUP(D1580,Products!$A$2:$F$68,4,FALSE)</f>
        <v>2549</v>
      </c>
    </row>
    <row r="1581" spans="1:20" x14ac:dyDescent="0.35">
      <c r="A1581" s="13" t="s">
        <v>2076</v>
      </c>
      <c r="B1581" s="14">
        <v>45645</v>
      </c>
      <c r="C1581" s="13" t="s">
        <v>427</v>
      </c>
      <c r="D1581" s="13" t="s">
        <v>245</v>
      </c>
      <c r="E1581" s="13" t="s">
        <v>148</v>
      </c>
      <c r="F1581" s="15">
        <v>6</v>
      </c>
      <c r="G1581" s="15">
        <v>2270</v>
      </c>
      <c r="H1581" s="15">
        <v>17.100000000000001</v>
      </c>
      <c r="I1581" s="15">
        <v>11290.98</v>
      </c>
      <c r="J1581" s="13" t="s">
        <v>87</v>
      </c>
      <c r="K1581" s="13" t="s">
        <v>88</v>
      </c>
      <c r="L1581" s="34" t="str">
        <f>VLOOKUP(D1581,Products!$A$2:$F$61,3,FALSE)</f>
        <v>Grocery</v>
      </c>
      <c r="M1581" s="34" t="str">
        <f>VLOOKUP(C1581,Customers!$A$2:$F$301,5,FALSE)</f>
        <v>Corporate</v>
      </c>
      <c r="N1581" s="34">
        <f>VLOOKUP(C1581,Customers!$A$2:$F$301,3,FALSE)</f>
        <v>48</v>
      </c>
      <c r="O1581" s="34" t="str">
        <f>VLOOKUP(E1581,Sales_Reps!$A$2:$E$31,3,FALSE)</f>
        <v>North</v>
      </c>
      <c r="P1581" s="13" t="s">
        <v>148</v>
      </c>
      <c r="Q1581" s="34">
        <f t="shared" si="52"/>
        <v>986692.91</v>
      </c>
      <c r="R1581" s="34" t="str">
        <f>VLOOKUP(E1581,Sales_Reps!$A$2:$E$100,3,FALSE)</f>
        <v>North</v>
      </c>
      <c r="S1581" s="34" t="str">
        <f t="shared" si="53"/>
        <v>Grocery</v>
      </c>
      <c r="T1581" s="38">
        <f>VLOOKUP(D1581,Products!$A$2:$F$68,4,FALSE)</f>
        <v>1412</v>
      </c>
    </row>
    <row r="1582" spans="1:20" x14ac:dyDescent="0.35">
      <c r="A1582" s="13" t="s">
        <v>2077</v>
      </c>
      <c r="B1582" s="14">
        <v>45588</v>
      </c>
      <c r="C1582" s="13" t="s">
        <v>281</v>
      </c>
      <c r="D1582" s="13" t="s">
        <v>245</v>
      </c>
      <c r="E1582" s="13" t="s">
        <v>188</v>
      </c>
      <c r="F1582" s="15">
        <v>8</v>
      </c>
      <c r="G1582" s="15">
        <v>2270</v>
      </c>
      <c r="H1582" s="15">
        <v>11.9</v>
      </c>
      <c r="I1582" s="15">
        <v>15998.96</v>
      </c>
      <c r="J1582" s="13" t="s">
        <v>93</v>
      </c>
      <c r="K1582" s="13" t="s">
        <v>88</v>
      </c>
      <c r="L1582" s="34" t="str">
        <f>VLOOKUP(D1582,Products!$A$2:$F$61,3,FALSE)</f>
        <v>Grocery</v>
      </c>
      <c r="M1582" s="34" t="str">
        <f>VLOOKUP(C1582,Customers!$A$2:$F$301,5,FALSE)</f>
        <v>Retail</v>
      </c>
      <c r="N1582" s="34">
        <f>VLOOKUP(C1582,Customers!$A$2:$F$301,3,FALSE)</f>
        <v>25</v>
      </c>
      <c r="O1582" s="34" t="str">
        <f>VLOOKUP(E1582,Sales_Reps!$A$2:$E$31,3,FALSE)</f>
        <v>South</v>
      </c>
      <c r="P1582" s="13" t="s">
        <v>188</v>
      </c>
      <c r="Q1582" s="34">
        <f t="shared" si="52"/>
        <v>1091740.1799999997</v>
      </c>
      <c r="R1582" s="34" t="str">
        <f>VLOOKUP(E1582,Sales_Reps!$A$2:$E$100,3,FALSE)</f>
        <v>South</v>
      </c>
      <c r="S1582" s="34" t="str">
        <f t="shared" si="53"/>
        <v>Grocery</v>
      </c>
      <c r="T1582" s="38">
        <f>VLOOKUP(D1582,Products!$A$2:$F$68,4,FALSE)</f>
        <v>1412</v>
      </c>
    </row>
    <row r="1583" spans="1:20" x14ac:dyDescent="0.35">
      <c r="A1583" s="13" t="s">
        <v>2078</v>
      </c>
      <c r="B1583" s="14">
        <v>45592</v>
      </c>
      <c r="C1583" s="13" t="s">
        <v>316</v>
      </c>
      <c r="D1583" s="13" t="s">
        <v>138</v>
      </c>
      <c r="E1583" s="13" t="s">
        <v>303</v>
      </c>
      <c r="F1583" s="15">
        <v>6</v>
      </c>
      <c r="G1583" s="15">
        <v>2600</v>
      </c>
      <c r="H1583" s="15">
        <v>5.0999999999999996</v>
      </c>
      <c r="I1583" s="15">
        <v>14804.4</v>
      </c>
      <c r="J1583" s="13" t="s">
        <v>87</v>
      </c>
      <c r="K1583" s="13" t="s">
        <v>88</v>
      </c>
      <c r="L1583" s="34" t="str">
        <f>VLOOKUP(D1583,Products!$A$2:$F$61,3,FALSE)</f>
        <v>Electronics</v>
      </c>
      <c r="M1583" s="34" t="str">
        <f>VLOOKUP(C1583,Customers!$A$2:$F$301,5,FALSE)</f>
        <v>SMB</v>
      </c>
      <c r="N1583" s="34">
        <f>VLOOKUP(C1583,Customers!$A$2:$F$301,3,FALSE)</f>
        <v>60</v>
      </c>
      <c r="O1583" s="34" t="str">
        <f>VLOOKUP(E1583,Sales_Reps!$A$2:$E$31,3,FALSE)</f>
        <v>East</v>
      </c>
      <c r="P1583" s="13" t="s">
        <v>303</v>
      </c>
      <c r="Q1583" s="34">
        <f t="shared" si="52"/>
        <v>1112289.6400000001</v>
      </c>
      <c r="R1583" s="34" t="str">
        <f>VLOOKUP(E1583,Sales_Reps!$A$2:$E$100,3,FALSE)</f>
        <v>East</v>
      </c>
      <c r="S1583" s="34" t="str">
        <f t="shared" si="53"/>
        <v>Electronics</v>
      </c>
      <c r="T1583" s="38">
        <f>VLOOKUP(D1583,Products!$A$2:$F$68,4,FALSE)</f>
        <v>1052</v>
      </c>
    </row>
    <row r="1584" spans="1:20" x14ac:dyDescent="0.35">
      <c r="A1584" s="13" t="s">
        <v>2079</v>
      </c>
      <c r="B1584" s="14">
        <v>45403</v>
      </c>
      <c r="C1584" s="13" t="s">
        <v>169</v>
      </c>
      <c r="D1584" s="13" t="s">
        <v>248</v>
      </c>
      <c r="E1584" s="13" t="s">
        <v>343</v>
      </c>
      <c r="F1584" s="15">
        <v>9</v>
      </c>
      <c r="G1584" s="15">
        <v>3870</v>
      </c>
      <c r="H1584" s="15">
        <v>1.8</v>
      </c>
      <c r="I1584" s="15">
        <v>34203.06</v>
      </c>
      <c r="J1584" s="13" t="s">
        <v>140</v>
      </c>
      <c r="K1584" s="13" t="s">
        <v>112</v>
      </c>
      <c r="L1584" s="34" t="str">
        <f>VLOOKUP(D1584,Products!$A$2:$F$61,3,FALSE)</f>
        <v>Electronics</v>
      </c>
      <c r="M1584" s="34" t="str">
        <f>VLOOKUP(C1584,Customers!$A$2:$F$301,5,FALSE)</f>
        <v>Retail</v>
      </c>
      <c r="N1584" s="34">
        <f>VLOOKUP(C1584,Customers!$A$2:$F$301,3,FALSE)</f>
        <v>34</v>
      </c>
      <c r="O1584" s="34" t="str">
        <f>VLOOKUP(E1584,Sales_Reps!$A$2:$E$31,3,FALSE)</f>
        <v>West</v>
      </c>
      <c r="P1584" s="13" t="s">
        <v>343</v>
      </c>
      <c r="Q1584" s="34">
        <f t="shared" si="52"/>
        <v>917092.61999999965</v>
      </c>
      <c r="R1584" s="34" t="str">
        <f>VLOOKUP(E1584,Sales_Reps!$A$2:$E$100,3,FALSE)</f>
        <v>West</v>
      </c>
      <c r="S1584" s="34" t="str">
        <f t="shared" si="53"/>
        <v>Electronics</v>
      </c>
      <c r="T1584" s="38">
        <f>VLOOKUP(D1584,Products!$A$2:$F$68,4,FALSE)</f>
        <v>1559</v>
      </c>
    </row>
    <row r="1585" spans="1:20" x14ac:dyDescent="0.35">
      <c r="A1585" s="13" t="s">
        <v>2080</v>
      </c>
      <c r="B1585" s="14">
        <v>45459</v>
      </c>
      <c r="C1585" s="13" t="s">
        <v>407</v>
      </c>
      <c r="D1585" s="13" t="s">
        <v>408</v>
      </c>
      <c r="E1585" s="13" t="s">
        <v>103</v>
      </c>
      <c r="F1585" s="15">
        <v>3</v>
      </c>
      <c r="G1585" s="15">
        <v>3970</v>
      </c>
      <c r="H1585" s="15">
        <v>8.1999999999999993</v>
      </c>
      <c r="I1585" s="15">
        <v>10933.38</v>
      </c>
      <c r="J1585" s="13" t="s">
        <v>87</v>
      </c>
      <c r="K1585" s="13" t="s">
        <v>88</v>
      </c>
      <c r="L1585" s="34" t="str">
        <f>VLOOKUP(D1585,Products!$A$2:$F$61,3,FALSE)</f>
        <v>Electronics</v>
      </c>
      <c r="M1585" s="34" t="str">
        <f>VLOOKUP(C1585,Customers!$A$2:$F$301,5,FALSE)</f>
        <v>SMB</v>
      </c>
      <c r="N1585" s="34">
        <f>VLOOKUP(C1585,Customers!$A$2:$F$301,3,FALSE)</f>
        <v>53</v>
      </c>
      <c r="O1585" s="34" t="str">
        <f>VLOOKUP(E1585,Sales_Reps!$A$2:$E$31,3,FALSE)</f>
        <v>North</v>
      </c>
      <c r="P1585" s="13" t="s">
        <v>103</v>
      </c>
      <c r="Q1585" s="34">
        <f t="shared" si="52"/>
        <v>1138648.73</v>
      </c>
      <c r="R1585" s="34" t="str">
        <f>VLOOKUP(E1585,Sales_Reps!$A$2:$E$100,3,FALSE)</f>
        <v>North</v>
      </c>
      <c r="S1585" s="34" t="str">
        <f t="shared" si="53"/>
        <v>Electronics</v>
      </c>
      <c r="T1585" s="38">
        <f>VLOOKUP(D1585,Products!$A$2:$F$68,4,FALSE)</f>
        <v>2865</v>
      </c>
    </row>
    <row r="1586" spans="1:20" x14ac:dyDescent="0.35">
      <c r="A1586" s="13" t="s">
        <v>2081</v>
      </c>
      <c r="B1586" s="14">
        <v>45438</v>
      </c>
      <c r="C1586" s="13" t="s">
        <v>284</v>
      </c>
      <c r="D1586" s="13" t="s">
        <v>380</v>
      </c>
      <c r="E1586" s="13" t="s">
        <v>128</v>
      </c>
      <c r="F1586" s="15">
        <v>9</v>
      </c>
      <c r="G1586" s="15">
        <v>960</v>
      </c>
      <c r="H1586" s="15">
        <v>21.7</v>
      </c>
      <c r="I1586" s="15">
        <v>6765.12</v>
      </c>
      <c r="J1586" s="13" t="s">
        <v>140</v>
      </c>
      <c r="K1586" s="13" t="s">
        <v>94</v>
      </c>
      <c r="L1586" s="34" t="str">
        <f>VLOOKUP(D1586,Products!$A$2:$F$61,3,FALSE)</f>
        <v>Beauty</v>
      </c>
      <c r="M1586" s="34" t="str">
        <f>VLOOKUP(C1586,Customers!$A$2:$F$301,5,FALSE)</f>
        <v>Retail</v>
      </c>
      <c r="N1586" s="34">
        <f>VLOOKUP(C1586,Customers!$A$2:$F$301,3,FALSE)</f>
        <v>28</v>
      </c>
      <c r="O1586" s="34" t="str">
        <f>VLOOKUP(E1586,Sales_Reps!$A$2:$E$31,3,FALSE)</f>
        <v>West</v>
      </c>
      <c r="P1586" s="13" t="s">
        <v>128</v>
      </c>
      <c r="Q1586" s="34">
        <f t="shared" si="52"/>
        <v>880468.05</v>
      </c>
      <c r="R1586" s="34" t="str">
        <f>VLOOKUP(E1586,Sales_Reps!$A$2:$E$100,3,FALSE)</f>
        <v>West</v>
      </c>
      <c r="S1586" s="34" t="str">
        <f t="shared" si="53"/>
        <v>Beauty</v>
      </c>
      <c r="T1586" s="38">
        <f>VLOOKUP(D1586,Products!$A$2:$F$68,4,FALSE)</f>
        <v>675</v>
      </c>
    </row>
    <row r="1587" spans="1:20" x14ac:dyDescent="0.35">
      <c r="A1587" s="13" t="s">
        <v>2082</v>
      </c>
      <c r="B1587" s="14">
        <v>45632</v>
      </c>
      <c r="C1587" s="13" t="s">
        <v>797</v>
      </c>
      <c r="D1587" s="13" t="s">
        <v>360</v>
      </c>
      <c r="E1587" s="13" t="s">
        <v>111</v>
      </c>
      <c r="F1587" s="15">
        <v>3</v>
      </c>
      <c r="G1587" s="15">
        <v>5410</v>
      </c>
      <c r="H1587" s="15">
        <v>20.3</v>
      </c>
      <c r="I1587" s="15">
        <v>12935.31</v>
      </c>
      <c r="J1587" s="13" t="s">
        <v>87</v>
      </c>
      <c r="K1587" s="13" t="s">
        <v>99</v>
      </c>
      <c r="L1587" s="34" t="str">
        <f>VLOOKUP(D1587,Products!$A$2:$F$61,3,FALSE)</f>
        <v>Sports</v>
      </c>
      <c r="M1587" s="34" t="str">
        <f>VLOOKUP(C1587,Customers!$A$2:$F$301,5,FALSE)</f>
        <v>Retail</v>
      </c>
      <c r="N1587" s="34">
        <f>VLOOKUP(C1587,Customers!$A$2:$F$301,3,FALSE)</f>
        <v>63</v>
      </c>
      <c r="O1587" s="34" t="str">
        <f>VLOOKUP(E1587,Sales_Reps!$A$2:$E$31,3,FALSE)</f>
        <v>West</v>
      </c>
      <c r="P1587" s="13" t="s">
        <v>111</v>
      </c>
      <c r="Q1587" s="34">
        <f t="shared" si="52"/>
        <v>901298.89</v>
      </c>
      <c r="R1587" s="34" t="str">
        <f>VLOOKUP(E1587,Sales_Reps!$A$2:$E$100,3,FALSE)</f>
        <v>West</v>
      </c>
      <c r="S1587" s="34" t="str">
        <f t="shared" si="53"/>
        <v>Sports</v>
      </c>
      <c r="T1587" s="38">
        <f>VLOOKUP(D1587,Products!$A$2:$F$68,4,FALSE)</f>
        <v>2265</v>
      </c>
    </row>
    <row r="1588" spans="1:20" x14ac:dyDescent="0.35">
      <c r="A1588" s="13" t="s">
        <v>2083</v>
      </c>
      <c r="B1588" s="14">
        <v>45579</v>
      </c>
      <c r="C1588" s="13" t="s">
        <v>886</v>
      </c>
      <c r="D1588" s="13" t="s">
        <v>452</v>
      </c>
      <c r="E1588" s="13" t="s">
        <v>92</v>
      </c>
      <c r="F1588" s="15">
        <v>3</v>
      </c>
      <c r="G1588" s="15">
        <v>3450</v>
      </c>
      <c r="H1588" s="15">
        <v>11.6</v>
      </c>
      <c r="I1588" s="15">
        <v>9149.4</v>
      </c>
      <c r="J1588" s="13" t="s">
        <v>87</v>
      </c>
      <c r="K1588" s="13" t="s">
        <v>94</v>
      </c>
      <c r="L1588" s="34" t="str">
        <f>VLOOKUP(D1588,Products!$A$2:$F$61,3,FALSE)</f>
        <v>Apparel</v>
      </c>
      <c r="M1588" s="34" t="str">
        <f>VLOOKUP(C1588,Customers!$A$2:$F$301,5,FALSE)</f>
        <v>Corporate</v>
      </c>
      <c r="N1588" s="34">
        <f>VLOOKUP(C1588,Customers!$A$2:$F$301,3,FALSE)</f>
        <v>44</v>
      </c>
      <c r="O1588" s="34" t="str">
        <f>VLOOKUP(E1588,Sales_Reps!$A$2:$E$31,3,FALSE)</f>
        <v>North</v>
      </c>
      <c r="P1588" s="13" t="s">
        <v>92</v>
      </c>
      <c r="Q1588" s="34">
        <f t="shared" si="52"/>
        <v>782445.33</v>
      </c>
      <c r="R1588" s="34" t="str">
        <f>VLOOKUP(E1588,Sales_Reps!$A$2:$E$100,3,FALSE)</f>
        <v>North</v>
      </c>
      <c r="S1588" s="34" t="str">
        <f t="shared" si="53"/>
        <v>Apparel</v>
      </c>
      <c r="T1588" s="38">
        <f>VLOOKUP(D1588,Products!$A$2:$F$68,4,FALSE)</f>
        <v>1748</v>
      </c>
    </row>
    <row r="1589" spans="1:20" x14ac:dyDescent="0.35">
      <c r="A1589" s="13" t="s">
        <v>2084</v>
      </c>
      <c r="B1589" s="14">
        <v>45392</v>
      </c>
      <c r="C1589" s="13" t="s">
        <v>223</v>
      </c>
      <c r="D1589" s="13" t="s">
        <v>276</v>
      </c>
      <c r="E1589" s="13" t="s">
        <v>107</v>
      </c>
      <c r="F1589" s="15">
        <v>2</v>
      </c>
      <c r="G1589" s="15">
        <v>3020</v>
      </c>
      <c r="H1589" s="15">
        <v>20.8</v>
      </c>
      <c r="I1589" s="15">
        <v>4783.68</v>
      </c>
      <c r="J1589" s="13" t="s">
        <v>93</v>
      </c>
      <c r="K1589" s="13" t="s">
        <v>99</v>
      </c>
      <c r="L1589" s="34" t="str">
        <f>VLOOKUP(D1589,Products!$A$2:$F$61,3,FALSE)</f>
        <v>Beauty</v>
      </c>
      <c r="M1589" s="34" t="str">
        <f>VLOOKUP(C1589,Customers!$A$2:$F$301,5,FALSE)</f>
        <v>Retail</v>
      </c>
      <c r="N1589" s="34">
        <f>VLOOKUP(C1589,Customers!$A$2:$F$301,3,FALSE)</f>
        <v>53</v>
      </c>
      <c r="O1589" s="34" t="str">
        <f>VLOOKUP(E1589,Sales_Reps!$A$2:$E$31,3,FALSE)</f>
        <v>North</v>
      </c>
      <c r="P1589" s="13" t="s">
        <v>107</v>
      </c>
      <c r="Q1589" s="34">
        <f t="shared" si="52"/>
        <v>861553.33</v>
      </c>
      <c r="R1589" s="34" t="str">
        <f>VLOOKUP(E1589,Sales_Reps!$A$2:$E$100,3,FALSE)</f>
        <v>North</v>
      </c>
      <c r="S1589" s="34" t="str">
        <f t="shared" si="53"/>
        <v>Beauty</v>
      </c>
      <c r="T1589" s="38">
        <f>VLOOKUP(D1589,Products!$A$2:$F$68,4,FALSE)</f>
        <v>1626</v>
      </c>
    </row>
    <row r="1590" spans="1:20" x14ac:dyDescent="0.35">
      <c r="A1590" s="13" t="s">
        <v>2085</v>
      </c>
      <c r="B1590" s="14">
        <v>45563</v>
      </c>
      <c r="C1590" s="13" t="s">
        <v>1062</v>
      </c>
      <c r="D1590" s="13" t="s">
        <v>147</v>
      </c>
      <c r="E1590" s="13" t="s">
        <v>297</v>
      </c>
      <c r="F1590" s="15">
        <v>3</v>
      </c>
      <c r="G1590" s="15">
        <v>190</v>
      </c>
      <c r="H1590" s="15">
        <v>10.7</v>
      </c>
      <c r="I1590" s="15">
        <v>509.01</v>
      </c>
      <c r="J1590" s="13" t="s">
        <v>87</v>
      </c>
      <c r="K1590" s="13" t="s">
        <v>112</v>
      </c>
      <c r="L1590" s="34" t="str">
        <f>VLOOKUP(D1590,Products!$A$2:$F$61,3,FALSE)</f>
        <v>Sports</v>
      </c>
      <c r="M1590" s="34" t="str">
        <f>VLOOKUP(C1590,Customers!$A$2:$F$301,5,FALSE)</f>
        <v>SMB</v>
      </c>
      <c r="N1590" s="34">
        <f>VLOOKUP(C1590,Customers!$A$2:$F$301,3,FALSE)</f>
        <v>54</v>
      </c>
      <c r="O1590" s="34" t="str">
        <f>VLOOKUP(E1590,Sales_Reps!$A$2:$E$31,3,FALSE)</f>
        <v>North</v>
      </c>
      <c r="P1590" s="13" t="s">
        <v>297</v>
      </c>
      <c r="Q1590" s="34">
        <f t="shared" si="52"/>
        <v>980063.65999999968</v>
      </c>
      <c r="R1590" s="34" t="str">
        <f>VLOOKUP(E1590,Sales_Reps!$A$2:$E$100,3,FALSE)</f>
        <v>North</v>
      </c>
      <c r="S1590" s="34" t="str">
        <f t="shared" si="53"/>
        <v>Sports</v>
      </c>
      <c r="T1590" s="38">
        <f>VLOOKUP(D1590,Products!$A$2:$F$68,4,FALSE)</f>
        <v>147</v>
      </c>
    </row>
    <row r="1591" spans="1:20" x14ac:dyDescent="0.35">
      <c r="A1591" s="13" t="s">
        <v>2086</v>
      </c>
      <c r="B1591" s="14">
        <v>45294</v>
      </c>
      <c r="C1591" s="13" t="s">
        <v>194</v>
      </c>
      <c r="D1591" s="13" t="s">
        <v>226</v>
      </c>
      <c r="E1591" s="13" t="s">
        <v>325</v>
      </c>
      <c r="F1591" s="15">
        <v>4</v>
      </c>
      <c r="G1591" s="15">
        <v>3730</v>
      </c>
      <c r="H1591" s="15">
        <v>6.9</v>
      </c>
      <c r="I1591" s="15">
        <v>13890.52</v>
      </c>
      <c r="J1591" s="13" t="s">
        <v>87</v>
      </c>
      <c r="K1591" s="13" t="s">
        <v>88</v>
      </c>
      <c r="L1591" s="34" t="str">
        <f>VLOOKUP(D1591,Products!$A$2:$F$61,3,FALSE)</f>
        <v>Home</v>
      </c>
      <c r="M1591" s="34" t="str">
        <f>VLOOKUP(C1591,Customers!$A$2:$F$301,5,FALSE)</f>
        <v>SMB</v>
      </c>
      <c r="N1591" s="34">
        <f>VLOOKUP(C1591,Customers!$A$2:$F$301,3,FALSE)</f>
        <v>44</v>
      </c>
      <c r="O1591" s="34" t="str">
        <f>VLOOKUP(E1591,Sales_Reps!$A$2:$E$31,3,FALSE)</f>
        <v>South</v>
      </c>
      <c r="P1591" s="13" t="s">
        <v>325</v>
      </c>
      <c r="Q1591" s="34">
        <f t="shared" si="52"/>
        <v>901394.32000000007</v>
      </c>
      <c r="R1591" s="34" t="str">
        <f>VLOOKUP(E1591,Sales_Reps!$A$2:$E$100,3,FALSE)</f>
        <v>South</v>
      </c>
      <c r="S1591" s="34" t="str">
        <f t="shared" si="53"/>
        <v>Home</v>
      </c>
      <c r="T1591" s="38">
        <f>VLOOKUP(D1591,Products!$A$2:$F$68,4,FALSE)</f>
        <v>2135</v>
      </c>
    </row>
    <row r="1592" spans="1:20" x14ac:dyDescent="0.35">
      <c r="A1592" s="13" t="s">
        <v>2087</v>
      </c>
      <c r="B1592" s="14">
        <v>45503</v>
      </c>
      <c r="C1592" s="13" t="s">
        <v>1027</v>
      </c>
      <c r="D1592" s="13" t="s">
        <v>161</v>
      </c>
      <c r="E1592" s="13" t="s">
        <v>111</v>
      </c>
      <c r="F1592" s="15">
        <v>9</v>
      </c>
      <c r="G1592" s="15">
        <v>3450</v>
      </c>
      <c r="H1592" s="15">
        <v>22.2</v>
      </c>
      <c r="I1592" s="15">
        <v>24156.9</v>
      </c>
      <c r="J1592" s="13" t="s">
        <v>140</v>
      </c>
      <c r="K1592" s="13" t="s">
        <v>112</v>
      </c>
      <c r="L1592" s="34" t="str">
        <f>VLOOKUP(D1592,Products!$A$2:$F$61,3,FALSE)</f>
        <v>Sports</v>
      </c>
      <c r="M1592" s="34" t="str">
        <f>VLOOKUP(C1592,Customers!$A$2:$F$301,5,FALSE)</f>
        <v>SMB</v>
      </c>
      <c r="N1592" s="34">
        <f>VLOOKUP(C1592,Customers!$A$2:$F$301,3,FALSE)</f>
        <v>47</v>
      </c>
      <c r="O1592" s="34" t="str">
        <f>VLOOKUP(E1592,Sales_Reps!$A$2:$E$31,3,FALSE)</f>
        <v>West</v>
      </c>
      <c r="P1592" s="13" t="s">
        <v>111</v>
      </c>
      <c r="Q1592" s="34">
        <f t="shared" si="52"/>
        <v>901298.89</v>
      </c>
      <c r="R1592" s="34" t="str">
        <f>VLOOKUP(E1592,Sales_Reps!$A$2:$E$100,3,FALSE)</f>
        <v>West</v>
      </c>
      <c r="S1592" s="34" t="str">
        <f t="shared" si="53"/>
        <v>Sports</v>
      </c>
      <c r="T1592" s="38">
        <f>VLOOKUP(D1592,Products!$A$2:$F$68,4,FALSE)</f>
        <v>2467</v>
      </c>
    </row>
    <row r="1593" spans="1:20" x14ac:dyDescent="0.35">
      <c r="A1593" s="13" t="s">
        <v>2088</v>
      </c>
      <c r="B1593" s="14">
        <v>45336</v>
      </c>
      <c r="C1593" s="13" t="s">
        <v>504</v>
      </c>
      <c r="D1593" s="13" t="s">
        <v>408</v>
      </c>
      <c r="E1593" s="13" t="s">
        <v>297</v>
      </c>
      <c r="F1593" s="15">
        <v>3</v>
      </c>
      <c r="G1593" s="15">
        <v>3970</v>
      </c>
      <c r="H1593" s="15">
        <v>6.8</v>
      </c>
      <c r="I1593" s="15">
        <v>11100.12</v>
      </c>
      <c r="J1593" s="13" t="s">
        <v>87</v>
      </c>
      <c r="K1593" s="13" t="s">
        <v>117</v>
      </c>
      <c r="L1593" s="34" t="str">
        <f>VLOOKUP(D1593,Products!$A$2:$F$61,3,FALSE)</f>
        <v>Electronics</v>
      </c>
      <c r="M1593" s="34" t="str">
        <f>VLOOKUP(C1593,Customers!$A$2:$F$301,5,FALSE)</f>
        <v>Corporate</v>
      </c>
      <c r="N1593" s="34">
        <f>VLOOKUP(C1593,Customers!$A$2:$F$301,3,FALSE)</f>
        <v>36</v>
      </c>
      <c r="O1593" s="34" t="str">
        <f>VLOOKUP(E1593,Sales_Reps!$A$2:$E$31,3,FALSE)</f>
        <v>North</v>
      </c>
      <c r="P1593" s="13" t="s">
        <v>297</v>
      </c>
      <c r="Q1593" s="34">
        <f t="shared" si="52"/>
        <v>980063.65999999968</v>
      </c>
      <c r="R1593" s="34" t="str">
        <f>VLOOKUP(E1593,Sales_Reps!$A$2:$E$100,3,FALSE)</f>
        <v>North</v>
      </c>
      <c r="S1593" s="34" t="str">
        <f t="shared" si="53"/>
        <v>Electronics</v>
      </c>
      <c r="T1593" s="38">
        <f>VLOOKUP(D1593,Products!$A$2:$F$68,4,FALSE)</f>
        <v>2865</v>
      </c>
    </row>
    <row r="1594" spans="1:20" x14ac:dyDescent="0.35">
      <c r="A1594" s="13" t="s">
        <v>2089</v>
      </c>
      <c r="B1594" s="14">
        <v>45462</v>
      </c>
      <c r="C1594" s="13" t="s">
        <v>606</v>
      </c>
      <c r="D1594" s="13" t="s">
        <v>502</v>
      </c>
      <c r="E1594" s="13" t="s">
        <v>285</v>
      </c>
      <c r="F1594" s="15">
        <v>3</v>
      </c>
      <c r="G1594" s="15">
        <v>1090</v>
      </c>
      <c r="H1594" s="15">
        <v>23.7</v>
      </c>
      <c r="I1594" s="15">
        <v>2495.0100000000002</v>
      </c>
      <c r="J1594" s="13" t="s">
        <v>87</v>
      </c>
      <c r="K1594" s="13" t="s">
        <v>112</v>
      </c>
      <c r="L1594" s="34" t="str">
        <f>VLOOKUP(D1594,Products!$A$2:$F$61,3,FALSE)</f>
        <v>Home</v>
      </c>
      <c r="M1594" s="34" t="str">
        <f>VLOOKUP(C1594,Customers!$A$2:$F$301,5,FALSE)</f>
        <v>Retail</v>
      </c>
      <c r="N1594" s="34">
        <f>VLOOKUP(C1594,Customers!$A$2:$F$301,3,FALSE)</f>
        <v>52</v>
      </c>
      <c r="O1594" s="34" t="str">
        <f>VLOOKUP(E1594,Sales_Reps!$A$2:$E$31,3,FALSE)</f>
        <v>East</v>
      </c>
      <c r="P1594" s="13" t="s">
        <v>285</v>
      </c>
      <c r="Q1594" s="34">
        <f t="shared" si="52"/>
        <v>1069570.5400000003</v>
      </c>
      <c r="R1594" s="34" t="str">
        <f>VLOOKUP(E1594,Sales_Reps!$A$2:$E$100,3,FALSE)</f>
        <v>East</v>
      </c>
      <c r="S1594" s="34" t="str">
        <f t="shared" si="53"/>
        <v>Home</v>
      </c>
      <c r="T1594" s="38">
        <f>VLOOKUP(D1594,Products!$A$2:$F$68,4,FALSE)</f>
        <v>464</v>
      </c>
    </row>
    <row r="1595" spans="1:20" x14ac:dyDescent="0.35">
      <c r="A1595" s="13" t="s">
        <v>2090</v>
      </c>
      <c r="B1595" s="14">
        <v>45300</v>
      </c>
      <c r="C1595" s="13" t="s">
        <v>479</v>
      </c>
      <c r="D1595" s="13" t="s">
        <v>295</v>
      </c>
      <c r="E1595" s="13" t="s">
        <v>154</v>
      </c>
      <c r="F1595" s="15">
        <v>3</v>
      </c>
      <c r="G1595" s="15">
        <v>2030</v>
      </c>
      <c r="H1595" s="15">
        <v>18.8</v>
      </c>
      <c r="I1595" s="15">
        <v>4945.08</v>
      </c>
      <c r="J1595" s="13" t="s">
        <v>87</v>
      </c>
      <c r="K1595" s="13" t="s">
        <v>88</v>
      </c>
      <c r="L1595" s="34" t="str">
        <f>VLOOKUP(D1595,Products!$A$2:$F$61,3,FALSE)</f>
        <v>Home</v>
      </c>
      <c r="M1595" s="34" t="str">
        <f>VLOOKUP(C1595,Customers!$A$2:$F$301,5,FALSE)</f>
        <v>SMB</v>
      </c>
      <c r="N1595" s="34">
        <f>VLOOKUP(C1595,Customers!$A$2:$F$301,3,FALSE)</f>
        <v>49</v>
      </c>
      <c r="O1595" s="34" t="str">
        <f>VLOOKUP(E1595,Sales_Reps!$A$2:$E$31,3,FALSE)</f>
        <v>East</v>
      </c>
      <c r="P1595" s="13" t="s">
        <v>154</v>
      </c>
      <c r="Q1595" s="34">
        <f t="shared" si="52"/>
        <v>983787.4800000001</v>
      </c>
      <c r="R1595" s="34" t="str">
        <f>VLOOKUP(E1595,Sales_Reps!$A$2:$E$100,3,FALSE)</f>
        <v>East</v>
      </c>
      <c r="S1595" s="34" t="str">
        <f t="shared" si="53"/>
        <v>Home</v>
      </c>
      <c r="T1595" s="38">
        <f>VLOOKUP(D1595,Products!$A$2:$F$68,4,FALSE)</f>
        <v>1143</v>
      </c>
    </row>
    <row r="1596" spans="1:20" x14ac:dyDescent="0.35">
      <c r="A1596" s="13" t="s">
        <v>2091</v>
      </c>
      <c r="B1596" s="14">
        <v>45367</v>
      </c>
      <c r="C1596" s="13" t="s">
        <v>621</v>
      </c>
      <c r="D1596" s="13" t="s">
        <v>264</v>
      </c>
      <c r="E1596" s="13" t="s">
        <v>107</v>
      </c>
      <c r="F1596" s="15">
        <v>2</v>
      </c>
      <c r="G1596" s="15">
        <v>4070</v>
      </c>
      <c r="H1596" s="15">
        <v>14.3</v>
      </c>
      <c r="I1596" s="15">
        <v>6975.98</v>
      </c>
      <c r="J1596" s="13" t="s">
        <v>87</v>
      </c>
      <c r="K1596" s="13" t="s">
        <v>2092</v>
      </c>
      <c r="L1596" s="34" t="str">
        <f>VLOOKUP(D1596,Products!$A$2:$F$61,3,FALSE)</f>
        <v>Grocery</v>
      </c>
      <c r="M1596" s="34" t="str">
        <f>VLOOKUP(C1596,Customers!$A$2:$F$301,5,FALSE)</f>
        <v>Corporate</v>
      </c>
      <c r="N1596" s="34">
        <f>VLOOKUP(C1596,Customers!$A$2:$F$301,3,FALSE)</f>
        <v>22</v>
      </c>
      <c r="O1596" s="34" t="str">
        <f>VLOOKUP(E1596,Sales_Reps!$A$2:$E$31,3,FALSE)</f>
        <v>North</v>
      </c>
      <c r="P1596" s="13" t="s">
        <v>107</v>
      </c>
      <c r="Q1596" s="34">
        <f t="shared" si="52"/>
        <v>861553.33</v>
      </c>
      <c r="R1596" s="34" t="str">
        <f>VLOOKUP(E1596,Sales_Reps!$A$2:$E$100,3,FALSE)</f>
        <v>North</v>
      </c>
      <c r="S1596" s="34" t="str">
        <f t="shared" si="53"/>
        <v>Grocery</v>
      </c>
      <c r="T1596" s="38">
        <f>VLOOKUP(D1596,Products!$A$2:$F$68,4,FALSE)</f>
        <v>2027</v>
      </c>
    </row>
    <row r="1597" spans="1:20" x14ac:dyDescent="0.35">
      <c r="A1597" s="13" t="s">
        <v>2093</v>
      </c>
      <c r="B1597" s="14">
        <v>45410</v>
      </c>
      <c r="C1597" s="13" t="s">
        <v>1180</v>
      </c>
      <c r="D1597" s="13" t="s">
        <v>85</v>
      </c>
      <c r="E1597" s="13" t="s">
        <v>128</v>
      </c>
      <c r="F1597" s="15">
        <v>3</v>
      </c>
      <c r="G1597" s="15">
        <v>3620</v>
      </c>
      <c r="H1597" s="15">
        <v>13.5</v>
      </c>
      <c r="I1597" s="15">
        <v>9393.9</v>
      </c>
      <c r="J1597" s="13" t="s">
        <v>87</v>
      </c>
      <c r="K1597" s="13" t="s">
        <v>94</v>
      </c>
      <c r="L1597" s="34" t="str">
        <f>VLOOKUP(D1597,Products!$A$2:$F$61,3,FALSE)</f>
        <v>Apparel</v>
      </c>
      <c r="M1597" s="34" t="str">
        <f>VLOOKUP(C1597,Customers!$A$2:$F$301,5,FALSE)</f>
        <v>Corporate</v>
      </c>
      <c r="N1597" s="34">
        <f>VLOOKUP(C1597,Customers!$A$2:$F$301,3,FALSE)</f>
        <v>49</v>
      </c>
      <c r="O1597" s="34" t="str">
        <f>VLOOKUP(E1597,Sales_Reps!$A$2:$E$31,3,FALSE)</f>
        <v>West</v>
      </c>
      <c r="P1597" s="13" t="s">
        <v>128</v>
      </c>
      <c r="Q1597" s="34">
        <f t="shared" si="52"/>
        <v>880468.05</v>
      </c>
      <c r="R1597" s="34" t="str">
        <f>VLOOKUP(E1597,Sales_Reps!$A$2:$E$100,3,FALSE)</f>
        <v>West</v>
      </c>
      <c r="S1597" s="34" t="str">
        <f t="shared" si="53"/>
        <v>Apparel</v>
      </c>
      <c r="T1597" s="38">
        <f>VLOOKUP(D1597,Products!$A$2:$F$68,4,FALSE)</f>
        <v>2509</v>
      </c>
    </row>
    <row r="1598" spans="1:20" x14ac:dyDescent="0.35">
      <c r="A1598" s="13" t="s">
        <v>2094</v>
      </c>
      <c r="B1598" s="14">
        <v>45623</v>
      </c>
      <c r="C1598" s="13" t="s">
        <v>785</v>
      </c>
      <c r="D1598" s="13" t="s">
        <v>182</v>
      </c>
      <c r="E1598" s="13" t="s">
        <v>215</v>
      </c>
      <c r="F1598" s="15">
        <v>4</v>
      </c>
      <c r="G1598" s="15">
        <v>1010</v>
      </c>
      <c r="H1598" s="15">
        <v>3.3</v>
      </c>
      <c r="I1598" s="15">
        <v>3906.68</v>
      </c>
      <c r="J1598" s="13" t="s">
        <v>87</v>
      </c>
      <c r="K1598" s="13" t="s">
        <v>88</v>
      </c>
      <c r="L1598" s="34" t="str">
        <f>VLOOKUP(D1598,Products!$A$2:$F$61,3,FALSE)</f>
        <v>Sports</v>
      </c>
      <c r="M1598" s="34" t="str">
        <f>VLOOKUP(C1598,Customers!$A$2:$F$301,5,FALSE)</f>
        <v>Retail</v>
      </c>
      <c r="N1598" s="34">
        <f>VLOOKUP(C1598,Customers!$A$2:$F$301,3,FALSE)</f>
        <v>31</v>
      </c>
      <c r="O1598" s="34" t="str">
        <f>VLOOKUP(E1598,Sales_Reps!$A$2:$E$31,3,FALSE)</f>
        <v>North</v>
      </c>
      <c r="P1598" s="13" t="s">
        <v>215</v>
      </c>
      <c r="Q1598" s="34">
        <f t="shared" si="52"/>
        <v>789849.60000000009</v>
      </c>
      <c r="R1598" s="34" t="str">
        <f>VLOOKUP(E1598,Sales_Reps!$A$2:$E$100,3,FALSE)</f>
        <v>North</v>
      </c>
      <c r="S1598" s="34" t="str">
        <f t="shared" si="53"/>
        <v>Sports</v>
      </c>
      <c r="T1598" s="38">
        <f>VLOOKUP(D1598,Products!$A$2:$F$68,4,FALSE)</f>
        <v>516</v>
      </c>
    </row>
    <row r="1599" spans="1:20" x14ac:dyDescent="0.35">
      <c r="A1599" s="13" t="s">
        <v>2095</v>
      </c>
      <c r="B1599" s="14">
        <v>45491</v>
      </c>
      <c r="C1599" s="13" t="s">
        <v>357</v>
      </c>
      <c r="D1599" s="13" t="s">
        <v>127</v>
      </c>
      <c r="E1599" s="13" t="s">
        <v>92</v>
      </c>
      <c r="F1599" s="15">
        <v>7</v>
      </c>
      <c r="G1599" s="15">
        <v>970</v>
      </c>
      <c r="H1599" s="15">
        <v>0.1</v>
      </c>
      <c r="I1599" s="15">
        <v>6783.21</v>
      </c>
      <c r="J1599" s="13" t="s">
        <v>87</v>
      </c>
      <c r="K1599" s="13" t="s">
        <v>99</v>
      </c>
      <c r="L1599" s="34" t="str">
        <f>VLOOKUP(D1599,Products!$A$2:$F$61,3,FALSE)</f>
        <v>Grocery</v>
      </c>
      <c r="M1599" s="34" t="str">
        <f>VLOOKUP(C1599,Customers!$A$2:$F$301,5,FALSE)</f>
        <v>SMB</v>
      </c>
      <c r="N1599" s="34">
        <f>VLOOKUP(C1599,Customers!$A$2:$F$301,3,FALSE)</f>
        <v>38</v>
      </c>
      <c r="O1599" s="34" t="str">
        <f>VLOOKUP(E1599,Sales_Reps!$A$2:$E$31,3,FALSE)</f>
        <v>North</v>
      </c>
      <c r="P1599" s="13" t="s">
        <v>92</v>
      </c>
      <c r="Q1599" s="34">
        <f t="shared" si="52"/>
        <v>782445.33</v>
      </c>
      <c r="R1599" s="34" t="str">
        <f>VLOOKUP(E1599,Sales_Reps!$A$2:$E$100,3,FALSE)</f>
        <v>North</v>
      </c>
      <c r="S1599" s="34" t="str">
        <f t="shared" si="53"/>
        <v>Grocery</v>
      </c>
      <c r="T1599" s="38">
        <f>VLOOKUP(D1599,Products!$A$2:$F$68,4,FALSE)</f>
        <v>434</v>
      </c>
    </row>
    <row r="1600" spans="1:20" x14ac:dyDescent="0.35">
      <c r="A1600" s="13" t="s">
        <v>2096</v>
      </c>
      <c r="B1600" s="14">
        <v>45571</v>
      </c>
      <c r="C1600" s="13" t="s">
        <v>870</v>
      </c>
      <c r="D1600" s="13" t="s">
        <v>97</v>
      </c>
      <c r="E1600" s="13" t="s">
        <v>343</v>
      </c>
      <c r="F1600" s="15">
        <v>5</v>
      </c>
      <c r="G1600" s="15">
        <v>470</v>
      </c>
      <c r="H1600" s="15">
        <v>18.3</v>
      </c>
      <c r="I1600" s="15">
        <v>1919.95</v>
      </c>
      <c r="J1600" s="13" t="s">
        <v>144</v>
      </c>
      <c r="K1600" s="13" t="s">
        <v>117</v>
      </c>
      <c r="L1600" s="34" t="str">
        <f>VLOOKUP(D1600,Products!$A$2:$F$61,3,FALSE)</f>
        <v>Sports</v>
      </c>
      <c r="M1600" s="34" t="str">
        <f>VLOOKUP(C1600,Customers!$A$2:$F$301,5,FALSE)</f>
        <v>Retail</v>
      </c>
      <c r="N1600" s="34">
        <f>VLOOKUP(C1600,Customers!$A$2:$F$301,3,FALSE)</f>
        <v>47</v>
      </c>
      <c r="O1600" s="34" t="str">
        <f>VLOOKUP(E1600,Sales_Reps!$A$2:$E$31,3,FALSE)</f>
        <v>West</v>
      </c>
      <c r="P1600" s="13" t="s">
        <v>343</v>
      </c>
      <c r="Q1600" s="34">
        <f t="shared" si="52"/>
        <v>917092.61999999965</v>
      </c>
      <c r="R1600" s="34" t="str">
        <f>VLOOKUP(E1600,Sales_Reps!$A$2:$E$100,3,FALSE)</f>
        <v>West</v>
      </c>
      <c r="S1600" s="34" t="str">
        <f t="shared" si="53"/>
        <v>Sports</v>
      </c>
      <c r="T1600" s="38">
        <f>VLOOKUP(D1600,Products!$A$2:$F$68,4,FALSE)</f>
        <v>302</v>
      </c>
    </row>
    <row r="1601" spans="1:20" x14ac:dyDescent="0.35">
      <c r="A1601" s="13" t="s">
        <v>2097</v>
      </c>
      <c r="B1601" s="14">
        <v>45393</v>
      </c>
      <c r="C1601" s="13" t="s">
        <v>555</v>
      </c>
      <c r="D1601" s="13" t="s">
        <v>452</v>
      </c>
      <c r="E1601" s="13" t="s">
        <v>132</v>
      </c>
      <c r="F1601" s="15">
        <v>8</v>
      </c>
      <c r="G1601" s="15">
        <v>3450</v>
      </c>
      <c r="H1601" s="15">
        <v>5.0999999999999996</v>
      </c>
      <c r="I1601" s="15">
        <v>26192.400000000001</v>
      </c>
      <c r="J1601" s="13" t="s">
        <v>144</v>
      </c>
      <c r="K1601" s="13" t="s">
        <v>112</v>
      </c>
      <c r="L1601" s="34" t="str">
        <f>VLOOKUP(D1601,Products!$A$2:$F$61,3,FALSE)</f>
        <v>Apparel</v>
      </c>
      <c r="M1601" s="34" t="str">
        <f>VLOOKUP(C1601,Customers!$A$2:$F$301,5,FALSE)</f>
        <v>Retail</v>
      </c>
      <c r="N1601" s="34">
        <f>VLOOKUP(C1601,Customers!$A$2:$F$301,3,FALSE)</f>
        <v>37</v>
      </c>
      <c r="O1601" s="34" t="str">
        <f>VLOOKUP(E1601,Sales_Reps!$A$2:$E$31,3,FALSE)</f>
        <v>South</v>
      </c>
      <c r="P1601" s="13" t="s">
        <v>132</v>
      </c>
      <c r="Q1601" s="34">
        <f t="shared" si="52"/>
        <v>880345.20000000007</v>
      </c>
      <c r="R1601" s="34" t="str">
        <f>VLOOKUP(E1601,Sales_Reps!$A$2:$E$100,3,FALSE)</f>
        <v>South</v>
      </c>
      <c r="S1601" s="34" t="str">
        <f t="shared" si="53"/>
        <v>Apparel</v>
      </c>
      <c r="T1601" s="38">
        <f>VLOOKUP(D1601,Products!$A$2:$F$68,4,FALSE)</f>
        <v>1748</v>
      </c>
    </row>
    <row r="1602" spans="1:20" x14ac:dyDescent="0.35">
      <c r="A1602" s="13" t="s">
        <v>2098</v>
      </c>
      <c r="B1602" s="14">
        <v>45465</v>
      </c>
      <c r="C1602" s="13" t="s">
        <v>608</v>
      </c>
      <c r="D1602" s="13" t="s">
        <v>135</v>
      </c>
      <c r="E1602" s="13" t="s">
        <v>285</v>
      </c>
      <c r="F1602" s="15">
        <v>1</v>
      </c>
      <c r="G1602" s="15">
        <v>2640</v>
      </c>
      <c r="H1602" s="15">
        <v>5.9</v>
      </c>
      <c r="I1602" s="15">
        <v>2484.2399999999998</v>
      </c>
      <c r="J1602" s="13" t="s">
        <v>87</v>
      </c>
      <c r="K1602" s="13" t="s">
        <v>88</v>
      </c>
      <c r="L1602" s="34" t="str">
        <f>VLOOKUP(D1602,Products!$A$2:$F$61,3,FALSE)</f>
        <v>Electronics</v>
      </c>
      <c r="M1602" s="34" t="str">
        <f>VLOOKUP(C1602,Customers!$A$2:$F$301,5,FALSE)</f>
        <v>Corporate</v>
      </c>
      <c r="N1602" s="34">
        <f>VLOOKUP(C1602,Customers!$A$2:$F$301,3,FALSE)</f>
        <v>40</v>
      </c>
      <c r="O1602" s="34" t="str">
        <f>VLOOKUP(E1602,Sales_Reps!$A$2:$E$31,3,FALSE)</f>
        <v>East</v>
      </c>
      <c r="P1602" s="13" t="s">
        <v>285</v>
      </c>
      <c r="Q1602" s="34">
        <f t="shared" si="52"/>
        <v>1069570.5400000003</v>
      </c>
      <c r="R1602" s="34" t="str">
        <f>VLOOKUP(E1602,Sales_Reps!$A$2:$E$100,3,FALSE)</f>
        <v>East</v>
      </c>
      <c r="S1602" s="34" t="str">
        <f t="shared" si="53"/>
        <v>Electronics</v>
      </c>
      <c r="T1602" s="38">
        <f>VLOOKUP(D1602,Products!$A$2:$F$68,4,FALSE)</f>
        <v>1149</v>
      </c>
    </row>
    <row r="1603" spans="1:20" x14ac:dyDescent="0.35">
      <c r="A1603" s="13" t="s">
        <v>2099</v>
      </c>
      <c r="B1603" s="14">
        <v>45354</v>
      </c>
      <c r="C1603" s="13" t="s">
        <v>585</v>
      </c>
      <c r="D1603" s="13" t="s">
        <v>187</v>
      </c>
      <c r="E1603" s="13" t="s">
        <v>192</v>
      </c>
      <c r="F1603" s="15">
        <v>10</v>
      </c>
      <c r="G1603" s="15">
        <v>3570</v>
      </c>
      <c r="H1603" s="15">
        <v>21.5</v>
      </c>
      <c r="I1603" s="15">
        <v>28024.5</v>
      </c>
      <c r="J1603" s="13" t="s">
        <v>87</v>
      </c>
      <c r="K1603" s="13" t="s">
        <v>94</v>
      </c>
      <c r="L1603" s="34" t="str">
        <f>VLOOKUP(D1603,Products!$A$2:$F$61,3,FALSE)</f>
        <v>Electronics</v>
      </c>
      <c r="M1603" s="34" t="str">
        <f>VLOOKUP(C1603,Customers!$A$2:$F$301,5,FALSE)</f>
        <v>Retail</v>
      </c>
      <c r="N1603" s="34">
        <f>VLOOKUP(C1603,Customers!$A$2:$F$301,3,FALSE)</f>
        <v>26</v>
      </c>
      <c r="O1603" s="34" t="str">
        <f>VLOOKUP(E1603,Sales_Reps!$A$2:$E$31,3,FALSE)</f>
        <v>East</v>
      </c>
      <c r="P1603" s="13" t="s">
        <v>192</v>
      </c>
      <c r="Q1603" s="34">
        <f t="shared" ref="Q1603:Q1666" si="54">SUMIFS($I:$I,$E:$E,P1603)</f>
        <v>906107.71000000008</v>
      </c>
      <c r="R1603" s="34" t="str">
        <f>VLOOKUP(E1603,Sales_Reps!$A$2:$E$100,3,FALSE)</f>
        <v>East</v>
      </c>
      <c r="S1603" s="34" t="str">
        <f t="shared" ref="S1603:S1666" si="55">L1603</f>
        <v>Electronics</v>
      </c>
      <c r="T1603" s="38">
        <f>VLOOKUP(D1603,Products!$A$2:$F$68,4,FALSE)</f>
        <v>1665</v>
      </c>
    </row>
    <row r="1604" spans="1:20" x14ac:dyDescent="0.35">
      <c r="A1604" s="13" t="s">
        <v>2100</v>
      </c>
      <c r="B1604" s="14">
        <v>45581</v>
      </c>
      <c r="C1604" s="13" t="s">
        <v>592</v>
      </c>
      <c r="D1604" s="13" t="s">
        <v>120</v>
      </c>
      <c r="E1604" s="13" t="s">
        <v>346</v>
      </c>
      <c r="F1604" s="15">
        <v>10</v>
      </c>
      <c r="G1604" s="15">
        <v>1430</v>
      </c>
      <c r="H1604" s="15">
        <v>11.4</v>
      </c>
      <c r="I1604" s="15">
        <v>12669.8</v>
      </c>
      <c r="J1604" s="13" t="s">
        <v>140</v>
      </c>
      <c r="K1604" s="13" t="s">
        <v>133</v>
      </c>
      <c r="L1604" s="34" t="str">
        <f>VLOOKUP(D1604,Products!$A$2:$F$61,3,FALSE)</f>
        <v>Electronics</v>
      </c>
      <c r="M1604" s="34" t="str">
        <f>VLOOKUP(C1604,Customers!$A$2:$F$301,5,FALSE)</f>
        <v>Retail</v>
      </c>
      <c r="N1604" s="34">
        <f>VLOOKUP(C1604,Customers!$A$2:$F$301,3,FALSE)</f>
        <v>22</v>
      </c>
      <c r="O1604" s="34" t="str">
        <f>VLOOKUP(E1604,Sales_Reps!$A$2:$E$31,3,FALSE)</f>
        <v>South</v>
      </c>
      <c r="P1604" s="13" t="s">
        <v>346</v>
      </c>
      <c r="Q1604" s="34">
        <f t="shared" si="54"/>
        <v>814563.7100000002</v>
      </c>
      <c r="R1604" s="34" t="str">
        <f>VLOOKUP(E1604,Sales_Reps!$A$2:$E$100,3,FALSE)</f>
        <v>South</v>
      </c>
      <c r="S1604" s="34" t="str">
        <f t="shared" si="55"/>
        <v>Electronics</v>
      </c>
      <c r="T1604" s="38">
        <f>VLOOKUP(D1604,Products!$A$2:$F$68,4,FALSE)</f>
        <v>861</v>
      </c>
    </row>
    <row r="1605" spans="1:20" x14ac:dyDescent="0.35">
      <c r="A1605" s="13" t="s">
        <v>2101</v>
      </c>
      <c r="B1605" s="14">
        <v>45643</v>
      </c>
      <c r="C1605" s="13" t="s">
        <v>823</v>
      </c>
      <c r="D1605" s="13" t="s">
        <v>115</v>
      </c>
      <c r="E1605" s="13" t="s">
        <v>252</v>
      </c>
      <c r="F1605" s="15">
        <v>7</v>
      </c>
      <c r="G1605" s="15">
        <v>960</v>
      </c>
      <c r="H1605" s="15">
        <v>22.9</v>
      </c>
      <c r="I1605" s="15">
        <v>5181.12</v>
      </c>
      <c r="J1605" s="13" t="s">
        <v>87</v>
      </c>
      <c r="K1605" s="13" t="s">
        <v>94</v>
      </c>
      <c r="L1605" s="34" t="str">
        <f>VLOOKUP(D1605,Products!$A$2:$F$61,3,FALSE)</f>
        <v>Sports</v>
      </c>
      <c r="M1605" s="34" t="str">
        <f>VLOOKUP(C1605,Customers!$A$2:$F$301,5,FALSE)</f>
        <v>Retail</v>
      </c>
      <c r="N1605" s="34">
        <f>VLOOKUP(C1605,Customers!$A$2:$F$301,3,FALSE)</f>
        <v>32</v>
      </c>
      <c r="O1605" s="34" t="str">
        <f>VLOOKUP(E1605,Sales_Reps!$A$2:$E$31,3,FALSE)</f>
        <v>South</v>
      </c>
      <c r="P1605" s="13" t="s">
        <v>252</v>
      </c>
      <c r="Q1605" s="34">
        <f t="shared" si="54"/>
        <v>811524.37999999989</v>
      </c>
      <c r="R1605" s="34" t="str">
        <f>VLOOKUP(E1605,Sales_Reps!$A$2:$E$100,3,FALSE)</f>
        <v>South</v>
      </c>
      <c r="S1605" s="34" t="str">
        <f t="shared" si="55"/>
        <v>Sports</v>
      </c>
      <c r="T1605" s="38">
        <f>VLOOKUP(D1605,Products!$A$2:$F$68,4,FALSE)</f>
        <v>705</v>
      </c>
    </row>
    <row r="1606" spans="1:20" x14ac:dyDescent="0.35">
      <c r="A1606" s="13" t="s">
        <v>2102</v>
      </c>
      <c r="B1606" s="14">
        <v>45606</v>
      </c>
      <c r="C1606" s="13" t="s">
        <v>1000</v>
      </c>
      <c r="D1606" s="13" t="s">
        <v>143</v>
      </c>
      <c r="E1606" s="13" t="s">
        <v>132</v>
      </c>
      <c r="F1606" s="15">
        <v>8</v>
      </c>
      <c r="G1606" s="15">
        <v>3250</v>
      </c>
      <c r="H1606" s="15">
        <v>1.9</v>
      </c>
      <c r="I1606" s="15">
        <v>25506</v>
      </c>
      <c r="J1606" s="13" t="s">
        <v>87</v>
      </c>
      <c r="K1606" s="13" t="s">
        <v>117</v>
      </c>
      <c r="L1606" s="34" t="str">
        <f>VLOOKUP(D1606,Products!$A$2:$F$61,3,FALSE)</f>
        <v>Home</v>
      </c>
      <c r="M1606" s="34" t="str">
        <f>VLOOKUP(C1606,Customers!$A$2:$F$301,5,FALSE)</f>
        <v>Retail</v>
      </c>
      <c r="N1606" s="34">
        <f>VLOOKUP(C1606,Customers!$A$2:$F$301,3,FALSE)</f>
        <v>27</v>
      </c>
      <c r="O1606" s="34" t="str">
        <f>VLOOKUP(E1606,Sales_Reps!$A$2:$E$31,3,FALSE)</f>
        <v>South</v>
      </c>
      <c r="P1606" s="13" t="s">
        <v>132</v>
      </c>
      <c r="Q1606" s="34">
        <f t="shared" si="54"/>
        <v>880345.20000000007</v>
      </c>
      <c r="R1606" s="34" t="str">
        <f>VLOOKUP(E1606,Sales_Reps!$A$2:$E$100,3,FALSE)</f>
        <v>South</v>
      </c>
      <c r="S1606" s="34" t="str">
        <f t="shared" si="55"/>
        <v>Home</v>
      </c>
      <c r="T1606" s="38">
        <f>VLOOKUP(D1606,Products!$A$2:$F$68,4,FALSE)</f>
        <v>1556</v>
      </c>
    </row>
    <row r="1607" spans="1:20" x14ac:dyDescent="0.35">
      <c r="A1607" s="13" t="s">
        <v>2103</v>
      </c>
      <c r="B1607" s="14">
        <v>45356</v>
      </c>
      <c r="C1607" s="13" t="s">
        <v>628</v>
      </c>
      <c r="D1607" s="13" t="s">
        <v>161</v>
      </c>
      <c r="E1607" s="13" t="s">
        <v>303</v>
      </c>
      <c r="F1607" s="15">
        <v>9</v>
      </c>
      <c r="G1607" s="15">
        <v>3450</v>
      </c>
      <c r="H1607" s="15">
        <v>18</v>
      </c>
      <c r="I1607" s="15">
        <v>25461</v>
      </c>
      <c r="J1607" s="13" t="s">
        <v>87</v>
      </c>
      <c r="K1607" s="13" t="s">
        <v>133</v>
      </c>
      <c r="L1607" s="34" t="str">
        <f>VLOOKUP(D1607,Products!$A$2:$F$61,3,FALSE)</f>
        <v>Sports</v>
      </c>
      <c r="M1607" s="34" t="str">
        <f>VLOOKUP(C1607,Customers!$A$2:$F$301,5,FALSE)</f>
        <v>Corporate</v>
      </c>
      <c r="N1607" s="34">
        <f>VLOOKUP(C1607,Customers!$A$2:$F$301,3,FALSE)</f>
        <v>22</v>
      </c>
      <c r="O1607" s="34" t="str">
        <f>VLOOKUP(E1607,Sales_Reps!$A$2:$E$31,3,FALSE)</f>
        <v>East</v>
      </c>
      <c r="P1607" s="13" t="s">
        <v>303</v>
      </c>
      <c r="Q1607" s="34">
        <f t="shared" si="54"/>
        <v>1112289.6400000001</v>
      </c>
      <c r="R1607" s="34" t="str">
        <f>VLOOKUP(E1607,Sales_Reps!$A$2:$E$100,3,FALSE)</f>
        <v>East</v>
      </c>
      <c r="S1607" s="34" t="str">
        <f t="shared" si="55"/>
        <v>Sports</v>
      </c>
      <c r="T1607" s="38">
        <f>VLOOKUP(D1607,Products!$A$2:$F$68,4,FALSE)</f>
        <v>2467</v>
      </c>
    </row>
    <row r="1608" spans="1:20" x14ac:dyDescent="0.35">
      <c r="A1608" s="13" t="s">
        <v>2104</v>
      </c>
      <c r="B1608" s="14">
        <v>45343</v>
      </c>
      <c r="C1608" s="13" t="s">
        <v>175</v>
      </c>
      <c r="D1608" s="13" t="s">
        <v>131</v>
      </c>
      <c r="E1608" s="13" t="s">
        <v>346</v>
      </c>
      <c r="F1608" s="15">
        <v>5</v>
      </c>
      <c r="G1608" s="15">
        <v>2270</v>
      </c>
      <c r="H1608" s="15">
        <v>11.5</v>
      </c>
      <c r="I1608" s="15">
        <v>10044.75</v>
      </c>
      <c r="J1608" s="13" t="s">
        <v>87</v>
      </c>
      <c r="K1608" s="13" t="s">
        <v>133</v>
      </c>
      <c r="L1608" s="34" t="str">
        <f>VLOOKUP(D1608,Products!$A$2:$F$61,3,FALSE)</f>
        <v>Grocery</v>
      </c>
      <c r="M1608" s="34" t="str">
        <f>VLOOKUP(C1608,Customers!$A$2:$F$301,5,FALSE)</f>
        <v>SMB</v>
      </c>
      <c r="N1608" s="34">
        <f>VLOOKUP(C1608,Customers!$A$2:$F$301,3,FALSE)</f>
        <v>40</v>
      </c>
      <c r="O1608" s="34" t="str">
        <f>VLOOKUP(E1608,Sales_Reps!$A$2:$E$31,3,FALSE)</f>
        <v>South</v>
      </c>
      <c r="P1608" s="13" t="s">
        <v>346</v>
      </c>
      <c r="Q1608" s="34">
        <f t="shared" si="54"/>
        <v>814563.7100000002</v>
      </c>
      <c r="R1608" s="34" t="str">
        <f>VLOOKUP(E1608,Sales_Reps!$A$2:$E$100,3,FALSE)</f>
        <v>South</v>
      </c>
      <c r="S1608" s="34" t="str">
        <f t="shared" si="55"/>
        <v>Grocery</v>
      </c>
      <c r="T1608" s="38">
        <f>VLOOKUP(D1608,Products!$A$2:$F$68,4,FALSE)</f>
        <v>1203</v>
      </c>
    </row>
    <row r="1609" spans="1:20" x14ac:dyDescent="0.35">
      <c r="A1609" s="13" t="s">
        <v>2105</v>
      </c>
      <c r="B1609" s="14">
        <v>45449</v>
      </c>
      <c r="C1609" s="13" t="s">
        <v>895</v>
      </c>
      <c r="D1609" s="13" t="s">
        <v>276</v>
      </c>
      <c r="E1609" s="13" t="s">
        <v>121</v>
      </c>
      <c r="F1609" s="15">
        <v>6</v>
      </c>
      <c r="G1609" s="15">
        <v>3020</v>
      </c>
      <c r="H1609" s="15">
        <v>12.6</v>
      </c>
      <c r="I1609" s="15">
        <v>15836.88</v>
      </c>
      <c r="J1609" s="13" t="s">
        <v>87</v>
      </c>
      <c r="K1609" s="13" t="s">
        <v>117</v>
      </c>
      <c r="L1609" s="34" t="str">
        <f>VLOOKUP(D1609,Products!$A$2:$F$61,3,FALSE)</f>
        <v>Beauty</v>
      </c>
      <c r="M1609" s="34" t="str">
        <f>VLOOKUP(C1609,Customers!$A$2:$F$301,5,FALSE)</f>
        <v>Retail</v>
      </c>
      <c r="N1609" s="34">
        <f>VLOOKUP(C1609,Customers!$A$2:$F$301,3,FALSE)</f>
        <v>46</v>
      </c>
      <c r="O1609" s="34" t="str">
        <f>VLOOKUP(E1609,Sales_Reps!$A$2:$E$31,3,FALSE)</f>
        <v>East</v>
      </c>
      <c r="P1609" s="13" t="s">
        <v>121</v>
      </c>
      <c r="Q1609" s="34">
        <f t="shared" si="54"/>
        <v>971183.52000000014</v>
      </c>
      <c r="R1609" s="34" t="str">
        <f>VLOOKUP(E1609,Sales_Reps!$A$2:$E$100,3,FALSE)</f>
        <v>East</v>
      </c>
      <c r="S1609" s="34" t="str">
        <f t="shared" si="55"/>
        <v>Beauty</v>
      </c>
      <c r="T1609" s="38">
        <f>VLOOKUP(D1609,Products!$A$2:$F$68,4,FALSE)</f>
        <v>1626</v>
      </c>
    </row>
    <row r="1610" spans="1:20" x14ac:dyDescent="0.35">
      <c r="A1610" s="13" t="s">
        <v>2106</v>
      </c>
      <c r="B1610" s="14">
        <v>45317</v>
      </c>
      <c r="C1610" s="13" t="s">
        <v>463</v>
      </c>
      <c r="D1610" s="13" t="s">
        <v>135</v>
      </c>
      <c r="E1610" s="13" t="s">
        <v>107</v>
      </c>
      <c r="F1610" s="15">
        <v>8</v>
      </c>
      <c r="G1610" s="15">
        <v>2640</v>
      </c>
      <c r="H1610" s="15">
        <v>14.5</v>
      </c>
      <c r="I1610" s="15">
        <v>18057.599999999999</v>
      </c>
      <c r="J1610" s="13" t="s">
        <v>144</v>
      </c>
      <c r="K1610" s="13" t="s">
        <v>117</v>
      </c>
      <c r="L1610" s="34" t="str">
        <f>VLOOKUP(D1610,Products!$A$2:$F$61,3,FALSE)</f>
        <v>Electronics</v>
      </c>
      <c r="M1610" s="34" t="str">
        <f>VLOOKUP(C1610,Customers!$A$2:$F$301,5,FALSE)</f>
        <v>Retail</v>
      </c>
      <c r="N1610" s="34">
        <f>VLOOKUP(C1610,Customers!$A$2:$F$301,3,FALSE)</f>
        <v>55</v>
      </c>
      <c r="O1610" s="34" t="str">
        <f>VLOOKUP(E1610,Sales_Reps!$A$2:$E$31,3,FALSE)</f>
        <v>North</v>
      </c>
      <c r="P1610" s="13" t="s">
        <v>107</v>
      </c>
      <c r="Q1610" s="34">
        <f t="shared" si="54"/>
        <v>861553.33</v>
      </c>
      <c r="R1610" s="34" t="str">
        <f>VLOOKUP(E1610,Sales_Reps!$A$2:$E$100,3,FALSE)</f>
        <v>North</v>
      </c>
      <c r="S1610" s="34" t="str">
        <f t="shared" si="55"/>
        <v>Electronics</v>
      </c>
      <c r="T1610" s="38">
        <f>VLOOKUP(D1610,Products!$A$2:$F$68,4,FALSE)</f>
        <v>1149</v>
      </c>
    </row>
    <row r="1611" spans="1:20" x14ac:dyDescent="0.35">
      <c r="A1611" s="13" t="s">
        <v>2107</v>
      </c>
      <c r="B1611" s="14">
        <v>45561</v>
      </c>
      <c r="C1611" s="13" t="s">
        <v>123</v>
      </c>
      <c r="D1611" s="13" t="s">
        <v>131</v>
      </c>
      <c r="E1611" s="13" t="s">
        <v>343</v>
      </c>
      <c r="F1611" s="15">
        <v>2</v>
      </c>
      <c r="G1611" s="15">
        <v>2270</v>
      </c>
      <c r="H1611" s="15">
        <v>27</v>
      </c>
      <c r="I1611" s="15">
        <v>3314.2</v>
      </c>
      <c r="J1611" s="13" t="s">
        <v>87</v>
      </c>
      <c r="K1611" s="13" t="s">
        <v>117</v>
      </c>
      <c r="L1611" s="34" t="str">
        <f>VLOOKUP(D1611,Products!$A$2:$F$61,3,FALSE)</f>
        <v>Grocery</v>
      </c>
      <c r="M1611" s="34" t="str">
        <f>VLOOKUP(C1611,Customers!$A$2:$F$301,5,FALSE)</f>
        <v>Retail</v>
      </c>
      <c r="N1611" s="34">
        <f>VLOOKUP(C1611,Customers!$A$2:$F$301,3,FALSE)</f>
        <v>42</v>
      </c>
      <c r="O1611" s="34" t="str">
        <f>VLOOKUP(E1611,Sales_Reps!$A$2:$E$31,3,FALSE)</f>
        <v>West</v>
      </c>
      <c r="P1611" s="13" t="s">
        <v>343</v>
      </c>
      <c r="Q1611" s="34">
        <f t="shared" si="54"/>
        <v>917092.61999999965</v>
      </c>
      <c r="R1611" s="34" t="str">
        <f>VLOOKUP(E1611,Sales_Reps!$A$2:$E$100,3,FALSE)</f>
        <v>West</v>
      </c>
      <c r="S1611" s="34" t="str">
        <f t="shared" si="55"/>
        <v>Grocery</v>
      </c>
      <c r="T1611" s="38">
        <f>VLOOKUP(D1611,Products!$A$2:$F$68,4,FALSE)</f>
        <v>1203</v>
      </c>
    </row>
    <row r="1612" spans="1:20" x14ac:dyDescent="0.35">
      <c r="A1612" s="13" t="s">
        <v>2108</v>
      </c>
      <c r="B1612" s="14">
        <v>45636</v>
      </c>
      <c r="C1612" s="13" t="s">
        <v>105</v>
      </c>
      <c r="D1612" s="13" t="s">
        <v>200</v>
      </c>
      <c r="E1612" s="13" t="s">
        <v>343</v>
      </c>
      <c r="F1612" s="15">
        <v>8</v>
      </c>
      <c r="G1612" s="15">
        <v>2760</v>
      </c>
      <c r="H1612" s="15">
        <v>18</v>
      </c>
      <c r="I1612" s="15">
        <v>18105.599999999999</v>
      </c>
      <c r="J1612" s="13" t="s">
        <v>140</v>
      </c>
      <c r="K1612" s="13" t="s">
        <v>94</v>
      </c>
      <c r="L1612" s="34" t="str">
        <f>VLOOKUP(D1612,Products!$A$2:$F$61,3,FALSE)</f>
        <v>Grocery</v>
      </c>
      <c r="M1612" s="34" t="str">
        <f>VLOOKUP(C1612,Customers!$A$2:$F$301,5,FALSE)</f>
        <v>Retail</v>
      </c>
      <c r="N1612" s="34">
        <f>VLOOKUP(C1612,Customers!$A$2:$F$301,3,FALSE)</f>
        <v>36</v>
      </c>
      <c r="O1612" s="34" t="str">
        <f>VLOOKUP(E1612,Sales_Reps!$A$2:$E$31,3,FALSE)</f>
        <v>West</v>
      </c>
      <c r="P1612" s="13" t="s">
        <v>343</v>
      </c>
      <c r="Q1612" s="34">
        <f t="shared" si="54"/>
        <v>917092.61999999965</v>
      </c>
      <c r="R1612" s="34" t="str">
        <f>VLOOKUP(E1612,Sales_Reps!$A$2:$E$100,3,FALSE)</f>
        <v>West</v>
      </c>
      <c r="S1612" s="34" t="str">
        <f t="shared" si="55"/>
        <v>Grocery</v>
      </c>
      <c r="T1612" s="38">
        <f>VLOOKUP(D1612,Products!$A$2:$F$68,4,FALSE)</f>
        <v>1435</v>
      </c>
    </row>
    <row r="1613" spans="1:20" x14ac:dyDescent="0.35">
      <c r="A1613" s="13" t="s">
        <v>2109</v>
      </c>
      <c r="B1613" s="14">
        <v>45398</v>
      </c>
      <c r="C1613" s="13" t="s">
        <v>669</v>
      </c>
      <c r="D1613" s="13" t="s">
        <v>85</v>
      </c>
      <c r="E1613" s="13" t="s">
        <v>154</v>
      </c>
      <c r="F1613" s="15">
        <v>8</v>
      </c>
      <c r="G1613" s="15">
        <v>3620</v>
      </c>
      <c r="H1613" s="15">
        <v>7.1</v>
      </c>
      <c r="I1613" s="15">
        <v>26903.84</v>
      </c>
      <c r="J1613" s="13" t="s">
        <v>87</v>
      </c>
      <c r="K1613" s="13" t="s">
        <v>133</v>
      </c>
      <c r="L1613" s="34" t="str">
        <f>VLOOKUP(D1613,Products!$A$2:$F$61,3,FALSE)</f>
        <v>Apparel</v>
      </c>
      <c r="M1613" s="34" t="str">
        <f>VLOOKUP(C1613,Customers!$A$2:$F$301,5,FALSE)</f>
        <v>Retail</v>
      </c>
      <c r="N1613" s="34">
        <f>VLOOKUP(C1613,Customers!$A$2:$F$301,3,FALSE)</f>
        <v>31</v>
      </c>
      <c r="O1613" s="34" t="str">
        <f>VLOOKUP(E1613,Sales_Reps!$A$2:$E$31,3,FALSE)</f>
        <v>East</v>
      </c>
      <c r="P1613" s="13" t="s">
        <v>154</v>
      </c>
      <c r="Q1613" s="34">
        <f t="shared" si="54"/>
        <v>983787.4800000001</v>
      </c>
      <c r="R1613" s="34" t="str">
        <f>VLOOKUP(E1613,Sales_Reps!$A$2:$E$100,3,FALSE)</f>
        <v>East</v>
      </c>
      <c r="S1613" s="34" t="str">
        <f t="shared" si="55"/>
        <v>Apparel</v>
      </c>
      <c r="T1613" s="38">
        <f>VLOOKUP(D1613,Products!$A$2:$F$68,4,FALSE)</f>
        <v>2509</v>
      </c>
    </row>
    <row r="1614" spans="1:20" x14ac:dyDescent="0.35">
      <c r="A1614" s="13" t="s">
        <v>2110</v>
      </c>
      <c r="B1614" s="14">
        <v>45477</v>
      </c>
      <c r="C1614" s="13" t="s">
        <v>735</v>
      </c>
      <c r="D1614" s="13" t="s">
        <v>386</v>
      </c>
      <c r="E1614" s="13" t="s">
        <v>158</v>
      </c>
      <c r="F1614" s="15">
        <v>8</v>
      </c>
      <c r="G1614" s="15">
        <v>2290</v>
      </c>
      <c r="H1614" s="15">
        <v>16.399999999999999</v>
      </c>
      <c r="I1614" s="15">
        <v>15315.52</v>
      </c>
      <c r="J1614" s="13" t="s">
        <v>87</v>
      </c>
      <c r="K1614" s="13" t="s">
        <v>88</v>
      </c>
      <c r="L1614" s="34" t="str">
        <f>VLOOKUP(D1614,Products!$A$2:$F$61,3,FALSE)</f>
        <v>Beauty</v>
      </c>
      <c r="M1614" s="34" t="str">
        <f>VLOOKUP(C1614,Customers!$A$2:$F$301,5,FALSE)</f>
        <v>Retail</v>
      </c>
      <c r="N1614" s="34">
        <f>VLOOKUP(C1614,Customers!$A$2:$F$301,3,FALSE)</f>
        <v>54</v>
      </c>
      <c r="O1614" s="34" t="str">
        <f>VLOOKUP(E1614,Sales_Reps!$A$2:$E$31,3,FALSE)</f>
        <v>East</v>
      </c>
      <c r="P1614" s="13" t="s">
        <v>158</v>
      </c>
      <c r="Q1614" s="34">
        <f t="shared" si="54"/>
        <v>761507.17000000027</v>
      </c>
      <c r="R1614" s="34" t="str">
        <f>VLOOKUP(E1614,Sales_Reps!$A$2:$E$100,3,FALSE)</f>
        <v>East</v>
      </c>
      <c r="S1614" s="34" t="str">
        <f t="shared" si="55"/>
        <v>Beauty</v>
      </c>
      <c r="T1614" s="38">
        <f>VLOOKUP(D1614,Products!$A$2:$F$68,4,FALSE)</f>
        <v>1219</v>
      </c>
    </row>
    <row r="1615" spans="1:20" x14ac:dyDescent="0.35">
      <c r="A1615" s="13" t="s">
        <v>2111</v>
      </c>
      <c r="B1615" s="14">
        <v>45462</v>
      </c>
      <c r="C1615" s="13" t="s">
        <v>841</v>
      </c>
      <c r="D1615" s="13" t="s">
        <v>176</v>
      </c>
      <c r="E1615" s="13" t="s">
        <v>121</v>
      </c>
      <c r="F1615" s="15">
        <v>3</v>
      </c>
      <c r="G1615" s="15">
        <v>1650</v>
      </c>
      <c r="H1615" s="15">
        <v>1.8</v>
      </c>
      <c r="I1615" s="15">
        <v>4860.8999999999996</v>
      </c>
      <c r="J1615" s="13" t="s">
        <v>140</v>
      </c>
      <c r="K1615" s="13" t="s">
        <v>117</v>
      </c>
      <c r="L1615" s="34" t="str">
        <f>VLOOKUP(D1615,Products!$A$2:$F$61,3,FALSE)</f>
        <v>Beauty</v>
      </c>
      <c r="M1615" s="34" t="str">
        <f>VLOOKUP(C1615,Customers!$A$2:$F$301,5,FALSE)</f>
        <v>Corporate</v>
      </c>
      <c r="N1615" s="34">
        <f>VLOOKUP(C1615,Customers!$A$2:$F$301,3,FALSE)</f>
        <v>41</v>
      </c>
      <c r="O1615" s="34" t="str">
        <f>VLOOKUP(E1615,Sales_Reps!$A$2:$E$31,3,FALSE)</f>
        <v>East</v>
      </c>
      <c r="P1615" s="13" t="s">
        <v>121</v>
      </c>
      <c r="Q1615" s="34">
        <f t="shared" si="54"/>
        <v>971183.52000000014</v>
      </c>
      <c r="R1615" s="34" t="str">
        <f>VLOOKUP(E1615,Sales_Reps!$A$2:$E$100,3,FALSE)</f>
        <v>East</v>
      </c>
      <c r="S1615" s="34" t="str">
        <f t="shared" si="55"/>
        <v>Beauty</v>
      </c>
      <c r="T1615" s="38">
        <f>VLOOKUP(D1615,Products!$A$2:$F$68,4,FALSE)</f>
        <v>1222</v>
      </c>
    </row>
    <row r="1616" spans="1:20" x14ac:dyDescent="0.35">
      <c r="A1616" s="13" t="s">
        <v>2112</v>
      </c>
      <c r="B1616" s="14">
        <v>45642</v>
      </c>
      <c r="C1616" s="13" t="s">
        <v>520</v>
      </c>
      <c r="D1616" s="13" t="s">
        <v>364</v>
      </c>
      <c r="E1616" s="13" t="s">
        <v>303</v>
      </c>
      <c r="F1616" s="15">
        <v>3</v>
      </c>
      <c r="G1616" s="15">
        <v>5330</v>
      </c>
      <c r="H1616" s="15">
        <v>22.2</v>
      </c>
      <c r="I1616" s="15">
        <v>12440.22</v>
      </c>
      <c r="J1616" s="13" t="s">
        <v>87</v>
      </c>
      <c r="K1616" s="13" t="s">
        <v>112</v>
      </c>
      <c r="L1616" s="34" t="str">
        <f>VLOOKUP(D1616,Products!$A$2:$F$61,3,FALSE)</f>
        <v>Electronics</v>
      </c>
      <c r="M1616" s="34" t="str">
        <f>VLOOKUP(C1616,Customers!$A$2:$F$301,5,FALSE)</f>
        <v>Corporate</v>
      </c>
      <c r="N1616" s="34">
        <f>VLOOKUP(C1616,Customers!$A$2:$F$301,3,FALSE)</f>
        <v>35</v>
      </c>
      <c r="O1616" s="34" t="str">
        <f>VLOOKUP(E1616,Sales_Reps!$A$2:$E$31,3,FALSE)</f>
        <v>East</v>
      </c>
      <c r="P1616" s="13" t="s">
        <v>303</v>
      </c>
      <c r="Q1616" s="34">
        <f t="shared" si="54"/>
        <v>1112289.6400000001</v>
      </c>
      <c r="R1616" s="34" t="str">
        <f>VLOOKUP(E1616,Sales_Reps!$A$2:$E$100,3,FALSE)</f>
        <v>East</v>
      </c>
      <c r="S1616" s="34" t="str">
        <f t="shared" si="55"/>
        <v>Electronics</v>
      </c>
      <c r="T1616" s="38">
        <f>VLOOKUP(D1616,Products!$A$2:$F$68,4,FALSE)</f>
        <v>2405</v>
      </c>
    </row>
    <row r="1617" spans="1:20" x14ac:dyDescent="0.35">
      <c r="A1617" s="13" t="s">
        <v>2113</v>
      </c>
      <c r="B1617" s="14">
        <v>45534</v>
      </c>
      <c r="C1617" s="13" t="s">
        <v>686</v>
      </c>
      <c r="D1617" s="13" t="s">
        <v>164</v>
      </c>
      <c r="E1617" s="13" t="s">
        <v>285</v>
      </c>
      <c r="F1617" s="15">
        <v>7</v>
      </c>
      <c r="G1617" s="15">
        <v>1080</v>
      </c>
      <c r="H1617" s="15">
        <v>17.899999999999999</v>
      </c>
      <c r="I1617" s="15">
        <v>6206.76</v>
      </c>
      <c r="J1617" s="13" t="s">
        <v>87</v>
      </c>
      <c r="K1617" s="13" t="s">
        <v>112</v>
      </c>
      <c r="L1617" s="34" t="str">
        <f>VLOOKUP(D1617,Products!$A$2:$F$61,3,FALSE)</f>
        <v>Home</v>
      </c>
      <c r="M1617" s="34" t="str">
        <f>VLOOKUP(C1617,Customers!$A$2:$F$301,5,FALSE)</f>
        <v>Retail</v>
      </c>
      <c r="N1617" s="34">
        <f>VLOOKUP(C1617,Customers!$A$2:$F$301,3,FALSE)</f>
        <v>35</v>
      </c>
      <c r="O1617" s="34" t="str">
        <f>VLOOKUP(E1617,Sales_Reps!$A$2:$E$31,3,FALSE)</f>
        <v>East</v>
      </c>
      <c r="P1617" s="13" t="s">
        <v>285</v>
      </c>
      <c r="Q1617" s="34">
        <f t="shared" si="54"/>
        <v>1069570.5400000003</v>
      </c>
      <c r="R1617" s="34" t="str">
        <f>VLOOKUP(E1617,Sales_Reps!$A$2:$E$100,3,FALSE)</f>
        <v>East</v>
      </c>
      <c r="S1617" s="34" t="str">
        <f t="shared" si="55"/>
        <v>Home</v>
      </c>
      <c r="T1617" s="38">
        <f>VLOOKUP(D1617,Products!$A$2:$F$68,4,FALSE)</f>
        <v>519</v>
      </c>
    </row>
    <row r="1618" spans="1:20" x14ac:dyDescent="0.35">
      <c r="A1618" s="13" t="s">
        <v>2114</v>
      </c>
      <c r="B1618" s="14">
        <v>45460</v>
      </c>
      <c r="C1618" s="13" t="s">
        <v>101</v>
      </c>
      <c r="D1618" s="13" t="s">
        <v>267</v>
      </c>
      <c r="E1618" s="13" t="s">
        <v>285</v>
      </c>
      <c r="F1618" s="15">
        <v>10</v>
      </c>
      <c r="G1618" s="15">
        <v>1220</v>
      </c>
      <c r="H1618" s="15">
        <v>5.7</v>
      </c>
      <c r="I1618" s="15">
        <v>11504.6</v>
      </c>
      <c r="J1618" s="13" t="s">
        <v>87</v>
      </c>
      <c r="K1618" s="13" t="s">
        <v>99</v>
      </c>
      <c r="L1618" s="34" t="str">
        <f>VLOOKUP(D1618,Products!$A$2:$F$61,3,FALSE)</f>
        <v>Electronics</v>
      </c>
      <c r="M1618" s="34" t="str">
        <f>VLOOKUP(C1618,Customers!$A$2:$F$301,5,FALSE)</f>
        <v>Corporate</v>
      </c>
      <c r="N1618" s="34">
        <f>VLOOKUP(C1618,Customers!$A$2:$F$301,3,FALSE)</f>
        <v>46</v>
      </c>
      <c r="O1618" s="34" t="str">
        <f>VLOOKUP(E1618,Sales_Reps!$A$2:$E$31,3,FALSE)</f>
        <v>East</v>
      </c>
      <c r="P1618" s="13" t="s">
        <v>285</v>
      </c>
      <c r="Q1618" s="34">
        <f t="shared" si="54"/>
        <v>1069570.5400000003</v>
      </c>
      <c r="R1618" s="34" t="str">
        <f>VLOOKUP(E1618,Sales_Reps!$A$2:$E$100,3,FALSE)</f>
        <v>East</v>
      </c>
      <c r="S1618" s="34" t="str">
        <f t="shared" si="55"/>
        <v>Electronics</v>
      </c>
      <c r="T1618" s="38">
        <f>VLOOKUP(D1618,Products!$A$2:$F$68,4,FALSE)</f>
        <v>517</v>
      </c>
    </row>
    <row r="1619" spans="1:20" x14ac:dyDescent="0.35">
      <c r="A1619" s="13" t="s">
        <v>2115</v>
      </c>
      <c r="B1619" s="14">
        <v>45648</v>
      </c>
      <c r="C1619" s="13" t="s">
        <v>305</v>
      </c>
      <c r="D1619" s="13" t="s">
        <v>203</v>
      </c>
      <c r="E1619" s="13" t="s">
        <v>170</v>
      </c>
      <c r="F1619" s="15">
        <v>10</v>
      </c>
      <c r="G1619" s="15">
        <v>660</v>
      </c>
      <c r="H1619" s="15">
        <v>7.5</v>
      </c>
      <c r="I1619" s="15">
        <v>6105</v>
      </c>
      <c r="J1619" s="13" t="s">
        <v>87</v>
      </c>
      <c r="K1619" s="13" t="s">
        <v>133</v>
      </c>
      <c r="L1619" s="34" t="str">
        <f>VLOOKUP(D1619,Products!$A$2:$F$61,3,FALSE)</f>
        <v>Home</v>
      </c>
      <c r="M1619" s="34" t="str">
        <f>VLOOKUP(C1619,Customers!$A$2:$F$301,5,FALSE)</f>
        <v>Corporate</v>
      </c>
      <c r="N1619" s="34">
        <f>VLOOKUP(C1619,Customers!$A$2:$F$301,3,FALSE)</f>
        <v>46</v>
      </c>
      <c r="O1619" s="34" t="str">
        <f>VLOOKUP(E1619,Sales_Reps!$A$2:$E$31,3,FALSE)</f>
        <v>West</v>
      </c>
      <c r="P1619" s="13" t="s">
        <v>170</v>
      </c>
      <c r="Q1619" s="34">
        <f t="shared" si="54"/>
        <v>747624.36999999988</v>
      </c>
      <c r="R1619" s="34" t="str">
        <f>VLOOKUP(E1619,Sales_Reps!$A$2:$E$100,3,FALSE)</f>
        <v>West</v>
      </c>
      <c r="S1619" s="34" t="str">
        <f t="shared" si="55"/>
        <v>Home</v>
      </c>
      <c r="T1619" s="38">
        <f>VLOOKUP(D1619,Products!$A$2:$F$68,4,FALSE)</f>
        <v>329</v>
      </c>
    </row>
    <row r="1620" spans="1:20" x14ac:dyDescent="0.35">
      <c r="A1620" s="13" t="s">
        <v>2116</v>
      </c>
      <c r="B1620" s="14">
        <v>45557</v>
      </c>
      <c r="C1620" s="13" t="s">
        <v>948</v>
      </c>
      <c r="D1620" s="13" t="s">
        <v>164</v>
      </c>
      <c r="E1620" s="13" t="s">
        <v>192</v>
      </c>
      <c r="F1620" s="15">
        <v>6</v>
      </c>
      <c r="G1620" s="15">
        <v>1080</v>
      </c>
      <c r="H1620" s="15">
        <v>28.9</v>
      </c>
      <c r="I1620" s="15">
        <v>4607.28</v>
      </c>
      <c r="J1620" s="13" t="s">
        <v>87</v>
      </c>
      <c r="K1620" s="13" t="s">
        <v>88</v>
      </c>
      <c r="L1620" s="34" t="str">
        <f>VLOOKUP(D1620,Products!$A$2:$F$61,3,FALSE)</f>
        <v>Home</v>
      </c>
      <c r="M1620" s="34" t="str">
        <f>VLOOKUP(C1620,Customers!$A$2:$F$301,5,FALSE)</f>
        <v>Retail</v>
      </c>
      <c r="N1620" s="34">
        <f>VLOOKUP(C1620,Customers!$A$2:$F$301,3,FALSE)</f>
        <v>65</v>
      </c>
      <c r="O1620" s="34" t="str">
        <f>VLOOKUP(E1620,Sales_Reps!$A$2:$E$31,3,FALSE)</f>
        <v>East</v>
      </c>
      <c r="P1620" s="13" t="s">
        <v>192</v>
      </c>
      <c r="Q1620" s="34">
        <f t="shared" si="54"/>
        <v>906107.71000000008</v>
      </c>
      <c r="R1620" s="34" t="str">
        <f>VLOOKUP(E1620,Sales_Reps!$A$2:$E$100,3,FALSE)</f>
        <v>East</v>
      </c>
      <c r="S1620" s="34" t="str">
        <f t="shared" si="55"/>
        <v>Home</v>
      </c>
      <c r="T1620" s="38">
        <f>VLOOKUP(D1620,Products!$A$2:$F$68,4,FALSE)</f>
        <v>519</v>
      </c>
    </row>
    <row r="1621" spans="1:20" x14ac:dyDescent="0.35">
      <c r="A1621" s="13" t="s">
        <v>2117</v>
      </c>
      <c r="B1621" s="14">
        <v>45584</v>
      </c>
      <c r="C1621" s="13" t="s">
        <v>589</v>
      </c>
      <c r="D1621" s="13" t="s">
        <v>245</v>
      </c>
      <c r="E1621" s="13" t="s">
        <v>192</v>
      </c>
      <c r="F1621" s="15">
        <v>7</v>
      </c>
      <c r="G1621" s="15">
        <v>2270</v>
      </c>
      <c r="H1621" s="15">
        <v>1.4</v>
      </c>
      <c r="I1621" s="15">
        <v>15667.54</v>
      </c>
      <c r="J1621" s="13" t="s">
        <v>87</v>
      </c>
      <c r="K1621" s="13" t="s">
        <v>94</v>
      </c>
      <c r="L1621" s="34" t="str">
        <f>VLOOKUP(D1621,Products!$A$2:$F$61,3,FALSE)</f>
        <v>Grocery</v>
      </c>
      <c r="M1621" s="34" t="str">
        <f>VLOOKUP(C1621,Customers!$A$2:$F$301,5,FALSE)</f>
        <v>Corporate</v>
      </c>
      <c r="N1621" s="34">
        <f>VLOOKUP(C1621,Customers!$A$2:$F$301,3,FALSE)</f>
        <v>30</v>
      </c>
      <c r="O1621" s="34" t="str">
        <f>VLOOKUP(E1621,Sales_Reps!$A$2:$E$31,3,FALSE)</f>
        <v>East</v>
      </c>
      <c r="P1621" s="13" t="s">
        <v>192</v>
      </c>
      <c r="Q1621" s="34">
        <f t="shared" si="54"/>
        <v>906107.71000000008</v>
      </c>
      <c r="R1621" s="34" t="str">
        <f>VLOOKUP(E1621,Sales_Reps!$A$2:$E$100,3,FALSE)</f>
        <v>East</v>
      </c>
      <c r="S1621" s="34" t="str">
        <f t="shared" si="55"/>
        <v>Grocery</v>
      </c>
      <c r="T1621" s="38">
        <f>VLOOKUP(D1621,Products!$A$2:$F$68,4,FALSE)</f>
        <v>1412</v>
      </c>
    </row>
    <row r="1622" spans="1:20" x14ac:dyDescent="0.35">
      <c r="A1622" s="13" t="s">
        <v>2118</v>
      </c>
      <c r="B1622" s="14">
        <v>45475</v>
      </c>
      <c r="C1622" s="13" t="s">
        <v>781</v>
      </c>
      <c r="D1622" s="13" t="s">
        <v>110</v>
      </c>
      <c r="E1622" s="13" t="s">
        <v>128</v>
      </c>
      <c r="F1622" s="15">
        <v>3</v>
      </c>
      <c r="G1622" s="15">
        <v>370</v>
      </c>
      <c r="H1622" s="15">
        <v>9.6</v>
      </c>
      <c r="I1622" s="15">
        <v>1003.44</v>
      </c>
      <c r="J1622" s="13" t="s">
        <v>144</v>
      </c>
      <c r="K1622" s="13" t="s">
        <v>99</v>
      </c>
      <c r="L1622" s="34" t="str">
        <f>VLOOKUP(D1622,Products!$A$2:$F$61,3,FALSE)</f>
        <v>Home</v>
      </c>
      <c r="M1622" s="34" t="str">
        <f>VLOOKUP(C1622,Customers!$A$2:$F$301,5,FALSE)</f>
        <v>SMB</v>
      </c>
      <c r="N1622" s="34">
        <f>VLOOKUP(C1622,Customers!$A$2:$F$301,3,FALSE)</f>
        <v>29</v>
      </c>
      <c r="O1622" s="34" t="str">
        <f>VLOOKUP(E1622,Sales_Reps!$A$2:$E$31,3,FALSE)</f>
        <v>West</v>
      </c>
      <c r="P1622" s="13" t="s">
        <v>128</v>
      </c>
      <c r="Q1622" s="34">
        <f t="shared" si="54"/>
        <v>880468.05</v>
      </c>
      <c r="R1622" s="34" t="str">
        <f>VLOOKUP(E1622,Sales_Reps!$A$2:$E$100,3,FALSE)</f>
        <v>West</v>
      </c>
      <c r="S1622" s="34" t="str">
        <f t="shared" si="55"/>
        <v>Home</v>
      </c>
      <c r="T1622" s="38">
        <f>VLOOKUP(D1622,Products!$A$2:$F$68,4,FALSE)</f>
        <v>288</v>
      </c>
    </row>
    <row r="1623" spans="1:20" x14ac:dyDescent="0.35">
      <c r="A1623" s="13" t="s">
        <v>2119</v>
      </c>
      <c r="B1623" s="14">
        <v>45365</v>
      </c>
      <c r="C1623" s="13" t="s">
        <v>874</v>
      </c>
      <c r="D1623" s="13" t="s">
        <v>127</v>
      </c>
      <c r="E1623" s="13" t="s">
        <v>204</v>
      </c>
      <c r="F1623" s="15">
        <v>9</v>
      </c>
      <c r="G1623" s="15">
        <v>970</v>
      </c>
      <c r="H1623" s="15">
        <v>29.7</v>
      </c>
      <c r="I1623" s="15">
        <v>6137.19</v>
      </c>
      <c r="J1623" s="13" t="s">
        <v>87</v>
      </c>
      <c r="K1623" s="13" t="s">
        <v>112</v>
      </c>
      <c r="L1623" s="34" t="str">
        <f>VLOOKUP(D1623,Products!$A$2:$F$61,3,FALSE)</f>
        <v>Grocery</v>
      </c>
      <c r="M1623" s="34" t="str">
        <f>VLOOKUP(C1623,Customers!$A$2:$F$301,5,FALSE)</f>
        <v>Retail</v>
      </c>
      <c r="N1623" s="34">
        <f>VLOOKUP(C1623,Customers!$A$2:$F$301,3,FALSE)</f>
        <v>57</v>
      </c>
      <c r="O1623" s="34" t="str">
        <f>VLOOKUP(E1623,Sales_Reps!$A$2:$E$31,3,FALSE)</f>
        <v>South</v>
      </c>
      <c r="P1623" s="13" t="s">
        <v>204</v>
      </c>
      <c r="Q1623" s="34">
        <f t="shared" si="54"/>
        <v>914554.71999999986</v>
      </c>
      <c r="R1623" s="34" t="str">
        <f>VLOOKUP(E1623,Sales_Reps!$A$2:$E$100,3,FALSE)</f>
        <v>South</v>
      </c>
      <c r="S1623" s="34" t="str">
        <f t="shared" si="55"/>
        <v>Grocery</v>
      </c>
      <c r="T1623" s="38">
        <f>VLOOKUP(D1623,Products!$A$2:$F$68,4,FALSE)</f>
        <v>434</v>
      </c>
    </row>
    <row r="1624" spans="1:20" x14ac:dyDescent="0.35">
      <c r="A1624" s="13" t="s">
        <v>1070</v>
      </c>
      <c r="B1624" s="14">
        <v>45405</v>
      </c>
      <c r="C1624" s="13" t="s">
        <v>945</v>
      </c>
      <c r="D1624" s="13" t="s">
        <v>292</v>
      </c>
      <c r="E1624" s="13" t="s">
        <v>148</v>
      </c>
      <c r="F1624" s="15">
        <v>1</v>
      </c>
      <c r="G1624" s="15">
        <v>620</v>
      </c>
      <c r="H1624" s="15">
        <v>10.4</v>
      </c>
      <c r="I1624" s="15">
        <v>555.52</v>
      </c>
      <c r="J1624" s="13" t="s">
        <v>140</v>
      </c>
      <c r="K1624" s="13" t="s">
        <v>88</v>
      </c>
      <c r="L1624" s="34" t="str">
        <f>VLOOKUP(D1624,Products!$A$2:$F$61,3,FALSE)</f>
        <v>Apparel</v>
      </c>
      <c r="M1624" s="34" t="str">
        <f>VLOOKUP(C1624,Customers!$A$2:$F$301,5,FALSE)</f>
        <v>Retail</v>
      </c>
      <c r="N1624" s="34">
        <f>VLOOKUP(C1624,Customers!$A$2:$F$301,3,FALSE)</f>
        <v>54</v>
      </c>
      <c r="O1624" s="34" t="str">
        <f>VLOOKUP(E1624,Sales_Reps!$A$2:$E$31,3,FALSE)</f>
        <v>North</v>
      </c>
      <c r="P1624" s="13" t="s">
        <v>148</v>
      </c>
      <c r="Q1624" s="34">
        <f t="shared" si="54"/>
        <v>986692.91</v>
      </c>
      <c r="R1624" s="34" t="str">
        <f>VLOOKUP(E1624,Sales_Reps!$A$2:$E$100,3,FALSE)</f>
        <v>North</v>
      </c>
      <c r="S1624" s="34" t="str">
        <f t="shared" si="55"/>
        <v>Apparel</v>
      </c>
      <c r="T1624" s="38">
        <f>VLOOKUP(D1624,Products!$A$2:$F$68,4,FALSE)</f>
        <v>396</v>
      </c>
    </row>
    <row r="1625" spans="1:20" x14ac:dyDescent="0.35">
      <c r="A1625" s="13" t="s">
        <v>2120</v>
      </c>
      <c r="B1625" s="14">
        <v>45533</v>
      </c>
      <c r="C1625" s="13" t="s">
        <v>872</v>
      </c>
      <c r="D1625" s="13" t="s">
        <v>102</v>
      </c>
      <c r="E1625" s="13" t="s">
        <v>229</v>
      </c>
      <c r="F1625" s="15">
        <v>5</v>
      </c>
      <c r="G1625" s="15">
        <v>3660</v>
      </c>
      <c r="H1625" s="15">
        <v>8</v>
      </c>
      <c r="I1625" s="15">
        <v>16836</v>
      </c>
      <c r="J1625" s="13" t="s">
        <v>87</v>
      </c>
      <c r="K1625" s="13" t="s">
        <v>112</v>
      </c>
      <c r="L1625" s="34" t="str">
        <f>VLOOKUP(D1625,Products!$A$2:$F$61,3,FALSE)</f>
        <v>Grocery</v>
      </c>
      <c r="M1625" s="34" t="str">
        <f>VLOOKUP(C1625,Customers!$A$2:$F$301,5,FALSE)</f>
        <v>Corporate</v>
      </c>
      <c r="N1625" s="34">
        <f>VLOOKUP(C1625,Customers!$A$2:$F$301,3,FALSE)</f>
        <v>62</v>
      </c>
      <c r="O1625" s="34" t="str">
        <f>VLOOKUP(E1625,Sales_Reps!$A$2:$E$31,3,FALSE)</f>
        <v>West</v>
      </c>
      <c r="P1625" s="13" t="s">
        <v>229</v>
      </c>
      <c r="Q1625" s="34">
        <f t="shared" si="54"/>
        <v>1016696.8000000002</v>
      </c>
      <c r="R1625" s="34" t="str">
        <f>VLOOKUP(E1625,Sales_Reps!$A$2:$E$100,3,FALSE)</f>
        <v>West</v>
      </c>
      <c r="S1625" s="34" t="str">
        <f t="shared" si="55"/>
        <v>Grocery</v>
      </c>
      <c r="T1625" s="38">
        <f>VLOOKUP(D1625,Products!$A$2:$F$68,4,FALSE)</f>
        <v>2214</v>
      </c>
    </row>
    <row r="1626" spans="1:20" x14ac:dyDescent="0.35">
      <c r="A1626" s="13" t="s">
        <v>2121</v>
      </c>
      <c r="B1626" s="14">
        <v>45628</v>
      </c>
      <c r="C1626" s="13" t="s">
        <v>101</v>
      </c>
      <c r="D1626" s="13" t="s">
        <v>338</v>
      </c>
      <c r="E1626" s="13" t="s">
        <v>116</v>
      </c>
      <c r="F1626" s="15">
        <v>7</v>
      </c>
      <c r="G1626" s="15">
        <v>2210</v>
      </c>
      <c r="H1626" s="15">
        <v>13.7</v>
      </c>
      <c r="I1626" s="15">
        <v>13350.61</v>
      </c>
      <c r="J1626" s="13" t="s">
        <v>144</v>
      </c>
      <c r="K1626" s="13" t="s">
        <v>99</v>
      </c>
      <c r="L1626" s="34" t="str">
        <f>VLOOKUP(D1626,Products!$A$2:$F$61,3,FALSE)</f>
        <v>Grocery</v>
      </c>
      <c r="M1626" s="34" t="str">
        <f>VLOOKUP(C1626,Customers!$A$2:$F$301,5,FALSE)</f>
        <v>Corporate</v>
      </c>
      <c r="N1626" s="34">
        <f>VLOOKUP(C1626,Customers!$A$2:$F$301,3,FALSE)</f>
        <v>46</v>
      </c>
      <c r="O1626" s="34" t="str">
        <f>VLOOKUP(E1626,Sales_Reps!$A$2:$E$31,3,FALSE)</f>
        <v>West</v>
      </c>
      <c r="P1626" s="13" t="s">
        <v>116</v>
      </c>
      <c r="Q1626" s="34">
        <f t="shared" si="54"/>
        <v>819558.58</v>
      </c>
      <c r="R1626" s="34" t="str">
        <f>VLOOKUP(E1626,Sales_Reps!$A$2:$E$100,3,FALSE)</f>
        <v>West</v>
      </c>
      <c r="S1626" s="34" t="str">
        <f t="shared" si="55"/>
        <v>Grocery</v>
      </c>
      <c r="T1626" s="38">
        <f>VLOOKUP(D1626,Products!$A$2:$F$68,4,FALSE)</f>
        <v>1010</v>
      </c>
    </row>
    <row r="1627" spans="1:20" x14ac:dyDescent="0.35">
      <c r="A1627" s="13" t="s">
        <v>2122</v>
      </c>
      <c r="B1627" s="14">
        <v>45631</v>
      </c>
      <c r="C1627" s="13" t="s">
        <v>705</v>
      </c>
      <c r="D1627" s="13" t="s">
        <v>461</v>
      </c>
      <c r="E1627" s="13" t="s">
        <v>128</v>
      </c>
      <c r="F1627" s="15">
        <v>1</v>
      </c>
      <c r="G1627" s="15">
        <v>3780</v>
      </c>
      <c r="H1627" s="15">
        <v>11.5</v>
      </c>
      <c r="I1627" s="15">
        <v>3345.3</v>
      </c>
      <c r="J1627" s="13" t="s">
        <v>87</v>
      </c>
      <c r="K1627" s="13" t="s">
        <v>99</v>
      </c>
      <c r="L1627" s="34" t="str">
        <f>VLOOKUP(D1627,Products!$A$2:$F$61,3,FALSE)</f>
        <v>Sports</v>
      </c>
      <c r="M1627" s="34" t="str">
        <f>VLOOKUP(C1627,Customers!$A$2:$F$301,5,FALSE)</f>
        <v>Retail</v>
      </c>
      <c r="N1627" s="34">
        <f>VLOOKUP(C1627,Customers!$A$2:$F$301,3,FALSE)</f>
        <v>53</v>
      </c>
      <c r="O1627" s="34" t="str">
        <f>VLOOKUP(E1627,Sales_Reps!$A$2:$E$31,3,FALSE)</f>
        <v>West</v>
      </c>
      <c r="P1627" s="13" t="s">
        <v>128</v>
      </c>
      <c r="Q1627" s="34">
        <f t="shared" si="54"/>
        <v>880468.05</v>
      </c>
      <c r="R1627" s="34" t="str">
        <f>VLOOKUP(E1627,Sales_Reps!$A$2:$E$100,3,FALSE)</f>
        <v>West</v>
      </c>
      <c r="S1627" s="34" t="str">
        <f t="shared" si="55"/>
        <v>Sports</v>
      </c>
      <c r="T1627" s="38">
        <f>VLOOKUP(D1627,Products!$A$2:$F$68,4,FALSE)</f>
        <v>1860</v>
      </c>
    </row>
    <row r="1628" spans="1:20" x14ac:dyDescent="0.35">
      <c r="A1628" s="13" t="s">
        <v>2123</v>
      </c>
      <c r="B1628" s="14">
        <v>45601</v>
      </c>
      <c r="C1628" s="13" t="s">
        <v>291</v>
      </c>
      <c r="D1628" s="13" t="s">
        <v>138</v>
      </c>
      <c r="E1628" s="13" t="s">
        <v>92</v>
      </c>
      <c r="F1628" s="15">
        <v>10</v>
      </c>
      <c r="G1628" s="15">
        <v>2600</v>
      </c>
      <c r="H1628" s="15">
        <v>29.4</v>
      </c>
      <c r="I1628" s="15">
        <v>18356</v>
      </c>
      <c r="J1628" s="13" t="s">
        <v>87</v>
      </c>
      <c r="K1628" s="13" t="s">
        <v>99</v>
      </c>
      <c r="L1628" s="34" t="str">
        <f>VLOOKUP(D1628,Products!$A$2:$F$61,3,FALSE)</f>
        <v>Electronics</v>
      </c>
      <c r="M1628" s="34" t="str">
        <f>VLOOKUP(C1628,Customers!$A$2:$F$301,5,FALSE)</f>
        <v>Retail</v>
      </c>
      <c r="N1628" s="34">
        <f>VLOOKUP(C1628,Customers!$A$2:$F$301,3,FALSE)</f>
        <v>35</v>
      </c>
      <c r="O1628" s="34" t="str">
        <f>VLOOKUP(E1628,Sales_Reps!$A$2:$E$31,3,FALSE)</f>
        <v>North</v>
      </c>
      <c r="P1628" s="13" t="s">
        <v>92</v>
      </c>
      <c r="Q1628" s="34">
        <f t="shared" si="54"/>
        <v>782445.33</v>
      </c>
      <c r="R1628" s="34" t="str">
        <f>VLOOKUP(E1628,Sales_Reps!$A$2:$E$100,3,FALSE)</f>
        <v>North</v>
      </c>
      <c r="S1628" s="34" t="str">
        <f t="shared" si="55"/>
        <v>Electronics</v>
      </c>
      <c r="T1628" s="38">
        <f>VLOOKUP(D1628,Products!$A$2:$F$68,4,FALSE)</f>
        <v>1052</v>
      </c>
    </row>
    <row r="1629" spans="1:20" x14ac:dyDescent="0.35">
      <c r="A1629" s="13" t="s">
        <v>2124</v>
      </c>
      <c r="B1629" s="14">
        <v>45365</v>
      </c>
      <c r="C1629" s="13" t="s">
        <v>551</v>
      </c>
      <c r="D1629" s="13" t="s">
        <v>234</v>
      </c>
      <c r="E1629" s="13" t="s">
        <v>238</v>
      </c>
      <c r="F1629" s="15">
        <v>3</v>
      </c>
      <c r="G1629" s="15">
        <v>3780</v>
      </c>
      <c r="H1629" s="15">
        <v>14.4</v>
      </c>
      <c r="I1629" s="15">
        <v>9707.0400000000009</v>
      </c>
      <c r="J1629" s="13" t="s">
        <v>87</v>
      </c>
      <c r="K1629" s="13" t="s">
        <v>112</v>
      </c>
      <c r="L1629" s="34" t="str">
        <f>VLOOKUP(D1629,Products!$A$2:$F$61,3,FALSE)</f>
        <v>Grocery</v>
      </c>
      <c r="M1629" s="34" t="str">
        <f>VLOOKUP(C1629,Customers!$A$2:$F$301,5,FALSE)</f>
        <v>Corporate</v>
      </c>
      <c r="N1629" s="34">
        <f>VLOOKUP(C1629,Customers!$A$2:$F$301,3,FALSE)</f>
        <v>60</v>
      </c>
      <c r="O1629" s="34" t="str">
        <f>VLOOKUP(E1629,Sales_Reps!$A$2:$E$31,3,FALSE)</f>
        <v>East</v>
      </c>
      <c r="P1629" s="13" t="s">
        <v>238</v>
      </c>
      <c r="Q1629" s="34">
        <f t="shared" si="54"/>
        <v>780384.40999999992</v>
      </c>
      <c r="R1629" s="34" t="str">
        <f>VLOOKUP(E1629,Sales_Reps!$A$2:$E$100,3,FALSE)</f>
        <v>East</v>
      </c>
      <c r="S1629" s="34" t="str">
        <f t="shared" si="55"/>
        <v>Grocery</v>
      </c>
      <c r="T1629" s="38">
        <f>VLOOKUP(D1629,Products!$A$2:$F$68,4,FALSE)</f>
        <v>2436</v>
      </c>
    </row>
    <row r="1630" spans="1:20" x14ac:dyDescent="0.35">
      <c r="A1630" s="13" t="s">
        <v>2125</v>
      </c>
      <c r="B1630" s="14">
        <v>45421</v>
      </c>
      <c r="C1630" s="13" t="s">
        <v>250</v>
      </c>
      <c r="D1630" s="13" t="s">
        <v>135</v>
      </c>
      <c r="E1630" s="13" t="s">
        <v>148</v>
      </c>
      <c r="F1630" s="15">
        <v>10</v>
      </c>
      <c r="G1630" s="15">
        <v>2640</v>
      </c>
      <c r="H1630" s="15">
        <v>26.8</v>
      </c>
      <c r="I1630" s="15">
        <v>19324.8</v>
      </c>
      <c r="J1630" s="13" t="s">
        <v>93</v>
      </c>
      <c r="K1630" s="13" t="s">
        <v>117</v>
      </c>
      <c r="L1630" s="34" t="str">
        <f>VLOOKUP(D1630,Products!$A$2:$F$61,3,FALSE)</f>
        <v>Electronics</v>
      </c>
      <c r="M1630" s="34" t="str">
        <f>VLOOKUP(C1630,Customers!$A$2:$F$301,5,FALSE)</f>
        <v>SMB</v>
      </c>
      <c r="N1630" s="34">
        <f>VLOOKUP(C1630,Customers!$A$2:$F$301,3,FALSE)</f>
        <v>34</v>
      </c>
      <c r="O1630" s="34" t="str">
        <f>VLOOKUP(E1630,Sales_Reps!$A$2:$E$31,3,FALSE)</f>
        <v>North</v>
      </c>
      <c r="P1630" s="13" t="s">
        <v>148</v>
      </c>
      <c r="Q1630" s="34">
        <f t="shared" si="54"/>
        <v>986692.91</v>
      </c>
      <c r="R1630" s="34" t="str">
        <f>VLOOKUP(E1630,Sales_Reps!$A$2:$E$100,3,FALSE)</f>
        <v>North</v>
      </c>
      <c r="S1630" s="34" t="str">
        <f t="shared" si="55"/>
        <v>Electronics</v>
      </c>
      <c r="T1630" s="38">
        <f>VLOOKUP(D1630,Products!$A$2:$F$68,4,FALSE)</f>
        <v>1149</v>
      </c>
    </row>
    <row r="1631" spans="1:20" x14ac:dyDescent="0.35">
      <c r="A1631" s="13" t="s">
        <v>2126</v>
      </c>
      <c r="B1631" s="14">
        <v>45347</v>
      </c>
      <c r="C1631" s="13" t="s">
        <v>900</v>
      </c>
      <c r="D1631" s="13" t="s">
        <v>502</v>
      </c>
      <c r="E1631" s="13" t="s">
        <v>252</v>
      </c>
      <c r="F1631" s="15">
        <v>3</v>
      </c>
      <c r="G1631" s="15">
        <v>1090</v>
      </c>
      <c r="H1631" s="15">
        <v>9.1</v>
      </c>
      <c r="I1631" s="15">
        <v>2972.43</v>
      </c>
      <c r="J1631" s="13" t="s">
        <v>87</v>
      </c>
      <c r="K1631" s="13" t="s">
        <v>117</v>
      </c>
      <c r="L1631" s="34" t="str">
        <f>VLOOKUP(D1631,Products!$A$2:$F$61,3,FALSE)</f>
        <v>Home</v>
      </c>
      <c r="M1631" s="34" t="str">
        <f>VLOOKUP(C1631,Customers!$A$2:$F$301,5,FALSE)</f>
        <v>Retail</v>
      </c>
      <c r="N1631" s="34">
        <f>VLOOKUP(C1631,Customers!$A$2:$F$301,3,FALSE)</f>
        <v>35</v>
      </c>
      <c r="O1631" s="34" t="str">
        <f>VLOOKUP(E1631,Sales_Reps!$A$2:$E$31,3,FALSE)</f>
        <v>South</v>
      </c>
      <c r="P1631" s="13" t="s">
        <v>252</v>
      </c>
      <c r="Q1631" s="34">
        <f t="shared" si="54"/>
        <v>811524.37999999989</v>
      </c>
      <c r="R1631" s="34" t="str">
        <f>VLOOKUP(E1631,Sales_Reps!$A$2:$E$100,3,FALSE)</f>
        <v>South</v>
      </c>
      <c r="S1631" s="34" t="str">
        <f t="shared" si="55"/>
        <v>Home</v>
      </c>
      <c r="T1631" s="38">
        <f>VLOOKUP(D1631,Products!$A$2:$F$68,4,FALSE)</f>
        <v>464</v>
      </c>
    </row>
    <row r="1632" spans="1:20" x14ac:dyDescent="0.35">
      <c r="A1632" s="13" t="s">
        <v>2127</v>
      </c>
      <c r="B1632" s="14">
        <v>45574</v>
      </c>
      <c r="C1632" s="13" t="s">
        <v>700</v>
      </c>
      <c r="D1632" s="13" t="s">
        <v>452</v>
      </c>
      <c r="E1632" s="13" t="s">
        <v>116</v>
      </c>
      <c r="F1632" s="15">
        <v>3</v>
      </c>
      <c r="G1632" s="15">
        <v>3450</v>
      </c>
      <c r="H1632" s="15">
        <v>23</v>
      </c>
      <c r="I1632" s="15">
        <v>7969.5</v>
      </c>
      <c r="J1632" s="13" t="s">
        <v>93</v>
      </c>
      <c r="K1632" s="13" t="s">
        <v>94</v>
      </c>
      <c r="L1632" s="34" t="str">
        <f>VLOOKUP(D1632,Products!$A$2:$F$61,3,FALSE)</f>
        <v>Apparel</v>
      </c>
      <c r="M1632" s="34" t="str">
        <f>VLOOKUP(C1632,Customers!$A$2:$F$301,5,FALSE)</f>
        <v>SMB</v>
      </c>
      <c r="N1632" s="34">
        <f>VLOOKUP(C1632,Customers!$A$2:$F$301,3,FALSE)</f>
        <v>46</v>
      </c>
      <c r="O1632" s="34" t="str">
        <f>VLOOKUP(E1632,Sales_Reps!$A$2:$E$31,3,FALSE)</f>
        <v>West</v>
      </c>
      <c r="P1632" s="13" t="s">
        <v>116</v>
      </c>
      <c r="Q1632" s="34">
        <f t="shared" si="54"/>
        <v>819558.58</v>
      </c>
      <c r="R1632" s="34" t="str">
        <f>VLOOKUP(E1632,Sales_Reps!$A$2:$E$100,3,FALSE)</f>
        <v>West</v>
      </c>
      <c r="S1632" s="34" t="str">
        <f t="shared" si="55"/>
        <v>Apparel</v>
      </c>
      <c r="T1632" s="38">
        <f>VLOOKUP(D1632,Products!$A$2:$F$68,4,FALSE)</f>
        <v>1748</v>
      </c>
    </row>
    <row r="1633" spans="1:20" x14ac:dyDescent="0.35">
      <c r="A1633" s="13" t="s">
        <v>2128</v>
      </c>
      <c r="B1633" s="14">
        <v>45365</v>
      </c>
      <c r="C1633" s="13" t="s">
        <v>1231</v>
      </c>
      <c r="D1633" s="13" t="s">
        <v>380</v>
      </c>
      <c r="E1633" s="13" t="s">
        <v>188</v>
      </c>
      <c r="F1633" s="15">
        <v>1</v>
      </c>
      <c r="G1633" s="15">
        <v>960</v>
      </c>
      <c r="H1633" s="15">
        <v>1.1000000000000001</v>
      </c>
      <c r="I1633" s="15">
        <v>949.44</v>
      </c>
      <c r="J1633" s="13" t="s">
        <v>87</v>
      </c>
      <c r="K1633" s="13" t="s">
        <v>88</v>
      </c>
      <c r="L1633" s="34" t="str">
        <f>VLOOKUP(D1633,Products!$A$2:$F$61,3,FALSE)</f>
        <v>Beauty</v>
      </c>
      <c r="M1633" s="34" t="str">
        <f>VLOOKUP(C1633,Customers!$A$2:$F$301,5,FALSE)</f>
        <v>Retail</v>
      </c>
      <c r="N1633" s="34">
        <f>VLOOKUP(C1633,Customers!$A$2:$F$301,3,FALSE)</f>
        <v>42</v>
      </c>
      <c r="O1633" s="34" t="str">
        <f>VLOOKUP(E1633,Sales_Reps!$A$2:$E$31,3,FALSE)</f>
        <v>South</v>
      </c>
      <c r="P1633" s="13" t="s">
        <v>188</v>
      </c>
      <c r="Q1633" s="34">
        <f t="shared" si="54"/>
        <v>1091740.1799999997</v>
      </c>
      <c r="R1633" s="34" t="str">
        <f>VLOOKUP(E1633,Sales_Reps!$A$2:$E$100,3,FALSE)</f>
        <v>South</v>
      </c>
      <c r="S1633" s="34" t="str">
        <f t="shared" si="55"/>
        <v>Beauty</v>
      </c>
      <c r="T1633" s="38">
        <f>VLOOKUP(D1633,Products!$A$2:$F$68,4,FALSE)</f>
        <v>675</v>
      </c>
    </row>
    <row r="1634" spans="1:20" x14ac:dyDescent="0.35">
      <c r="A1634" s="13" t="s">
        <v>2129</v>
      </c>
      <c r="B1634" s="14">
        <v>45577</v>
      </c>
      <c r="C1634" s="13" t="s">
        <v>479</v>
      </c>
      <c r="D1634" s="13" t="s">
        <v>102</v>
      </c>
      <c r="E1634" s="13" t="s">
        <v>170</v>
      </c>
      <c r="F1634" s="15">
        <v>9</v>
      </c>
      <c r="G1634" s="15">
        <v>3660</v>
      </c>
      <c r="H1634" s="15">
        <v>9</v>
      </c>
      <c r="I1634" s="15">
        <v>29975.4</v>
      </c>
      <c r="J1634" s="13" t="s">
        <v>87</v>
      </c>
      <c r="K1634" s="13" t="s">
        <v>88</v>
      </c>
      <c r="L1634" s="34" t="str">
        <f>VLOOKUP(D1634,Products!$A$2:$F$61,3,FALSE)</f>
        <v>Grocery</v>
      </c>
      <c r="M1634" s="34" t="str">
        <f>VLOOKUP(C1634,Customers!$A$2:$F$301,5,FALSE)</f>
        <v>SMB</v>
      </c>
      <c r="N1634" s="34">
        <f>VLOOKUP(C1634,Customers!$A$2:$F$301,3,FALSE)</f>
        <v>49</v>
      </c>
      <c r="O1634" s="34" t="str">
        <f>VLOOKUP(E1634,Sales_Reps!$A$2:$E$31,3,FALSE)</f>
        <v>West</v>
      </c>
      <c r="P1634" s="13" t="s">
        <v>170</v>
      </c>
      <c r="Q1634" s="34">
        <f t="shared" si="54"/>
        <v>747624.36999999988</v>
      </c>
      <c r="R1634" s="34" t="str">
        <f>VLOOKUP(E1634,Sales_Reps!$A$2:$E$100,3,FALSE)</f>
        <v>West</v>
      </c>
      <c r="S1634" s="34" t="str">
        <f t="shared" si="55"/>
        <v>Grocery</v>
      </c>
      <c r="T1634" s="38">
        <f>VLOOKUP(D1634,Products!$A$2:$F$68,4,FALSE)</f>
        <v>2214</v>
      </c>
    </row>
    <row r="1635" spans="1:20" x14ac:dyDescent="0.35">
      <c r="A1635" s="13" t="s">
        <v>2130</v>
      </c>
      <c r="B1635" s="14">
        <v>45420</v>
      </c>
      <c r="C1635" s="13" t="s">
        <v>638</v>
      </c>
      <c r="D1635" s="13" t="s">
        <v>226</v>
      </c>
      <c r="E1635" s="13" t="s">
        <v>107</v>
      </c>
      <c r="F1635" s="15">
        <v>3</v>
      </c>
      <c r="G1635" s="15">
        <v>3730</v>
      </c>
      <c r="H1635" s="15">
        <v>15.8</v>
      </c>
      <c r="I1635" s="15">
        <v>9421.98</v>
      </c>
      <c r="J1635" s="13" t="s">
        <v>87</v>
      </c>
      <c r="K1635" s="13" t="s">
        <v>99</v>
      </c>
      <c r="L1635" s="34" t="str">
        <f>VLOOKUP(D1635,Products!$A$2:$F$61,3,FALSE)</f>
        <v>Home</v>
      </c>
      <c r="M1635" s="34" t="str">
        <f>VLOOKUP(C1635,Customers!$A$2:$F$301,5,FALSE)</f>
        <v>Retail</v>
      </c>
      <c r="N1635" s="34">
        <f>VLOOKUP(C1635,Customers!$A$2:$F$301,3,FALSE)</f>
        <v>43</v>
      </c>
      <c r="O1635" s="34" t="str">
        <f>VLOOKUP(E1635,Sales_Reps!$A$2:$E$31,3,FALSE)</f>
        <v>North</v>
      </c>
      <c r="P1635" s="13" t="s">
        <v>107</v>
      </c>
      <c r="Q1635" s="34">
        <f t="shared" si="54"/>
        <v>861553.33</v>
      </c>
      <c r="R1635" s="34" t="str">
        <f>VLOOKUP(E1635,Sales_Reps!$A$2:$E$100,3,FALSE)</f>
        <v>North</v>
      </c>
      <c r="S1635" s="34" t="str">
        <f t="shared" si="55"/>
        <v>Home</v>
      </c>
      <c r="T1635" s="38">
        <f>VLOOKUP(D1635,Products!$A$2:$F$68,4,FALSE)</f>
        <v>2135</v>
      </c>
    </row>
    <row r="1636" spans="1:20" x14ac:dyDescent="0.35">
      <c r="A1636" s="13" t="s">
        <v>2131</v>
      </c>
      <c r="B1636" s="14">
        <v>45347</v>
      </c>
      <c r="C1636" s="13" t="s">
        <v>551</v>
      </c>
      <c r="D1636" s="13" t="s">
        <v>264</v>
      </c>
      <c r="E1636" s="13" t="s">
        <v>139</v>
      </c>
      <c r="F1636" s="15">
        <v>6</v>
      </c>
      <c r="G1636" s="15">
        <v>4070</v>
      </c>
      <c r="H1636" s="15">
        <v>6.2</v>
      </c>
      <c r="I1636" s="15">
        <v>22905.96</v>
      </c>
      <c r="J1636" s="13" t="s">
        <v>87</v>
      </c>
      <c r="K1636" s="13" t="s">
        <v>112</v>
      </c>
      <c r="L1636" s="34" t="str">
        <f>VLOOKUP(D1636,Products!$A$2:$F$61,3,FALSE)</f>
        <v>Grocery</v>
      </c>
      <c r="M1636" s="34" t="str">
        <f>VLOOKUP(C1636,Customers!$A$2:$F$301,5,FALSE)</f>
        <v>Corporate</v>
      </c>
      <c r="N1636" s="34">
        <f>VLOOKUP(C1636,Customers!$A$2:$F$301,3,FALSE)</f>
        <v>60</v>
      </c>
      <c r="O1636" s="34" t="str">
        <f>VLOOKUP(E1636,Sales_Reps!$A$2:$E$31,3,FALSE)</f>
        <v>North</v>
      </c>
      <c r="P1636" s="13" t="s">
        <v>139</v>
      </c>
      <c r="Q1636" s="34">
        <f t="shared" si="54"/>
        <v>589026.2899999998</v>
      </c>
      <c r="R1636" s="34" t="str">
        <f>VLOOKUP(E1636,Sales_Reps!$A$2:$E$100,3,FALSE)</f>
        <v>North</v>
      </c>
      <c r="S1636" s="34" t="str">
        <f t="shared" si="55"/>
        <v>Grocery</v>
      </c>
      <c r="T1636" s="38">
        <f>VLOOKUP(D1636,Products!$A$2:$F$68,4,FALSE)</f>
        <v>2027</v>
      </c>
    </row>
    <row r="1637" spans="1:20" x14ac:dyDescent="0.35">
      <c r="A1637" s="13" t="s">
        <v>2132</v>
      </c>
      <c r="B1637" s="14">
        <v>45329</v>
      </c>
      <c r="C1637" s="13" t="s">
        <v>617</v>
      </c>
      <c r="D1637" s="13" t="s">
        <v>279</v>
      </c>
      <c r="E1637" s="13" t="s">
        <v>285</v>
      </c>
      <c r="F1637" s="15">
        <v>1</v>
      </c>
      <c r="G1637" s="15">
        <v>2660</v>
      </c>
      <c r="H1637" s="15">
        <v>14.6</v>
      </c>
      <c r="I1637" s="15">
        <v>2271.64</v>
      </c>
      <c r="J1637" s="13" t="s">
        <v>87</v>
      </c>
      <c r="K1637" s="13" t="s">
        <v>112</v>
      </c>
      <c r="L1637" s="34" t="str">
        <f>VLOOKUP(D1637,Products!$A$2:$F$61,3,FALSE)</f>
        <v>Electronics</v>
      </c>
      <c r="M1637" s="34" t="str">
        <f>VLOOKUP(C1637,Customers!$A$2:$F$301,5,FALSE)</f>
        <v>SMB</v>
      </c>
      <c r="N1637" s="34">
        <f>VLOOKUP(C1637,Customers!$A$2:$F$301,3,FALSE)</f>
        <v>65</v>
      </c>
      <c r="O1637" s="34" t="str">
        <f>VLOOKUP(E1637,Sales_Reps!$A$2:$E$31,3,FALSE)</f>
        <v>East</v>
      </c>
      <c r="P1637" s="13" t="s">
        <v>285</v>
      </c>
      <c r="Q1637" s="34">
        <f t="shared" si="54"/>
        <v>1069570.5400000003</v>
      </c>
      <c r="R1637" s="34" t="str">
        <f>VLOOKUP(E1637,Sales_Reps!$A$2:$E$100,3,FALSE)</f>
        <v>East</v>
      </c>
      <c r="S1637" s="34" t="str">
        <f t="shared" si="55"/>
        <v>Electronics</v>
      </c>
      <c r="T1637" s="38">
        <f>VLOOKUP(D1637,Products!$A$2:$F$68,4,FALSE)</f>
        <v>1259</v>
      </c>
    </row>
    <row r="1638" spans="1:20" x14ac:dyDescent="0.35">
      <c r="A1638" s="13" t="s">
        <v>2133</v>
      </c>
      <c r="B1638" s="14">
        <v>45378</v>
      </c>
      <c r="C1638" s="13" t="s">
        <v>150</v>
      </c>
      <c r="D1638" s="13" t="s">
        <v>295</v>
      </c>
      <c r="E1638" s="13" t="s">
        <v>148</v>
      </c>
      <c r="F1638" s="15">
        <v>3</v>
      </c>
      <c r="G1638" s="15">
        <v>2030</v>
      </c>
      <c r="H1638" s="15">
        <v>13.3</v>
      </c>
      <c r="I1638" s="15">
        <v>5280.03</v>
      </c>
      <c r="J1638" s="13" t="s">
        <v>140</v>
      </c>
      <c r="K1638" s="13" t="s">
        <v>88</v>
      </c>
      <c r="L1638" s="34" t="str">
        <f>VLOOKUP(D1638,Products!$A$2:$F$61,3,FALSE)</f>
        <v>Home</v>
      </c>
      <c r="M1638" s="34" t="str">
        <f>VLOOKUP(C1638,Customers!$A$2:$F$301,5,FALSE)</f>
        <v>Retail</v>
      </c>
      <c r="N1638" s="34">
        <f>VLOOKUP(C1638,Customers!$A$2:$F$301,3,FALSE)</f>
        <v>63</v>
      </c>
      <c r="O1638" s="34" t="str">
        <f>VLOOKUP(E1638,Sales_Reps!$A$2:$E$31,3,FALSE)</f>
        <v>North</v>
      </c>
      <c r="P1638" s="13" t="s">
        <v>148</v>
      </c>
      <c r="Q1638" s="34">
        <f t="shared" si="54"/>
        <v>986692.91</v>
      </c>
      <c r="R1638" s="34" t="str">
        <f>VLOOKUP(E1638,Sales_Reps!$A$2:$E$100,3,FALSE)</f>
        <v>North</v>
      </c>
      <c r="S1638" s="34" t="str">
        <f t="shared" si="55"/>
        <v>Home</v>
      </c>
      <c r="T1638" s="38">
        <f>VLOOKUP(D1638,Products!$A$2:$F$68,4,FALSE)</f>
        <v>1143</v>
      </c>
    </row>
    <row r="1639" spans="1:20" x14ac:dyDescent="0.35">
      <c r="A1639" s="13" t="s">
        <v>2134</v>
      </c>
      <c r="B1639" s="14">
        <v>45393</v>
      </c>
      <c r="C1639" s="13" t="s">
        <v>328</v>
      </c>
      <c r="D1639" s="13" t="s">
        <v>102</v>
      </c>
      <c r="E1639" s="13" t="s">
        <v>215</v>
      </c>
      <c r="F1639" s="15">
        <v>4</v>
      </c>
      <c r="G1639" s="15">
        <v>3660</v>
      </c>
      <c r="H1639" s="15">
        <v>2.2000000000000002</v>
      </c>
      <c r="I1639" s="15">
        <v>14317.92</v>
      </c>
      <c r="J1639" s="13" t="s">
        <v>87</v>
      </c>
      <c r="K1639" s="13" t="s">
        <v>94</v>
      </c>
      <c r="L1639" s="34" t="str">
        <f>VLOOKUP(D1639,Products!$A$2:$F$61,3,FALSE)</f>
        <v>Grocery</v>
      </c>
      <c r="M1639" s="34" t="str">
        <f>VLOOKUP(C1639,Customers!$A$2:$F$301,5,FALSE)</f>
        <v>Retail</v>
      </c>
      <c r="N1639" s="34">
        <f>VLOOKUP(C1639,Customers!$A$2:$F$301,3,FALSE)</f>
        <v>28</v>
      </c>
      <c r="O1639" s="34" t="str">
        <f>VLOOKUP(E1639,Sales_Reps!$A$2:$E$31,3,FALSE)</f>
        <v>North</v>
      </c>
      <c r="P1639" s="13" t="s">
        <v>215</v>
      </c>
      <c r="Q1639" s="34">
        <f t="shared" si="54"/>
        <v>789849.60000000009</v>
      </c>
      <c r="R1639" s="34" t="str">
        <f>VLOOKUP(E1639,Sales_Reps!$A$2:$E$100,3,FALSE)</f>
        <v>North</v>
      </c>
      <c r="S1639" s="34" t="str">
        <f t="shared" si="55"/>
        <v>Grocery</v>
      </c>
      <c r="T1639" s="38">
        <f>VLOOKUP(D1639,Products!$A$2:$F$68,4,FALSE)</f>
        <v>2214</v>
      </c>
    </row>
    <row r="1640" spans="1:20" x14ac:dyDescent="0.35">
      <c r="A1640" s="13" t="s">
        <v>2135</v>
      </c>
      <c r="B1640" s="14">
        <v>45364</v>
      </c>
      <c r="C1640" s="13" t="s">
        <v>214</v>
      </c>
      <c r="D1640" s="13" t="s">
        <v>279</v>
      </c>
      <c r="E1640" s="13" t="s">
        <v>103</v>
      </c>
      <c r="F1640" s="15">
        <v>2</v>
      </c>
      <c r="G1640" s="15">
        <v>2660</v>
      </c>
      <c r="H1640" s="15">
        <v>7.2</v>
      </c>
      <c r="I1640" s="15">
        <v>4936.96</v>
      </c>
      <c r="J1640" s="13" t="s">
        <v>140</v>
      </c>
      <c r="K1640" s="13" t="s">
        <v>117</v>
      </c>
      <c r="L1640" s="34" t="str">
        <f>VLOOKUP(D1640,Products!$A$2:$F$61,3,FALSE)</f>
        <v>Electronics</v>
      </c>
      <c r="M1640" s="34" t="str">
        <f>VLOOKUP(C1640,Customers!$A$2:$F$301,5,FALSE)</f>
        <v>Retail</v>
      </c>
      <c r="N1640" s="34">
        <f>VLOOKUP(C1640,Customers!$A$2:$F$301,3,FALSE)</f>
        <v>42</v>
      </c>
      <c r="O1640" s="34" t="str">
        <f>VLOOKUP(E1640,Sales_Reps!$A$2:$E$31,3,FALSE)</f>
        <v>North</v>
      </c>
      <c r="P1640" s="13" t="s">
        <v>103</v>
      </c>
      <c r="Q1640" s="34">
        <f t="shared" si="54"/>
        <v>1138648.73</v>
      </c>
      <c r="R1640" s="34" t="str">
        <f>VLOOKUP(E1640,Sales_Reps!$A$2:$E$100,3,FALSE)</f>
        <v>North</v>
      </c>
      <c r="S1640" s="34" t="str">
        <f t="shared" si="55"/>
        <v>Electronics</v>
      </c>
      <c r="T1640" s="38">
        <f>VLOOKUP(D1640,Products!$A$2:$F$68,4,FALSE)</f>
        <v>1259</v>
      </c>
    </row>
    <row r="1641" spans="1:20" x14ac:dyDescent="0.35">
      <c r="A1641" s="13" t="s">
        <v>2136</v>
      </c>
      <c r="B1641" s="14">
        <v>45624</v>
      </c>
      <c r="C1641" s="13" t="s">
        <v>537</v>
      </c>
      <c r="D1641" s="13" t="s">
        <v>184</v>
      </c>
      <c r="E1641" s="13" t="s">
        <v>252</v>
      </c>
      <c r="F1641" s="15">
        <v>2</v>
      </c>
      <c r="G1641" s="15">
        <v>4880</v>
      </c>
      <c r="H1641" s="15">
        <v>23.8</v>
      </c>
      <c r="I1641" s="15">
        <v>7437.12</v>
      </c>
      <c r="J1641" s="13" t="s">
        <v>87</v>
      </c>
      <c r="K1641" s="13" t="s">
        <v>133</v>
      </c>
      <c r="L1641" s="34" t="str">
        <f>VLOOKUP(D1641,Products!$A$2:$F$61,3,FALSE)</f>
        <v>Beauty</v>
      </c>
      <c r="M1641" s="34" t="str">
        <f>VLOOKUP(C1641,Customers!$A$2:$F$301,5,FALSE)</f>
        <v>SMB</v>
      </c>
      <c r="N1641" s="34">
        <f>VLOOKUP(C1641,Customers!$A$2:$F$301,3,FALSE)</f>
        <v>48</v>
      </c>
      <c r="O1641" s="34" t="str">
        <f>VLOOKUP(E1641,Sales_Reps!$A$2:$E$31,3,FALSE)</f>
        <v>South</v>
      </c>
      <c r="P1641" s="13" t="s">
        <v>252</v>
      </c>
      <c r="Q1641" s="34">
        <f t="shared" si="54"/>
        <v>811524.37999999989</v>
      </c>
      <c r="R1641" s="34" t="str">
        <f>VLOOKUP(E1641,Sales_Reps!$A$2:$E$100,3,FALSE)</f>
        <v>South</v>
      </c>
      <c r="S1641" s="34" t="str">
        <f t="shared" si="55"/>
        <v>Beauty</v>
      </c>
      <c r="T1641" s="38">
        <f>VLOOKUP(D1641,Products!$A$2:$F$68,4,FALSE)</f>
        <v>2768</v>
      </c>
    </row>
    <row r="1642" spans="1:20" x14ac:dyDescent="0.35">
      <c r="A1642" s="13" t="s">
        <v>2137</v>
      </c>
      <c r="B1642" s="14">
        <v>45411</v>
      </c>
      <c r="C1642" s="13" t="s">
        <v>816</v>
      </c>
      <c r="D1642" s="13" t="s">
        <v>452</v>
      </c>
      <c r="E1642" s="13" t="s">
        <v>273</v>
      </c>
      <c r="F1642" s="15">
        <v>1</v>
      </c>
      <c r="G1642" s="15">
        <v>3450</v>
      </c>
      <c r="H1642" s="15">
        <v>1.7</v>
      </c>
      <c r="I1642" s="15">
        <v>3391.35</v>
      </c>
      <c r="J1642" s="13" t="s">
        <v>87</v>
      </c>
      <c r="K1642" s="13" t="s">
        <v>88</v>
      </c>
      <c r="L1642" s="34" t="str">
        <f>VLOOKUP(D1642,Products!$A$2:$F$61,3,FALSE)</f>
        <v>Apparel</v>
      </c>
      <c r="M1642" s="34" t="str">
        <f>VLOOKUP(C1642,Customers!$A$2:$F$301,5,FALSE)</f>
        <v>Retail</v>
      </c>
      <c r="N1642" s="34">
        <f>VLOOKUP(C1642,Customers!$A$2:$F$301,3,FALSE)</f>
        <v>36</v>
      </c>
      <c r="O1642" s="34" t="str">
        <f>VLOOKUP(E1642,Sales_Reps!$A$2:$E$31,3,FALSE)</f>
        <v>South</v>
      </c>
      <c r="P1642" s="13" t="s">
        <v>273</v>
      </c>
      <c r="Q1642" s="34">
        <f t="shared" si="54"/>
        <v>735207.75999999989</v>
      </c>
      <c r="R1642" s="34" t="str">
        <f>VLOOKUP(E1642,Sales_Reps!$A$2:$E$100,3,FALSE)</f>
        <v>South</v>
      </c>
      <c r="S1642" s="34" t="str">
        <f t="shared" si="55"/>
        <v>Apparel</v>
      </c>
      <c r="T1642" s="38">
        <f>VLOOKUP(D1642,Products!$A$2:$F$68,4,FALSE)</f>
        <v>1748</v>
      </c>
    </row>
    <row r="1643" spans="1:20" x14ac:dyDescent="0.35">
      <c r="A1643" s="13" t="s">
        <v>2138</v>
      </c>
      <c r="B1643" s="14">
        <v>45550</v>
      </c>
      <c r="C1643" s="13" t="s">
        <v>390</v>
      </c>
      <c r="D1643" s="13" t="s">
        <v>276</v>
      </c>
      <c r="E1643" s="13" t="s">
        <v>154</v>
      </c>
      <c r="F1643" s="15">
        <v>4</v>
      </c>
      <c r="G1643" s="15">
        <v>3020</v>
      </c>
      <c r="H1643" s="15">
        <v>17.8</v>
      </c>
      <c r="I1643" s="15">
        <v>9929.76</v>
      </c>
      <c r="J1643" s="13" t="s">
        <v>87</v>
      </c>
      <c r="K1643" s="13" t="s">
        <v>88</v>
      </c>
      <c r="L1643" s="34" t="str">
        <f>VLOOKUP(D1643,Products!$A$2:$F$61,3,FALSE)</f>
        <v>Beauty</v>
      </c>
      <c r="M1643" s="34" t="str">
        <f>VLOOKUP(C1643,Customers!$A$2:$F$301,5,FALSE)</f>
        <v>SMB</v>
      </c>
      <c r="N1643" s="34">
        <f>VLOOKUP(C1643,Customers!$A$2:$F$301,3,FALSE)</f>
        <v>54</v>
      </c>
      <c r="O1643" s="34" t="str">
        <f>VLOOKUP(E1643,Sales_Reps!$A$2:$E$31,3,FALSE)</f>
        <v>East</v>
      </c>
      <c r="P1643" s="13" t="s">
        <v>154</v>
      </c>
      <c r="Q1643" s="34">
        <f t="shared" si="54"/>
        <v>983787.4800000001</v>
      </c>
      <c r="R1643" s="34" t="str">
        <f>VLOOKUP(E1643,Sales_Reps!$A$2:$E$100,3,FALSE)</f>
        <v>East</v>
      </c>
      <c r="S1643" s="34" t="str">
        <f t="shared" si="55"/>
        <v>Beauty</v>
      </c>
      <c r="T1643" s="38">
        <f>VLOOKUP(D1643,Products!$A$2:$F$68,4,FALSE)</f>
        <v>1626</v>
      </c>
    </row>
    <row r="1644" spans="1:20" x14ac:dyDescent="0.35">
      <c r="A1644" s="13" t="s">
        <v>2139</v>
      </c>
      <c r="B1644" s="14">
        <v>45512</v>
      </c>
      <c r="C1644" s="13" t="s">
        <v>968</v>
      </c>
      <c r="D1644" s="13" t="s">
        <v>515</v>
      </c>
      <c r="E1644" s="13" t="s">
        <v>158</v>
      </c>
      <c r="F1644" s="15">
        <v>6</v>
      </c>
      <c r="G1644" s="15">
        <v>6940</v>
      </c>
      <c r="H1644" s="15">
        <v>8.9</v>
      </c>
      <c r="I1644" s="15">
        <v>37934.04</v>
      </c>
      <c r="J1644" s="13" t="s">
        <v>87</v>
      </c>
      <c r="K1644" s="13" t="s">
        <v>99</v>
      </c>
      <c r="L1644" s="34" t="str">
        <f>VLOOKUP(D1644,Products!$A$2:$F$61,3,FALSE)</f>
        <v>Sports</v>
      </c>
      <c r="M1644" s="34" t="str">
        <f>VLOOKUP(C1644,Customers!$A$2:$F$301,5,FALSE)</f>
        <v>Retail</v>
      </c>
      <c r="N1644" s="34">
        <f>VLOOKUP(C1644,Customers!$A$2:$F$301,3,FALSE)</f>
        <v>47</v>
      </c>
      <c r="O1644" s="34" t="str">
        <f>VLOOKUP(E1644,Sales_Reps!$A$2:$E$31,3,FALSE)</f>
        <v>East</v>
      </c>
      <c r="P1644" s="13" t="s">
        <v>158</v>
      </c>
      <c r="Q1644" s="34">
        <f t="shared" si="54"/>
        <v>761507.17000000027</v>
      </c>
      <c r="R1644" s="34" t="str">
        <f>VLOOKUP(E1644,Sales_Reps!$A$2:$E$100,3,FALSE)</f>
        <v>East</v>
      </c>
      <c r="S1644" s="34" t="str">
        <f t="shared" si="55"/>
        <v>Sports</v>
      </c>
      <c r="T1644" s="38">
        <f>VLOOKUP(D1644,Products!$A$2:$F$68,4,FALSE)</f>
        <v>2827</v>
      </c>
    </row>
    <row r="1645" spans="1:20" x14ac:dyDescent="0.35">
      <c r="A1645" s="13" t="s">
        <v>2140</v>
      </c>
      <c r="B1645" s="14">
        <v>45523</v>
      </c>
      <c r="C1645" s="13" t="s">
        <v>422</v>
      </c>
      <c r="D1645" s="13" t="s">
        <v>200</v>
      </c>
      <c r="E1645" s="13" t="s">
        <v>154</v>
      </c>
      <c r="F1645" s="15">
        <v>10</v>
      </c>
      <c r="G1645" s="15">
        <v>2760</v>
      </c>
      <c r="H1645" s="15">
        <v>8.9</v>
      </c>
      <c r="I1645" s="15">
        <v>25143.599999999999</v>
      </c>
      <c r="J1645" s="13" t="s">
        <v>87</v>
      </c>
      <c r="K1645" s="13" t="s">
        <v>94</v>
      </c>
      <c r="L1645" s="34" t="str">
        <f>VLOOKUP(D1645,Products!$A$2:$F$61,3,FALSE)</f>
        <v>Grocery</v>
      </c>
      <c r="M1645" s="34" t="str">
        <f>VLOOKUP(C1645,Customers!$A$2:$F$301,5,FALSE)</f>
        <v>SMB</v>
      </c>
      <c r="N1645" s="34">
        <f>VLOOKUP(C1645,Customers!$A$2:$F$301,3,FALSE)</f>
        <v>64</v>
      </c>
      <c r="O1645" s="34" t="str">
        <f>VLOOKUP(E1645,Sales_Reps!$A$2:$E$31,3,FALSE)</f>
        <v>East</v>
      </c>
      <c r="P1645" s="13" t="s">
        <v>154</v>
      </c>
      <c r="Q1645" s="34">
        <f t="shared" si="54"/>
        <v>983787.4800000001</v>
      </c>
      <c r="R1645" s="34" t="str">
        <f>VLOOKUP(E1645,Sales_Reps!$A$2:$E$100,3,FALSE)</f>
        <v>East</v>
      </c>
      <c r="S1645" s="34" t="str">
        <f t="shared" si="55"/>
        <v>Grocery</v>
      </c>
      <c r="T1645" s="38">
        <f>VLOOKUP(D1645,Products!$A$2:$F$68,4,FALSE)</f>
        <v>1435</v>
      </c>
    </row>
    <row r="1646" spans="1:20" x14ac:dyDescent="0.35">
      <c r="A1646" s="13" t="s">
        <v>2141</v>
      </c>
      <c r="B1646" s="14">
        <v>45310</v>
      </c>
      <c r="C1646" s="13" t="s">
        <v>427</v>
      </c>
      <c r="D1646" s="13" t="s">
        <v>380</v>
      </c>
      <c r="E1646" s="13" t="s">
        <v>192</v>
      </c>
      <c r="F1646" s="15">
        <v>8</v>
      </c>
      <c r="G1646" s="15">
        <v>960</v>
      </c>
      <c r="H1646" s="15">
        <v>20.9</v>
      </c>
      <c r="I1646" s="15">
        <v>6074.88</v>
      </c>
      <c r="J1646" s="13" t="s">
        <v>87</v>
      </c>
      <c r="K1646" s="13" t="s">
        <v>88</v>
      </c>
      <c r="L1646" s="34" t="str">
        <f>VLOOKUP(D1646,Products!$A$2:$F$61,3,FALSE)</f>
        <v>Beauty</v>
      </c>
      <c r="M1646" s="34" t="str">
        <f>VLOOKUP(C1646,Customers!$A$2:$F$301,5,FALSE)</f>
        <v>Corporate</v>
      </c>
      <c r="N1646" s="34">
        <f>VLOOKUP(C1646,Customers!$A$2:$F$301,3,FALSE)</f>
        <v>48</v>
      </c>
      <c r="O1646" s="34" t="str">
        <f>VLOOKUP(E1646,Sales_Reps!$A$2:$E$31,3,FALSE)</f>
        <v>East</v>
      </c>
      <c r="P1646" s="13" t="s">
        <v>192</v>
      </c>
      <c r="Q1646" s="34">
        <f t="shared" si="54"/>
        <v>906107.71000000008</v>
      </c>
      <c r="R1646" s="34" t="str">
        <f>VLOOKUP(E1646,Sales_Reps!$A$2:$E$100,3,FALSE)</f>
        <v>East</v>
      </c>
      <c r="S1646" s="34" t="str">
        <f t="shared" si="55"/>
        <v>Beauty</v>
      </c>
      <c r="T1646" s="38">
        <f>VLOOKUP(D1646,Products!$A$2:$F$68,4,FALSE)</f>
        <v>675</v>
      </c>
    </row>
    <row r="1647" spans="1:20" x14ac:dyDescent="0.35">
      <c r="A1647" s="13" t="s">
        <v>2142</v>
      </c>
      <c r="B1647" s="14">
        <v>45498</v>
      </c>
      <c r="C1647" s="13" t="s">
        <v>835</v>
      </c>
      <c r="D1647" s="13" t="s">
        <v>380</v>
      </c>
      <c r="E1647" s="13" t="s">
        <v>325</v>
      </c>
      <c r="F1647" s="15">
        <v>4</v>
      </c>
      <c r="G1647" s="15">
        <v>960</v>
      </c>
      <c r="H1647" s="15">
        <v>29.1</v>
      </c>
      <c r="I1647" s="15">
        <v>2722.56</v>
      </c>
      <c r="J1647" s="13" t="s">
        <v>87</v>
      </c>
      <c r="K1647" s="13" t="s">
        <v>117</v>
      </c>
      <c r="L1647" s="34" t="str">
        <f>VLOOKUP(D1647,Products!$A$2:$F$61,3,FALSE)</f>
        <v>Beauty</v>
      </c>
      <c r="M1647" s="34" t="str">
        <f>VLOOKUP(C1647,Customers!$A$2:$F$301,5,FALSE)</f>
        <v>Retail</v>
      </c>
      <c r="N1647" s="34">
        <f>VLOOKUP(C1647,Customers!$A$2:$F$301,3,FALSE)</f>
        <v>52</v>
      </c>
      <c r="O1647" s="34" t="str">
        <f>VLOOKUP(E1647,Sales_Reps!$A$2:$E$31,3,FALSE)</f>
        <v>South</v>
      </c>
      <c r="P1647" s="13" t="s">
        <v>325</v>
      </c>
      <c r="Q1647" s="34">
        <f t="shared" si="54"/>
        <v>901394.32000000007</v>
      </c>
      <c r="R1647" s="34" t="str">
        <f>VLOOKUP(E1647,Sales_Reps!$A$2:$E$100,3,FALSE)</f>
        <v>South</v>
      </c>
      <c r="S1647" s="34" t="str">
        <f t="shared" si="55"/>
        <v>Beauty</v>
      </c>
      <c r="T1647" s="38">
        <f>VLOOKUP(D1647,Products!$A$2:$F$68,4,FALSE)</f>
        <v>675</v>
      </c>
    </row>
    <row r="1648" spans="1:20" x14ac:dyDescent="0.35">
      <c r="A1648" s="13" t="s">
        <v>2143</v>
      </c>
      <c r="B1648" s="14">
        <v>45410</v>
      </c>
      <c r="C1648" s="13" t="s">
        <v>429</v>
      </c>
      <c r="D1648" s="13" t="s">
        <v>127</v>
      </c>
      <c r="E1648" s="13" t="s">
        <v>158</v>
      </c>
      <c r="F1648" s="15">
        <v>1</v>
      </c>
      <c r="G1648" s="15">
        <v>970</v>
      </c>
      <c r="H1648" s="15">
        <v>8.4</v>
      </c>
      <c r="I1648" s="15">
        <v>888.52</v>
      </c>
      <c r="J1648" s="13" t="s">
        <v>140</v>
      </c>
      <c r="K1648" s="13" t="s">
        <v>117</v>
      </c>
      <c r="L1648" s="34" t="str">
        <f>VLOOKUP(D1648,Products!$A$2:$F$61,3,FALSE)</f>
        <v>Grocery</v>
      </c>
      <c r="M1648" s="34" t="str">
        <f>VLOOKUP(C1648,Customers!$A$2:$F$301,5,FALSE)</f>
        <v>Retail</v>
      </c>
      <c r="N1648" s="34">
        <f>VLOOKUP(C1648,Customers!$A$2:$F$301,3,FALSE)</f>
        <v>55</v>
      </c>
      <c r="O1648" s="34" t="str">
        <f>VLOOKUP(E1648,Sales_Reps!$A$2:$E$31,3,FALSE)</f>
        <v>East</v>
      </c>
      <c r="P1648" s="13" t="s">
        <v>158</v>
      </c>
      <c r="Q1648" s="34">
        <f t="shared" si="54"/>
        <v>761507.17000000027</v>
      </c>
      <c r="R1648" s="34" t="str">
        <f>VLOOKUP(E1648,Sales_Reps!$A$2:$E$100,3,FALSE)</f>
        <v>East</v>
      </c>
      <c r="S1648" s="34" t="str">
        <f t="shared" si="55"/>
        <v>Grocery</v>
      </c>
      <c r="T1648" s="38">
        <f>VLOOKUP(D1648,Products!$A$2:$F$68,4,FALSE)</f>
        <v>434</v>
      </c>
    </row>
    <row r="1649" spans="1:20" x14ac:dyDescent="0.35">
      <c r="A1649" s="13" t="s">
        <v>2144</v>
      </c>
      <c r="B1649" s="14">
        <v>45400</v>
      </c>
      <c r="C1649" s="13" t="s">
        <v>874</v>
      </c>
      <c r="D1649" s="13" t="s">
        <v>241</v>
      </c>
      <c r="E1649" s="13" t="s">
        <v>154</v>
      </c>
      <c r="F1649" s="15">
        <v>5</v>
      </c>
      <c r="G1649" s="15">
        <v>6080</v>
      </c>
      <c r="H1649" s="15">
        <v>17.600000000000001</v>
      </c>
      <c r="I1649" s="15">
        <v>25049.599999999999</v>
      </c>
      <c r="J1649" s="13" t="s">
        <v>87</v>
      </c>
      <c r="K1649" s="13" t="s">
        <v>112</v>
      </c>
      <c r="L1649" s="34" t="str">
        <f>VLOOKUP(D1649,Products!$A$2:$F$61,3,FALSE)</f>
        <v>Beauty</v>
      </c>
      <c r="M1649" s="34" t="str">
        <f>VLOOKUP(C1649,Customers!$A$2:$F$301,5,FALSE)</f>
        <v>Retail</v>
      </c>
      <c r="N1649" s="34">
        <f>VLOOKUP(C1649,Customers!$A$2:$F$301,3,FALSE)</f>
        <v>57</v>
      </c>
      <c r="O1649" s="34" t="str">
        <f>VLOOKUP(E1649,Sales_Reps!$A$2:$E$31,3,FALSE)</f>
        <v>East</v>
      </c>
      <c r="P1649" s="13" t="s">
        <v>154</v>
      </c>
      <c r="Q1649" s="34">
        <f t="shared" si="54"/>
        <v>983787.4800000001</v>
      </c>
      <c r="R1649" s="34" t="str">
        <f>VLOOKUP(E1649,Sales_Reps!$A$2:$E$100,3,FALSE)</f>
        <v>East</v>
      </c>
      <c r="S1649" s="34" t="str">
        <f t="shared" si="55"/>
        <v>Beauty</v>
      </c>
      <c r="T1649" s="38">
        <f>VLOOKUP(D1649,Products!$A$2:$F$68,4,FALSE)</f>
        <v>2617</v>
      </c>
    </row>
    <row r="1650" spans="1:20" x14ac:dyDescent="0.35">
      <c r="A1650" s="13" t="s">
        <v>2145</v>
      </c>
      <c r="B1650" s="14">
        <v>45525</v>
      </c>
      <c r="C1650" s="13" t="s">
        <v>968</v>
      </c>
      <c r="D1650" s="13" t="s">
        <v>102</v>
      </c>
      <c r="E1650" s="13" t="s">
        <v>252</v>
      </c>
      <c r="F1650" s="15">
        <v>4</v>
      </c>
      <c r="G1650" s="15">
        <v>3660</v>
      </c>
      <c r="H1650" s="15">
        <v>21.8</v>
      </c>
      <c r="I1650" s="15">
        <v>11448.48</v>
      </c>
      <c r="J1650" s="13" t="s">
        <v>93</v>
      </c>
      <c r="K1650" s="13" t="s">
        <v>99</v>
      </c>
      <c r="L1650" s="34" t="str">
        <f>VLOOKUP(D1650,Products!$A$2:$F$61,3,FALSE)</f>
        <v>Grocery</v>
      </c>
      <c r="M1650" s="34" t="str">
        <f>VLOOKUP(C1650,Customers!$A$2:$F$301,5,FALSE)</f>
        <v>Retail</v>
      </c>
      <c r="N1650" s="34">
        <f>VLOOKUP(C1650,Customers!$A$2:$F$301,3,FALSE)</f>
        <v>47</v>
      </c>
      <c r="O1650" s="34" t="str">
        <f>VLOOKUP(E1650,Sales_Reps!$A$2:$E$31,3,FALSE)</f>
        <v>South</v>
      </c>
      <c r="P1650" s="13" t="s">
        <v>252</v>
      </c>
      <c r="Q1650" s="34">
        <f t="shared" si="54"/>
        <v>811524.37999999989</v>
      </c>
      <c r="R1650" s="34" t="str">
        <f>VLOOKUP(E1650,Sales_Reps!$A$2:$E$100,3,FALSE)</f>
        <v>South</v>
      </c>
      <c r="S1650" s="34" t="str">
        <f t="shared" si="55"/>
        <v>Grocery</v>
      </c>
      <c r="T1650" s="38">
        <f>VLOOKUP(D1650,Products!$A$2:$F$68,4,FALSE)</f>
        <v>2214</v>
      </c>
    </row>
    <row r="1651" spans="1:20" x14ac:dyDescent="0.35">
      <c r="A1651" s="13" t="s">
        <v>2146</v>
      </c>
      <c r="B1651" s="14">
        <v>45462</v>
      </c>
      <c r="C1651" s="13" t="s">
        <v>318</v>
      </c>
      <c r="D1651" s="13" t="s">
        <v>226</v>
      </c>
      <c r="E1651" s="13" t="s">
        <v>107</v>
      </c>
      <c r="F1651" s="15">
        <v>6</v>
      </c>
      <c r="G1651" s="15">
        <v>3730</v>
      </c>
      <c r="H1651" s="15">
        <v>13.3</v>
      </c>
      <c r="I1651" s="15">
        <v>19403.46</v>
      </c>
      <c r="J1651" s="13" t="s">
        <v>140</v>
      </c>
      <c r="K1651" s="13" t="s">
        <v>94</v>
      </c>
      <c r="L1651" s="34" t="str">
        <f>VLOOKUP(D1651,Products!$A$2:$F$61,3,FALSE)</f>
        <v>Home</v>
      </c>
      <c r="M1651" s="34" t="str">
        <f>VLOOKUP(C1651,Customers!$A$2:$F$301,5,FALSE)</f>
        <v>SMB</v>
      </c>
      <c r="N1651" s="34">
        <f>VLOOKUP(C1651,Customers!$A$2:$F$301,3,FALSE)</f>
        <v>57</v>
      </c>
      <c r="O1651" s="34" t="str">
        <f>VLOOKUP(E1651,Sales_Reps!$A$2:$E$31,3,FALSE)</f>
        <v>North</v>
      </c>
      <c r="P1651" s="13" t="s">
        <v>107</v>
      </c>
      <c r="Q1651" s="34">
        <f t="shared" si="54"/>
        <v>861553.33</v>
      </c>
      <c r="R1651" s="34" t="str">
        <f>VLOOKUP(E1651,Sales_Reps!$A$2:$E$100,3,FALSE)</f>
        <v>North</v>
      </c>
      <c r="S1651" s="34" t="str">
        <f t="shared" si="55"/>
        <v>Home</v>
      </c>
      <c r="T1651" s="38">
        <f>VLOOKUP(D1651,Products!$A$2:$F$68,4,FALSE)</f>
        <v>2135</v>
      </c>
    </row>
    <row r="1652" spans="1:20" x14ac:dyDescent="0.35">
      <c r="A1652" s="13" t="s">
        <v>2147</v>
      </c>
      <c r="B1652" s="14">
        <v>45625</v>
      </c>
      <c r="C1652" s="13" t="s">
        <v>258</v>
      </c>
      <c r="D1652" s="13" t="s">
        <v>248</v>
      </c>
      <c r="E1652" s="13" t="s">
        <v>229</v>
      </c>
      <c r="F1652" s="15">
        <v>8</v>
      </c>
      <c r="G1652" s="15">
        <v>3870</v>
      </c>
      <c r="H1652" s="15">
        <v>21.2</v>
      </c>
      <c r="I1652" s="15">
        <v>24396.48</v>
      </c>
      <c r="J1652" s="13" t="s">
        <v>93</v>
      </c>
      <c r="K1652" s="13" t="s">
        <v>99</v>
      </c>
      <c r="L1652" s="34" t="str">
        <f>VLOOKUP(D1652,Products!$A$2:$F$61,3,FALSE)</f>
        <v>Electronics</v>
      </c>
      <c r="M1652" s="34" t="str">
        <f>VLOOKUP(C1652,Customers!$A$2:$F$301,5,FALSE)</f>
        <v>SMB</v>
      </c>
      <c r="N1652" s="34">
        <f>VLOOKUP(C1652,Customers!$A$2:$F$301,3,FALSE)</f>
        <v>55</v>
      </c>
      <c r="O1652" s="34" t="str">
        <f>VLOOKUP(E1652,Sales_Reps!$A$2:$E$31,3,FALSE)</f>
        <v>West</v>
      </c>
      <c r="P1652" s="13" t="s">
        <v>229</v>
      </c>
      <c r="Q1652" s="34">
        <f t="shared" si="54"/>
        <v>1016696.8000000002</v>
      </c>
      <c r="R1652" s="34" t="str">
        <f>VLOOKUP(E1652,Sales_Reps!$A$2:$E$100,3,FALSE)</f>
        <v>West</v>
      </c>
      <c r="S1652" s="34" t="str">
        <f t="shared" si="55"/>
        <v>Electronics</v>
      </c>
      <c r="T1652" s="38">
        <f>VLOOKUP(D1652,Products!$A$2:$F$68,4,FALSE)</f>
        <v>1559</v>
      </c>
    </row>
    <row r="1653" spans="1:20" x14ac:dyDescent="0.35">
      <c r="A1653" s="13" t="s">
        <v>2148</v>
      </c>
      <c r="B1653" s="14">
        <v>45390</v>
      </c>
      <c r="C1653" s="13" t="s">
        <v>416</v>
      </c>
      <c r="D1653" s="13" t="s">
        <v>200</v>
      </c>
      <c r="E1653" s="13" t="s">
        <v>346</v>
      </c>
      <c r="F1653" s="15">
        <v>4</v>
      </c>
      <c r="G1653" s="15">
        <v>2760</v>
      </c>
      <c r="H1653" s="15">
        <v>14</v>
      </c>
      <c r="I1653" s="15">
        <v>9494.4</v>
      </c>
      <c r="J1653" s="13" t="s">
        <v>87</v>
      </c>
      <c r="K1653" s="13" t="s">
        <v>117</v>
      </c>
      <c r="L1653" s="34" t="str">
        <f>VLOOKUP(D1653,Products!$A$2:$F$61,3,FALSE)</f>
        <v>Grocery</v>
      </c>
      <c r="M1653" s="34" t="str">
        <f>VLOOKUP(C1653,Customers!$A$2:$F$301,5,FALSE)</f>
        <v>Corporate</v>
      </c>
      <c r="N1653" s="34">
        <f>VLOOKUP(C1653,Customers!$A$2:$F$301,3,FALSE)</f>
        <v>42</v>
      </c>
      <c r="O1653" s="34" t="str">
        <f>VLOOKUP(E1653,Sales_Reps!$A$2:$E$31,3,FALSE)</f>
        <v>South</v>
      </c>
      <c r="P1653" s="13" t="s">
        <v>346</v>
      </c>
      <c r="Q1653" s="34">
        <f t="shared" si="54"/>
        <v>814563.7100000002</v>
      </c>
      <c r="R1653" s="34" t="str">
        <f>VLOOKUP(E1653,Sales_Reps!$A$2:$E$100,3,FALSE)</f>
        <v>South</v>
      </c>
      <c r="S1653" s="34" t="str">
        <f t="shared" si="55"/>
        <v>Grocery</v>
      </c>
      <c r="T1653" s="38">
        <f>VLOOKUP(D1653,Products!$A$2:$F$68,4,FALSE)</f>
        <v>1435</v>
      </c>
    </row>
    <row r="1654" spans="1:20" x14ac:dyDescent="0.35">
      <c r="A1654" s="13" t="s">
        <v>2149</v>
      </c>
      <c r="B1654" s="14">
        <v>45597</v>
      </c>
      <c r="C1654" s="13" t="s">
        <v>208</v>
      </c>
      <c r="D1654" s="13" t="s">
        <v>367</v>
      </c>
      <c r="E1654" s="13" t="s">
        <v>192</v>
      </c>
      <c r="F1654" s="15">
        <v>5</v>
      </c>
      <c r="G1654" s="15">
        <v>2380</v>
      </c>
      <c r="H1654" s="15">
        <v>16.399999999999999</v>
      </c>
      <c r="I1654" s="15">
        <v>9948.4</v>
      </c>
      <c r="J1654" s="13" t="s">
        <v>87</v>
      </c>
      <c r="K1654" s="13" t="s">
        <v>133</v>
      </c>
      <c r="L1654" s="34" t="str">
        <f>VLOOKUP(D1654,Products!$A$2:$F$61,3,FALSE)</f>
        <v>Grocery</v>
      </c>
      <c r="M1654" s="34" t="str">
        <f>VLOOKUP(C1654,Customers!$A$2:$F$301,5,FALSE)</f>
        <v>Retail</v>
      </c>
      <c r="N1654" s="34">
        <f>VLOOKUP(C1654,Customers!$A$2:$F$301,3,FALSE)</f>
        <v>26</v>
      </c>
      <c r="O1654" s="34" t="str">
        <f>VLOOKUP(E1654,Sales_Reps!$A$2:$E$31,3,FALSE)</f>
        <v>East</v>
      </c>
      <c r="P1654" s="13" t="s">
        <v>192</v>
      </c>
      <c r="Q1654" s="34">
        <f t="shared" si="54"/>
        <v>906107.71000000008</v>
      </c>
      <c r="R1654" s="34" t="str">
        <f>VLOOKUP(E1654,Sales_Reps!$A$2:$E$100,3,FALSE)</f>
        <v>East</v>
      </c>
      <c r="S1654" s="34" t="str">
        <f t="shared" si="55"/>
        <v>Grocery</v>
      </c>
      <c r="T1654" s="38">
        <f>VLOOKUP(D1654,Products!$A$2:$F$68,4,FALSE)</f>
        <v>1182</v>
      </c>
    </row>
    <row r="1655" spans="1:20" x14ac:dyDescent="0.35">
      <c r="A1655" s="13" t="s">
        <v>2150</v>
      </c>
      <c r="B1655" s="14">
        <v>45307</v>
      </c>
      <c r="C1655" s="13" t="s">
        <v>2151</v>
      </c>
      <c r="D1655" s="13" t="s">
        <v>241</v>
      </c>
      <c r="E1655" s="13" t="s">
        <v>188</v>
      </c>
      <c r="F1655" s="15">
        <v>2</v>
      </c>
      <c r="G1655" s="15">
        <v>6080</v>
      </c>
      <c r="H1655" s="15">
        <v>20.100000000000001</v>
      </c>
      <c r="I1655" s="15">
        <v>9715.84</v>
      </c>
      <c r="J1655" s="13" t="s">
        <v>140</v>
      </c>
      <c r="K1655" s="13" t="s">
        <v>112</v>
      </c>
      <c r="L1655" s="34" t="str">
        <f>VLOOKUP(D1655,Products!$A$2:$F$61,3,FALSE)</f>
        <v>Beauty</v>
      </c>
      <c r="M1655" s="34" t="e">
        <f>VLOOKUP(C1655,Customers!$A$2:$F$301,5,FALSE)</f>
        <v>#N/A</v>
      </c>
      <c r="N1655" s="34" t="e">
        <f>VLOOKUP(C1655,Customers!$A$2:$F$301,3,FALSE)</f>
        <v>#N/A</v>
      </c>
      <c r="O1655" s="34" t="str">
        <f>VLOOKUP(E1655,Sales_Reps!$A$2:$E$31,3,FALSE)</f>
        <v>South</v>
      </c>
      <c r="P1655" s="13" t="s">
        <v>188</v>
      </c>
      <c r="Q1655" s="34">
        <f t="shared" si="54"/>
        <v>1091740.1799999997</v>
      </c>
      <c r="R1655" s="34" t="str">
        <f>VLOOKUP(E1655,Sales_Reps!$A$2:$E$100,3,FALSE)</f>
        <v>South</v>
      </c>
      <c r="S1655" s="34" t="str">
        <f t="shared" si="55"/>
        <v>Beauty</v>
      </c>
      <c r="T1655" s="38">
        <f>VLOOKUP(D1655,Products!$A$2:$F$68,4,FALSE)</f>
        <v>2617</v>
      </c>
    </row>
    <row r="1656" spans="1:20" x14ac:dyDescent="0.35">
      <c r="A1656" s="13" t="s">
        <v>2152</v>
      </c>
      <c r="B1656" s="14">
        <v>45568</v>
      </c>
      <c r="C1656" s="13" t="s">
        <v>539</v>
      </c>
      <c r="D1656" s="13" t="s">
        <v>292</v>
      </c>
      <c r="E1656" s="13" t="s">
        <v>346</v>
      </c>
      <c r="F1656" s="15">
        <v>2</v>
      </c>
      <c r="G1656" s="15">
        <v>620</v>
      </c>
      <c r="H1656" s="15">
        <v>4.3</v>
      </c>
      <c r="I1656" s="15">
        <v>1186.68</v>
      </c>
      <c r="J1656" s="13" t="s">
        <v>87</v>
      </c>
      <c r="K1656" s="13" t="s">
        <v>133</v>
      </c>
      <c r="L1656" s="34" t="str">
        <f>VLOOKUP(D1656,Products!$A$2:$F$61,3,FALSE)</f>
        <v>Apparel</v>
      </c>
      <c r="M1656" s="34" t="str">
        <f>VLOOKUP(C1656,Customers!$A$2:$F$301,5,FALSE)</f>
        <v>Retail</v>
      </c>
      <c r="N1656" s="34">
        <f>VLOOKUP(C1656,Customers!$A$2:$F$301,3,FALSE)</f>
        <v>38</v>
      </c>
      <c r="O1656" s="34" t="str">
        <f>VLOOKUP(E1656,Sales_Reps!$A$2:$E$31,3,FALSE)</f>
        <v>South</v>
      </c>
      <c r="P1656" s="13" t="s">
        <v>346</v>
      </c>
      <c r="Q1656" s="34">
        <f t="shared" si="54"/>
        <v>814563.7100000002</v>
      </c>
      <c r="R1656" s="34" t="str">
        <f>VLOOKUP(E1656,Sales_Reps!$A$2:$E$100,3,FALSE)</f>
        <v>South</v>
      </c>
      <c r="S1656" s="34" t="str">
        <f t="shared" si="55"/>
        <v>Apparel</v>
      </c>
      <c r="T1656" s="38">
        <f>VLOOKUP(D1656,Products!$A$2:$F$68,4,FALSE)</f>
        <v>396</v>
      </c>
    </row>
    <row r="1657" spans="1:20" x14ac:dyDescent="0.35">
      <c r="A1657" s="13" t="s">
        <v>2153</v>
      </c>
      <c r="B1657" s="14">
        <v>45654</v>
      </c>
      <c r="C1657" s="13" t="s">
        <v>472</v>
      </c>
      <c r="D1657" s="13" t="s">
        <v>248</v>
      </c>
      <c r="E1657" s="13" t="s">
        <v>325</v>
      </c>
      <c r="F1657" s="15">
        <v>7</v>
      </c>
      <c r="G1657" s="15">
        <v>3870</v>
      </c>
      <c r="H1657" s="15">
        <v>5.9</v>
      </c>
      <c r="I1657" s="15">
        <v>25491.69</v>
      </c>
      <c r="J1657" s="13" t="s">
        <v>87</v>
      </c>
      <c r="K1657" s="13" t="s">
        <v>94</v>
      </c>
      <c r="L1657" s="34" t="str">
        <f>VLOOKUP(D1657,Products!$A$2:$F$61,3,FALSE)</f>
        <v>Electronics</v>
      </c>
      <c r="M1657" s="34" t="str">
        <f>VLOOKUP(C1657,Customers!$A$2:$F$301,5,FALSE)</f>
        <v>Corporate</v>
      </c>
      <c r="N1657" s="34">
        <f>VLOOKUP(C1657,Customers!$A$2:$F$301,3,FALSE)</f>
        <v>35</v>
      </c>
      <c r="O1657" s="34" t="str">
        <f>VLOOKUP(E1657,Sales_Reps!$A$2:$E$31,3,FALSE)</f>
        <v>South</v>
      </c>
      <c r="P1657" s="13" t="s">
        <v>325</v>
      </c>
      <c r="Q1657" s="34">
        <f t="shared" si="54"/>
        <v>901394.32000000007</v>
      </c>
      <c r="R1657" s="34" t="str">
        <f>VLOOKUP(E1657,Sales_Reps!$A$2:$E$100,3,FALSE)</f>
        <v>South</v>
      </c>
      <c r="S1657" s="34" t="str">
        <f t="shared" si="55"/>
        <v>Electronics</v>
      </c>
      <c r="T1657" s="38">
        <f>VLOOKUP(D1657,Products!$A$2:$F$68,4,FALSE)</f>
        <v>1559</v>
      </c>
    </row>
    <row r="1658" spans="1:20" x14ac:dyDescent="0.35">
      <c r="A1658" s="13" t="s">
        <v>2154</v>
      </c>
      <c r="B1658" s="14">
        <v>45412</v>
      </c>
      <c r="C1658" s="13" t="s">
        <v>1006</v>
      </c>
      <c r="D1658" s="13" t="s">
        <v>187</v>
      </c>
      <c r="E1658" s="13" t="s">
        <v>192</v>
      </c>
      <c r="F1658" s="15">
        <v>8</v>
      </c>
      <c r="G1658" s="15">
        <v>3570</v>
      </c>
      <c r="H1658" s="15">
        <v>24.6</v>
      </c>
      <c r="I1658" s="15">
        <v>21534.240000000002</v>
      </c>
      <c r="J1658" s="13" t="s">
        <v>87</v>
      </c>
      <c r="K1658" s="13" t="s">
        <v>117</v>
      </c>
      <c r="L1658" s="34" t="str">
        <f>VLOOKUP(D1658,Products!$A$2:$F$61,3,FALSE)</f>
        <v>Electronics</v>
      </c>
      <c r="M1658" s="34" t="str">
        <f>VLOOKUP(C1658,Customers!$A$2:$F$301,5,FALSE)</f>
        <v>SMB</v>
      </c>
      <c r="N1658" s="34">
        <f>VLOOKUP(C1658,Customers!$A$2:$F$301,3,FALSE)</f>
        <v>44</v>
      </c>
      <c r="O1658" s="34" t="str">
        <f>VLOOKUP(E1658,Sales_Reps!$A$2:$E$31,3,FALSE)</f>
        <v>East</v>
      </c>
      <c r="P1658" s="13" t="s">
        <v>192</v>
      </c>
      <c r="Q1658" s="34">
        <f t="shared" si="54"/>
        <v>906107.71000000008</v>
      </c>
      <c r="R1658" s="34" t="str">
        <f>VLOOKUP(E1658,Sales_Reps!$A$2:$E$100,3,FALSE)</f>
        <v>East</v>
      </c>
      <c r="S1658" s="34" t="str">
        <f t="shared" si="55"/>
        <v>Electronics</v>
      </c>
      <c r="T1658" s="38">
        <f>VLOOKUP(D1658,Products!$A$2:$F$68,4,FALSE)</f>
        <v>1665</v>
      </c>
    </row>
    <row r="1659" spans="1:20" x14ac:dyDescent="0.35">
      <c r="A1659" s="13" t="s">
        <v>2155</v>
      </c>
      <c r="B1659" s="14">
        <v>45653</v>
      </c>
      <c r="C1659" s="13" t="s">
        <v>247</v>
      </c>
      <c r="D1659" s="13" t="s">
        <v>264</v>
      </c>
      <c r="E1659" s="13" t="s">
        <v>132</v>
      </c>
      <c r="F1659" s="15">
        <v>1</v>
      </c>
      <c r="G1659" s="15">
        <v>4070</v>
      </c>
      <c r="H1659" s="15">
        <v>29.1</v>
      </c>
      <c r="I1659" s="15">
        <v>2885.63</v>
      </c>
      <c r="J1659" s="13" t="s">
        <v>93</v>
      </c>
      <c r="K1659" s="13" t="s">
        <v>117</v>
      </c>
      <c r="L1659" s="34" t="str">
        <f>VLOOKUP(D1659,Products!$A$2:$F$61,3,FALSE)</f>
        <v>Grocery</v>
      </c>
      <c r="M1659" s="34" t="str">
        <f>VLOOKUP(C1659,Customers!$A$2:$F$301,5,FALSE)</f>
        <v>Retail</v>
      </c>
      <c r="N1659" s="34">
        <f>VLOOKUP(C1659,Customers!$A$2:$F$301,3,FALSE)</f>
        <v>34</v>
      </c>
      <c r="O1659" s="34" t="str">
        <f>VLOOKUP(E1659,Sales_Reps!$A$2:$E$31,3,FALSE)</f>
        <v>South</v>
      </c>
      <c r="P1659" s="13" t="s">
        <v>132</v>
      </c>
      <c r="Q1659" s="34">
        <f t="shared" si="54"/>
        <v>880345.20000000007</v>
      </c>
      <c r="R1659" s="34" t="str">
        <f>VLOOKUP(E1659,Sales_Reps!$A$2:$E$100,3,FALSE)</f>
        <v>South</v>
      </c>
      <c r="S1659" s="34" t="str">
        <f t="shared" si="55"/>
        <v>Grocery</v>
      </c>
      <c r="T1659" s="38">
        <f>VLOOKUP(D1659,Products!$A$2:$F$68,4,FALSE)</f>
        <v>2027</v>
      </c>
    </row>
    <row r="1660" spans="1:20" x14ac:dyDescent="0.35">
      <c r="A1660" s="13" t="s">
        <v>2156</v>
      </c>
      <c r="B1660" s="14">
        <v>45568</v>
      </c>
      <c r="C1660" s="13" t="s">
        <v>510</v>
      </c>
      <c r="D1660" s="13" t="s">
        <v>91</v>
      </c>
      <c r="E1660" s="13" t="s">
        <v>238</v>
      </c>
      <c r="F1660" s="15">
        <v>1</v>
      </c>
      <c r="G1660" s="15">
        <v>820</v>
      </c>
      <c r="H1660" s="15">
        <v>17.899999999999999</v>
      </c>
      <c r="I1660" s="15">
        <v>673.22</v>
      </c>
      <c r="J1660" s="13" t="s">
        <v>87</v>
      </c>
      <c r="K1660" s="13" t="s">
        <v>117</v>
      </c>
      <c r="L1660" s="34" t="str">
        <f>VLOOKUP(D1660,Products!$A$2:$F$61,3,FALSE)</f>
        <v>Apparel</v>
      </c>
      <c r="M1660" s="34" t="str">
        <f>VLOOKUP(C1660,Customers!$A$2:$F$301,5,FALSE)</f>
        <v>SMB</v>
      </c>
      <c r="N1660" s="34">
        <f>VLOOKUP(C1660,Customers!$A$2:$F$301,3,FALSE)</f>
        <v>26</v>
      </c>
      <c r="O1660" s="34" t="str">
        <f>VLOOKUP(E1660,Sales_Reps!$A$2:$E$31,3,FALSE)</f>
        <v>East</v>
      </c>
      <c r="P1660" s="13" t="s">
        <v>238</v>
      </c>
      <c r="Q1660" s="34">
        <f t="shared" si="54"/>
        <v>780384.40999999992</v>
      </c>
      <c r="R1660" s="34" t="str">
        <f>VLOOKUP(E1660,Sales_Reps!$A$2:$E$100,3,FALSE)</f>
        <v>East</v>
      </c>
      <c r="S1660" s="34" t="str">
        <f t="shared" si="55"/>
        <v>Apparel</v>
      </c>
      <c r="T1660" s="38">
        <f>VLOOKUP(D1660,Products!$A$2:$F$68,4,FALSE)</f>
        <v>391</v>
      </c>
    </row>
    <row r="1661" spans="1:20" x14ac:dyDescent="0.35">
      <c r="A1661" s="13" t="s">
        <v>2157</v>
      </c>
      <c r="B1661" s="14">
        <v>45643</v>
      </c>
      <c r="C1661" s="13" t="s">
        <v>299</v>
      </c>
      <c r="D1661" s="13" t="s">
        <v>276</v>
      </c>
      <c r="E1661" s="13" t="s">
        <v>229</v>
      </c>
      <c r="F1661" s="15">
        <v>5</v>
      </c>
      <c r="G1661" s="15">
        <v>3020</v>
      </c>
      <c r="H1661" s="15">
        <v>26.2</v>
      </c>
      <c r="I1661" s="15">
        <v>11143.8</v>
      </c>
      <c r="J1661" s="13" t="s">
        <v>87</v>
      </c>
      <c r="K1661" s="13" t="s">
        <v>133</v>
      </c>
      <c r="L1661" s="34" t="str">
        <f>VLOOKUP(D1661,Products!$A$2:$F$61,3,FALSE)</f>
        <v>Beauty</v>
      </c>
      <c r="M1661" s="34" t="str">
        <f>VLOOKUP(C1661,Customers!$A$2:$F$301,5,FALSE)</f>
        <v>Retail</v>
      </c>
      <c r="N1661" s="34">
        <f>VLOOKUP(C1661,Customers!$A$2:$F$301,3,FALSE)</f>
        <v>29</v>
      </c>
      <c r="O1661" s="34" t="str">
        <f>VLOOKUP(E1661,Sales_Reps!$A$2:$E$31,3,FALSE)</f>
        <v>West</v>
      </c>
      <c r="P1661" s="13" t="s">
        <v>229</v>
      </c>
      <c r="Q1661" s="34">
        <f t="shared" si="54"/>
        <v>1016696.8000000002</v>
      </c>
      <c r="R1661" s="34" t="str">
        <f>VLOOKUP(E1661,Sales_Reps!$A$2:$E$100,3,FALSE)</f>
        <v>West</v>
      </c>
      <c r="S1661" s="34" t="str">
        <f t="shared" si="55"/>
        <v>Beauty</v>
      </c>
      <c r="T1661" s="38">
        <f>VLOOKUP(D1661,Products!$A$2:$F$68,4,FALSE)</f>
        <v>1626</v>
      </c>
    </row>
    <row r="1662" spans="1:20" x14ac:dyDescent="0.35">
      <c r="A1662" s="13" t="s">
        <v>2158</v>
      </c>
      <c r="B1662" s="14">
        <v>45411</v>
      </c>
      <c r="C1662" s="13" t="s">
        <v>628</v>
      </c>
      <c r="D1662" s="13" t="s">
        <v>659</v>
      </c>
      <c r="E1662" s="13" t="s">
        <v>285</v>
      </c>
      <c r="F1662" s="15">
        <v>10</v>
      </c>
      <c r="G1662" s="15">
        <v>3560</v>
      </c>
      <c r="H1662" s="15">
        <v>15.4</v>
      </c>
      <c r="I1662" s="15">
        <v>30117.599999999999</v>
      </c>
      <c r="J1662" s="13" t="s">
        <v>144</v>
      </c>
      <c r="K1662" s="13" t="s">
        <v>133</v>
      </c>
      <c r="L1662" s="34" t="str">
        <f>VLOOKUP(D1662,Products!$A$2:$F$61,3,FALSE)</f>
        <v>Apparel</v>
      </c>
      <c r="M1662" s="34" t="str">
        <f>VLOOKUP(C1662,Customers!$A$2:$F$301,5,FALSE)</f>
        <v>Corporate</v>
      </c>
      <c r="N1662" s="34">
        <f>VLOOKUP(C1662,Customers!$A$2:$F$301,3,FALSE)</f>
        <v>22</v>
      </c>
      <c r="O1662" s="34" t="str">
        <f>VLOOKUP(E1662,Sales_Reps!$A$2:$E$31,3,FALSE)</f>
        <v>East</v>
      </c>
      <c r="P1662" s="13" t="s">
        <v>285</v>
      </c>
      <c r="Q1662" s="34">
        <f t="shared" si="54"/>
        <v>1069570.5400000003</v>
      </c>
      <c r="R1662" s="34" t="str">
        <f>VLOOKUP(E1662,Sales_Reps!$A$2:$E$100,3,FALSE)</f>
        <v>East</v>
      </c>
      <c r="S1662" s="34" t="str">
        <f t="shared" si="55"/>
        <v>Apparel</v>
      </c>
      <c r="T1662" s="38">
        <f>VLOOKUP(D1662,Products!$A$2:$F$68,4,FALSE)</f>
        <v>2629</v>
      </c>
    </row>
    <row r="1663" spans="1:20" x14ac:dyDescent="0.35">
      <c r="A1663" s="13" t="s">
        <v>1458</v>
      </c>
      <c r="B1663" s="14">
        <v>45467</v>
      </c>
      <c r="C1663" s="13" t="s">
        <v>278</v>
      </c>
      <c r="D1663" s="13" t="s">
        <v>179</v>
      </c>
      <c r="E1663" s="13" t="s">
        <v>215</v>
      </c>
      <c r="F1663" s="15">
        <v>3</v>
      </c>
      <c r="G1663" s="15">
        <v>3350</v>
      </c>
      <c r="H1663" s="15">
        <v>8.1</v>
      </c>
      <c r="I1663" s="15">
        <v>9235.9500000000007</v>
      </c>
      <c r="J1663" s="13" t="s">
        <v>87</v>
      </c>
      <c r="K1663" s="13" t="s">
        <v>133</v>
      </c>
      <c r="L1663" s="34" t="str">
        <f>VLOOKUP(D1663,Products!$A$2:$F$61,3,FALSE)</f>
        <v>Beauty</v>
      </c>
      <c r="M1663" s="34" t="str">
        <f>VLOOKUP(C1663,Customers!$A$2:$F$301,5,FALSE)</f>
        <v>Corporate</v>
      </c>
      <c r="N1663" s="34">
        <f>VLOOKUP(C1663,Customers!$A$2:$F$301,3,FALSE)</f>
        <v>29</v>
      </c>
      <c r="O1663" s="34" t="str">
        <f>VLOOKUP(E1663,Sales_Reps!$A$2:$E$31,3,FALSE)</f>
        <v>North</v>
      </c>
      <c r="P1663" s="13" t="s">
        <v>215</v>
      </c>
      <c r="Q1663" s="34">
        <f t="shared" si="54"/>
        <v>789849.60000000009</v>
      </c>
      <c r="R1663" s="34" t="str">
        <f>VLOOKUP(E1663,Sales_Reps!$A$2:$E$100,3,FALSE)</f>
        <v>North</v>
      </c>
      <c r="S1663" s="34" t="str">
        <f t="shared" si="55"/>
        <v>Beauty</v>
      </c>
      <c r="T1663" s="38">
        <f>VLOOKUP(D1663,Products!$A$2:$F$68,4,FALSE)</f>
        <v>1728</v>
      </c>
    </row>
    <row r="1664" spans="1:20" x14ac:dyDescent="0.35">
      <c r="A1664" s="13" t="s">
        <v>2159</v>
      </c>
      <c r="B1664" s="14">
        <v>45542</v>
      </c>
      <c r="C1664" s="13" t="s">
        <v>720</v>
      </c>
      <c r="D1664" s="13" t="s">
        <v>386</v>
      </c>
      <c r="E1664" s="13" t="s">
        <v>111</v>
      </c>
      <c r="F1664" s="15">
        <v>10</v>
      </c>
      <c r="G1664" s="15">
        <v>2290</v>
      </c>
      <c r="H1664" s="15">
        <v>7</v>
      </c>
      <c r="I1664" s="15">
        <v>21297</v>
      </c>
      <c r="J1664" s="13" t="s">
        <v>87</v>
      </c>
      <c r="K1664" s="13" t="s">
        <v>88</v>
      </c>
      <c r="L1664" s="34" t="str">
        <f>VLOOKUP(D1664,Products!$A$2:$F$61,3,FALSE)</f>
        <v>Beauty</v>
      </c>
      <c r="M1664" s="34" t="str">
        <f>VLOOKUP(C1664,Customers!$A$2:$F$301,5,FALSE)</f>
        <v>Retail</v>
      </c>
      <c r="N1664" s="34">
        <f>VLOOKUP(C1664,Customers!$A$2:$F$301,3,FALSE)</f>
        <v>48</v>
      </c>
      <c r="O1664" s="34" t="str">
        <f>VLOOKUP(E1664,Sales_Reps!$A$2:$E$31,3,FALSE)</f>
        <v>West</v>
      </c>
      <c r="P1664" s="13" t="s">
        <v>111</v>
      </c>
      <c r="Q1664" s="34">
        <f t="shared" si="54"/>
        <v>901298.89</v>
      </c>
      <c r="R1664" s="34" t="str">
        <f>VLOOKUP(E1664,Sales_Reps!$A$2:$E$100,3,FALSE)</f>
        <v>West</v>
      </c>
      <c r="S1664" s="34" t="str">
        <f t="shared" si="55"/>
        <v>Beauty</v>
      </c>
      <c r="T1664" s="38">
        <f>VLOOKUP(D1664,Products!$A$2:$F$68,4,FALSE)</f>
        <v>1219</v>
      </c>
    </row>
    <row r="1665" spans="1:20" x14ac:dyDescent="0.35">
      <c r="A1665" s="13" t="s">
        <v>2160</v>
      </c>
      <c r="B1665" s="14">
        <v>45483</v>
      </c>
      <c r="C1665" s="13" t="s">
        <v>411</v>
      </c>
      <c r="D1665" s="13" t="s">
        <v>102</v>
      </c>
      <c r="E1665" s="13" t="s">
        <v>148</v>
      </c>
      <c r="F1665" s="15">
        <v>6</v>
      </c>
      <c r="G1665" s="15">
        <v>3660</v>
      </c>
      <c r="H1665" s="15">
        <v>29.9</v>
      </c>
      <c r="I1665" s="15">
        <v>15393.96</v>
      </c>
      <c r="J1665" s="13" t="s">
        <v>87</v>
      </c>
      <c r="K1665" s="13" t="s">
        <v>112</v>
      </c>
      <c r="L1665" s="34" t="str">
        <f>VLOOKUP(D1665,Products!$A$2:$F$61,3,FALSE)</f>
        <v>Grocery</v>
      </c>
      <c r="M1665" s="34" t="str">
        <f>VLOOKUP(C1665,Customers!$A$2:$F$301,5,FALSE)</f>
        <v>Retail</v>
      </c>
      <c r="N1665" s="34">
        <f>VLOOKUP(C1665,Customers!$A$2:$F$301,3,FALSE)</f>
        <v>61</v>
      </c>
      <c r="O1665" s="34" t="str">
        <f>VLOOKUP(E1665,Sales_Reps!$A$2:$E$31,3,FALSE)</f>
        <v>North</v>
      </c>
      <c r="P1665" s="13" t="s">
        <v>148</v>
      </c>
      <c r="Q1665" s="34">
        <f t="shared" si="54"/>
        <v>986692.91</v>
      </c>
      <c r="R1665" s="34" t="str">
        <f>VLOOKUP(E1665,Sales_Reps!$A$2:$E$100,3,FALSE)</f>
        <v>North</v>
      </c>
      <c r="S1665" s="34" t="str">
        <f t="shared" si="55"/>
        <v>Grocery</v>
      </c>
      <c r="T1665" s="38">
        <f>VLOOKUP(D1665,Products!$A$2:$F$68,4,FALSE)</f>
        <v>2214</v>
      </c>
    </row>
    <row r="1666" spans="1:20" x14ac:dyDescent="0.35">
      <c r="A1666" s="13" t="s">
        <v>2161</v>
      </c>
      <c r="B1666" s="14">
        <v>45426</v>
      </c>
      <c r="C1666" s="13" t="s">
        <v>524</v>
      </c>
      <c r="D1666" s="13" t="s">
        <v>135</v>
      </c>
      <c r="E1666" s="13" t="s">
        <v>252</v>
      </c>
      <c r="F1666" s="15">
        <v>8</v>
      </c>
      <c r="G1666" s="15">
        <v>2640</v>
      </c>
      <c r="H1666" s="15">
        <v>4.2</v>
      </c>
      <c r="I1666" s="15">
        <v>20232.96</v>
      </c>
      <c r="J1666" s="13" t="s">
        <v>144</v>
      </c>
      <c r="K1666" s="13" t="s">
        <v>112</v>
      </c>
      <c r="L1666" s="34" t="str">
        <f>VLOOKUP(D1666,Products!$A$2:$F$61,3,FALSE)</f>
        <v>Electronics</v>
      </c>
      <c r="M1666" s="34" t="str">
        <f>VLOOKUP(C1666,Customers!$A$2:$F$301,5,FALSE)</f>
        <v>Corporate</v>
      </c>
      <c r="N1666" s="34">
        <f>VLOOKUP(C1666,Customers!$A$2:$F$301,3,FALSE)</f>
        <v>55</v>
      </c>
      <c r="O1666" s="34" t="str">
        <f>VLOOKUP(E1666,Sales_Reps!$A$2:$E$31,3,FALSE)</f>
        <v>South</v>
      </c>
      <c r="P1666" s="13" t="s">
        <v>252</v>
      </c>
      <c r="Q1666" s="34">
        <f t="shared" si="54"/>
        <v>811524.37999999989</v>
      </c>
      <c r="R1666" s="34" t="str">
        <f>VLOOKUP(E1666,Sales_Reps!$A$2:$E$100,3,FALSE)</f>
        <v>South</v>
      </c>
      <c r="S1666" s="34" t="str">
        <f t="shared" si="55"/>
        <v>Electronics</v>
      </c>
      <c r="T1666" s="38">
        <f>VLOOKUP(D1666,Products!$A$2:$F$68,4,FALSE)</f>
        <v>1149</v>
      </c>
    </row>
    <row r="1667" spans="1:20" x14ac:dyDescent="0.35">
      <c r="A1667" s="13" t="s">
        <v>2162</v>
      </c>
      <c r="B1667" s="14">
        <v>45386</v>
      </c>
      <c r="C1667" s="13" t="s">
        <v>150</v>
      </c>
      <c r="D1667" s="13" t="s">
        <v>110</v>
      </c>
      <c r="E1667" s="13" t="s">
        <v>103</v>
      </c>
      <c r="F1667" s="15">
        <v>5</v>
      </c>
      <c r="G1667" s="15">
        <v>370</v>
      </c>
      <c r="H1667" s="15">
        <v>6</v>
      </c>
      <c r="I1667" s="15">
        <v>1739</v>
      </c>
      <c r="J1667" s="13" t="s">
        <v>87</v>
      </c>
      <c r="K1667" s="13" t="s">
        <v>88</v>
      </c>
      <c r="L1667" s="34" t="str">
        <f>VLOOKUP(D1667,Products!$A$2:$F$61,3,FALSE)</f>
        <v>Home</v>
      </c>
      <c r="M1667" s="34" t="str">
        <f>VLOOKUP(C1667,Customers!$A$2:$F$301,5,FALSE)</f>
        <v>Retail</v>
      </c>
      <c r="N1667" s="34">
        <f>VLOOKUP(C1667,Customers!$A$2:$F$301,3,FALSE)</f>
        <v>63</v>
      </c>
      <c r="O1667" s="34" t="str">
        <f>VLOOKUP(E1667,Sales_Reps!$A$2:$E$31,3,FALSE)</f>
        <v>North</v>
      </c>
      <c r="P1667" s="13" t="s">
        <v>103</v>
      </c>
      <c r="Q1667" s="34">
        <f t="shared" ref="Q1667:Q1730" si="56">SUMIFS($I:$I,$E:$E,P1667)</f>
        <v>1138648.73</v>
      </c>
      <c r="R1667" s="34" t="str">
        <f>VLOOKUP(E1667,Sales_Reps!$A$2:$E$100,3,FALSE)</f>
        <v>North</v>
      </c>
      <c r="S1667" s="34" t="str">
        <f t="shared" ref="S1667:S1730" si="57">L1667</f>
        <v>Home</v>
      </c>
      <c r="T1667" s="38">
        <f>VLOOKUP(D1667,Products!$A$2:$F$68,4,FALSE)</f>
        <v>288</v>
      </c>
    </row>
    <row r="1668" spans="1:20" x14ac:dyDescent="0.35">
      <c r="A1668" s="13" t="s">
        <v>2163</v>
      </c>
      <c r="B1668" s="14">
        <v>45377</v>
      </c>
      <c r="C1668" s="13" t="s">
        <v>1065</v>
      </c>
      <c r="D1668" s="13" t="s">
        <v>131</v>
      </c>
      <c r="E1668" s="13" t="s">
        <v>86</v>
      </c>
      <c r="F1668" s="15">
        <v>9</v>
      </c>
      <c r="G1668" s="15">
        <v>2270</v>
      </c>
      <c r="H1668" s="15">
        <v>4.7</v>
      </c>
      <c r="I1668" s="15">
        <v>19469.79</v>
      </c>
      <c r="J1668" s="13" t="s">
        <v>87</v>
      </c>
      <c r="K1668" s="13" t="s">
        <v>94</v>
      </c>
      <c r="L1668" s="34" t="str">
        <f>VLOOKUP(D1668,Products!$A$2:$F$61,3,FALSE)</f>
        <v>Grocery</v>
      </c>
      <c r="M1668" s="34" t="str">
        <f>VLOOKUP(C1668,Customers!$A$2:$F$301,5,FALSE)</f>
        <v>Retail</v>
      </c>
      <c r="N1668" s="34">
        <f>VLOOKUP(C1668,Customers!$A$2:$F$301,3,FALSE)</f>
        <v>49</v>
      </c>
      <c r="O1668" s="34" t="str">
        <f>VLOOKUP(E1668,Sales_Reps!$A$2:$E$31,3,FALSE)</f>
        <v>North</v>
      </c>
      <c r="P1668" s="13" t="s">
        <v>86</v>
      </c>
      <c r="Q1668" s="34">
        <f t="shared" si="56"/>
        <v>855749.67999999982</v>
      </c>
      <c r="R1668" s="34" t="str">
        <f>VLOOKUP(E1668,Sales_Reps!$A$2:$E$100,3,FALSE)</f>
        <v>North</v>
      </c>
      <c r="S1668" s="34" t="str">
        <f t="shared" si="57"/>
        <v>Grocery</v>
      </c>
      <c r="T1668" s="38">
        <f>VLOOKUP(D1668,Products!$A$2:$F$68,4,FALSE)</f>
        <v>1203</v>
      </c>
    </row>
    <row r="1669" spans="1:20" x14ac:dyDescent="0.35">
      <c r="A1669" s="13" t="s">
        <v>2164</v>
      </c>
      <c r="B1669" s="14">
        <v>45414</v>
      </c>
      <c r="C1669" s="13" t="s">
        <v>837</v>
      </c>
      <c r="D1669" s="13" t="s">
        <v>203</v>
      </c>
      <c r="E1669" s="13" t="s">
        <v>273</v>
      </c>
      <c r="F1669" s="15">
        <v>5</v>
      </c>
      <c r="G1669" s="15">
        <v>660</v>
      </c>
      <c r="H1669" s="15">
        <v>21</v>
      </c>
      <c r="I1669" s="15">
        <v>2607</v>
      </c>
      <c r="J1669" s="13" t="s">
        <v>87</v>
      </c>
      <c r="K1669" s="13" t="s">
        <v>117</v>
      </c>
      <c r="L1669" s="34" t="str">
        <f>VLOOKUP(D1669,Products!$A$2:$F$61,3,FALSE)</f>
        <v>Home</v>
      </c>
      <c r="M1669" s="34" t="str">
        <f>VLOOKUP(C1669,Customers!$A$2:$F$301,5,FALSE)</f>
        <v>Retail</v>
      </c>
      <c r="N1669" s="34">
        <f>VLOOKUP(C1669,Customers!$A$2:$F$301,3,FALSE)</f>
        <v>37</v>
      </c>
      <c r="O1669" s="34" t="str">
        <f>VLOOKUP(E1669,Sales_Reps!$A$2:$E$31,3,FALSE)</f>
        <v>South</v>
      </c>
      <c r="P1669" s="13" t="s">
        <v>273</v>
      </c>
      <c r="Q1669" s="34">
        <f t="shared" si="56"/>
        <v>735207.75999999989</v>
      </c>
      <c r="R1669" s="34" t="str">
        <f>VLOOKUP(E1669,Sales_Reps!$A$2:$E$100,3,FALSE)</f>
        <v>South</v>
      </c>
      <c r="S1669" s="34" t="str">
        <f t="shared" si="57"/>
        <v>Home</v>
      </c>
      <c r="T1669" s="38">
        <f>VLOOKUP(D1669,Products!$A$2:$F$68,4,FALSE)</f>
        <v>329</v>
      </c>
    </row>
    <row r="1670" spans="1:20" x14ac:dyDescent="0.35">
      <c r="A1670" s="13" t="s">
        <v>2165</v>
      </c>
      <c r="B1670" s="14">
        <v>45407</v>
      </c>
      <c r="C1670" s="13" t="s">
        <v>2166</v>
      </c>
      <c r="D1670" s="13" t="s">
        <v>115</v>
      </c>
      <c r="E1670" s="13" t="s">
        <v>148</v>
      </c>
      <c r="F1670" s="15">
        <v>2</v>
      </c>
      <c r="G1670" s="15">
        <v>960</v>
      </c>
      <c r="H1670" s="15">
        <v>7.3</v>
      </c>
      <c r="I1670" s="15">
        <v>1779.84</v>
      </c>
      <c r="J1670" s="13" t="s">
        <v>87</v>
      </c>
      <c r="K1670" s="13" t="s">
        <v>117</v>
      </c>
      <c r="L1670" s="34" t="str">
        <f>VLOOKUP(D1670,Products!$A$2:$F$61,3,FALSE)</f>
        <v>Sports</v>
      </c>
      <c r="M1670" s="34" t="e">
        <f>VLOOKUP(C1670,Customers!$A$2:$F$301,5,FALSE)</f>
        <v>#N/A</v>
      </c>
      <c r="N1670" s="34" t="e">
        <f>VLOOKUP(C1670,Customers!$A$2:$F$301,3,FALSE)</f>
        <v>#N/A</v>
      </c>
      <c r="O1670" s="34" t="str">
        <f>VLOOKUP(E1670,Sales_Reps!$A$2:$E$31,3,FALSE)</f>
        <v>North</v>
      </c>
      <c r="P1670" s="13" t="s">
        <v>148</v>
      </c>
      <c r="Q1670" s="34">
        <f t="shared" si="56"/>
        <v>986692.91</v>
      </c>
      <c r="R1670" s="34" t="str">
        <f>VLOOKUP(E1670,Sales_Reps!$A$2:$E$100,3,FALSE)</f>
        <v>North</v>
      </c>
      <c r="S1670" s="34" t="str">
        <f t="shared" si="57"/>
        <v>Sports</v>
      </c>
      <c r="T1670" s="38">
        <f>VLOOKUP(D1670,Products!$A$2:$F$68,4,FALSE)</f>
        <v>705</v>
      </c>
    </row>
    <row r="1671" spans="1:20" x14ac:dyDescent="0.35">
      <c r="A1671" s="13" t="s">
        <v>2167</v>
      </c>
      <c r="B1671" s="14">
        <v>45509</v>
      </c>
      <c r="C1671" s="13" t="s">
        <v>166</v>
      </c>
      <c r="D1671" s="13" t="s">
        <v>191</v>
      </c>
      <c r="E1671" s="13" t="s">
        <v>204</v>
      </c>
      <c r="F1671" s="15">
        <v>3</v>
      </c>
      <c r="G1671" s="15">
        <v>5100</v>
      </c>
      <c r="H1671" s="15">
        <v>21</v>
      </c>
      <c r="I1671" s="15">
        <v>12087</v>
      </c>
      <c r="J1671" s="13" t="s">
        <v>87</v>
      </c>
      <c r="K1671" s="13" t="s">
        <v>133</v>
      </c>
      <c r="L1671" s="34" t="str">
        <f>VLOOKUP(D1671,Products!$A$2:$F$61,3,FALSE)</f>
        <v>Beauty</v>
      </c>
      <c r="M1671" s="34" t="str">
        <f>VLOOKUP(C1671,Customers!$A$2:$F$301,5,FALSE)</f>
        <v>Retail</v>
      </c>
      <c r="N1671" s="34">
        <f>VLOOKUP(C1671,Customers!$A$2:$F$301,3,FALSE)</f>
        <v>32</v>
      </c>
      <c r="O1671" s="34" t="str">
        <f>VLOOKUP(E1671,Sales_Reps!$A$2:$E$31,3,FALSE)</f>
        <v>South</v>
      </c>
      <c r="P1671" s="13" t="s">
        <v>204</v>
      </c>
      <c r="Q1671" s="34">
        <f t="shared" si="56"/>
        <v>914554.71999999986</v>
      </c>
      <c r="R1671" s="34" t="str">
        <f>VLOOKUP(E1671,Sales_Reps!$A$2:$E$100,3,FALSE)</f>
        <v>South</v>
      </c>
      <c r="S1671" s="34" t="str">
        <f t="shared" si="57"/>
        <v>Beauty</v>
      </c>
      <c r="T1671" s="38">
        <f>VLOOKUP(D1671,Products!$A$2:$F$68,4,FALSE)</f>
        <v>2237</v>
      </c>
    </row>
    <row r="1672" spans="1:20" x14ac:dyDescent="0.35">
      <c r="A1672" s="13" t="s">
        <v>2168</v>
      </c>
      <c r="B1672" s="14">
        <v>45566</v>
      </c>
      <c r="C1672" s="13" t="s">
        <v>281</v>
      </c>
      <c r="D1672" s="13" t="s">
        <v>106</v>
      </c>
      <c r="E1672" s="13" t="s">
        <v>139</v>
      </c>
      <c r="F1672" s="15">
        <v>3</v>
      </c>
      <c r="G1672" s="15">
        <v>3160</v>
      </c>
      <c r="H1672" s="15">
        <v>13.5</v>
      </c>
      <c r="I1672" s="15">
        <v>8200.2000000000007</v>
      </c>
      <c r="J1672" s="13" t="s">
        <v>87</v>
      </c>
      <c r="K1672" s="13" t="s">
        <v>88</v>
      </c>
      <c r="L1672" s="34" t="str">
        <f>VLOOKUP(D1672,Products!$A$2:$F$61,3,FALSE)</f>
        <v>Apparel</v>
      </c>
      <c r="M1672" s="34" t="str">
        <f>VLOOKUP(C1672,Customers!$A$2:$F$301,5,FALSE)</f>
        <v>Retail</v>
      </c>
      <c r="N1672" s="34">
        <f>VLOOKUP(C1672,Customers!$A$2:$F$301,3,FALSE)</f>
        <v>25</v>
      </c>
      <c r="O1672" s="34" t="str">
        <f>VLOOKUP(E1672,Sales_Reps!$A$2:$E$31,3,FALSE)</f>
        <v>North</v>
      </c>
      <c r="P1672" s="13" t="s">
        <v>139</v>
      </c>
      <c r="Q1672" s="34">
        <f t="shared" si="56"/>
        <v>589026.2899999998</v>
      </c>
      <c r="R1672" s="34" t="str">
        <f>VLOOKUP(E1672,Sales_Reps!$A$2:$E$100,3,FALSE)</f>
        <v>North</v>
      </c>
      <c r="S1672" s="34" t="str">
        <f t="shared" si="57"/>
        <v>Apparel</v>
      </c>
      <c r="T1672" s="38">
        <f>VLOOKUP(D1672,Products!$A$2:$F$68,4,FALSE)</f>
        <v>1886</v>
      </c>
    </row>
    <row r="1673" spans="1:20" x14ac:dyDescent="0.35">
      <c r="A1673" s="13" t="s">
        <v>2169</v>
      </c>
      <c r="B1673" s="14">
        <v>45524</v>
      </c>
      <c r="C1673" s="13" t="s">
        <v>2170</v>
      </c>
      <c r="D1673" s="13" t="s">
        <v>259</v>
      </c>
      <c r="E1673" s="13" t="s">
        <v>92</v>
      </c>
      <c r="F1673" s="15">
        <v>9</v>
      </c>
      <c r="G1673" s="15">
        <v>1540</v>
      </c>
      <c r="H1673" s="15">
        <v>18.2</v>
      </c>
      <c r="I1673" s="15">
        <v>11337.48</v>
      </c>
      <c r="J1673" s="13" t="s">
        <v>140</v>
      </c>
      <c r="K1673" s="13" t="s">
        <v>117</v>
      </c>
      <c r="L1673" s="34" t="str">
        <f>VLOOKUP(D1673,Products!$A$2:$F$61,3,FALSE)</f>
        <v>Beauty</v>
      </c>
      <c r="M1673" s="34" t="e">
        <f>VLOOKUP(C1673,Customers!$A$2:$F$301,5,FALSE)</f>
        <v>#N/A</v>
      </c>
      <c r="N1673" s="34" t="e">
        <f>VLOOKUP(C1673,Customers!$A$2:$F$301,3,FALSE)</f>
        <v>#N/A</v>
      </c>
      <c r="O1673" s="34" t="str">
        <f>VLOOKUP(E1673,Sales_Reps!$A$2:$E$31,3,FALSE)</f>
        <v>North</v>
      </c>
      <c r="P1673" s="13" t="s">
        <v>92</v>
      </c>
      <c r="Q1673" s="34">
        <f t="shared" si="56"/>
        <v>782445.33</v>
      </c>
      <c r="R1673" s="34" t="str">
        <f>VLOOKUP(E1673,Sales_Reps!$A$2:$E$100,3,FALSE)</f>
        <v>North</v>
      </c>
      <c r="S1673" s="34" t="str">
        <f t="shared" si="57"/>
        <v>Beauty</v>
      </c>
      <c r="T1673" s="38">
        <f>VLOOKUP(D1673,Products!$A$2:$F$68,4,FALSE)</f>
        <v>647</v>
      </c>
    </row>
    <row r="1674" spans="1:20" x14ac:dyDescent="0.35">
      <c r="A1674" s="13" t="s">
        <v>2171</v>
      </c>
      <c r="B1674" s="14">
        <v>45431</v>
      </c>
      <c r="C1674" s="13" t="s">
        <v>153</v>
      </c>
      <c r="D1674" s="13" t="s">
        <v>157</v>
      </c>
      <c r="E1674" s="13" t="s">
        <v>116</v>
      </c>
      <c r="F1674" s="15">
        <v>4</v>
      </c>
      <c r="G1674" s="15">
        <v>3450</v>
      </c>
      <c r="H1674" s="15">
        <v>26.4</v>
      </c>
      <c r="I1674" s="15">
        <v>10156.799999999999</v>
      </c>
      <c r="J1674" s="13" t="s">
        <v>93</v>
      </c>
      <c r="K1674" s="13" t="s">
        <v>117</v>
      </c>
      <c r="L1674" s="34" t="str">
        <f>VLOOKUP(D1674,Products!$A$2:$F$61,3,FALSE)</f>
        <v>Beauty</v>
      </c>
      <c r="M1674" s="34" t="str">
        <f>VLOOKUP(C1674,Customers!$A$2:$F$301,5,FALSE)</f>
        <v>SMB</v>
      </c>
      <c r="N1674" s="34">
        <f>VLOOKUP(C1674,Customers!$A$2:$F$301,3,FALSE)</f>
        <v>46</v>
      </c>
      <c r="O1674" s="34" t="str">
        <f>VLOOKUP(E1674,Sales_Reps!$A$2:$E$31,3,FALSE)</f>
        <v>West</v>
      </c>
      <c r="P1674" s="13" t="s">
        <v>116</v>
      </c>
      <c r="Q1674" s="34">
        <f t="shared" si="56"/>
        <v>819558.58</v>
      </c>
      <c r="R1674" s="34" t="str">
        <f>VLOOKUP(E1674,Sales_Reps!$A$2:$E$100,3,FALSE)</f>
        <v>West</v>
      </c>
      <c r="S1674" s="34" t="str">
        <f t="shared" si="57"/>
        <v>Beauty</v>
      </c>
      <c r="T1674" s="38">
        <f>VLOOKUP(D1674,Products!$A$2:$F$68,4,FALSE)</f>
        <v>2420</v>
      </c>
    </row>
    <row r="1675" spans="1:20" x14ac:dyDescent="0.35">
      <c r="A1675" s="13" t="s">
        <v>2172</v>
      </c>
      <c r="B1675" s="14">
        <v>45598</v>
      </c>
      <c r="C1675" s="13" t="s">
        <v>411</v>
      </c>
      <c r="D1675" s="13" t="s">
        <v>367</v>
      </c>
      <c r="E1675" s="13" t="s">
        <v>201</v>
      </c>
      <c r="F1675" s="15">
        <v>4</v>
      </c>
      <c r="G1675" s="15">
        <v>2380</v>
      </c>
      <c r="H1675" s="15">
        <v>6.9</v>
      </c>
      <c r="I1675" s="15">
        <v>8863.1200000000008</v>
      </c>
      <c r="J1675" s="13" t="s">
        <v>87</v>
      </c>
      <c r="K1675" s="13" t="s">
        <v>112</v>
      </c>
      <c r="L1675" s="34" t="str">
        <f>VLOOKUP(D1675,Products!$A$2:$F$61,3,FALSE)</f>
        <v>Grocery</v>
      </c>
      <c r="M1675" s="34" t="str">
        <f>VLOOKUP(C1675,Customers!$A$2:$F$301,5,FALSE)</f>
        <v>Retail</v>
      </c>
      <c r="N1675" s="34">
        <f>VLOOKUP(C1675,Customers!$A$2:$F$301,3,FALSE)</f>
        <v>61</v>
      </c>
      <c r="O1675" s="34" t="str">
        <f>VLOOKUP(E1675,Sales_Reps!$A$2:$E$31,3,FALSE)</f>
        <v>West</v>
      </c>
      <c r="P1675" s="13" t="s">
        <v>201</v>
      </c>
      <c r="Q1675" s="34">
        <f t="shared" si="56"/>
        <v>576305.08000000019</v>
      </c>
      <c r="R1675" s="34" t="str">
        <f>VLOOKUP(E1675,Sales_Reps!$A$2:$E$100,3,FALSE)</f>
        <v>West</v>
      </c>
      <c r="S1675" s="34" t="str">
        <f t="shared" si="57"/>
        <v>Grocery</v>
      </c>
      <c r="T1675" s="38">
        <f>VLOOKUP(D1675,Products!$A$2:$F$68,4,FALSE)</f>
        <v>1182</v>
      </c>
    </row>
    <row r="1676" spans="1:20" x14ac:dyDescent="0.35">
      <c r="A1676" s="13" t="s">
        <v>2173</v>
      </c>
      <c r="B1676" s="14">
        <v>45419</v>
      </c>
      <c r="C1676" s="13" t="s">
        <v>281</v>
      </c>
      <c r="D1676" s="13" t="s">
        <v>226</v>
      </c>
      <c r="E1676" s="13" t="s">
        <v>148</v>
      </c>
      <c r="F1676" s="15">
        <v>2</v>
      </c>
      <c r="G1676" s="15">
        <v>3730</v>
      </c>
      <c r="H1676" s="15">
        <v>22.9</v>
      </c>
      <c r="I1676" s="15">
        <v>5751.66</v>
      </c>
      <c r="J1676" s="13" t="s">
        <v>87</v>
      </c>
      <c r="K1676" s="13" t="s">
        <v>88</v>
      </c>
      <c r="L1676" s="34" t="str">
        <f>VLOOKUP(D1676,Products!$A$2:$F$61,3,FALSE)</f>
        <v>Home</v>
      </c>
      <c r="M1676" s="34" t="str">
        <f>VLOOKUP(C1676,Customers!$A$2:$F$301,5,FALSE)</f>
        <v>Retail</v>
      </c>
      <c r="N1676" s="34">
        <f>VLOOKUP(C1676,Customers!$A$2:$F$301,3,FALSE)</f>
        <v>25</v>
      </c>
      <c r="O1676" s="34" t="str">
        <f>VLOOKUP(E1676,Sales_Reps!$A$2:$E$31,3,FALSE)</f>
        <v>North</v>
      </c>
      <c r="P1676" s="13" t="s">
        <v>148</v>
      </c>
      <c r="Q1676" s="34">
        <f t="shared" si="56"/>
        <v>986692.91</v>
      </c>
      <c r="R1676" s="34" t="str">
        <f>VLOOKUP(E1676,Sales_Reps!$A$2:$E$100,3,FALSE)</f>
        <v>North</v>
      </c>
      <c r="S1676" s="34" t="str">
        <f t="shared" si="57"/>
        <v>Home</v>
      </c>
      <c r="T1676" s="38">
        <f>VLOOKUP(D1676,Products!$A$2:$F$68,4,FALSE)</f>
        <v>2135</v>
      </c>
    </row>
    <row r="1677" spans="1:20" x14ac:dyDescent="0.35">
      <c r="A1677" s="13" t="s">
        <v>2174</v>
      </c>
      <c r="B1677" s="14">
        <v>45549</v>
      </c>
      <c r="C1677" s="13" t="s">
        <v>373</v>
      </c>
      <c r="D1677" s="13" t="s">
        <v>143</v>
      </c>
      <c r="E1677" s="13" t="s">
        <v>297</v>
      </c>
      <c r="F1677" s="15">
        <v>7</v>
      </c>
      <c r="G1677" s="15">
        <v>3250</v>
      </c>
      <c r="H1677" s="15">
        <v>6</v>
      </c>
      <c r="I1677" s="15">
        <v>21385</v>
      </c>
      <c r="J1677" s="13" t="s">
        <v>87</v>
      </c>
      <c r="K1677" s="13" t="s">
        <v>88</v>
      </c>
      <c r="L1677" s="34" t="str">
        <f>VLOOKUP(D1677,Products!$A$2:$F$61,3,FALSE)</f>
        <v>Home</v>
      </c>
      <c r="M1677" s="34" t="str">
        <f>VLOOKUP(C1677,Customers!$A$2:$F$301,5,FALSE)</f>
        <v>Retail</v>
      </c>
      <c r="N1677" s="34">
        <f>VLOOKUP(C1677,Customers!$A$2:$F$301,3,FALSE)</f>
        <v>43</v>
      </c>
      <c r="O1677" s="34" t="str">
        <f>VLOOKUP(E1677,Sales_Reps!$A$2:$E$31,3,FALSE)</f>
        <v>North</v>
      </c>
      <c r="P1677" s="13" t="s">
        <v>297</v>
      </c>
      <c r="Q1677" s="34">
        <f t="shared" si="56"/>
        <v>980063.65999999968</v>
      </c>
      <c r="R1677" s="34" t="str">
        <f>VLOOKUP(E1677,Sales_Reps!$A$2:$E$100,3,FALSE)</f>
        <v>North</v>
      </c>
      <c r="S1677" s="34" t="str">
        <f t="shared" si="57"/>
        <v>Home</v>
      </c>
      <c r="T1677" s="38">
        <f>VLOOKUP(D1677,Products!$A$2:$F$68,4,FALSE)</f>
        <v>1556</v>
      </c>
    </row>
    <row r="1678" spans="1:20" x14ac:dyDescent="0.35">
      <c r="A1678" s="13" t="s">
        <v>2175</v>
      </c>
      <c r="B1678" s="14">
        <v>45519</v>
      </c>
      <c r="C1678" s="13" t="s">
        <v>770</v>
      </c>
      <c r="D1678" s="13" t="s">
        <v>97</v>
      </c>
      <c r="E1678" s="13" t="s">
        <v>192</v>
      </c>
      <c r="F1678" s="15">
        <v>9</v>
      </c>
      <c r="G1678" s="15">
        <v>470</v>
      </c>
      <c r="H1678" s="15">
        <v>11.6</v>
      </c>
      <c r="I1678" s="15">
        <v>3739.32</v>
      </c>
      <c r="J1678" s="13" t="s">
        <v>87</v>
      </c>
      <c r="K1678" s="13" t="s">
        <v>88</v>
      </c>
      <c r="L1678" s="34" t="str">
        <f>VLOOKUP(D1678,Products!$A$2:$F$61,3,FALSE)</f>
        <v>Sports</v>
      </c>
      <c r="M1678" s="34" t="str">
        <f>VLOOKUP(C1678,Customers!$A$2:$F$301,5,FALSE)</f>
        <v>Retail</v>
      </c>
      <c r="N1678" s="34">
        <f>VLOOKUP(C1678,Customers!$A$2:$F$301,3,FALSE)</f>
        <v>35</v>
      </c>
      <c r="O1678" s="34" t="str">
        <f>VLOOKUP(E1678,Sales_Reps!$A$2:$E$31,3,FALSE)</f>
        <v>East</v>
      </c>
      <c r="P1678" s="13" t="s">
        <v>192</v>
      </c>
      <c r="Q1678" s="34">
        <f t="shared" si="56"/>
        <v>906107.71000000008</v>
      </c>
      <c r="R1678" s="34" t="str">
        <f>VLOOKUP(E1678,Sales_Reps!$A$2:$E$100,3,FALSE)</f>
        <v>East</v>
      </c>
      <c r="S1678" s="34" t="str">
        <f t="shared" si="57"/>
        <v>Sports</v>
      </c>
      <c r="T1678" s="38">
        <f>VLOOKUP(D1678,Products!$A$2:$F$68,4,FALSE)</f>
        <v>302</v>
      </c>
    </row>
    <row r="1679" spans="1:20" x14ac:dyDescent="0.35">
      <c r="A1679" s="13" t="s">
        <v>2176</v>
      </c>
      <c r="B1679" s="14">
        <v>45574</v>
      </c>
      <c r="C1679" s="13" t="s">
        <v>757</v>
      </c>
      <c r="D1679" s="13" t="s">
        <v>386</v>
      </c>
      <c r="E1679" s="13" t="s">
        <v>201</v>
      </c>
      <c r="F1679" s="15">
        <v>5</v>
      </c>
      <c r="G1679" s="15">
        <v>2290</v>
      </c>
      <c r="H1679" s="15">
        <v>27.6</v>
      </c>
      <c r="I1679" s="15">
        <v>8289.7999999999993</v>
      </c>
      <c r="J1679" s="13" t="s">
        <v>87</v>
      </c>
      <c r="K1679" s="13" t="s">
        <v>117</v>
      </c>
      <c r="L1679" s="34" t="str">
        <f>VLOOKUP(D1679,Products!$A$2:$F$61,3,FALSE)</f>
        <v>Beauty</v>
      </c>
      <c r="M1679" s="34" t="str">
        <f>VLOOKUP(C1679,Customers!$A$2:$F$301,5,FALSE)</f>
        <v>Corporate</v>
      </c>
      <c r="N1679" s="34">
        <f>VLOOKUP(C1679,Customers!$A$2:$F$301,3,FALSE)</f>
        <v>43</v>
      </c>
      <c r="O1679" s="34" t="str">
        <f>VLOOKUP(E1679,Sales_Reps!$A$2:$E$31,3,FALSE)</f>
        <v>West</v>
      </c>
      <c r="P1679" s="13" t="s">
        <v>201</v>
      </c>
      <c r="Q1679" s="34">
        <f t="shared" si="56"/>
        <v>576305.08000000019</v>
      </c>
      <c r="R1679" s="34" t="str">
        <f>VLOOKUP(E1679,Sales_Reps!$A$2:$E$100,3,FALSE)</f>
        <v>West</v>
      </c>
      <c r="S1679" s="34" t="str">
        <f t="shared" si="57"/>
        <v>Beauty</v>
      </c>
      <c r="T1679" s="38">
        <f>VLOOKUP(D1679,Products!$A$2:$F$68,4,FALSE)</f>
        <v>1219</v>
      </c>
    </row>
    <row r="1680" spans="1:20" x14ac:dyDescent="0.35">
      <c r="A1680" s="13" t="s">
        <v>2177</v>
      </c>
      <c r="B1680" s="14">
        <v>45462</v>
      </c>
      <c r="C1680" s="13" t="s">
        <v>669</v>
      </c>
      <c r="D1680" s="13" t="s">
        <v>120</v>
      </c>
      <c r="E1680" s="13" t="s">
        <v>229</v>
      </c>
      <c r="F1680" s="15">
        <v>6</v>
      </c>
      <c r="G1680" s="15">
        <v>1430</v>
      </c>
      <c r="H1680" s="15">
        <v>18.399999999999999</v>
      </c>
      <c r="I1680" s="15">
        <v>7001.28</v>
      </c>
      <c r="J1680" s="13" t="s">
        <v>93</v>
      </c>
      <c r="K1680" s="13" t="s">
        <v>133</v>
      </c>
      <c r="L1680" s="34" t="str">
        <f>VLOOKUP(D1680,Products!$A$2:$F$61,3,FALSE)</f>
        <v>Electronics</v>
      </c>
      <c r="M1680" s="34" t="str">
        <f>VLOOKUP(C1680,Customers!$A$2:$F$301,5,FALSE)</f>
        <v>Retail</v>
      </c>
      <c r="N1680" s="34">
        <f>VLOOKUP(C1680,Customers!$A$2:$F$301,3,FALSE)</f>
        <v>31</v>
      </c>
      <c r="O1680" s="34" t="str">
        <f>VLOOKUP(E1680,Sales_Reps!$A$2:$E$31,3,FALSE)</f>
        <v>West</v>
      </c>
      <c r="P1680" s="13" t="s">
        <v>229</v>
      </c>
      <c r="Q1680" s="34">
        <f t="shared" si="56"/>
        <v>1016696.8000000002</v>
      </c>
      <c r="R1680" s="34" t="str">
        <f>VLOOKUP(E1680,Sales_Reps!$A$2:$E$100,3,FALSE)</f>
        <v>West</v>
      </c>
      <c r="S1680" s="34" t="str">
        <f t="shared" si="57"/>
        <v>Electronics</v>
      </c>
      <c r="T1680" s="38">
        <f>VLOOKUP(D1680,Products!$A$2:$F$68,4,FALSE)</f>
        <v>861</v>
      </c>
    </row>
    <row r="1681" spans="1:20" x14ac:dyDescent="0.35">
      <c r="A1681" s="13" t="s">
        <v>2178</v>
      </c>
      <c r="B1681" s="14">
        <v>45336</v>
      </c>
      <c r="C1681" s="13" t="s">
        <v>1261</v>
      </c>
      <c r="D1681" s="13" t="s">
        <v>195</v>
      </c>
      <c r="E1681" s="13" t="s">
        <v>297</v>
      </c>
      <c r="F1681" s="15">
        <v>7</v>
      </c>
      <c r="G1681" s="15">
        <v>2860</v>
      </c>
      <c r="H1681" s="15">
        <v>19.5</v>
      </c>
      <c r="I1681" s="15">
        <v>16116.1</v>
      </c>
      <c r="J1681" s="13" t="s">
        <v>87</v>
      </c>
      <c r="K1681" s="13" t="s">
        <v>117</v>
      </c>
      <c r="L1681" s="34" t="str">
        <f>VLOOKUP(D1681,Products!$A$2:$F$61,3,FALSE)</f>
        <v>Sports</v>
      </c>
      <c r="M1681" s="34" t="str">
        <f>VLOOKUP(C1681,Customers!$A$2:$F$301,5,FALSE)</f>
        <v>Retail</v>
      </c>
      <c r="N1681" s="34">
        <f>VLOOKUP(C1681,Customers!$A$2:$F$301,3,FALSE)</f>
        <v>54</v>
      </c>
      <c r="O1681" s="34" t="str">
        <f>VLOOKUP(E1681,Sales_Reps!$A$2:$E$31,3,FALSE)</f>
        <v>North</v>
      </c>
      <c r="P1681" s="13" t="s">
        <v>297</v>
      </c>
      <c r="Q1681" s="34">
        <f t="shared" si="56"/>
        <v>980063.65999999968</v>
      </c>
      <c r="R1681" s="34" t="str">
        <f>VLOOKUP(E1681,Sales_Reps!$A$2:$E$100,3,FALSE)</f>
        <v>North</v>
      </c>
      <c r="S1681" s="34" t="str">
        <f t="shared" si="57"/>
        <v>Sports</v>
      </c>
      <c r="T1681" s="38">
        <f>VLOOKUP(D1681,Products!$A$2:$F$68,4,FALSE)</f>
        <v>2028</v>
      </c>
    </row>
    <row r="1682" spans="1:20" x14ac:dyDescent="0.35">
      <c r="A1682" s="13" t="s">
        <v>2179</v>
      </c>
      <c r="B1682" s="14">
        <v>45439</v>
      </c>
      <c r="C1682" s="13" t="s">
        <v>557</v>
      </c>
      <c r="D1682" s="13" t="s">
        <v>157</v>
      </c>
      <c r="E1682" s="13" t="s">
        <v>192</v>
      </c>
      <c r="F1682" s="15">
        <v>8</v>
      </c>
      <c r="G1682" s="15">
        <v>3450</v>
      </c>
      <c r="H1682" s="15">
        <v>25.5</v>
      </c>
      <c r="I1682" s="15">
        <v>20562</v>
      </c>
      <c r="J1682" s="13" t="s">
        <v>93</v>
      </c>
      <c r="K1682" s="13" t="s">
        <v>112</v>
      </c>
      <c r="L1682" s="34" t="str">
        <f>VLOOKUP(D1682,Products!$A$2:$F$61,3,FALSE)</f>
        <v>Beauty</v>
      </c>
      <c r="M1682" s="34" t="str">
        <f>VLOOKUP(C1682,Customers!$A$2:$F$301,5,FALSE)</f>
        <v>Retail</v>
      </c>
      <c r="N1682" s="34">
        <f>VLOOKUP(C1682,Customers!$A$2:$F$301,3,FALSE)</f>
        <v>65</v>
      </c>
      <c r="O1682" s="34" t="str">
        <f>VLOOKUP(E1682,Sales_Reps!$A$2:$E$31,3,FALSE)</f>
        <v>East</v>
      </c>
      <c r="P1682" s="13" t="s">
        <v>192</v>
      </c>
      <c r="Q1682" s="34">
        <f t="shared" si="56"/>
        <v>906107.71000000008</v>
      </c>
      <c r="R1682" s="34" t="str">
        <f>VLOOKUP(E1682,Sales_Reps!$A$2:$E$100,3,FALSE)</f>
        <v>East</v>
      </c>
      <c r="S1682" s="34" t="str">
        <f t="shared" si="57"/>
        <v>Beauty</v>
      </c>
      <c r="T1682" s="38">
        <f>VLOOKUP(D1682,Products!$A$2:$F$68,4,FALSE)</f>
        <v>2420</v>
      </c>
    </row>
    <row r="1683" spans="1:20" x14ac:dyDescent="0.35">
      <c r="A1683" s="13" t="s">
        <v>2180</v>
      </c>
      <c r="B1683" s="14">
        <v>45578</v>
      </c>
      <c r="C1683" s="13" t="s">
        <v>559</v>
      </c>
      <c r="D1683" s="13" t="s">
        <v>360</v>
      </c>
      <c r="E1683" s="13" t="s">
        <v>121</v>
      </c>
      <c r="F1683" s="15">
        <v>7</v>
      </c>
      <c r="G1683" s="15">
        <v>5410</v>
      </c>
      <c r="H1683" s="15">
        <v>15.2</v>
      </c>
      <c r="I1683" s="15">
        <v>32113.759999999998</v>
      </c>
      <c r="J1683" s="13" t="s">
        <v>140</v>
      </c>
      <c r="K1683" s="13" t="s">
        <v>88</v>
      </c>
      <c r="L1683" s="34" t="str">
        <f>VLOOKUP(D1683,Products!$A$2:$F$61,3,FALSE)</f>
        <v>Sports</v>
      </c>
      <c r="M1683" s="34" t="str">
        <f>VLOOKUP(C1683,Customers!$A$2:$F$301,5,FALSE)</f>
        <v>Retail</v>
      </c>
      <c r="N1683" s="34">
        <f>VLOOKUP(C1683,Customers!$A$2:$F$301,3,FALSE)</f>
        <v>62</v>
      </c>
      <c r="O1683" s="34" t="str">
        <f>VLOOKUP(E1683,Sales_Reps!$A$2:$E$31,3,FALSE)</f>
        <v>East</v>
      </c>
      <c r="P1683" s="13" t="s">
        <v>121</v>
      </c>
      <c r="Q1683" s="34">
        <f t="shared" si="56"/>
        <v>971183.52000000014</v>
      </c>
      <c r="R1683" s="34" t="str">
        <f>VLOOKUP(E1683,Sales_Reps!$A$2:$E$100,3,FALSE)</f>
        <v>East</v>
      </c>
      <c r="S1683" s="34" t="str">
        <f t="shared" si="57"/>
        <v>Sports</v>
      </c>
      <c r="T1683" s="38">
        <f>VLOOKUP(D1683,Products!$A$2:$F$68,4,FALSE)</f>
        <v>2265</v>
      </c>
    </row>
    <row r="1684" spans="1:20" x14ac:dyDescent="0.35">
      <c r="A1684" s="13" t="s">
        <v>2181</v>
      </c>
      <c r="B1684" s="14">
        <v>45588</v>
      </c>
      <c r="C1684" s="13" t="s">
        <v>559</v>
      </c>
      <c r="D1684" s="13" t="s">
        <v>164</v>
      </c>
      <c r="E1684" s="13" t="s">
        <v>111</v>
      </c>
      <c r="F1684" s="15">
        <v>3</v>
      </c>
      <c r="G1684" s="15">
        <v>1080</v>
      </c>
      <c r="H1684" s="15">
        <v>26</v>
      </c>
      <c r="I1684" s="15">
        <v>2397.6</v>
      </c>
      <c r="J1684" s="13" t="s">
        <v>87</v>
      </c>
      <c r="K1684" s="13" t="s">
        <v>88</v>
      </c>
      <c r="L1684" s="34" t="str">
        <f>VLOOKUP(D1684,Products!$A$2:$F$61,3,FALSE)</f>
        <v>Home</v>
      </c>
      <c r="M1684" s="34" t="str">
        <f>VLOOKUP(C1684,Customers!$A$2:$F$301,5,FALSE)</f>
        <v>Retail</v>
      </c>
      <c r="N1684" s="34">
        <f>VLOOKUP(C1684,Customers!$A$2:$F$301,3,FALSE)</f>
        <v>62</v>
      </c>
      <c r="O1684" s="34" t="str">
        <f>VLOOKUP(E1684,Sales_Reps!$A$2:$E$31,3,FALSE)</f>
        <v>West</v>
      </c>
      <c r="P1684" s="13" t="s">
        <v>111</v>
      </c>
      <c r="Q1684" s="34">
        <f t="shared" si="56"/>
        <v>901298.89</v>
      </c>
      <c r="R1684" s="34" t="str">
        <f>VLOOKUP(E1684,Sales_Reps!$A$2:$E$100,3,FALSE)</f>
        <v>West</v>
      </c>
      <c r="S1684" s="34" t="str">
        <f t="shared" si="57"/>
        <v>Home</v>
      </c>
      <c r="T1684" s="38">
        <f>VLOOKUP(D1684,Products!$A$2:$F$68,4,FALSE)</f>
        <v>519</v>
      </c>
    </row>
    <row r="1685" spans="1:20" x14ac:dyDescent="0.35">
      <c r="A1685" s="13" t="s">
        <v>2182</v>
      </c>
      <c r="B1685" s="14">
        <v>45354</v>
      </c>
      <c r="C1685" s="13" t="s">
        <v>312</v>
      </c>
      <c r="D1685" s="13" t="s">
        <v>195</v>
      </c>
      <c r="E1685" s="13" t="s">
        <v>121</v>
      </c>
      <c r="F1685" s="15">
        <v>8</v>
      </c>
      <c r="G1685" s="15">
        <v>2860</v>
      </c>
      <c r="H1685" s="15">
        <v>14.8</v>
      </c>
      <c r="I1685" s="15">
        <v>19493.759999999998</v>
      </c>
      <c r="J1685" s="13" t="s">
        <v>87</v>
      </c>
      <c r="K1685" s="13" t="s">
        <v>133</v>
      </c>
      <c r="L1685" s="34" t="str">
        <f>VLOOKUP(D1685,Products!$A$2:$F$61,3,FALSE)</f>
        <v>Sports</v>
      </c>
      <c r="M1685" s="34" t="str">
        <f>VLOOKUP(C1685,Customers!$A$2:$F$301,5,FALSE)</f>
        <v>Retail</v>
      </c>
      <c r="N1685" s="34">
        <f>VLOOKUP(C1685,Customers!$A$2:$F$301,3,FALSE)</f>
        <v>46</v>
      </c>
      <c r="O1685" s="34" t="str">
        <f>VLOOKUP(E1685,Sales_Reps!$A$2:$E$31,3,FALSE)</f>
        <v>East</v>
      </c>
      <c r="P1685" s="13" t="s">
        <v>121</v>
      </c>
      <c r="Q1685" s="34">
        <f t="shared" si="56"/>
        <v>971183.52000000014</v>
      </c>
      <c r="R1685" s="34" t="str">
        <f>VLOOKUP(E1685,Sales_Reps!$A$2:$E$100,3,FALSE)</f>
        <v>East</v>
      </c>
      <c r="S1685" s="34" t="str">
        <f t="shared" si="57"/>
        <v>Sports</v>
      </c>
      <c r="T1685" s="38">
        <f>VLOOKUP(D1685,Products!$A$2:$F$68,4,FALSE)</f>
        <v>2028</v>
      </c>
    </row>
    <row r="1686" spans="1:20" x14ac:dyDescent="0.35">
      <c r="A1686" s="13" t="s">
        <v>2183</v>
      </c>
      <c r="B1686" s="14">
        <v>45332</v>
      </c>
      <c r="C1686" s="13" t="s">
        <v>2184</v>
      </c>
      <c r="D1686" s="13" t="s">
        <v>276</v>
      </c>
      <c r="E1686" s="13" t="s">
        <v>252</v>
      </c>
      <c r="F1686" s="15">
        <v>4</v>
      </c>
      <c r="G1686" s="15">
        <v>3020</v>
      </c>
      <c r="H1686" s="15">
        <v>8.1</v>
      </c>
      <c r="I1686" s="15">
        <v>11101.52</v>
      </c>
      <c r="J1686" s="13" t="s">
        <v>87</v>
      </c>
      <c r="K1686" s="13" t="s">
        <v>133</v>
      </c>
      <c r="L1686" s="34" t="str">
        <f>VLOOKUP(D1686,Products!$A$2:$F$61,3,FALSE)</f>
        <v>Beauty</v>
      </c>
      <c r="M1686" s="34" t="e">
        <f>VLOOKUP(C1686,Customers!$A$2:$F$301,5,FALSE)</f>
        <v>#N/A</v>
      </c>
      <c r="N1686" s="34" t="e">
        <f>VLOOKUP(C1686,Customers!$A$2:$F$301,3,FALSE)</f>
        <v>#N/A</v>
      </c>
      <c r="O1686" s="34" t="str">
        <f>VLOOKUP(E1686,Sales_Reps!$A$2:$E$31,3,FALSE)</f>
        <v>South</v>
      </c>
      <c r="P1686" s="13" t="s">
        <v>252</v>
      </c>
      <c r="Q1686" s="34">
        <f t="shared" si="56"/>
        <v>811524.37999999989</v>
      </c>
      <c r="R1686" s="34" t="str">
        <f>VLOOKUP(E1686,Sales_Reps!$A$2:$E$100,3,FALSE)</f>
        <v>South</v>
      </c>
      <c r="S1686" s="34" t="str">
        <f t="shared" si="57"/>
        <v>Beauty</v>
      </c>
      <c r="T1686" s="38">
        <f>VLOOKUP(D1686,Products!$A$2:$F$68,4,FALSE)</f>
        <v>1626</v>
      </c>
    </row>
    <row r="1687" spans="1:20" x14ac:dyDescent="0.35">
      <c r="A1687" s="13" t="s">
        <v>2185</v>
      </c>
      <c r="B1687" s="14">
        <v>45649</v>
      </c>
      <c r="C1687" s="13" t="s">
        <v>228</v>
      </c>
      <c r="D1687" s="13" t="s">
        <v>115</v>
      </c>
      <c r="E1687" s="13" t="s">
        <v>111</v>
      </c>
      <c r="F1687" s="15">
        <v>4</v>
      </c>
      <c r="G1687" s="15">
        <v>960</v>
      </c>
      <c r="H1687" s="15">
        <v>6.4</v>
      </c>
      <c r="I1687" s="15">
        <v>3594.24</v>
      </c>
      <c r="J1687" s="13" t="s">
        <v>140</v>
      </c>
      <c r="K1687" s="13" t="s">
        <v>112</v>
      </c>
      <c r="L1687" s="34" t="str">
        <f>VLOOKUP(D1687,Products!$A$2:$F$61,3,FALSE)</f>
        <v>Sports</v>
      </c>
      <c r="M1687" s="34" t="str">
        <f>VLOOKUP(C1687,Customers!$A$2:$F$301,5,FALSE)</f>
        <v>SMB</v>
      </c>
      <c r="N1687" s="34">
        <f>VLOOKUP(C1687,Customers!$A$2:$F$301,3,FALSE)</f>
        <v>54</v>
      </c>
      <c r="O1687" s="34" t="str">
        <f>VLOOKUP(E1687,Sales_Reps!$A$2:$E$31,3,FALSE)</f>
        <v>West</v>
      </c>
      <c r="P1687" s="13" t="s">
        <v>111</v>
      </c>
      <c r="Q1687" s="34">
        <f t="shared" si="56"/>
        <v>901298.89</v>
      </c>
      <c r="R1687" s="34" t="str">
        <f>VLOOKUP(E1687,Sales_Reps!$A$2:$E$100,3,FALSE)</f>
        <v>West</v>
      </c>
      <c r="S1687" s="34" t="str">
        <f t="shared" si="57"/>
        <v>Sports</v>
      </c>
      <c r="T1687" s="38">
        <f>VLOOKUP(D1687,Products!$A$2:$F$68,4,FALSE)</f>
        <v>705</v>
      </c>
    </row>
    <row r="1688" spans="1:20" x14ac:dyDescent="0.35">
      <c r="A1688" s="13" t="s">
        <v>2186</v>
      </c>
      <c r="B1688" s="14">
        <v>45596</v>
      </c>
      <c r="C1688" s="13" t="s">
        <v>551</v>
      </c>
      <c r="D1688" s="13" t="s">
        <v>248</v>
      </c>
      <c r="E1688" s="13" t="s">
        <v>229</v>
      </c>
      <c r="F1688" s="15">
        <v>4</v>
      </c>
      <c r="G1688" s="15">
        <v>3870</v>
      </c>
      <c r="H1688" s="15">
        <v>15.9</v>
      </c>
      <c r="I1688" s="15">
        <v>13018.68</v>
      </c>
      <c r="J1688" s="13" t="s">
        <v>87</v>
      </c>
      <c r="K1688" s="13" t="s">
        <v>112</v>
      </c>
      <c r="L1688" s="34" t="str">
        <f>VLOOKUP(D1688,Products!$A$2:$F$61,3,FALSE)</f>
        <v>Electronics</v>
      </c>
      <c r="M1688" s="34" t="str">
        <f>VLOOKUP(C1688,Customers!$A$2:$F$301,5,FALSE)</f>
        <v>Corporate</v>
      </c>
      <c r="N1688" s="34">
        <f>VLOOKUP(C1688,Customers!$A$2:$F$301,3,FALSE)</f>
        <v>60</v>
      </c>
      <c r="O1688" s="34" t="str">
        <f>VLOOKUP(E1688,Sales_Reps!$A$2:$E$31,3,FALSE)</f>
        <v>West</v>
      </c>
      <c r="P1688" s="13" t="s">
        <v>229</v>
      </c>
      <c r="Q1688" s="34">
        <f t="shared" si="56"/>
        <v>1016696.8000000002</v>
      </c>
      <c r="R1688" s="34" t="str">
        <f>VLOOKUP(E1688,Sales_Reps!$A$2:$E$100,3,FALSE)</f>
        <v>West</v>
      </c>
      <c r="S1688" s="34" t="str">
        <f t="shared" si="57"/>
        <v>Electronics</v>
      </c>
      <c r="T1688" s="38">
        <f>VLOOKUP(D1688,Products!$A$2:$F$68,4,FALSE)</f>
        <v>1559</v>
      </c>
    </row>
    <row r="1689" spans="1:20" x14ac:dyDescent="0.35">
      <c r="A1689" s="13" t="s">
        <v>2187</v>
      </c>
      <c r="B1689" s="14">
        <v>45378</v>
      </c>
      <c r="C1689" s="13" t="s">
        <v>1172</v>
      </c>
      <c r="D1689" s="13" t="s">
        <v>106</v>
      </c>
      <c r="E1689" s="13" t="s">
        <v>192</v>
      </c>
      <c r="F1689" s="15">
        <v>5</v>
      </c>
      <c r="G1689" s="15">
        <v>3160</v>
      </c>
      <c r="H1689" s="15">
        <v>29.8</v>
      </c>
      <c r="I1689" s="15">
        <v>11091.6</v>
      </c>
      <c r="J1689" s="13" t="s">
        <v>87</v>
      </c>
      <c r="K1689" s="13" t="s">
        <v>88</v>
      </c>
      <c r="L1689" s="34" t="str">
        <f>VLOOKUP(D1689,Products!$A$2:$F$61,3,FALSE)</f>
        <v>Apparel</v>
      </c>
      <c r="M1689" s="34" t="str">
        <f>VLOOKUP(C1689,Customers!$A$2:$F$301,5,FALSE)</f>
        <v>Retail</v>
      </c>
      <c r="N1689" s="34">
        <f>VLOOKUP(C1689,Customers!$A$2:$F$301,3,FALSE)</f>
        <v>39</v>
      </c>
      <c r="O1689" s="34" t="str">
        <f>VLOOKUP(E1689,Sales_Reps!$A$2:$E$31,3,FALSE)</f>
        <v>East</v>
      </c>
      <c r="P1689" s="13" t="s">
        <v>192</v>
      </c>
      <c r="Q1689" s="34">
        <f t="shared" si="56"/>
        <v>906107.71000000008</v>
      </c>
      <c r="R1689" s="34" t="str">
        <f>VLOOKUP(E1689,Sales_Reps!$A$2:$E$100,3,FALSE)</f>
        <v>East</v>
      </c>
      <c r="S1689" s="34" t="str">
        <f t="shared" si="57"/>
        <v>Apparel</v>
      </c>
      <c r="T1689" s="38">
        <f>VLOOKUP(D1689,Products!$A$2:$F$68,4,FALSE)</f>
        <v>1886</v>
      </c>
    </row>
    <row r="1690" spans="1:20" x14ac:dyDescent="0.35">
      <c r="A1690" s="13" t="s">
        <v>2188</v>
      </c>
      <c r="B1690" s="14">
        <v>45403</v>
      </c>
      <c r="C1690" s="13" t="s">
        <v>440</v>
      </c>
      <c r="D1690" s="13" t="s">
        <v>157</v>
      </c>
      <c r="E1690" s="13" t="s">
        <v>343</v>
      </c>
      <c r="F1690" s="15">
        <v>5</v>
      </c>
      <c r="G1690" s="15">
        <v>3450</v>
      </c>
      <c r="H1690" s="15">
        <v>29.4</v>
      </c>
      <c r="I1690" s="15">
        <v>12178.5</v>
      </c>
      <c r="J1690" s="13" t="s">
        <v>87</v>
      </c>
      <c r="K1690" s="13" t="s">
        <v>88</v>
      </c>
      <c r="L1690" s="34" t="str">
        <f>VLOOKUP(D1690,Products!$A$2:$F$61,3,FALSE)</f>
        <v>Beauty</v>
      </c>
      <c r="M1690" s="34" t="str">
        <f>VLOOKUP(C1690,Customers!$A$2:$F$301,5,FALSE)</f>
        <v>SMB</v>
      </c>
      <c r="N1690" s="34">
        <f>VLOOKUP(C1690,Customers!$A$2:$F$301,3,FALSE)</f>
        <v>30</v>
      </c>
      <c r="O1690" s="34" t="str">
        <f>VLOOKUP(E1690,Sales_Reps!$A$2:$E$31,3,FALSE)</f>
        <v>West</v>
      </c>
      <c r="P1690" s="13" t="s">
        <v>343</v>
      </c>
      <c r="Q1690" s="34">
        <f t="shared" si="56"/>
        <v>917092.61999999965</v>
      </c>
      <c r="R1690" s="34" t="str">
        <f>VLOOKUP(E1690,Sales_Reps!$A$2:$E$100,3,FALSE)</f>
        <v>West</v>
      </c>
      <c r="S1690" s="34" t="str">
        <f t="shared" si="57"/>
        <v>Beauty</v>
      </c>
      <c r="T1690" s="38">
        <f>VLOOKUP(D1690,Products!$A$2:$F$68,4,FALSE)</f>
        <v>2420</v>
      </c>
    </row>
    <row r="1691" spans="1:20" x14ac:dyDescent="0.35">
      <c r="A1691" s="13" t="s">
        <v>2189</v>
      </c>
      <c r="B1691" s="14">
        <v>45535</v>
      </c>
      <c r="C1691" s="13" t="s">
        <v>850</v>
      </c>
      <c r="D1691" s="13" t="s">
        <v>380</v>
      </c>
      <c r="E1691" s="13" t="s">
        <v>303</v>
      </c>
      <c r="F1691" s="15">
        <v>10</v>
      </c>
      <c r="G1691" s="15">
        <v>960</v>
      </c>
      <c r="H1691" s="15">
        <v>27</v>
      </c>
      <c r="I1691" s="15">
        <v>7008</v>
      </c>
      <c r="J1691" s="13" t="s">
        <v>140</v>
      </c>
      <c r="K1691" s="13" t="s">
        <v>94</v>
      </c>
      <c r="L1691" s="34" t="str">
        <f>VLOOKUP(D1691,Products!$A$2:$F$61,3,FALSE)</f>
        <v>Beauty</v>
      </c>
      <c r="M1691" s="34" t="str">
        <f>VLOOKUP(C1691,Customers!$A$2:$F$301,5,FALSE)</f>
        <v>SMB</v>
      </c>
      <c r="N1691" s="34">
        <f>VLOOKUP(C1691,Customers!$A$2:$F$301,3,FALSE)</f>
        <v>26</v>
      </c>
      <c r="O1691" s="34" t="str">
        <f>VLOOKUP(E1691,Sales_Reps!$A$2:$E$31,3,FALSE)</f>
        <v>East</v>
      </c>
      <c r="P1691" s="13" t="s">
        <v>303</v>
      </c>
      <c r="Q1691" s="34">
        <f t="shared" si="56"/>
        <v>1112289.6400000001</v>
      </c>
      <c r="R1691" s="34" t="str">
        <f>VLOOKUP(E1691,Sales_Reps!$A$2:$E$100,3,FALSE)</f>
        <v>East</v>
      </c>
      <c r="S1691" s="34" t="str">
        <f t="shared" si="57"/>
        <v>Beauty</v>
      </c>
      <c r="T1691" s="38">
        <f>VLOOKUP(D1691,Products!$A$2:$F$68,4,FALSE)</f>
        <v>675</v>
      </c>
    </row>
    <row r="1692" spans="1:20" x14ac:dyDescent="0.35">
      <c r="A1692" s="13" t="s">
        <v>2190</v>
      </c>
      <c r="B1692" s="14">
        <v>45429</v>
      </c>
      <c r="C1692" s="13" t="s">
        <v>779</v>
      </c>
      <c r="D1692" s="13" t="s">
        <v>515</v>
      </c>
      <c r="E1692" s="13" t="s">
        <v>303</v>
      </c>
      <c r="F1692" s="15">
        <v>10</v>
      </c>
      <c r="G1692" s="15">
        <v>6940</v>
      </c>
      <c r="H1692" s="15">
        <v>20.100000000000001</v>
      </c>
      <c r="I1692" s="15">
        <v>55450.6</v>
      </c>
      <c r="J1692" s="13" t="s">
        <v>87</v>
      </c>
      <c r="K1692" s="13" t="s">
        <v>117</v>
      </c>
      <c r="L1692" s="34" t="str">
        <f>VLOOKUP(D1692,Products!$A$2:$F$61,3,FALSE)</f>
        <v>Sports</v>
      </c>
      <c r="M1692" s="34" t="str">
        <f>VLOOKUP(C1692,Customers!$A$2:$F$301,5,FALSE)</f>
        <v>Retail</v>
      </c>
      <c r="N1692" s="34">
        <f>VLOOKUP(C1692,Customers!$A$2:$F$301,3,FALSE)</f>
        <v>27</v>
      </c>
      <c r="O1692" s="34" t="str">
        <f>VLOOKUP(E1692,Sales_Reps!$A$2:$E$31,3,FALSE)</f>
        <v>East</v>
      </c>
      <c r="P1692" s="13" t="s">
        <v>303</v>
      </c>
      <c r="Q1692" s="34">
        <f t="shared" si="56"/>
        <v>1112289.6400000001</v>
      </c>
      <c r="R1692" s="34" t="str">
        <f>VLOOKUP(E1692,Sales_Reps!$A$2:$E$100,3,FALSE)</f>
        <v>East</v>
      </c>
      <c r="S1692" s="34" t="str">
        <f t="shared" si="57"/>
        <v>Sports</v>
      </c>
      <c r="T1692" s="38">
        <f>VLOOKUP(D1692,Products!$A$2:$F$68,4,FALSE)</f>
        <v>2827</v>
      </c>
    </row>
    <row r="1693" spans="1:20" x14ac:dyDescent="0.35">
      <c r="A1693" s="13" t="s">
        <v>2191</v>
      </c>
      <c r="B1693" s="14">
        <v>45436</v>
      </c>
      <c r="C1693" s="13" t="s">
        <v>599</v>
      </c>
      <c r="D1693" s="13" t="s">
        <v>151</v>
      </c>
      <c r="E1693" s="13" t="s">
        <v>204</v>
      </c>
      <c r="F1693" s="15">
        <v>9</v>
      </c>
      <c r="G1693" s="15">
        <v>2400</v>
      </c>
      <c r="H1693" s="15">
        <v>7.8</v>
      </c>
      <c r="I1693" s="15">
        <v>19915.2</v>
      </c>
      <c r="J1693" s="13" t="s">
        <v>87</v>
      </c>
      <c r="K1693" s="13" t="s">
        <v>117</v>
      </c>
      <c r="L1693" s="34" t="str">
        <f>VLOOKUP(D1693,Products!$A$2:$F$61,3,FALSE)</f>
        <v>Sports</v>
      </c>
      <c r="M1693" s="34" t="str">
        <f>VLOOKUP(C1693,Customers!$A$2:$F$301,5,FALSE)</f>
        <v>Corporate</v>
      </c>
      <c r="N1693" s="34">
        <f>VLOOKUP(C1693,Customers!$A$2:$F$301,3,FALSE)</f>
        <v>26</v>
      </c>
      <c r="O1693" s="34" t="str">
        <f>VLOOKUP(E1693,Sales_Reps!$A$2:$E$31,3,FALSE)</f>
        <v>South</v>
      </c>
      <c r="P1693" s="13" t="s">
        <v>204</v>
      </c>
      <c r="Q1693" s="34">
        <f t="shared" si="56"/>
        <v>914554.71999999986</v>
      </c>
      <c r="R1693" s="34" t="str">
        <f>VLOOKUP(E1693,Sales_Reps!$A$2:$E$100,3,FALSE)</f>
        <v>South</v>
      </c>
      <c r="S1693" s="34" t="str">
        <f t="shared" si="57"/>
        <v>Sports</v>
      </c>
      <c r="T1693" s="38">
        <f>VLOOKUP(D1693,Products!$A$2:$F$68,4,FALSE)</f>
        <v>974</v>
      </c>
    </row>
    <row r="1694" spans="1:20" x14ac:dyDescent="0.35">
      <c r="A1694" s="13" t="s">
        <v>2192</v>
      </c>
      <c r="B1694" s="14">
        <v>45397</v>
      </c>
      <c r="C1694" s="13" t="s">
        <v>1297</v>
      </c>
      <c r="D1694" s="13" t="s">
        <v>360</v>
      </c>
      <c r="E1694" s="13" t="s">
        <v>238</v>
      </c>
      <c r="F1694" s="15">
        <v>1</v>
      </c>
      <c r="G1694" s="15">
        <v>5410</v>
      </c>
      <c r="H1694" s="15">
        <v>22.8</v>
      </c>
      <c r="I1694" s="15">
        <v>4176.5200000000004</v>
      </c>
      <c r="J1694" s="13" t="s">
        <v>87</v>
      </c>
      <c r="K1694" s="13" t="s">
        <v>112</v>
      </c>
      <c r="L1694" s="34" t="str">
        <f>VLOOKUP(D1694,Products!$A$2:$F$61,3,FALSE)</f>
        <v>Sports</v>
      </c>
      <c r="M1694" s="34" t="str">
        <f>VLOOKUP(C1694,Customers!$A$2:$F$301,5,FALSE)</f>
        <v>Retail</v>
      </c>
      <c r="N1694" s="34">
        <f>VLOOKUP(C1694,Customers!$A$2:$F$301,3,FALSE)</f>
        <v>38</v>
      </c>
      <c r="O1694" s="34" t="str">
        <f>VLOOKUP(E1694,Sales_Reps!$A$2:$E$31,3,FALSE)</f>
        <v>East</v>
      </c>
      <c r="P1694" s="13" t="s">
        <v>238</v>
      </c>
      <c r="Q1694" s="34">
        <f t="shared" si="56"/>
        <v>780384.40999999992</v>
      </c>
      <c r="R1694" s="34" t="str">
        <f>VLOOKUP(E1694,Sales_Reps!$A$2:$E$100,3,FALSE)</f>
        <v>East</v>
      </c>
      <c r="S1694" s="34" t="str">
        <f t="shared" si="57"/>
        <v>Sports</v>
      </c>
      <c r="T1694" s="38">
        <f>VLOOKUP(D1694,Products!$A$2:$F$68,4,FALSE)</f>
        <v>2265</v>
      </c>
    </row>
    <row r="1695" spans="1:20" x14ac:dyDescent="0.35">
      <c r="A1695" s="13" t="s">
        <v>2193</v>
      </c>
      <c r="B1695" s="14">
        <v>45629</v>
      </c>
      <c r="C1695" s="13" t="s">
        <v>1261</v>
      </c>
      <c r="D1695" s="13" t="s">
        <v>267</v>
      </c>
      <c r="E1695" s="13" t="s">
        <v>139</v>
      </c>
      <c r="F1695" s="15">
        <v>7</v>
      </c>
      <c r="G1695" s="15">
        <v>1220</v>
      </c>
      <c r="H1695" s="15">
        <v>18.8</v>
      </c>
      <c r="I1695" s="15">
        <v>6934.48</v>
      </c>
      <c r="J1695" s="13" t="s">
        <v>93</v>
      </c>
      <c r="K1695" s="13" t="s">
        <v>117</v>
      </c>
      <c r="L1695" s="34" t="str">
        <f>VLOOKUP(D1695,Products!$A$2:$F$61,3,FALSE)</f>
        <v>Electronics</v>
      </c>
      <c r="M1695" s="34" t="str">
        <f>VLOOKUP(C1695,Customers!$A$2:$F$301,5,FALSE)</f>
        <v>Retail</v>
      </c>
      <c r="N1695" s="34">
        <f>VLOOKUP(C1695,Customers!$A$2:$F$301,3,FALSE)</f>
        <v>54</v>
      </c>
      <c r="O1695" s="34" t="str">
        <f>VLOOKUP(E1695,Sales_Reps!$A$2:$E$31,3,FALSE)</f>
        <v>North</v>
      </c>
      <c r="P1695" s="13" t="s">
        <v>139</v>
      </c>
      <c r="Q1695" s="34">
        <f t="shared" si="56"/>
        <v>589026.2899999998</v>
      </c>
      <c r="R1695" s="34" t="str">
        <f>VLOOKUP(E1695,Sales_Reps!$A$2:$E$100,3,FALSE)</f>
        <v>North</v>
      </c>
      <c r="S1695" s="34" t="str">
        <f t="shared" si="57"/>
        <v>Electronics</v>
      </c>
      <c r="T1695" s="38">
        <f>VLOOKUP(D1695,Products!$A$2:$F$68,4,FALSE)</f>
        <v>517</v>
      </c>
    </row>
    <row r="1696" spans="1:20" x14ac:dyDescent="0.35">
      <c r="A1696" s="13" t="s">
        <v>2194</v>
      </c>
      <c r="B1696" s="14">
        <v>45595</v>
      </c>
      <c r="C1696" s="13" t="s">
        <v>181</v>
      </c>
      <c r="D1696" s="13" t="s">
        <v>502</v>
      </c>
      <c r="E1696" s="13" t="s">
        <v>121</v>
      </c>
      <c r="F1696" s="15">
        <v>1</v>
      </c>
      <c r="G1696" s="15">
        <v>1090</v>
      </c>
      <c r="H1696" s="15">
        <v>23.5</v>
      </c>
      <c r="I1696" s="15">
        <v>833.85</v>
      </c>
      <c r="J1696" s="13" t="s">
        <v>87</v>
      </c>
      <c r="K1696" s="13" t="s">
        <v>99</v>
      </c>
      <c r="L1696" s="34" t="str">
        <f>VLOOKUP(D1696,Products!$A$2:$F$61,3,FALSE)</f>
        <v>Home</v>
      </c>
      <c r="M1696" s="34" t="str">
        <f>VLOOKUP(C1696,Customers!$A$2:$F$301,5,FALSE)</f>
        <v>Retail</v>
      </c>
      <c r="N1696" s="34">
        <f>VLOOKUP(C1696,Customers!$A$2:$F$301,3,FALSE)</f>
        <v>31</v>
      </c>
      <c r="O1696" s="34" t="str">
        <f>VLOOKUP(E1696,Sales_Reps!$A$2:$E$31,3,FALSE)</f>
        <v>East</v>
      </c>
      <c r="P1696" s="13" t="s">
        <v>121</v>
      </c>
      <c r="Q1696" s="34">
        <f t="shared" si="56"/>
        <v>971183.52000000014</v>
      </c>
      <c r="R1696" s="34" t="str">
        <f>VLOOKUP(E1696,Sales_Reps!$A$2:$E$100,3,FALSE)</f>
        <v>East</v>
      </c>
      <c r="S1696" s="34" t="str">
        <f t="shared" si="57"/>
        <v>Home</v>
      </c>
      <c r="T1696" s="38">
        <f>VLOOKUP(D1696,Products!$A$2:$F$68,4,FALSE)</f>
        <v>464</v>
      </c>
    </row>
    <row r="1697" spans="1:20" x14ac:dyDescent="0.35">
      <c r="A1697" s="13" t="s">
        <v>2195</v>
      </c>
      <c r="B1697" s="14">
        <v>45531</v>
      </c>
      <c r="C1697" s="13" t="s">
        <v>921</v>
      </c>
      <c r="D1697" s="13" t="s">
        <v>200</v>
      </c>
      <c r="E1697" s="13" t="s">
        <v>154</v>
      </c>
      <c r="F1697" s="15">
        <v>2</v>
      </c>
      <c r="G1697" s="15">
        <v>2760</v>
      </c>
      <c r="H1697" s="15">
        <v>2.2999999999999998</v>
      </c>
      <c r="I1697" s="15">
        <v>5393.04</v>
      </c>
      <c r="J1697" s="13" t="s">
        <v>87</v>
      </c>
      <c r="K1697" s="13" t="s">
        <v>117</v>
      </c>
      <c r="L1697" s="34" t="str">
        <f>VLOOKUP(D1697,Products!$A$2:$F$61,3,FALSE)</f>
        <v>Grocery</v>
      </c>
      <c r="M1697" s="34" t="str">
        <f>VLOOKUP(C1697,Customers!$A$2:$F$301,5,FALSE)</f>
        <v>Retail</v>
      </c>
      <c r="N1697" s="34">
        <f>VLOOKUP(C1697,Customers!$A$2:$F$301,3,FALSE)</f>
        <v>28</v>
      </c>
      <c r="O1697" s="34" t="str">
        <f>VLOOKUP(E1697,Sales_Reps!$A$2:$E$31,3,FALSE)</f>
        <v>East</v>
      </c>
      <c r="P1697" s="13" t="s">
        <v>154</v>
      </c>
      <c r="Q1697" s="34">
        <f t="shared" si="56"/>
        <v>983787.4800000001</v>
      </c>
      <c r="R1697" s="34" t="str">
        <f>VLOOKUP(E1697,Sales_Reps!$A$2:$E$100,3,FALSE)</f>
        <v>East</v>
      </c>
      <c r="S1697" s="34" t="str">
        <f t="shared" si="57"/>
        <v>Grocery</v>
      </c>
      <c r="T1697" s="38">
        <f>VLOOKUP(D1697,Products!$A$2:$F$68,4,FALSE)</f>
        <v>1435</v>
      </c>
    </row>
    <row r="1698" spans="1:20" x14ac:dyDescent="0.35">
      <c r="A1698" s="13" t="s">
        <v>2196</v>
      </c>
      <c r="B1698" s="14">
        <v>45626</v>
      </c>
      <c r="C1698" s="13" t="s">
        <v>561</v>
      </c>
      <c r="D1698" s="13" t="s">
        <v>187</v>
      </c>
      <c r="E1698" s="13" t="s">
        <v>201</v>
      </c>
      <c r="F1698" s="15">
        <v>3</v>
      </c>
      <c r="G1698" s="15">
        <v>3570</v>
      </c>
      <c r="H1698" s="15">
        <v>18.399999999999999</v>
      </c>
      <c r="I1698" s="15">
        <v>8739.36</v>
      </c>
      <c r="J1698" s="13" t="s">
        <v>144</v>
      </c>
      <c r="K1698" s="13" t="s">
        <v>133</v>
      </c>
      <c r="L1698" s="34" t="str">
        <f>VLOOKUP(D1698,Products!$A$2:$F$61,3,FALSE)</f>
        <v>Electronics</v>
      </c>
      <c r="M1698" s="34" t="str">
        <f>VLOOKUP(C1698,Customers!$A$2:$F$301,5,FALSE)</f>
        <v>SMB</v>
      </c>
      <c r="N1698" s="34">
        <f>VLOOKUP(C1698,Customers!$A$2:$F$301,3,FALSE)</f>
        <v>43</v>
      </c>
      <c r="O1698" s="34" t="str">
        <f>VLOOKUP(E1698,Sales_Reps!$A$2:$E$31,3,FALSE)</f>
        <v>West</v>
      </c>
      <c r="P1698" s="13" t="s">
        <v>201</v>
      </c>
      <c r="Q1698" s="34">
        <f t="shared" si="56"/>
        <v>576305.08000000019</v>
      </c>
      <c r="R1698" s="34" t="str">
        <f>VLOOKUP(E1698,Sales_Reps!$A$2:$E$100,3,FALSE)</f>
        <v>West</v>
      </c>
      <c r="S1698" s="34" t="str">
        <f t="shared" si="57"/>
        <v>Electronics</v>
      </c>
      <c r="T1698" s="38">
        <f>VLOOKUP(D1698,Products!$A$2:$F$68,4,FALSE)</f>
        <v>1665</v>
      </c>
    </row>
    <row r="1699" spans="1:20" x14ac:dyDescent="0.35">
      <c r="A1699" s="13" t="s">
        <v>2197</v>
      </c>
      <c r="B1699" s="14">
        <v>45502</v>
      </c>
      <c r="C1699" s="13" t="s">
        <v>689</v>
      </c>
      <c r="D1699" s="13" t="s">
        <v>267</v>
      </c>
      <c r="E1699" s="13" t="s">
        <v>139</v>
      </c>
      <c r="F1699" s="15">
        <v>7</v>
      </c>
      <c r="G1699" s="15">
        <v>1220</v>
      </c>
      <c r="H1699" s="15">
        <v>25.8</v>
      </c>
      <c r="I1699" s="15">
        <v>6336.68</v>
      </c>
      <c r="J1699" s="13" t="s">
        <v>144</v>
      </c>
      <c r="K1699" s="13" t="s">
        <v>133</v>
      </c>
      <c r="L1699" s="34" t="str">
        <f>VLOOKUP(D1699,Products!$A$2:$F$61,3,FALSE)</f>
        <v>Electronics</v>
      </c>
      <c r="M1699" s="34" t="str">
        <f>VLOOKUP(C1699,Customers!$A$2:$F$301,5,FALSE)</f>
        <v>Retail</v>
      </c>
      <c r="N1699" s="34">
        <f>VLOOKUP(C1699,Customers!$A$2:$F$301,3,FALSE)</f>
        <v>28</v>
      </c>
      <c r="O1699" s="34" t="str">
        <f>VLOOKUP(E1699,Sales_Reps!$A$2:$E$31,3,FALSE)</f>
        <v>North</v>
      </c>
      <c r="P1699" s="13" t="s">
        <v>139</v>
      </c>
      <c r="Q1699" s="34">
        <f t="shared" si="56"/>
        <v>589026.2899999998</v>
      </c>
      <c r="R1699" s="34" t="str">
        <f>VLOOKUP(E1699,Sales_Reps!$A$2:$E$100,3,FALSE)</f>
        <v>North</v>
      </c>
      <c r="S1699" s="34" t="str">
        <f t="shared" si="57"/>
        <v>Electronics</v>
      </c>
      <c r="T1699" s="38">
        <f>VLOOKUP(D1699,Products!$A$2:$F$68,4,FALSE)</f>
        <v>517</v>
      </c>
    </row>
    <row r="1700" spans="1:20" x14ac:dyDescent="0.35">
      <c r="A1700" s="13" t="s">
        <v>2198</v>
      </c>
      <c r="B1700" s="14">
        <v>45501</v>
      </c>
      <c r="C1700" s="13" t="s">
        <v>1172</v>
      </c>
      <c r="D1700" s="13" t="s">
        <v>161</v>
      </c>
      <c r="E1700" s="13" t="s">
        <v>229</v>
      </c>
      <c r="F1700" s="15">
        <v>6</v>
      </c>
      <c r="G1700" s="15">
        <v>3450</v>
      </c>
      <c r="H1700" s="15">
        <v>13.1</v>
      </c>
      <c r="I1700" s="15">
        <v>17988.3</v>
      </c>
      <c r="J1700" s="13" t="s">
        <v>87</v>
      </c>
      <c r="K1700" s="13" t="s">
        <v>88</v>
      </c>
      <c r="L1700" s="34" t="str">
        <f>VLOOKUP(D1700,Products!$A$2:$F$61,3,FALSE)</f>
        <v>Sports</v>
      </c>
      <c r="M1700" s="34" t="str">
        <f>VLOOKUP(C1700,Customers!$A$2:$F$301,5,FALSE)</f>
        <v>Retail</v>
      </c>
      <c r="N1700" s="34">
        <f>VLOOKUP(C1700,Customers!$A$2:$F$301,3,FALSE)</f>
        <v>39</v>
      </c>
      <c r="O1700" s="34" t="str">
        <f>VLOOKUP(E1700,Sales_Reps!$A$2:$E$31,3,FALSE)</f>
        <v>West</v>
      </c>
      <c r="P1700" s="13" t="s">
        <v>229</v>
      </c>
      <c r="Q1700" s="34">
        <f t="shared" si="56"/>
        <v>1016696.8000000002</v>
      </c>
      <c r="R1700" s="34" t="str">
        <f>VLOOKUP(E1700,Sales_Reps!$A$2:$E$100,3,FALSE)</f>
        <v>West</v>
      </c>
      <c r="S1700" s="34" t="str">
        <f t="shared" si="57"/>
        <v>Sports</v>
      </c>
      <c r="T1700" s="38">
        <f>VLOOKUP(D1700,Products!$A$2:$F$68,4,FALSE)</f>
        <v>2467</v>
      </c>
    </row>
    <row r="1701" spans="1:20" x14ac:dyDescent="0.35">
      <c r="A1701" s="13" t="s">
        <v>2199</v>
      </c>
      <c r="B1701" s="14">
        <v>45435</v>
      </c>
      <c r="C1701" s="13" t="s">
        <v>109</v>
      </c>
      <c r="D1701" s="13" t="s">
        <v>338</v>
      </c>
      <c r="E1701" s="13" t="s">
        <v>139</v>
      </c>
      <c r="F1701" s="15">
        <v>10</v>
      </c>
      <c r="G1701" s="15">
        <v>2210</v>
      </c>
      <c r="H1701" s="15">
        <v>16.600000000000001</v>
      </c>
      <c r="I1701" s="15">
        <v>18431.400000000001</v>
      </c>
      <c r="J1701" s="13" t="s">
        <v>87</v>
      </c>
      <c r="K1701" s="13" t="s">
        <v>112</v>
      </c>
      <c r="L1701" s="34" t="str">
        <f>VLOOKUP(D1701,Products!$A$2:$F$61,3,FALSE)</f>
        <v>Grocery</v>
      </c>
      <c r="M1701" s="34" t="str">
        <f>VLOOKUP(C1701,Customers!$A$2:$F$301,5,FALSE)</f>
        <v>Retail</v>
      </c>
      <c r="N1701" s="34">
        <f>VLOOKUP(C1701,Customers!$A$2:$F$301,3,FALSE)</f>
        <v>36</v>
      </c>
      <c r="O1701" s="34" t="str">
        <f>VLOOKUP(E1701,Sales_Reps!$A$2:$E$31,3,FALSE)</f>
        <v>North</v>
      </c>
      <c r="P1701" s="13" t="s">
        <v>139</v>
      </c>
      <c r="Q1701" s="34">
        <f t="shared" si="56"/>
        <v>589026.2899999998</v>
      </c>
      <c r="R1701" s="34" t="str">
        <f>VLOOKUP(E1701,Sales_Reps!$A$2:$E$100,3,FALSE)</f>
        <v>North</v>
      </c>
      <c r="S1701" s="34" t="str">
        <f t="shared" si="57"/>
        <v>Grocery</v>
      </c>
      <c r="T1701" s="38">
        <f>VLOOKUP(D1701,Products!$A$2:$F$68,4,FALSE)</f>
        <v>1010</v>
      </c>
    </row>
    <row r="1702" spans="1:20" x14ac:dyDescent="0.35">
      <c r="A1702" s="13" t="s">
        <v>2200</v>
      </c>
      <c r="B1702" s="14">
        <v>45295</v>
      </c>
      <c r="C1702" s="13" t="s">
        <v>416</v>
      </c>
      <c r="D1702" s="13" t="s">
        <v>167</v>
      </c>
      <c r="E1702" s="13" t="s">
        <v>343</v>
      </c>
      <c r="F1702" s="15">
        <v>10</v>
      </c>
      <c r="G1702" s="15">
        <v>2480</v>
      </c>
      <c r="H1702" s="15">
        <v>17.5</v>
      </c>
      <c r="I1702" s="15">
        <v>20460</v>
      </c>
      <c r="J1702" s="13" t="s">
        <v>87</v>
      </c>
      <c r="K1702" s="13" t="s">
        <v>117</v>
      </c>
      <c r="L1702" s="34" t="str">
        <f>VLOOKUP(D1702,Products!$A$2:$F$61,3,FALSE)</f>
        <v>Apparel</v>
      </c>
      <c r="M1702" s="34" t="str">
        <f>VLOOKUP(C1702,Customers!$A$2:$F$301,5,FALSE)</f>
        <v>Corporate</v>
      </c>
      <c r="N1702" s="34">
        <f>VLOOKUP(C1702,Customers!$A$2:$F$301,3,FALSE)</f>
        <v>42</v>
      </c>
      <c r="O1702" s="34" t="str">
        <f>VLOOKUP(E1702,Sales_Reps!$A$2:$E$31,3,FALSE)</f>
        <v>West</v>
      </c>
      <c r="P1702" s="13" t="s">
        <v>343</v>
      </c>
      <c r="Q1702" s="34">
        <f t="shared" si="56"/>
        <v>917092.61999999965</v>
      </c>
      <c r="R1702" s="34" t="str">
        <f>VLOOKUP(E1702,Sales_Reps!$A$2:$E$100,3,FALSE)</f>
        <v>West</v>
      </c>
      <c r="S1702" s="34" t="str">
        <f t="shared" si="57"/>
        <v>Apparel</v>
      </c>
      <c r="T1702" s="38">
        <f>VLOOKUP(D1702,Products!$A$2:$F$68,4,FALSE)</f>
        <v>1173</v>
      </c>
    </row>
    <row r="1703" spans="1:20" x14ac:dyDescent="0.35">
      <c r="A1703" s="13" t="s">
        <v>2201</v>
      </c>
      <c r="B1703" s="14">
        <v>45566</v>
      </c>
      <c r="C1703" s="13" t="s">
        <v>1172</v>
      </c>
      <c r="D1703" s="13" t="s">
        <v>143</v>
      </c>
      <c r="E1703" s="13" t="s">
        <v>121</v>
      </c>
      <c r="F1703" s="15">
        <v>9</v>
      </c>
      <c r="G1703" s="15">
        <v>3250</v>
      </c>
      <c r="H1703" s="15">
        <v>25.9</v>
      </c>
      <c r="I1703" s="15">
        <v>21674.25</v>
      </c>
      <c r="J1703" s="13" t="s">
        <v>87</v>
      </c>
      <c r="K1703" s="13" t="s">
        <v>88</v>
      </c>
      <c r="L1703" s="34" t="str">
        <f>VLOOKUP(D1703,Products!$A$2:$F$61,3,FALSE)</f>
        <v>Home</v>
      </c>
      <c r="M1703" s="34" t="str">
        <f>VLOOKUP(C1703,Customers!$A$2:$F$301,5,FALSE)</f>
        <v>Retail</v>
      </c>
      <c r="N1703" s="34">
        <f>VLOOKUP(C1703,Customers!$A$2:$F$301,3,FALSE)</f>
        <v>39</v>
      </c>
      <c r="O1703" s="34" t="str">
        <f>VLOOKUP(E1703,Sales_Reps!$A$2:$E$31,3,FALSE)</f>
        <v>East</v>
      </c>
      <c r="P1703" s="13" t="s">
        <v>121</v>
      </c>
      <c r="Q1703" s="34">
        <f t="shared" si="56"/>
        <v>971183.52000000014</v>
      </c>
      <c r="R1703" s="34" t="str">
        <f>VLOOKUP(E1703,Sales_Reps!$A$2:$E$100,3,FALSE)</f>
        <v>East</v>
      </c>
      <c r="S1703" s="34" t="str">
        <f t="shared" si="57"/>
        <v>Home</v>
      </c>
      <c r="T1703" s="38">
        <f>VLOOKUP(D1703,Products!$A$2:$F$68,4,FALSE)</f>
        <v>1556</v>
      </c>
    </row>
    <row r="1704" spans="1:20" x14ac:dyDescent="0.35">
      <c r="A1704" s="13" t="s">
        <v>2202</v>
      </c>
      <c r="B1704" s="14">
        <v>45474</v>
      </c>
      <c r="C1704" s="13" t="s">
        <v>837</v>
      </c>
      <c r="D1704" s="13" t="s">
        <v>151</v>
      </c>
      <c r="E1704" s="13" t="s">
        <v>107</v>
      </c>
      <c r="F1704" s="15">
        <v>3</v>
      </c>
      <c r="G1704" s="15">
        <v>2400</v>
      </c>
      <c r="H1704" s="15">
        <v>17.5</v>
      </c>
      <c r="I1704" s="15">
        <v>5940</v>
      </c>
      <c r="J1704" s="13" t="s">
        <v>87</v>
      </c>
      <c r="K1704" s="13" t="s">
        <v>117</v>
      </c>
      <c r="L1704" s="34" t="str">
        <f>VLOOKUP(D1704,Products!$A$2:$F$61,3,FALSE)</f>
        <v>Sports</v>
      </c>
      <c r="M1704" s="34" t="str">
        <f>VLOOKUP(C1704,Customers!$A$2:$F$301,5,FALSE)</f>
        <v>Retail</v>
      </c>
      <c r="N1704" s="34">
        <f>VLOOKUP(C1704,Customers!$A$2:$F$301,3,FALSE)</f>
        <v>37</v>
      </c>
      <c r="O1704" s="34" t="str">
        <f>VLOOKUP(E1704,Sales_Reps!$A$2:$E$31,3,FALSE)</f>
        <v>North</v>
      </c>
      <c r="P1704" s="13" t="s">
        <v>107</v>
      </c>
      <c r="Q1704" s="34">
        <f t="shared" si="56"/>
        <v>861553.33</v>
      </c>
      <c r="R1704" s="34" t="str">
        <f>VLOOKUP(E1704,Sales_Reps!$A$2:$E$100,3,FALSE)</f>
        <v>North</v>
      </c>
      <c r="S1704" s="34" t="str">
        <f t="shared" si="57"/>
        <v>Sports</v>
      </c>
      <c r="T1704" s="38">
        <f>VLOOKUP(D1704,Products!$A$2:$F$68,4,FALSE)</f>
        <v>974</v>
      </c>
    </row>
    <row r="1705" spans="1:20" x14ac:dyDescent="0.35">
      <c r="A1705" s="13" t="s">
        <v>2203</v>
      </c>
      <c r="B1705" s="14">
        <v>45372</v>
      </c>
      <c r="C1705" s="13" t="s">
        <v>291</v>
      </c>
      <c r="D1705" s="13" t="s">
        <v>360</v>
      </c>
      <c r="E1705" s="13" t="s">
        <v>103</v>
      </c>
      <c r="F1705" s="15">
        <v>8</v>
      </c>
      <c r="G1705" s="15">
        <v>5410</v>
      </c>
      <c r="H1705" s="15">
        <v>8.3000000000000007</v>
      </c>
      <c r="I1705" s="15">
        <v>39687.760000000002</v>
      </c>
      <c r="J1705" s="13" t="s">
        <v>87</v>
      </c>
      <c r="K1705" s="13" t="s">
        <v>99</v>
      </c>
      <c r="L1705" s="34" t="str">
        <f>VLOOKUP(D1705,Products!$A$2:$F$61,3,FALSE)</f>
        <v>Sports</v>
      </c>
      <c r="M1705" s="34" t="str">
        <f>VLOOKUP(C1705,Customers!$A$2:$F$301,5,FALSE)</f>
        <v>Retail</v>
      </c>
      <c r="N1705" s="34">
        <f>VLOOKUP(C1705,Customers!$A$2:$F$301,3,FALSE)</f>
        <v>35</v>
      </c>
      <c r="O1705" s="34" t="str">
        <f>VLOOKUP(E1705,Sales_Reps!$A$2:$E$31,3,FALSE)</f>
        <v>North</v>
      </c>
      <c r="P1705" s="13" t="s">
        <v>103</v>
      </c>
      <c r="Q1705" s="34">
        <f t="shared" si="56"/>
        <v>1138648.73</v>
      </c>
      <c r="R1705" s="34" t="str">
        <f>VLOOKUP(E1705,Sales_Reps!$A$2:$E$100,3,FALSE)</f>
        <v>North</v>
      </c>
      <c r="S1705" s="34" t="str">
        <f t="shared" si="57"/>
        <v>Sports</v>
      </c>
      <c r="T1705" s="38">
        <f>VLOOKUP(D1705,Products!$A$2:$F$68,4,FALSE)</f>
        <v>2265</v>
      </c>
    </row>
    <row r="1706" spans="1:20" x14ac:dyDescent="0.35">
      <c r="A1706" s="13" t="s">
        <v>2204</v>
      </c>
      <c r="B1706" s="14">
        <v>45622</v>
      </c>
      <c r="C1706" s="13" t="s">
        <v>835</v>
      </c>
      <c r="D1706" s="13" t="s">
        <v>138</v>
      </c>
      <c r="E1706" s="13" t="s">
        <v>303</v>
      </c>
      <c r="F1706" s="15">
        <v>1</v>
      </c>
      <c r="G1706" s="15">
        <v>2600</v>
      </c>
      <c r="H1706" s="15">
        <v>5.9</v>
      </c>
      <c r="I1706" s="15">
        <v>2446.6</v>
      </c>
      <c r="J1706" s="13" t="s">
        <v>87</v>
      </c>
      <c r="K1706" s="13" t="s">
        <v>117</v>
      </c>
      <c r="L1706" s="34" t="str">
        <f>VLOOKUP(D1706,Products!$A$2:$F$61,3,FALSE)</f>
        <v>Electronics</v>
      </c>
      <c r="M1706" s="34" t="str">
        <f>VLOOKUP(C1706,Customers!$A$2:$F$301,5,FALSE)</f>
        <v>Retail</v>
      </c>
      <c r="N1706" s="34">
        <f>VLOOKUP(C1706,Customers!$A$2:$F$301,3,FALSE)</f>
        <v>52</v>
      </c>
      <c r="O1706" s="34" t="str">
        <f>VLOOKUP(E1706,Sales_Reps!$A$2:$E$31,3,FALSE)</f>
        <v>East</v>
      </c>
      <c r="P1706" s="13" t="s">
        <v>303</v>
      </c>
      <c r="Q1706" s="34">
        <f t="shared" si="56"/>
        <v>1112289.6400000001</v>
      </c>
      <c r="R1706" s="34" t="str">
        <f>VLOOKUP(E1706,Sales_Reps!$A$2:$E$100,3,FALSE)</f>
        <v>East</v>
      </c>
      <c r="S1706" s="34" t="str">
        <f t="shared" si="57"/>
        <v>Electronics</v>
      </c>
      <c r="T1706" s="38">
        <f>VLOOKUP(D1706,Products!$A$2:$F$68,4,FALSE)</f>
        <v>1052</v>
      </c>
    </row>
    <row r="1707" spans="1:20" x14ac:dyDescent="0.35">
      <c r="A1707" s="13" t="s">
        <v>2205</v>
      </c>
      <c r="B1707" s="14">
        <v>45603</v>
      </c>
      <c r="C1707" s="13" t="s">
        <v>366</v>
      </c>
      <c r="D1707" s="13" t="s">
        <v>351</v>
      </c>
      <c r="E1707" s="13" t="s">
        <v>148</v>
      </c>
      <c r="F1707" s="15">
        <v>10</v>
      </c>
      <c r="G1707" s="15">
        <v>4060</v>
      </c>
      <c r="H1707" s="15">
        <v>2.2999999999999998</v>
      </c>
      <c r="I1707" s="15">
        <v>39666.199999999997</v>
      </c>
      <c r="J1707" s="13" t="s">
        <v>87</v>
      </c>
      <c r="K1707" s="13" t="s">
        <v>112</v>
      </c>
      <c r="L1707" s="34" t="str">
        <f>VLOOKUP(D1707,Products!$A$2:$F$61,3,FALSE)</f>
        <v>Grocery</v>
      </c>
      <c r="M1707" s="34" t="str">
        <f>VLOOKUP(C1707,Customers!$A$2:$F$301,5,FALSE)</f>
        <v>Retail</v>
      </c>
      <c r="N1707" s="34">
        <f>VLOOKUP(C1707,Customers!$A$2:$F$301,3,FALSE)</f>
        <v>25</v>
      </c>
      <c r="O1707" s="34" t="str">
        <f>VLOOKUP(E1707,Sales_Reps!$A$2:$E$31,3,FALSE)</f>
        <v>North</v>
      </c>
      <c r="P1707" s="13" t="s">
        <v>148</v>
      </c>
      <c r="Q1707" s="34">
        <f t="shared" si="56"/>
        <v>986692.91</v>
      </c>
      <c r="R1707" s="34" t="str">
        <f>VLOOKUP(E1707,Sales_Reps!$A$2:$E$100,3,FALSE)</f>
        <v>North</v>
      </c>
      <c r="S1707" s="34" t="str">
        <f t="shared" si="57"/>
        <v>Grocery</v>
      </c>
      <c r="T1707" s="38">
        <f>VLOOKUP(D1707,Products!$A$2:$F$68,4,FALSE)</f>
        <v>2911</v>
      </c>
    </row>
    <row r="1708" spans="1:20" x14ac:dyDescent="0.35">
      <c r="A1708" s="13" t="s">
        <v>2206</v>
      </c>
      <c r="B1708" s="14">
        <v>45352</v>
      </c>
      <c r="C1708" s="13" t="s">
        <v>729</v>
      </c>
      <c r="D1708" s="13" t="s">
        <v>364</v>
      </c>
      <c r="E1708" s="13" t="s">
        <v>192</v>
      </c>
      <c r="F1708" s="15">
        <v>9</v>
      </c>
      <c r="G1708" s="15">
        <v>5330</v>
      </c>
      <c r="H1708" s="15">
        <v>23.5</v>
      </c>
      <c r="I1708" s="15">
        <v>36697.050000000003</v>
      </c>
      <c r="J1708" s="13" t="s">
        <v>87</v>
      </c>
      <c r="K1708" s="13" t="s">
        <v>112</v>
      </c>
      <c r="L1708" s="34" t="str">
        <f>VLOOKUP(D1708,Products!$A$2:$F$61,3,FALSE)</f>
        <v>Electronics</v>
      </c>
      <c r="M1708" s="34" t="str">
        <f>VLOOKUP(C1708,Customers!$A$2:$F$301,5,FALSE)</f>
        <v>Retail</v>
      </c>
      <c r="N1708" s="34">
        <f>VLOOKUP(C1708,Customers!$A$2:$F$301,3,FALSE)</f>
        <v>56</v>
      </c>
      <c r="O1708" s="34" t="str">
        <f>VLOOKUP(E1708,Sales_Reps!$A$2:$E$31,3,FALSE)</f>
        <v>East</v>
      </c>
      <c r="P1708" s="13" t="s">
        <v>192</v>
      </c>
      <c r="Q1708" s="34">
        <f t="shared" si="56"/>
        <v>906107.71000000008</v>
      </c>
      <c r="R1708" s="34" t="str">
        <f>VLOOKUP(E1708,Sales_Reps!$A$2:$E$100,3,FALSE)</f>
        <v>East</v>
      </c>
      <c r="S1708" s="34" t="str">
        <f t="shared" si="57"/>
        <v>Electronics</v>
      </c>
      <c r="T1708" s="38">
        <f>VLOOKUP(D1708,Products!$A$2:$F$68,4,FALSE)</f>
        <v>2405</v>
      </c>
    </row>
    <row r="1709" spans="1:20" x14ac:dyDescent="0.35">
      <c r="A1709" s="13" t="s">
        <v>2207</v>
      </c>
      <c r="B1709" s="14">
        <v>45600</v>
      </c>
      <c r="C1709" s="13" t="s">
        <v>299</v>
      </c>
      <c r="D1709" s="13" t="s">
        <v>179</v>
      </c>
      <c r="E1709" s="13" t="s">
        <v>111</v>
      </c>
      <c r="F1709" s="15">
        <v>7</v>
      </c>
      <c r="G1709" s="15">
        <v>3350</v>
      </c>
      <c r="H1709" s="15">
        <v>13.4</v>
      </c>
      <c r="I1709" s="15">
        <v>20307.7</v>
      </c>
      <c r="J1709" s="13" t="s">
        <v>93</v>
      </c>
      <c r="K1709" s="13" t="s">
        <v>133</v>
      </c>
      <c r="L1709" s="34" t="str">
        <f>VLOOKUP(D1709,Products!$A$2:$F$61,3,FALSE)</f>
        <v>Beauty</v>
      </c>
      <c r="M1709" s="34" t="str">
        <f>VLOOKUP(C1709,Customers!$A$2:$F$301,5,FALSE)</f>
        <v>Retail</v>
      </c>
      <c r="N1709" s="34">
        <f>VLOOKUP(C1709,Customers!$A$2:$F$301,3,FALSE)</f>
        <v>29</v>
      </c>
      <c r="O1709" s="34" t="str">
        <f>VLOOKUP(E1709,Sales_Reps!$A$2:$E$31,3,FALSE)</f>
        <v>West</v>
      </c>
      <c r="P1709" s="13" t="s">
        <v>111</v>
      </c>
      <c r="Q1709" s="34">
        <f t="shared" si="56"/>
        <v>901298.89</v>
      </c>
      <c r="R1709" s="34" t="str">
        <f>VLOOKUP(E1709,Sales_Reps!$A$2:$E$100,3,FALSE)</f>
        <v>West</v>
      </c>
      <c r="S1709" s="34" t="str">
        <f t="shared" si="57"/>
        <v>Beauty</v>
      </c>
      <c r="T1709" s="38">
        <f>VLOOKUP(D1709,Products!$A$2:$F$68,4,FALSE)</f>
        <v>1728</v>
      </c>
    </row>
    <row r="1710" spans="1:20" x14ac:dyDescent="0.35">
      <c r="A1710" s="13" t="s">
        <v>2208</v>
      </c>
      <c r="B1710" s="14">
        <v>45631</v>
      </c>
      <c r="C1710" s="13" t="s">
        <v>565</v>
      </c>
      <c r="D1710" s="13" t="s">
        <v>355</v>
      </c>
      <c r="E1710" s="13" t="s">
        <v>98</v>
      </c>
      <c r="F1710" s="15">
        <v>4</v>
      </c>
      <c r="G1710" s="15">
        <v>2510</v>
      </c>
      <c r="H1710" s="15">
        <v>26.6</v>
      </c>
      <c r="I1710" s="15">
        <v>7369.36</v>
      </c>
      <c r="J1710" s="13" t="s">
        <v>87</v>
      </c>
      <c r="K1710" s="13" t="s">
        <v>112</v>
      </c>
      <c r="L1710" s="34" t="str">
        <f>VLOOKUP(D1710,Products!$A$2:$F$61,3,FALSE)</f>
        <v>Apparel</v>
      </c>
      <c r="M1710" s="34" t="str">
        <f>VLOOKUP(C1710,Customers!$A$2:$F$301,5,FALSE)</f>
        <v>SMB</v>
      </c>
      <c r="N1710" s="34">
        <f>VLOOKUP(C1710,Customers!$A$2:$F$301,3,FALSE)</f>
        <v>61</v>
      </c>
      <c r="O1710" s="34" t="str">
        <f>VLOOKUP(E1710,Sales_Reps!$A$2:$E$31,3,FALSE)</f>
        <v>South</v>
      </c>
      <c r="P1710" s="13" t="s">
        <v>98</v>
      </c>
      <c r="Q1710" s="34">
        <f t="shared" si="56"/>
        <v>995713.54000000015</v>
      </c>
      <c r="R1710" s="34" t="str">
        <f>VLOOKUP(E1710,Sales_Reps!$A$2:$E$100,3,FALSE)</f>
        <v>South</v>
      </c>
      <c r="S1710" s="34" t="str">
        <f t="shared" si="57"/>
        <v>Apparel</v>
      </c>
      <c r="T1710" s="38">
        <f>VLOOKUP(D1710,Products!$A$2:$F$68,4,FALSE)</f>
        <v>1075</v>
      </c>
    </row>
    <row r="1711" spans="1:20" x14ac:dyDescent="0.35">
      <c r="A1711" s="13" t="s">
        <v>2209</v>
      </c>
      <c r="B1711" s="14">
        <v>45456</v>
      </c>
      <c r="C1711" s="13" t="s">
        <v>194</v>
      </c>
      <c r="D1711" s="13" t="s">
        <v>276</v>
      </c>
      <c r="E1711" s="13" t="s">
        <v>158</v>
      </c>
      <c r="F1711" s="15">
        <v>1</v>
      </c>
      <c r="G1711" s="15">
        <v>3020</v>
      </c>
      <c r="H1711" s="15">
        <v>15.2</v>
      </c>
      <c r="I1711" s="15">
        <v>2560.96</v>
      </c>
      <c r="J1711" s="13" t="s">
        <v>140</v>
      </c>
      <c r="K1711" s="13" t="s">
        <v>88</v>
      </c>
      <c r="L1711" s="34" t="str">
        <f>VLOOKUP(D1711,Products!$A$2:$F$61,3,FALSE)</f>
        <v>Beauty</v>
      </c>
      <c r="M1711" s="34" t="str">
        <f>VLOOKUP(C1711,Customers!$A$2:$F$301,5,FALSE)</f>
        <v>SMB</v>
      </c>
      <c r="N1711" s="34">
        <f>VLOOKUP(C1711,Customers!$A$2:$F$301,3,FALSE)</f>
        <v>44</v>
      </c>
      <c r="O1711" s="34" t="str">
        <f>VLOOKUP(E1711,Sales_Reps!$A$2:$E$31,3,FALSE)</f>
        <v>East</v>
      </c>
      <c r="P1711" s="13" t="s">
        <v>158</v>
      </c>
      <c r="Q1711" s="34">
        <f t="shared" si="56"/>
        <v>761507.17000000027</v>
      </c>
      <c r="R1711" s="34" t="str">
        <f>VLOOKUP(E1711,Sales_Reps!$A$2:$E$100,3,FALSE)</f>
        <v>East</v>
      </c>
      <c r="S1711" s="34" t="str">
        <f t="shared" si="57"/>
        <v>Beauty</v>
      </c>
      <c r="T1711" s="38">
        <f>VLOOKUP(D1711,Products!$A$2:$F$68,4,FALSE)</f>
        <v>1626</v>
      </c>
    </row>
    <row r="1712" spans="1:20" x14ac:dyDescent="0.35">
      <c r="A1712" s="13" t="s">
        <v>2210</v>
      </c>
      <c r="B1712" s="14">
        <v>45539</v>
      </c>
      <c r="C1712" s="13" t="s">
        <v>970</v>
      </c>
      <c r="D1712" s="13" t="s">
        <v>91</v>
      </c>
      <c r="E1712" s="13" t="s">
        <v>229</v>
      </c>
      <c r="F1712" s="15">
        <v>1</v>
      </c>
      <c r="G1712" s="15">
        <v>820</v>
      </c>
      <c r="H1712" s="15">
        <v>6.3</v>
      </c>
      <c r="I1712" s="15">
        <v>768.34</v>
      </c>
      <c r="J1712" s="13" t="s">
        <v>87</v>
      </c>
      <c r="K1712" s="13" t="s">
        <v>112</v>
      </c>
      <c r="L1712" s="34" t="str">
        <f>VLOOKUP(D1712,Products!$A$2:$F$61,3,FALSE)</f>
        <v>Apparel</v>
      </c>
      <c r="M1712" s="34" t="str">
        <f>VLOOKUP(C1712,Customers!$A$2:$F$301,5,FALSE)</f>
        <v>Retail</v>
      </c>
      <c r="N1712" s="34">
        <f>VLOOKUP(C1712,Customers!$A$2:$F$301,3,FALSE)</f>
        <v>40</v>
      </c>
      <c r="O1712" s="34" t="str">
        <f>VLOOKUP(E1712,Sales_Reps!$A$2:$E$31,3,FALSE)</f>
        <v>West</v>
      </c>
      <c r="P1712" s="13" t="s">
        <v>229</v>
      </c>
      <c r="Q1712" s="34">
        <f t="shared" si="56"/>
        <v>1016696.8000000002</v>
      </c>
      <c r="R1712" s="34" t="str">
        <f>VLOOKUP(E1712,Sales_Reps!$A$2:$E$100,3,FALSE)</f>
        <v>West</v>
      </c>
      <c r="S1712" s="34" t="str">
        <f t="shared" si="57"/>
        <v>Apparel</v>
      </c>
      <c r="T1712" s="38">
        <f>VLOOKUP(D1712,Products!$A$2:$F$68,4,FALSE)</f>
        <v>391</v>
      </c>
    </row>
    <row r="1713" spans="1:20" x14ac:dyDescent="0.35">
      <c r="A1713" s="13" t="s">
        <v>2211</v>
      </c>
      <c r="B1713" s="14">
        <v>45488</v>
      </c>
      <c r="C1713" s="13" t="s">
        <v>968</v>
      </c>
      <c r="D1713" s="13" t="s">
        <v>106</v>
      </c>
      <c r="E1713" s="13" t="s">
        <v>343</v>
      </c>
      <c r="F1713" s="15">
        <v>4</v>
      </c>
      <c r="G1713" s="15">
        <v>3160</v>
      </c>
      <c r="H1713" s="15">
        <v>3.6</v>
      </c>
      <c r="I1713" s="15">
        <v>12184.96</v>
      </c>
      <c r="J1713" s="13" t="s">
        <v>93</v>
      </c>
      <c r="K1713" s="13" t="s">
        <v>99</v>
      </c>
      <c r="L1713" s="34" t="str">
        <f>VLOOKUP(D1713,Products!$A$2:$F$61,3,FALSE)</f>
        <v>Apparel</v>
      </c>
      <c r="M1713" s="34" t="str">
        <f>VLOOKUP(C1713,Customers!$A$2:$F$301,5,FALSE)</f>
        <v>Retail</v>
      </c>
      <c r="N1713" s="34">
        <f>VLOOKUP(C1713,Customers!$A$2:$F$301,3,FALSE)</f>
        <v>47</v>
      </c>
      <c r="O1713" s="34" t="str">
        <f>VLOOKUP(E1713,Sales_Reps!$A$2:$E$31,3,FALSE)</f>
        <v>West</v>
      </c>
      <c r="P1713" s="13" t="s">
        <v>343</v>
      </c>
      <c r="Q1713" s="34">
        <f t="shared" si="56"/>
        <v>917092.61999999965</v>
      </c>
      <c r="R1713" s="34" t="str">
        <f>VLOOKUP(E1713,Sales_Reps!$A$2:$E$100,3,FALSE)</f>
        <v>West</v>
      </c>
      <c r="S1713" s="34" t="str">
        <f t="shared" si="57"/>
        <v>Apparel</v>
      </c>
      <c r="T1713" s="38">
        <f>VLOOKUP(D1713,Products!$A$2:$F$68,4,FALSE)</f>
        <v>1886</v>
      </c>
    </row>
    <row r="1714" spans="1:20" x14ac:dyDescent="0.35">
      <c r="A1714" s="13" t="s">
        <v>2212</v>
      </c>
      <c r="B1714" s="14">
        <v>45370</v>
      </c>
      <c r="C1714" s="13" t="s">
        <v>522</v>
      </c>
      <c r="D1714" s="13" t="s">
        <v>102</v>
      </c>
      <c r="E1714" s="13" t="s">
        <v>325</v>
      </c>
      <c r="F1714" s="15">
        <v>1</v>
      </c>
      <c r="G1714" s="15">
        <v>3660</v>
      </c>
      <c r="H1714" s="15">
        <v>28.2</v>
      </c>
      <c r="I1714" s="15">
        <v>2627.88</v>
      </c>
      <c r="J1714" s="13" t="s">
        <v>93</v>
      </c>
      <c r="K1714" s="13" t="s">
        <v>99</v>
      </c>
      <c r="L1714" s="34" t="str">
        <f>VLOOKUP(D1714,Products!$A$2:$F$61,3,FALSE)</f>
        <v>Grocery</v>
      </c>
      <c r="M1714" s="34" t="str">
        <f>VLOOKUP(C1714,Customers!$A$2:$F$301,5,FALSE)</f>
        <v>SMB</v>
      </c>
      <c r="N1714" s="34">
        <f>VLOOKUP(C1714,Customers!$A$2:$F$301,3,FALSE)</f>
        <v>55</v>
      </c>
      <c r="O1714" s="34" t="str">
        <f>VLOOKUP(E1714,Sales_Reps!$A$2:$E$31,3,FALSE)</f>
        <v>South</v>
      </c>
      <c r="P1714" s="13" t="s">
        <v>325</v>
      </c>
      <c r="Q1714" s="34">
        <f t="shared" si="56"/>
        <v>901394.32000000007</v>
      </c>
      <c r="R1714" s="34" t="str">
        <f>VLOOKUP(E1714,Sales_Reps!$A$2:$E$100,3,FALSE)</f>
        <v>South</v>
      </c>
      <c r="S1714" s="34" t="str">
        <f t="shared" si="57"/>
        <v>Grocery</v>
      </c>
      <c r="T1714" s="38">
        <f>VLOOKUP(D1714,Products!$A$2:$F$68,4,FALSE)</f>
        <v>2214</v>
      </c>
    </row>
    <row r="1715" spans="1:20" x14ac:dyDescent="0.35">
      <c r="A1715" s="13" t="s">
        <v>2213</v>
      </c>
      <c r="B1715" s="14">
        <v>45394</v>
      </c>
      <c r="C1715" s="13" t="s">
        <v>96</v>
      </c>
      <c r="D1715" s="13" t="s">
        <v>91</v>
      </c>
      <c r="E1715" s="13" t="s">
        <v>201</v>
      </c>
      <c r="F1715" s="15">
        <v>2</v>
      </c>
      <c r="G1715" s="15">
        <v>820</v>
      </c>
      <c r="H1715" s="15">
        <v>7</v>
      </c>
      <c r="I1715" s="15">
        <v>1525.2</v>
      </c>
      <c r="J1715" s="13" t="s">
        <v>87</v>
      </c>
      <c r="K1715" s="13" t="s">
        <v>99</v>
      </c>
      <c r="L1715" s="34" t="str">
        <f>VLOOKUP(D1715,Products!$A$2:$F$61,3,FALSE)</f>
        <v>Apparel</v>
      </c>
      <c r="M1715" s="34" t="str">
        <f>VLOOKUP(C1715,Customers!$A$2:$F$301,5,FALSE)</f>
        <v>Retail</v>
      </c>
      <c r="N1715" s="34">
        <f>VLOOKUP(C1715,Customers!$A$2:$F$301,3,FALSE)</f>
        <v>52</v>
      </c>
      <c r="O1715" s="34" t="str">
        <f>VLOOKUP(E1715,Sales_Reps!$A$2:$E$31,3,FALSE)</f>
        <v>West</v>
      </c>
      <c r="P1715" s="13" t="s">
        <v>201</v>
      </c>
      <c r="Q1715" s="34">
        <f t="shared" si="56"/>
        <v>576305.08000000019</v>
      </c>
      <c r="R1715" s="34" t="str">
        <f>VLOOKUP(E1715,Sales_Reps!$A$2:$E$100,3,FALSE)</f>
        <v>West</v>
      </c>
      <c r="S1715" s="34" t="str">
        <f t="shared" si="57"/>
        <v>Apparel</v>
      </c>
      <c r="T1715" s="38">
        <f>VLOOKUP(D1715,Products!$A$2:$F$68,4,FALSE)</f>
        <v>391</v>
      </c>
    </row>
    <row r="1716" spans="1:20" x14ac:dyDescent="0.35">
      <c r="A1716" s="13" t="s">
        <v>2214</v>
      </c>
      <c r="B1716" s="14">
        <v>45446</v>
      </c>
      <c r="C1716" s="13" t="s">
        <v>263</v>
      </c>
      <c r="D1716" s="13" t="s">
        <v>367</v>
      </c>
      <c r="E1716" s="13" t="s">
        <v>285</v>
      </c>
      <c r="F1716" s="15">
        <v>5</v>
      </c>
      <c r="G1716" s="15">
        <v>2380</v>
      </c>
      <c r="H1716" s="15">
        <v>23</v>
      </c>
      <c r="I1716" s="15">
        <v>9163</v>
      </c>
      <c r="J1716" s="13" t="s">
        <v>87</v>
      </c>
      <c r="K1716" s="13" t="s">
        <v>133</v>
      </c>
      <c r="L1716" s="34" t="str">
        <f>VLOOKUP(D1716,Products!$A$2:$F$61,3,FALSE)</f>
        <v>Grocery</v>
      </c>
      <c r="M1716" s="34" t="str">
        <f>VLOOKUP(C1716,Customers!$A$2:$F$301,5,FALSE)</f>
        <v>Retail</v>
      </c>
      <c r="N1716" s="34">
        <f>VLOOKUP(C1716,Customers!$A$2:$F$301,3,FALSE)</f>
        <v>53</v>
      </c>
      <c r="O1716" s="34" t="str">
        <f>VLOOKUP(E1716,Sales_Reps!$A$2:$E$31,3,FALSE)</f>
        <v>East</v>
      </c>
      <c r="P1716" s="13" t="s">
        <v>285</v>
      </c>
      <c r="Q1716" s="34">
        <f t="shared" si="56"/>
        <v>1069570.5400000003</v>
      </c>
      <c r="R1716" s="34" t="str">
        <f>VLOOKUP(E1716,Sales_Reps!$A$2:$E$100,3,FALSE)</f>
        <v>East</v>
      </c>
      <c r="S1716" s="34" t="str">
        <f t="shared" si="57"/>
        <v>Grocery</v>
      </c>
      <c r="T1716" s="38">
        <f>VLOOKUP(D1716,Products!$A$2:$F$68,4,FALSE)</f>
        <v>1182</v>
      </c>
    </row>
    <row r="1717" spans="1:20" x14ac:dyDescent="0.35">
      <c r="A1717" s="13" t="s">
        <v>2215</v>
      </c>
      <c r="B1717" s="14">
        <v>45612</v>
      </c>
      <c r="C1717" s="13" t="s">
        <v>561</v>
      </c>
      <c r="D1717" s="13" t="s">
        <v>248</v>
      </c>
      <c r="E1717" s="13" t="s">
        <v>252</v>
      </c>
      <c r="F1717" s="15">
        <v>1</v>
      </c>
      <c r="G1717" s="15">
        <v>3870</v>
      </c>
      <c r="H1717" s="15">
        <v>27.3</v>
      </c>
      <c r="I1717" s="15">
        <v>2813.49</v>
      </c>
      <c r="J1717" s="13" t="s">
        <v>87</v>
      </c>
      <c r="K1717" s="13" t="s">
        <v>133</v>
      </c>
      <c r="L1717" s="34" t="str">
        <f>VLOOKUP(D1717,Products!$A$2:$F$61,3,FALSE)</f>
        <v>Electronics</v>
      </c>
      <c r="M1717" s="34" t="str">
        <f>VLOOKUP(C1717,Customers!$A$2:$F$301,5,FALSE)</f>
        <v>SMB</v>
      </c>
      <c r="N1717" s="34">
        <f>VLOOKUP(C1717,Customers!$A$2:$F$301,3,FALSE)</f>
        <v>43</v>
      </c>
      <c r="O1717" s="34" t="str">
        <f>VLOOKUP(E1717,Sales_Reps!$A$2:$E$31,3,FALSE)</f>
        <v>South</v>
      </c>
      <c r="P1717" s="13" t="s">
        <v>252</v>
      </c>
      <c r="Q1717" s="34">
        <f t="shared" si="56"/>
        <v>811524.37999999989</v>
      </c>
      <c r="R1717" s="34" t="str">
        <f>VLOOKUP(E1717,Sales_Reps!$A$2:$E$100,3,FALSE)</f>
        <v>South</v>
      </c>
      <c r="S1717" s="34" t="str">
        <f t="shared" si="57"/>
        <v>Electronics</v>
      </c>
      <c r="T1717" s="38">
        <f>VLOOKUP(D1717,Products!$A$2:$F$68,4,FALSE)</f>
        <v>1559</v>
      </c>
    </row>
    <row r="1718" spans="1:20" x14ac:dyDescent="0.35">
      <c r="A1718" s="13" t="s">
        <v>2216</v>
      </c>
      <c r="B1718" s="14">
        <v>45301</v>
      </c>
      <c r="C1718" s="13" t="s">
        <v>662</v>
      </c>
      <c r="D1718" s="13" t="s">
        <v>282</v>
      </c>
      <c r="E1718" s="13" t="s">
        <v>86</v>
      </c>
      <c r="F1718" s="15">
        <v>10</v>
      </c>
      <c r="G1718" s="15">
        <v>300</v>
      </c>
      <c r="H1718" s="15">
        <v>14.1</v>
      </c>
      <c r="I1718" s="15">
        <v>2577</v>
      </c>
      <c r="J1718" s="13" t="s">
        <v>140</v>
      </c>
      <c r="K1718" s="13" t="s">
        <v>94</v>
      </c>
      <c r="L1718" s="34" t="str">
        <f>VLOOKUP(D1718,Products!$A$2:$F$61,3,FALSE)</f>
        <v>Electronics</v>
      </c>
      <c r="M1718" s="34" t="str">
        <f>VLOOKUP(C1718,Customers!$A$2:$F$301,5,FALSE)</f>
        <v>Corporate</v>
      </c>
      <c r="N1718" s="34">
        <f>VLOOKUP(C1718,Customers!$A$2:$F$301,3,FALSE)</f>
        <v>41</v>
      </c>
      <c r="O1718" s="34" t="str">
        <f>VLOOKUP(E1718,Sales_Reps!$A$2:$E$31,3,FALSE)</f>
        <v>North</v>
      </c>
      <c r="P1718" s="13" t="s">
        <v>86</v>
      </c>
      <c r="Q1718" s="34">
        <f t="shared" si="56"/>
        <v>855749.67999999982</v>
      </c>
      <c r="R1718" s="34" t="str">
        <f>VLOOKUP(E1718,Sales_Reps!$A$2:$E$100,3,FALSE)</f>
        <v>North</v>
      </c>
      <c r="S1718" s="34" t="str">
        <f t="shared" si="57"/>
        <v>Electronics</v>
      </c>
      <c r="T1718" s="38">
        <f>VLOOKUP(D1718,Products!$A$2:$F$68,4,FALSE)</f>
        <v>128</v>
      </c>
    </row>
    <row r="1719" spans="1:20" x14ac:dyDescent="0.35">
      <c r="A1719" s="13" t="s">
        <v>2217</v>
      </c>
      <c r="B1719" s="14">
        <v>45647</v>
      </c>
      <c r="C1719" s="13" t="s">
        <v>895</v>
      </c>
      <c r="D1719" s="13" t="s">
        <v>191</v>
      </c>
      <c r="E1719" s="13" t="s">
        <v>343</v>
      </c>
      <c r="F1719" s="15">
        <v>10</v>
      </c>
      <c r="G1719" s="15">
        <v>5100</v>
      </c>
      <c r="H1719" s="15">
        <v>12.7</v>
      </c>
      <c r="I1719" s="15">
        <v>44523</v>
      </c>
      <c r="J1719" s="13" t="s">
        <v>87</v>
      </c>
      <c r="K1719" s="13" t="s">
        <v>117</v>
      </c>
      <c r="L1719" s="34" t="str">
        <f>VLOOKUP(D1719,Products!$A$2:$F$61,3,FALSE)</f>
        <v>Beauty</v>
      </c>
      <c r="M1719" s="34" t="str">
        <f>VLOOKUP(C1719,Customers!$A$2:$F$301,5,FALSE)</f>
        <v>Retail</v>
      </c>
      <c r="N1719" s="34">
        <f>VLOOKUP(C1719,Customers!$A$2:$F$301,3,FALSE)</f>
        <v>46</v>
      </c>
      <c r="O1719" s="34" t="str">
        <f>VLOOKUP(E1719,Sales_Reps!$A$2:$E$31,3,FALSE)</f>
        <v>West</v>
      </c>
      <c r="P1719" s="13" t="s">
        <v>343</v>
      </c>
      <c r="Q1719" s="34">
        <f t="shared" si="56"/>
        <v>917092.61999999965</v>
      </c>
      <c r="R1719" s="34" t="str">
        <f>VLOOKUP(E1719,Sales_Reps!$A$2:$E$100,3,FALSE)</f>
        <v>West</v>
      </c>
      <c r="S1719" s="34" t="str">
        <f t="shared" si="57"/>
        <v>Beauty</v>
      </c>
      <c r="T1719" s="38">
        <f>VLOOKUP(D1719,Products!$A$2:$F$68,4,FALSE)</f>
        <v>2237</v>
      </c>
    </row>
    <row r="1720" spans="1:20" x14ac:dyDescent="0.35">
      <c r="A1720" s="13" t="s">
        <v>2218</v>
      </c>
      <c r="B1720" s="14">
        <v>45589</v>
      </c>
      <c r="C1720" s="13" t="s">
        <v>902</v>
      </c>
      <c r="D1720" s="13" t="s">
        <v>200</v>
      </c>
      <c r="E1720" s="13" t="s">
        <v>252</v>
      </c>
      <c r="F1720" s="15">
        <v>1</v>
      </c>
      <c r="G1720" s="15">
        <v>2760</v>
      </c>
      <c r="H1720" s="15">
        <v>17.8</v>
      </c>
      <c r="I1720" s="15">
        <v>2268.7199999999998</v>
      </c>
      <c r="J1720" s="13" t="s">
        <v>144</v>
      </c>
      <c r="K1720" s="13" t="s">
        <v>112</v>
      </c>
      <c r="L1720" s="34" t="str">
        <f>VLOOKUP(D1720,Products!$A$2:$F$61,3,FALSE)</f>
        <v>Grocery</v>
      </c>
      <c r="M1720" s="34" t="str">
        <f>VLOOKUP(C1720,Customers!$A$2:$F$301,5,FALSE)</f>
        <v>Retail</v>
      </c>
      <c r="N1720" s="34">
        <f>VLOOKUP(C1720,Customers!$A$2:$F$301,3,FALSE)</f>
        <v>37</v>
      </c>
      <c r="O1720" s="34" t="str">
        <f>VLOOKUP(E1720,Sales_Reps!$A$2:$E$31,3,FALSE)</f>
        <v>South</v>
      </c>
      <c r="P1720" s="13" t="s">
        <v>252</v>
      </c>
      <c r="Q1720" s="34">
        <f t="shared" si="56"/>
        <v>811524.37999999989</v>
      </c>
      <c r="R1720" s="34" t="str">
        <f>VLOOKUP(E1720,Sales_Reps!$A$2:$E$100,3,FALSE)</f>
        <v>South</v>
      </c>
      <c r="S1720" s="34" t="str">
        <f t="shared" si="57"/>
        <v>Grocery</v>
      </c>
      <c r="T1720" s="38">
        <f>VLOOKUP(D1720,Products!$A$2:$F$68,4,FALSE)</f>
        <v>1435</v>
      </c>
    </row>
    <row r="1721" spans="1:20" x14ac:dyDescent="0.35">
      <c r="A1721" s="13" t="s">
        <v>2219</v>
      </c>
      <c r="B1721" s="14">
        <v>45382</v>
      </c>
      <c r="C1721" s="13" t="s">
        <v>501</v>
      </c>
      <c r="D1721" s="13" t="s">
        <v>364</v>
      </c>
      <c r="E1721" s="13" t="s">
        <v>297</v>
      </c>
      <c r="F1721" s="15">
        <v>8</v>
      </c>
      <c r="G1721" s="15">
        <v>5330</v>
      </c>
      <c r="H1721" s="15">
        <v>16.399999999999999</v>
      </c>
      <c r="I1721" s="15">
        <v>35647.040000000001</v>
      </c>
      <c r="J1721" s="13" t="s">
        <v>87</v>
      </c>
      <c r="K1721" s="13" t="s">
        <v>133</v>
      </c>
      <c r="L1721" s="34" t="str">
        <f>VLOOKUP(D1721,Products!$A$2:$F$61,3,FALSE)</f>
        <v>Electronics</v>
      </c>
      <c r="M1721" s="34" t="str">
        <f>VLOOKUP(C1721,Customers!$A$2:$F$301,5,FALSE)</f>
        <v>SMB</v>
      </c>
      <c r="N1721" s="34">
        <f>VLOOKUP(C1721,Customers!$A$2:$F$301,3,FALSE)</f>
        <v>65</v>
      </c>
      <c r="O1721" s="34" t="str">
        <f>VLOOKUP(E1721,Sales_Reps!$A$2:$E$31,3,FALSE)</f>
        <v>North</v>
      </c>
      <c r="P1721" s="13" t="s">
        <v>297</v>
      </c>
      <c r="Q1721" s="34">
        <f t="shared" si="56"/>
        <v>980063.65999999968</v>
      </c>
      <c r="R1721" s="34" t="str">
        <f>VLOOKUP(E1721,Sales_Reps!$A$2:$E$100,3,FALSE)</f>
        <v>North</v>
      </c>
      <c r="S1721" s="34" t="str">
        <f t="shared" si="57"/>
        <v>Electronics</v>
      </c>
      <c r="T1721" s="38">
        <f>VLOOKUP(D1721,Products!$A$2:$F$68,4,FALSE)</f>
        <v>2405</v>
      </c>
    </row>
    <row r="1722" spans="1:20" x14ac:dyDescent="0.35">
      <c r="A1722" s="13" t="s">
        <v>2220</v>
      </c>
      <c r="B1722" s="14">
        <v>45457</v>
      </c>
      <c r="C1722" s="13" t="s">
        <v>662</v>
      </c>
      <c r="D1722" s="13" t="s">
        <v>182</v>
      </c>
      <c r="E1722" s="13" t="s">
        <v>346</v>
      </c>
      <c r="F1722" s="15">
        <v>1</v>
      </c>
      <c r="G1722" s="15">
        <v>1010</v>
      </c>
      <c r="H1722" s="15">
        <v>20.399999999999999</v>
      </c>
      <c r="I1722" s="15">
        <v>803.96</v>
      </c>
      <c r="J1722" s="13" t="s">
        <v>140</v>
      </c>
      <c r="K1722" s="13" t="s">
        <v>94</v>
      </c>
      <c r="L1722" s="34" t="str">
        <f>VLOOKUP(D1722,Products!$A$2:$F$61,3,FALSE)</f>
        <v>Sports</v>
      </c>
      <c r="M1722" s="34" t="str">
        <f>VLOOKUP(C1722,Customers!$A$2:$F$301,5,FALSE)</f>
        <v>Corporate</v>
      </c>
      <c r="N1722" s="34">
        <f>VLOOKUP(C1722,Customers!$A$2:$F$301,3,FALSE)</f>
        <v>41</v>
      </c>
      <c r="O1722" s="34" t="str">
        <f>VLOOKUP(E1722,Sales_Reps!$A$2:$E$31,3,FALSE)</f>
        <v>South</v>
      </c>
      <c r="P1722" s="13" t="s">
        <v>346</v>
      </c>
      <c r="Q1722" s="34">
        <f t="shared" si="56"/>
        <v>814563.7100000002</v>
      </c>
      <c r="R1722" s="34" t="str">
        <f>VLOOKUP(E1722,Sales_Reps!$A$2:$E$100,3,FALSE)</f>
        <v>South</v>
      </c>
      <c r="S1722" s="34" t="str">
        <f t="shared" si="57"/>
        <v>Sports</v>
      </c>
      <c r="T1722" s="38">
        <f>VLOOKUP(D1722,Products!$A$2:$F$68,4,FALSE)</f>
        <v>516</v>
      </c>
    </row>
    <row r="1723" spans="1:20" x14ac:dyDescent="0.35">
      <c r="A1723" s="13" t="s">
        <v>2221</v>
      </c>
      <c r="B1723" s="14">
        <v>45376</v>
      </c>
      <c r="C1723" s="13" t="s">
        <v>109</v>
      </c>
      <c r="D1723" s="13" t="s">
        <v>279</v>
      </c>
      <c r="E1723" s="13" t="s">
        <v>121</v>
      </c>
      <c r="F1723" s="15">
        <v>10</v>
      </c>
      <c r="G1723" s="15">
        <v>2660</v>
      </c>
      <c r="H1723" s="15">
        <v>29.3</v>
      </c>
      <c r="I1723" s="15">
        <v>18806.2</v>
      </c>
      <c r="J1723" s="13" t="s">
        <v>87</v>
      </c>
      <c r="K1723" s="13" t="s">
        <v>112</v>
      </c>
      <c r="L1723" s="34" t="str">
        <f>VLOOKUP(D1723,Products!$A$2:$F$61,3,FALSE)</f>
        <v>Electronics</v>
      </c>
      <c r="M1723" s="34" t="str">
        <f>VLOOKUP(C1723,Customers!$A$2:$F$301,5,FALSE)</f>
        <v>Retail</v>
      </c>
      <c r="N1723" s="34">
        <f>VLOOKUP(C1723,Customers!$A$2:$F$301,3,FALSE)</f>
        <v>36</v>
      </c>
      <c r="O1723" s="34" t="str">
        <f>VLOOKUP(E1723,Sales_Reps!$A$2:$E$31,3,FALSE)</f>
        <v>East</v>
      </c>
      <c r="P1723" s="13" t="s">
        <v>121</v>
      </c>
      <c r="Q1723" s="34">
        <f t="shared" si="56"/>
        <v>971183.52000000014</v>
      </c>
      <c r="R1723" s="34" t="str">
        <f>VLOOKUP(E1723,Sales_Reps!$A$2:$E$100,3,FALSE)</f>
        <v>East</v>
      </c>
      <c r="S1723" s="34" t="str">
        <f t="shared" si="57"/>
        <v>Electronics</v>
      </c>
      <c r="T1723" s="38">
        <f>VLOOKUP(D1723,Products!$A$2:$F$68,4,FALSE)</f>
        <v>1259</v>
      </c>
    </row>
    <row r="1724" spans="1:20" x14ac:dyDescent="0.35">
      <c r="A1724" s="13" t="s">
        <v>2222</v>
      </c>
      <c r="B1724" s="14">
        <v>45506</v>
      </c>
      <c r="C1724" s="13" t="s">
        <v>169</v>
      </c>
      <c r="D1724" s="13" t="s">
        <v>408</v>
      </c>
      <c r="E1724" s="13" t="s">
        <v>273</v>
      </c>
      <c r="F1724" s="15">
        <v>9</v>
      </c>
      <c r="G1724" s="15">
        <v>3970</v>
      </c>
      <c r="H1724" s="15">
        <v>10.4</v>
      </c>
      <c r="I1724" s="15">
        <v>32014.080000000002</v>
      </c>
      <c r="J1724" s="13" t="s">
        <v>93</v>
      </c>
      <c r="K1724" s="13" t="s">
        <v>112</v>
      </c>
      <c r="L1724" s="34" t="str">
        <f>VLOOKUP(D1724,Products!$A$2:$F$61,3,FALSE)</f>
        <v>Electronics</v>
      </c>
      <c r="M1724" s="34" t="str">
        <f>VLOOKUP(C1724,Customers!$A$2:$F$301,5,FALSE)</f>
        <v>Retail</v>
      </c>
      <c r="N1724" s="34">
        <f>VLOOKUP(C1724,Customers!$A$2:$F$301,3,FALSE)</f>
        <v>34</v>
      </c>
      <c r="O1724" s="34" t="str">
        <f>VLOOKUP(E1724,Sales_Reps!$A$2:$E$31,3,FALSE)</f>
        <v>South</v>
      </c>
      <c r="P1724" s="13" t="s">
        <v>273</v>
      </c>
      <c r="Q1724" s="34">
        <f t="shared" si="56"/>
        <v>735207.75999999989</v>
      </c>
      <c r="R1724" s="34" t="str">
        <f>VLOOKUP(E1724,Sales_Reps!$A$2:$E$100,3,FALSE)</f>
        <v>South</v>
      </c>
      <c r="S1724" s="34" t="str">
        <f t="shared" si="57"/>
        <v>Electronics</v>
      </c>
      <c r="T1724" s="38">
        <f>VLOOKUP(D1724,Products!$A$2:$F$68,4,FALSE)</f>
        <v>2865</v>
      </c>
    </row>
    <row r="1725" spans="1:20" x14ac:dyDescent="0.35">
      <c r="A1725" s="13" t="s">
        <v>2223</v>
      </c>
      <c r="B1725" s="14">
        <v>45472</v>
      </c>
      <c r="C1725" s="13" t="s">
        <v>905</v>
      </c>
      <c r="D1725" s="13" t="s">
        <v>85</v>
      </c>
      <c r="E1725" s="13" t="s">
        <v>107</v>
      </c>
      <c r="F1725" s="15">
        <v>3</v>
      </c>
      <c r="G1725" s="15">
        <v>3620</v>
      </c>
      <c r="H1725" s="15">
        <v>22</v>
      </c>
      <c r="I1725" s="15">
        <v>8470.7999999999993</v>
      </c>
      <c r="J1725" s="13" t="s">
        <v>87</v>
      </c>
      <c r="K1725" s="13" t="s">
        <v>112</v>
      </c>
      <c r="L1725" s="34" t="str">
        <f>VLOOKUP(D1725,Products!$A$2:$F$61,3,FALSE)</f>
        <v>Apparel</v>
      </c>
      <c r="M1725" s="34" t="str">
        <f>VLOOKUP(C1725,Customers!$A$2:$F$301,5,FALSE)</f>
        <v>SMB</v>
      </c>
      <c r="N1725" s="34">
        <f>VLOOKUP(C1725,Customers!$A$2:$F$301,3,FALSE)</f>
        <v>43</v>
      </c>
      <c r="O1725" s="34" t="str">
        <f>VLOOKUP(E1725,Sales_Reps!$A$2:$E$31,3,FALSE)</f>
        <v>North</v>
      </c>
      <c r="P1725" s="13" t="s">
        <v>107</v>
      </c>
      <c r="Q1725" s="34">
        <f t="shared" si="56"/>
        <v>861553.33</v>
      </c>
      <c r="R1725" s="34" t="str">
        <f>VLOOKUP(E1725,Sales_Reps!$A$2:$E$100,3,FALSE)</f>
        <v>North</v>
      </c>
      <c r="S1725" s="34" t="str">
        <f t="shared" si="57"/>
        <v>Apparel</v>
      </c>
      <c r="T1725" s="38">
        <f>VLOOKUP(D1725,Products!$A$2:$F$68,4,FALSE)</f>
        <v>2509</v>
      </c>
    </row>
    <row r="1726" spans="1:20" x14ac:dyDescent="0.35">
      <c r="A1726" s="13" t="s">
        <v>2224</v>
      </c>
      <c r="B1726" s="14">
        <v>45383</v>
      </c>
      <c r="C1726" s="13" t="s">
        <v>539</v>
      </c>
      <c r="D1726" s="13" t="s">
        <v>245</v>
      </c>
      <c r="E1726" s="13" t="s">
        <v>303</v>
      </c>
      <c r="F1726" s="15">
        <v>6</v>
      </c>
      <c r="G1726" s="15">
        <v>2270</v>
      </c>
      <c r="H1726" s="15">
        <v>11.1</v>
      </c>
      <c r="I1726" s="15">
        <v>12108.18</v>
      </c>
      <c r="J1726" s="13" t="s">
        <v>140</v>
      </c>
      <c r="K1726" s="13" t="s">
        <v>133</v>
      </c>
      <c r="L1726" s="34" t="str">
        <f>VLOOKUP(D1726,Products!$A$2:$F$61,3,FALSE)</f>
        <v>Grocery</v>
      </c>
      <c r="M1726" s="34" t="str">
        <f>VLOOKUP(C1726,Customers!$A$2:$F$301,5,FALSE)</f>
        <v>Retail</v>
      </c>
      <c r="N1726" s="34">
        <f>VLOOKUP(C1726,Customers!$A$2:$F$301,3,FALSE)</f>
        <v>38</v>
      </c>
      <c r="O1726" s="34" t="str">
        <f>VLOOKUP(E1726,Sales_Reps!$A$2:$E$31,3,FALSE)</f>
        <v>East</v>
      </c>
      <c r="P1726" s="13" t="s">
        <v>303</v>
      </c>
      <c r="Q1726" s="34">
        <f t="shared" si="56"/>
        <v>1112289.6400000001</v>
      </c>
      <c r="R1726" s="34" t="str">
        <f>VLOOKUP(E1726,Sales_Reps!$A$2:$E$100,3,FALSE)</f>
        <v>East</v>
      </c>
      <c r="S1726" s="34" t="str">
        <f t="shared" si="57"/>
        <v>Grocery</v>
      </c>
      <c r="T1726" s="38">
        <f>VLOOKUP(D1726,Products!$A$2:$F$68,4,FALSE)</f>
        <v>1412</v>
      </c>
    </row>
    <row r="1727" spans="1:20" x14ac:dyDescent="0.35">
      <c r="A1727" s="13" t="s">
        <v>2225</v>
      </c>
      <c r="B1727" s="14">
        <v>45543</v>
      </c>
      <c r="C1727" s="13" t="s">
        <v>1361</v>
      </c>
      <c r="D1727" s="13" t="s">
        <v>245</v>
      </c>
      <c r="E1727" s="13" t="s">
        <v>98</v>
      </c>
      <c r="F1727" s="15">
        <v>4</v>
      </c>
      <c r="G1727" s="15">
        <v>2270</v>
      </c>
      <c r="H1727" s="15">
        <v>27.2</v>
      </c>
      <c r="I1727" s="15">
        <v>6610.24</v>
      </c>
      <c r="J1727" s="13" t="s">
        <v>93</v>
      </c>
      <c r="K1727" s="13" t="s">
        <v>94</v>
      </c>
      <c r="L1727" s="34" t="str">
        <f>VLOOKUP(D1727,Products!$A$2:$F$61,3,FALSE)</f>
        <v>Grocery</v>
      </c>
      <c r="M1727" s="34" t="str">
        <f>VLOOKUP(C1727,Customers!$A$2:$F$301,5,FALSE)</f>
        <v>Retail</v>
      </c>
      <c r="N1727" s="34">
        <f>VLOOKUP(C1727,Customers!$A$2:$F$301,3,FALSE)</f>
        <v>34</v>
      </c>
      <c r="O1727" s="34" t="str">
        <f>VLOOKUP(E1727,Sales_Reps!$A$2:$E$31,3,FALSE)</f>
        <v>South</v>
      </c>
      <c r="P1727" s="13" t="s">
        <v>98</v>
      </c>
      <c r="Q1727" s="34">
        <f t="shared" si="56"/>
        <v>995713.54000000015</v>
      </c>
      <c r="R1727" s="34" t="str">
        <f>VLOOKUP(E1727,Sales_Reps!$A$2:$E$100,3,FALSE)</f>
        <v>South</v>
      </c>
      <c r="S1727" s="34" t="str">
        <f t="shared" si="57"/>
        <v>Grocery</v>
      </c>
      <c r="T1727" s="38">
        <f>VLOOKUP(D1727,Products!$A$2:$F$68,4,FALSE)</f>
        <v>1412</v>
      </c>
    </row>
    <row r="1728" spans="1:20" x14ac:dyDescent="0.35">
      <c r="A1728" s="13" t="s">
        <v>2226</v>
      </c>
      <c r="B1728" s="14">
        <v>45576</v>
      </c>
      <c r="C1728" s="13" t="s">
        <v>447</v>
      </c>
      <c r="D1728" s="13" t="s">
        <v>270</v>
      </c>
      <c r="E1728" s="13" t="s">
        <v>325</v>
      </c>
      <c r="F1728" s="15">
        <v>8</v>
      </c>
      <c r="G1728" s="15">
        <v>4610</v>
      </c>
      <c r="H1728" s="15">
        <v>24.5</v>
      </c>
      <c r="I1728" s="15">
        <v>27844.400000000001</v>
      </c>
      <c r="J1728" s="13" t="s">
        <v>87</v>
      </c>
      <c r="K1728" s="13" t="s">
        <v>112</v>
      </c>
      <c r="L1728" s="34" t="str">
        <f>VLOOKUP(D1728,Products!$A$2:$F$61,3,FALSE)</f>
        <v>Home</v>
      </c>
      <c r="M1728" s="34" t="str">
        <f>VLOOKUP(C1728,Customers!$A$2:$F$301,5,FALSE)</f>
        <v>Retail</v>
      </c>
      <c r="N1728" s="34">
        <f>VLOOKUP(C1728,Customers!$A$2:$F$301,3,FALSE)</f>
        <v>41</v>
      </c>
      <c r="O1728" s="34" t="str">
        <f>VLOOKUP(E1728,Sales_Reps!$A$2:$E$31,3,FALSE)</f>
        <v>South</v>
      </c>
      <c r="P1728" s="13" t="s">
        <v>325</v>
      </c>
      <c r="Q1728" s="34">
        <f t="shared" si="56"/>
        <v>901394.32000000007</v>
      </c>
      <c r="R1728" s="34" t="str">
        <f>VLOOKUP(E1728,Sales_Reps!$A$2:$E$100,3,FALSE)</f>
        <v>South</v>
      </c>
      <c r="S1728" s="34" t="str">
        <f t="shared" si="57"/>
        <v>Home</v>
      </c>
      <c r="T1728" s="38">
        <f>VLOOKUP(D1728,Products!$A$2:$F$68,4,FALSE)</f>
        <v>1850</v>
      </c>
    </row>
    <row r="1729" spans="1:20" x14ac:dyDescent="0.35">
      <c r="A1729" s="13" t="s">
        <v>2227</v>
      </c>
      <c r="B1729" s="14">
        <v>45366</v>
      </c>
      <c r="C1729" s="13" t="s">
        <v>684</v>
      </c>
      <c r="D1729" s="13" t="s">
        <v>147</v>
      </c>
      <c r="E1729" s="13" t="s">
        <v>192</v>
      </c>
      <c r="F1729" s="15">
        <v>6</v>
      </c>
      <c r="G1729" s="15">
        <v>190</v>
      </c>
      <c r="H1729" s="15">
        <v>8.6999999999999993</v>
      </c>
      <c r="I1729" s="15">
        <v>1040.82</v>
      </c>
      <c r="J1729" s="13" t="s">
        <v>140</v>
      </c>
      <c r="K1729" s="13" t="s">
        <v>99</v>
      </c>
      <c r="L1729" s="34" t="str">
        <f>VLOOKUP(D1729,Products!$A$2:$F$61,3,FALSE)</f>
        <v>Sports</v>
      </c>
      <c r="M1729" s="34" t="str">
        <f>VLOOKUP(C1729,Customers!$A$2:$F$301,5,FALSE)</f>
        <v>Retail</v>
      </c>
      <c r="N1729" s="34">
        <f>VLOOKUP(C1729,Customers!$A$2:$F$301,3,FALSE)</f>
        <v>41</v>
      </c>
      <c r="O1729" s="34" t="str">
        <f>VLOOKUP(E1729,Sales_Reps!$A$2:$E$31,3,FALSE)</f>
        <v>East</v>
      </c>
      <c r="P1729" s="13" t="s">
        <v>192</v>
      </c>
      <c r="Q1729" s="34">
        <f t="shared" si="56"/>
        <v>906107.71000000008</v>
      </c>
      <c r="R1729" s="34" t="str">
        <f>VLOOKUP(E1729,Sales_Reps!$A$2:$E$100,3,FALSE)</f>
        <v>East</v>
      </c>
      <c r="S1729" s="34" t="str">
        <f t="shared" si="57"/>
        <v>Sports</v>
      </c>
      <c r="T1729" s="38">
        <f>VLOOKUP(D1729,Products!$A$2:$F$68,4,FALSE)</f>
        <v>147</v>
      </c>
    </row>
    <row r="1730" spans="1:20" x14ac:dyDescent="0.35">
      <c r="A1730" s="13" t="s">
        <v>2228</v>
      </c>
      <c r="B1730" s="14">
        <v>45617</v>
      </c>
      <c r="C1730" s="13" t="s">
        <v>244</v>
      </c>
      <c r="D1730" s="13" t="s">
        <v>295</v>
      </c>
      <c r="E1730" s="13" t="s">
        <v>201</v>
      </c>
      <c r="F1730" s="15">
        <v>5</v>
      </c>
      <c r="G1730" s="15">
        <v>2030</v>
      </c>
      <c r="H1730" s="15">
        <v>0.9</v>
      </c>
      <c r="I1730" s="15">
        <v>10058.65</v>
      </c>
      <c r="J1730" s="13" t="s">
        <v>140</v>
      </c>
      <c r="K1730" s="13" t="s">
        <v>94</v>
      </c>
      <c r="L1730" s="34" t="str">
        <f>VLOOKUP(D1730,Products!$A$2:$F$61,3,FALSE)</f>
        <v>Home</v>
      </c>
      <c r="M1730" s="34" t="str">
        <f>VLOOKUP(C1730,Customers!$A$2:$F$301,5,FALSE)</f>
        <v>Corporate</v>
      </c>
      <c r="N1730" s="34">
        <f>VLOOKUP(C1730,Customers!$A$2:$F$301,3,FALSE)</f>
        <v>52</v>
      </c>
      <c r="O1730" s="34" t="str">
        <f>VLOOKUP(E1730,Sales_Reps!$A$2:$E$31,3,FALSE)</f>
        <v>West</v>
      </c>
      <c r="P1730" s="13" t="s">
        <v>201</v>
      </c>
      <c r="Q1730" s="34">
        <f t="shared" si="56"/>
        <v>576305.08000000019</v>
      </c>
      <c r="R1730" s="34" t="str">
        <f>VLOOKUP(E1730,Sales_Reps!$A$2:$E$100,3,FALSE)</f>
        <v>West</v>
      </c>
      <c r="S1730" s="34" t="str">
        <f t="shared" si="57"/>
        <v>Home</v>
      </c>
      <c r="T1730" s="38">
        <f>VLOOKUP(D1730,Products!$A$2:$F$68,4,FALSE)</f>
        <v>1143</v>
      </c>
    </row>
    <row r="1731" spans="1:20" x14ac:dyDescent="0.35">
      <c r="A1731" s="13" t="s">
        <v>2229</v>
      </c>
      <c r="B1731" s="14">
        <v>45614</v>
      </c>
      <c r="C1731" s="13" t="s">
        <v>440</v>
      </c>
      <c r="D1731" s="13" t="s">
        <v>264</v>
      </c>
      <c r="E1731" s="13" t="s">
        <v>192</v>
      </c>
      <c r="F1731" s="15">
        <v>1</v>
      </c>
      <c r="G1731" s="15">
        <v>4070</v>
      </c>
      <c r="H1731" s="15">
        <v>9.3000000000000007</v>
      </c>
      <c r="I1731" s="15">
        <v>3691.49</v>
      </c>
      <c r="J1731" s="13" t="s">
        <v>144</v>
      </c>
      <c r="K1731" s="13" t="s">
        <v>88</v>
      </c>
      <c r="L1731" s="34" t="str">
        <f>VLOOKUP(D1731,Products!$A$2:$F$61,3,FALSE)</f>
        <v>Grocery</v>
      </c>
      <c r="M1731" s="34" t="str">
        <f>VLOOKUP(C1731,Customers!$A$2:$F$301,5,FALSE)</f>
        <v>SMB</v>
      </c>
      <c r="N1731" s="34">
        <f>VLOOKUP(C1731,Customers!$A$2:$F$301,3,FALSE)</f>
        <v>30</v>
      </c>
      <c r="O1731" s="34" t="str">
        <f>VLOOKUP(E1731,Sales_Reps!$A$2:$E$31,3,FALSE)</f>
        <v>East</v>
      </c>
      <c r="P1731" s="13" t="s">
        <v>192</v>
      </c>
      <c r="Q1731" s="34">
        <f t="shared" ref="Q1731:Q1794" si="58">SUMIFS($I:$I,$E:$E,P1731)</f>
        <v>906107.71000000008</v>
      </c>
      <c r="R1731" s="34" t="str">
        <f>VLOOKUP(E1731,Sales_Reps!$A$2:$E$100,3,FALSE)</f>
        <v>East</v>
      </c>
      <c r="S1731" s="34" t="str">
        <f t="shared" ref="S1731:S1794" si="59">L1731</f>
        <v>Grocery</v>
      </c>
      <c r="T1731" s="38">
        <f>VLOOKUP(D1731,Products!$A$2:$F$68,4,FALSE)</f>
        <v>2027</v>
      </c>
    </row>
    <row r="1732" spans="1:20" x14ac:dyDescent="0.35">
      <c r="A1732" s="13" t="s">
        <v>2230</v>
      </c>
      <c r="B1732" s="14">
        <v>45460</v>
      </c>
      <c r="C1732" s="13" t="s">
        <v>533</v>
      </c>
      <c r="D1732" s="13" t="s">
        <v>386</v>
      </c>
      <c r="E1732" s="13" t="s">
        <v>215</v>
      </c>
      <c r="F1732" s="15">
        <v>3</v>
      </c>
      <c r="G1732" s="15">
        <v>2290</v>
      </c>
      <c r="H1732" s="15">
        <v>12.1</v>
      </c>
      <c r="I1732" s="15">
        <v>6038.73</v>
      </c>
      <c r="J1732" s="13" t="s">
        <v>87</v>
      </c>
      <c r="K1732" s="13" t="s">
        <v>99</v>
      </c>
      <c r="L1732" s="34" t="str">
        <f>VLOOKUP(D1732,Products!$A$2:$F$61,3,FALSE)</f>
        <v>Beauty</v>
      </c>
      <c r="M1732" s="34" t="str">
        <f>VLOOKUP(C1732,Customers!$A$2:$F$301,5,FALSE)</f>
        <v>SMB</v>
      </c>
      <c r="N1732" s="34">
        <f>VLOOKUP(C1732,Customers!$A$2:$F$301,3,FALSE)</f>
        <v>48</v>
      </c>
      <c r="O1732" s="34" t="str">
        <f>VLOOKUP(E1732,Sales_Reps!$A$2:$E$31,3,FALSE)</f>
        <v>North</v>
      </c>
      <c r="P1732" s="13" t="s">
        <v>215</v>
      </c>
      <c r="Q1732" s="34">
        <f t="shared" si="58"/>
        <v>789849.60000000009</v>
      </c>
      <c r="R1732" s="34" t="str">
        <f>VLOOKUP(E1732,Sales_Reps!$A$2:$E$100,3,FALSE)</f>
        <v>North</v>
      </c>
      <c r="S1732" s="34" t="str">
        <f t="shared" si="59"/>
        <v>Beauty</v>
      </c>
      <c r="T1732" s="38">
        <f>VLOOKUP(D1732,Products!$A$2:$F$68,4,FALSE)</f>
        <v>1219</v>
      </c>
    </row>
    <row r="1733" spans="1:20" x14ac:dyDescent="0.35">
      <c r="A1733" s="13" t="s">
        <v>2231</v>
      </c>
      <c r="B1733" s="14">
        <v>45514</v>
      </c>
      <c r="C1733" s="13" t="s">
        <v>418</v>
      </c>
      <c r="D1733" s="13" t="s">
        <v>226</v>
      </c>
      <c r="E1733" s="13" t="s">
        <v>192</v>
      </c>
      <c r="F1733" s="15">
        <v>7</v>
      </c>
      <c r="G1733" s="15">
        <v>3730</v>
      </c>
      <c r="H1733" s="15">
        <v>4.5</v>
      </c>
      <c r="I1733" s="15">
        <v>24935.05</v>
      </c>
      <c r="J1733" s="13" t="s">
        <v>87</v>
      </c>
      <c r="K1733" s="13" t="s">
        <v>133</v>
      </c>
      <c r="L1733" s="34" t="str">
        <f>VLOOKUP(D1733,Products!$A$2:$F$61,3,FALSE)</f>
        <v>Home</v>
      </c>
      <c r="M1733" s="34" t="str">
        <f>VLOOKUP(C1733,Customers!$A$2:$F$301,5,FALSE)</f>
        <v>Retail</v>
      </c>
      <c r="N1733" s="34">
        <f>VLOOKUP(C1733,Customers!$A$2:$F$301,3,FALSE)</f>
        <v>22</v>
      </c>
      <c r="O1733" s="34" t="str">
        <f>VLOOKUP(E1733,Sales_Reps!$A$2:$E$31,3,FALSE)</f>
        <v>East</v>
      </c>
      <c r="P1733" s="13" t="s">
        <v>192</v>
      </c>
      <c r="Q1733" s="34">
        <f t="shared" si="58"/>
        <v>906107.71000000008</v>
      </c>
      <c r="R1733" s="34" t="str">
        <f>VLOOKUP(E1733,Sales_Reps!$A$2:$E$100,3,FALSE)</f>
        <v>East</v>
      </c>
      <c r="S1733" s="34" t="str">
        <f t="shared" si="59"/>
        <v>Home</v>
      </c>
      <c r="T1733" s="38">
        <f>VLOOKUP(D1733,Products!$A$2:$F$68,4,FALSE)</f>
        <v>2135</v>
      </c>
    </row>
    <row r="1734" spans="1:20" x14ac:dyDescent="0.35">
      <c r="A1734" s="13" t="s">
        <v>2232</v>
      </c>
      <c r="B1734" s="14">
        <v>45306</v>
      </c>
      <c r="C1734" s="13" t="s">
        <v>413</v>
      </c>
      <c r="D1734" s="13" t="s">
        <v>292</v>
      </c>
      <c r="E1734" s="13" t="s">
        <v>92</v>
      </c>
      <c r="F1734" s="15">
        <v>5</v>
      </c>
      <c r="G1734" s="15">
        <v>620</v>
      </c>
      <c r="H1734" s="15">
        <v>7.5</v>
      </c>
      <c r="I1734" s="15">
        <v>2867.5</v>
      </c>
      <c r="J1734" s="13" t="s">
        <v>87</v>
      </c>
      <c r="K1734" s="13" t="s">
        <v>88</v>
      </c>
      <c r="L1734" s="34" t="str">
        <f>VLOOKUP(D1734,Products!$A$2:$F$61,3,FALSE)</f>
        <v>Apparel</v>
      </c>
      <c r="M1734" s="34" t="str">
        <f>VLOOKUP(C1734,Customers!$A$2:$F$301,5,FALSE)</f>
        <v>Retail</v>
      </c>
      <c r="N1734" s="34">
        <f>VLOOKUP(C1734,Customers!$A$2:$F$301,3,FALSE)</f>
        <v>22</v>
      </c>
      <c r="O1734" s="34" t="str">
        <f>VLOOKUP(E1734,Sales_Reps!$A$2:$E$31,3,FALSE)</f>
        <v>North</v>
      </c>
      <c r="P1734" s="13" t="s">
        <v>92</v>
      </c>
      <c r="Q1734" s="34">
        <f t="shared" si="58"/>
        <v>782445.33</v>
      </c>
      <c r="R1734" s="34" t="str">
        <f>VLOOKUP(E1734,Sales_Reps!$A$2:$E$100,3,FALSE)</f>
        <v>North</v>
      </c>
      <c r="S1734" s="34" t="str">
        <f t="shared" si="59"/>
        <v>Apparel</v>
      </c>
      <c r="T1734" s="38">
        <f>VLOOKUP(D1734,Products!$A$2:$F$68,4,FALSE)</f>
        <v>396</v>
      </c>
    </row>
    <row r="1735" spans="1:20" x14ac:dyDescent="0.35">
      <c r="A1735" s="13" t="s">
        <v>2233</v>
      </c>
      <c r="B1735" s="14">
        <v>45455</v>
      </c>
      <c r="C1735" s="13" t="s">
        <v>382</v>
      </c>
      <c r="D1735" s="13" t="s">
        <v>135</v>
      </c>
      <c r="E1735" s="13" t="s">
        <v>132</v>
      </c>
      <c r="F1735" s="15">
        <v>8</v>
      </c>
      <c r="G1735" s="15">
        <v>2640</v>
      </c>
      <c r="H1735" s="15">
        <v>16.399999999999999</v>
      </c>
      <c r="I1735" s="15">
        <v>17656.32</v>
      </c>
      <c r="J1735" s="13" t="s">
        <v>87</v>
      </c>
      <c r="K1735" s="13" t="s">
        <v>99</v>
      </c>
      <c r="L1735" s="34" t="str">
        <f>VLOOKUP(D1735,Products!$A$2:$F$61,3,FALSE)</f>
        <v>Electronics</v>
      </c>
      <c r="M1735" s="34" t="str">
        <f>VLOOKUP(C1735,Customers!$A$2:$F$301,5,FALSE)</f>
        <v>Corporate</v>
      </c>
      <c r="N1735" s="34">
        <f>VLOOKUP(C1735,Customers!$A$2:$F$301,3,FALSE)</f>
        <v>27</v>
      </c>
      <c r="O1735" s="34" t="str">
        <f>VLOOKUP(E1735,Sales_Reps!$A$2:$E$31,3,FALSE)</f>
        <v>South</v>
      </c>
      <c r="P1735" s="13" t="s">
        <v>132</v>
      </c>
      <c r="Q1735" s="34">
        <f t="shared" si="58"/>
        <v>880345.20000000007</v>
      </c>
      <c r="R1735" s="34" t="str">
        <f>VLOOKUP(E1735,Sales_Reps!$A$2:$E$100,3,FALSE)</f>
        <v>South</v>
      </c>
      <c r="S1735" s="34" t="str">
        <f t="shared" si="59"/>
        <v>Electronics</v>
      </c>
      <c r="T1735" s="38">
        <f>VLOOKUP(D1735,Products!$A$2:$F$68,4,FALSE)</f>
        <v>1149</v>
      </c>
    </row>
    <row r="1736" spans="1:20" x14ac:dyDescent="0.35">
      <c r="A1736" s="13" t="s">
        <v>2234</v>
      </c>
      <c r="B1736" s="14">
        <v>45564</v>
      </c>
      <c r="C1736" s="13" t="s">
        <v>318</v>
      </c>
      <c r="D1736" s="13" t="s">
        <v>102</v>
      </c>
      <c r="E1736" s="13" t="s">
        <v>139</v>
      </c>
      <c r="F1736" s="15">
        <v>6</v>
      </c>
      <c r="G1736" s="15">
        <v>3660</v>
      </c>
      <c r="H1736" s="15">
        <v>6.2</v>
      </c>
      <c r="I1736" s="15">
        <v>20598.48</v>
      </c>
      <c r="J1736" s="13" t="s">
        <v>87</v>
      </c>
      <c r="K1736" s="13" t="s">
        <v>94</v>
      </c>
      <c r="L1736" s="34" t="str">
        <f>VLOOKUP(D1736,Products!$A$2:$F$61,3,FALSE)</f>
        <v>Grocery</v>
      </c>
      <c r="M1736" s="34" t="str">
        <f>VLOOKUP(C1736,Customers!$A$2:$F$301,5,FALSE)</f>
        <v>SMB</v>
      </c>
      <c r="N1736" s="34">
        <f>VLOOKUP(C1736,Customers!$A$2:$F$301,3,FALSE)</f>
        <v>57</v>
      </c>
      <c r="O1736" s="34" t="str">
        <f>VLOOKUP(E1736,Sales_Reps!$A$2:$E$31,3,FALSE)</f>
        <v>North</v>
      </c>
      <c r="P1736" s="13" t="s">
        <v>139</v>
      </c>
      <c r="Q1736" s="34">
        <f t="shared" si="58"/>
        <v>589026.2899999998</v>
      </c>
      <c r="R1736" s="34" t="str">
        <f>VLOOKUP(E1736,Sales_Reps!$A$2:$E$100,3,FALSE)</f>
        <v>North</v>
      </c>
      <c r="S1736" s="34" t="str">
        <f t="shared" si="59"/>
        <v>Grocery</v>
      </c>
      <c r="T1736" s="38">
        <f>VLOOKUP(D1736,Products!$A$2:$F$68,4,FALSE)</f>
        <v>2214</v>
      </c>
    </row>
    <row r="1737" spans="1:20" x14ac:dyDescent="0.35">
      <c r="A1737" s="13" t="s">
        <v>2235</v>
      </c>
      <c r="B1737" s="14">
        <v>45507</v>
      </c>
      <c r="C1737" s="13" t="s">
        <v>651</v>
      </c>
      <c r="D1737" s="13" t="s">
        <v>91</v>
      </c>
      <c r="E1737" s="13" t="s">
        <v>192</v>
      </c>
      <c r="F1737" s="15">
        <v>2</v>
      </c>
      <c r="G1737" s="15">
        <v>820</v>
      </c>
      <c r="H1737" s="15">
        <v>25.4</v>
      </c>
      <c r="I1737" s="15">
        <v>1223.44</v>
      </c>
      <c r="J1737" s="13" t="s">
        <v>87</v>
      </c>
      <c r="K1737" s="13" t="s">
        <v>133</v>
      </c>
      <c r="L1737" s="34" t="str">
        <f>VLOOKUP(D1737,Products!$A$2:$F$61,3,FALSE)</f>
        <v>Apparel</v>
      </c>
      <c r="M1737" s="34" t="str">
        <f>VLOOKUP(C1737,Customers!$A$2:$F$301,5,FALSE)</f>
        <v>Retail</v>
      </c>
      <c r="N1737" s="34">
        <f>VLOOKUP(C1737,Customers!$A$2:$F$301,3,FALSE)</f>
        <v>50</v>
      </c>
      <c r="O1737" s="34" t="str">
        <f>VLOOKUP(E1737,Sales_Reps!$A$2:$E$31,3,FALSE)</f>
        <v>East</v>
      </c>
      <c r="P1737" s="13" t="s">
        <v>192</v>
      </c>
      <c r="Q1737" s="34">
        <f t="shared" si="58"/>
        <v>906107.71000000008</v>
      </c>
      <c r="R1737" s="34" t="str">
        <f>VLOOKUP(E1737,Sales_Reps!$A$2:$E$100,3,FALSE)</f>
        <v>East</v>
      </c>
      <c r="S1737" s="34" t="str">
        <f t="shared" si="59"/>
        <v>Apparel</v>
      </c>
      <c r="T1737" s="38">
        <f>VLOOKUP(D1737,Products!$A$2:$F$68,4,FALSE)</f>
        <v>391</v>
      </c>
    </row>
    <row r="1738" spans="1:20" x14ac:dyDescent="0.35">
      <c r="A1738" s="13" t="s">
        <v>2236</v>
      </c>
      <c r="B1738" s="14">
        <v>45596</v>
      </c>
      <c r="C1738" s="13" t="s">
        <v>1234</v>
      </c>
      <c r="D1738" s="13" t="s">
        <v>167</v>
      </c>
      <c r="E1738" s="13" t="s">
        <v>158</v>
      </c>
      <c r="F1738" s="15">
        <v>3</v>
      </c>
      <c r="G1738" s="15">
        <v>2480</v>
      </c>
      <c r="H1738" s="15">
        <v>28.7</v>
      </c>
      <c r="I1738" s="15">
        <v>5304.72</v>
      </c>
      <c r="J1738" s="13" t="s">
        <v>93</v>
      </c>
      <c r="K1738" s="13" t="s">
        <v>112</v>
      </c>
      <c r="L1738" s="34" t="str">
        <f>VLOOKUP(D1738,Products!$A$2:$F$61,3,FALSE)</f>
        <v>Apparel</v>
      </c>
      <c r="M1738" s="34" t="str">
        <f>VLOOKUP(C1738,Customers!$A$2:$F$301,5,FALSE)</f>
        <v>Retail</v>
      </c>
      <c r="N1738" s="34">
        <f>VLOOKUP(C1738,Customers!$A$2:$F$301,3,FALSE)</f>
        <v>29</v>
      </c>
      <c r="O1738" s="34" t="str">
        <f>VLOOKUP(E1738,Sales_Reps!$A$2:$E$31,3,FALSE)</f>
        <v>East</v>
      </c>
      <c r="P1738" s="13" t="s">
        <v>158</v>
      </c>
      <c r="Q1738" s="34">
        <f t="shared" si="58"/>
        <v>761507.17000000027</v>
      </c>
      <c r="R1738" s="34" t="str">
        <f>VLOOKUP(E1738,Sales_Reps!$A$2:$E$100,3,FALSE)</f>
        <v>East</v>
      </c>
      <c r="S1738" s="34" t="str">
        <f t="shared" si="59"/>
        <v>Apparel</v>
      </c>
      <c r="T1738" s="38">
        <f>VLOOKUP(D1738,Products!$A$2:$F$68,4,FALSE)</f>
        <v>1173</v>
      </c>
    </row>
    <row r="1739" spans="1:20" x14ac:dyDescent="0.35">
      <c r="A1739" s="13" t="s">
        <v>2237</v>
      </c>
      <c r="B1739" s="14">
        <v>45534</v>
      </c>
      <c r="C1739" s="13" t="s">
        <v>823</v>
      </c>
      <c r="D1739" s="13" t="s">
        <v>241</v>
      </c>
      <c r="E1739" s="13" t="s">
        <v>128</v>
      </c>
      <c r="F1739" s="15">
        <v>10</v>
      </c>
      <c r="G1739" s="15">
        <v>6080</v>
      </c>
      <c r="H1739" s="15">
        <v>18.899999999999999</v>
      </c>
      <c r="I1739" s="15">
        <v>49308.800000000003</v>
      </c>
      <c r="J1739" s="13" t="s">
        <v>87</v>
      </c>
      <c r="K1739" s="13" t="s">
        <v>94</v>
      </c>
      <c r="L1739" s="34" t="str">
        <f>VLOOKUP(D1739,Products!$A$2:$F$61,3,FALSE)</f>
        <v>Beauty</v>
      </c>
      <c r="M1739" s="34" t="str">
        <f>VLOOKUP(C1739,Customers!$A$2:$F$301,5,FALSE)</f>
        <v>Retail</v>
      </c>
      <c r="N1739" s="34">
        <f>VLOOKUP(C1739,Customers!$A$2:$F$301,3,FALSE)</f>
        <v>32</v>
      </c>
      <c r="O1739" s="34" t="str">
        <f>VLOOKUP(E1739,Sales_Reps!$A$2:$E$31,3,FALSE)</f>
        <v>West</v>
      </c>
      <c r="P1739" s="13" t="s">
        <v>128</v>
      </c>
      <c r="Q1739" s="34">
        <f t="shared" si="58"/>
        <v>880468.05</v>
      </c>
      <c r="R1739" s="34" t="str">
        <f>VLOOKUP(E1739,Sales_Reps!$A$2:$E$100,3,FALSE)</f>
        <v>West</v>
      </c>
      <c r="S1739" s="34" t="str">
        <f t="shared" si="59"/>
        <v>Beauty</v>
      </c>
      <c r="T1739" s="38">
        <f>VLOOKUP(D1739,Products!$A$2:$F$68,4,FALSE)</f>
        <v>2617</v>
      </c>
    </row>
    <row r="1740" spans="1:20" x14ac:dyDescent="0.35">
      <c r="A1740" s="13" t="s">
        <v>2238</v>
      </c>
      <c r="B1740" s="14">
        <v>45336</v>
      </c>
      <c r="C1740" s="13" t="s">
        <v>142</v>
      </c>
      <c r="D1740" s="13" t="s">
        <v>147</v>
      </c>
      <c r="E1740" s="13" t="s">
        <v>285</v>
      </c>
      <c r="F1740" s="15">
        <v>1</v>
      </c>
      <c r="G1740" s="15">
        <v>190</v>
      </c>
      <c r="H1740" s="15">
        <v>5.7</v>
      </c>
      <c r="I1740" s="15">
        <v>179.17</v>
      </c>
      <c r="J1740" s="13" t="s">
        <v>87</v>
      </c>
      <c r="K1740" s="13" t="s">
        <v>88</v>
      </c>
      <c r="L1740" s="34" t="str">
        <f>VLOOKUP(D1740,Products!$A$2:$F$61,3,FALSE)</f>
        <v>Sports</v>
      </c>
      <c r="M1740" s="34" t="str">
        <f>VLOOKUP(C1740,Customers!$A$2:$F$301,5,FALSE)</f>
        <v>SMB</v>
      </c>
      <c r="N1740" s="34">
        <f>VLOOKUP(C1740,Customers!$A$2:$F$301,3,FALSE)</f>
        <v>39</v>
      </c>
      <c r="O1740" s="34" t="str">
        <f>VLOOKUP(E1740,Sales_Reps!$A$2:$E$31,3,FALSE)</f>
        <v>East</v>
      </c>
      <c r="P1740" s="13" t="s">
        <v>285</v>
      </c>
      <c r="Q1740" s="34">
        <f t="shared" si="58"/>
        <v>1069570.5400000003</v>
      </c>
      <c r="R1740" s="34" t="str">
        <f>VLOOKUP(E1740,Sales_Reps!$A$2:$E$100,3,FALSE)</f>
        <v>East</v>
      </c>
      <c r="S1740" s="34" t="str">
        <f t="shared" si="59"/>
        <v>Sports</v>
      </c>
      <c r="T1740" s="38">
        <f>VLOOKUP(D1740,Products!$A$2:$F$68,4,FALSE)</f>
        <v>147</v>
      </c>
    </row>
    <row r="1741" spans="1:20" x14ac:dyDescent="0.35">
      <c r="A1741" s="13" t="s">
        <v>2239</v>
      </c>
      <c r="B1741" s="14">
        <v>45463</v>
      </c>
      <c r="C1741" s="13" t="s">
        <v>210</v>
      </c>
      <c r="D1741" s="13" t="s">
        <v>461</v>
      </c>
      <c r="E1741" s="13" t="s">
        <v>201</v>
      </c>
      <c r="F1741" s="15">
        <v>2</v>
      </c>
      <c r="G1741" s="15">
        <v>3780</v>
      </c>
      <c r="H1741" s="15">
        <v>11.8</v>
      </c>
      <c r="I1741" s="15">
        <v>6667.92</v>
      </c>
      <c r="J1741" s="13" t="s">
        <v>87</v>
      </c>
      <c r="K1741" s="13" t="s">
        <v>99</v>
      </c>
      <c r="L1741" s="34" t="str">
        <f>VLOOKUP(D1741,Products!$A$2:$F$61,3,FALSE)</f>
        <v>Sports</v>
      </c>
      <c r="M1741" s="34" t="str">
        <f>VLOOKUP(C1741,Customers!$A$2:$F$301,5,FALSE)</f>
        <v>Retail</v>
      </c>
      <c r="N1741" s="34">
        <f>VLOOKUP(C1741,Customers!$A$2:$F$301,3,FALSE)</f>
        <v>41</v>
      </c>
      <c r="O1741" s="34" t="str">
        <f>VLOOKUP(E1741,Sales_Reps!$A$2:$E$31,3,FALSE)</f>
        <v>West</v>
      </c>
      <c r="P1741" s="13" t="s">
        <v>201</v>
      </c>
      <c r="Q1741" s="34">
        <f t="shared" si="58"/>
        <v>576305.08000000019</v>
      </c>
      <c r="R1741" s="34" t="str">
        <f>VLOOKUP(E1741,Sales_Reps!$A$2:$E$100,3,FALSE)</f>
        <v>West</v>
      </c>
      <c r="S1741" s="34" t="str">
        <f t="shared" si="59"/>
        <v>Sports</v>
      </c>
      <c r="T1741" s="38">
        <f>VLOOKUP(D1741,Products!$A$2:$F$68,4,FALSE)</f>
        <v>1860</v>
      </c>
    </row>
    <row r="1742" spans="1:20" x14ac:dyDescent="0.35">
      <c r="A1742" s="13" t="s">
        <v>2240</v>
      </c>
      <c r="B1742" s="14">
        <v>45602</v>
      </c>
      <c r="C1742" s="13" t="s">
        <v>247</v>
      </c>
      <c r="D1742" s="13" t="s">
        <v>143</v>
      </c>
      <c r="E1742" s="13" t="s">
        <v>215</v>
      </c>
      <c r="F1742" s="15">
        <v>5</v>
      </c>
      <c r="G1742" s="15">
        <v>3250</v>
      </c>
      <c r="H1742" s="15">
        <v>19.899999999999999</v>
      </c>
      <c r="I1742" s="15">
        <v>13016.25</v>
      </c>
      <c r="J1742" s="13" t="s">
        <v>87</v>
      </c>
      <c r="K1742" s="13" t="s">
        <v>117</v>
      </c>
      <c r="L1742" s="34" t="str">
        <f>VLOOKUP(D1742,Products!$A$2:$F$61,3,FALSE)</f>
        <v>Home</v>
      </c>
      <c r="M1742" s="34" t="str">
        <f>VLOOKUP(C1742,Customers!$A$2:$F$301,5,FALSE)</f>
        <v>Retail</v>
      </c>
      <c r="N1742" s="34">
        <f>VLOOKUP(C1742,Customers!$A$2:$F$301,3,FALSE)</f>
        <v>34</v>
      </c>
      <c r="O1742" s="34" t="str">
        <f>VLOOKUP(E1742,Sales_Reps!$A$2:$E$31,3,FALSE)</f>
        <v>North</v>
      </c>
      <c r="P1742" s="13" t="s">
        <v>215</v>
      </c>
      <c r="Q1742" s="34">
        <f t="shared" si="58"/>
        <v>789849.60000000009</v>
      </c>
      <c r="R1742" s="34" t="str">
        <f>VLOOKUP(E1742,Sales_Reps!$A$2:$E$100,3,FALSE)</f>
        <v>North</v>
      </c>
      <c r="S1742" s="34" t="str">
        <f t="shared" si="59"/>
        <v>Home</v>
      </c>
      <c r="T1742" s="38">
        <f>VLOOKUP(D1742,Products!$A$2:$F$68,4,FALSE)</f>
        <v>1556</v>
      </c>
    </row>
    <row r="1743" spans="1:20" x14ac:dyDescent="0.35">
      <c r="A1743" s="13" t="s">
        <v>2241</v>
      </c>
      <c r="B1743" s="14">
        <v>45365</v>
      </c>
      <c r="C1743" s="13" t="s">
        <v>1890</v>
      </c>
      <c r="D1743" s="13" t="s">
        <v>295</v>
      </c>
      <c r="E1743" s="13" t="s">
        <v>107</v>
      </c>
      <c r="F1743" s="15">
        <v>7</v>
      </c>
      <c r="G1743" s="15">
        <v>2030</v>
      </c>
      <c r="H1743" s="15">
        <v>4.0999999999999996</v>
      </c>
      <c r="I1743" s="15">
        <v>13627.39</v>
      </c>
      <c r="J1743" s="13" t="s">
        <v>87</v>
      </c>
      <c r="K1743" s="13" t="s">
        <v>133</v>
      </c>
      <c r="L1743" s="34" t="str">
        <f>VLOOKUP(D1743,Products!$A$2:$F$61,3,FALSE)</f>
        <v>Home</v>
      </c>
      <c r="M1743" s="34" t="str">
        <f>VLOOKUP(C1743,Customers!$A$2:$F$301,5,FALSE)</f>
        <v>SMB</v>
      </c>
      <c r="N1743" s="34">
        <f>VLOOKUP(C1743,Customers!$A$2:$F$301,3,FALSE)</f>
        <v>34</v>
      </c>
      <c r="O1743" s="34" t="str">
        <f>VLOOKUP(E1743,Sales_Reps!$A$2:$E$31,3,FALSE)</f>
        <v>North</v>
      </c>
      <c r="P1743" s="13" t="s">
        <v>107</v>
      </c>
      <c r="Q1743" s="34">
        <f t="shared" si="58"/>
        <v>861553.33</v>
      </c>
      <c r="R1743" s="34" t="str">
        <f>VLOOKUP(E1743,Sales_Reps!$A$2:$E$100,3,FALSE)</f>
        <v>North</v>
      </c>
      <c r="S1743" s="34" t="str">
        <f t="shared" si="59"/>
        <v>Home</v>
      </c>
      <c r="T1743" s="38">
        <f>VLOOKUP(D1743,Products!$A$2:$F$68,4,FALSE)</f>
        <v>1143</v>
      </c>
    </row>
    <row r="1744" spans="1:20" x14ac:dyDescent="0.35">
      <c r="A1744" s="13" t="s">
        <v>2242</v>
      </c>
      <c r="B1744" s="14">
        <v>45651</v>
      </c>
      <c r="C1744" s="13" t="s">
        <v>697</v>
      </c>
      <c r="D1744" s="13" t="s">
        <v>184</v>
      </c>
      <c r="E1744" s="13" t="s">
        <v>325</v>
      </c>
      <c r="F1744" s="15">
        <v>5</v>
      </c>
      <c r="G1744" s="15">
        <v>4880</v>
      </c>
      <c r="H1744" s="15">
        <v>22.9</v>
      </c>
      <c r="I1744" s="15">
        <v>18812.400000000001</v>
      </c>
      <c r="J1744" s="13" t="s">
        <v>87</v>
      </c>
      <c r="K1744" s="13" t="s">
        <v>133</v>
      </c>
      <c r="L1744" s="34" t="str">
        <f>VLOOKUP(D1744,Products!$A$2:$F$61,3,FALSE)</f>
        <v>Beauty</v>
      </c>
      <c r="M1744" s="34" t="str">
        <f>VLOOKUP(C1744,Customers!$A$2:$F$301,5,FALSE)</f>
        <v>Retail</v>
      </c>
      <c r="N1744" s="34">
        <f>VLOOKUP(C1744,Customers!$A$2:$F$301,3,FALSE)</f>
        <v>65</v>
      </c>
      <c r="O1744" s="34" t="str">
        <f>VLOOKUP(E1744,Sales_Reps!$A$2:$E$31,3,FALSE)</f>
        <v>South</v>
      </c>
      <c r="P1744" s="13" t="s">
        <v>325</v>
      </c>
      <c r="Q1744" s="34">
        <f t="shared" si="58"/>
        <v>901394.32000000007</v>
      </c>
      <c r="R1744" s="34" t="str">
        <f>VLOOKUP(E1744,Sales_Reps!$A$2:$E$100,3,FALSE)</f>
        <v>South</v>
      </c>
      <c r="S1744" s="34" t="str">
        <f t="shared" si="59"/>
        <v>Beauty</v>
      </c>
      <c r="T1744" s="38">
        <f>VLOOKUP(D1744,Products!$A$2:$F$68,4,FALSE)</f>
        <v>2768</v>
      </c>
    </row>
    <row r="1745" spans="1:20" x14ac:dyDescent="0.35">
      <c r="A1745" s="13" t="s">
        <v>2243</v>
      </c>
      <c r="B1745" s="14">
        <v>45297</v>
      </c>
      <c r="C1745" s="13" t="s">
        <v>741</v>
      </c>
      <c r="D1745" s="13" t="s">
        <v>179</v>
      </c>
      <c r="E1745" s="13" t="s">
        <v>192</v>
      </c>
      <c r="F1745" s="15">
        <v>3</v>
      </c>
      <c r="G1745" s="15">
        <v>3350</v>
      </c>
      <c r="H1745" s="15">
        <v>15.2</v>
      </c>
      <c r="I1745" s="15">
        <v>8522.4</v>
      </c>
      <c r="J1745" s="13" t="s">
        <v>93</v>
      </c>
      <c r="K1745" s="13" t="s">
        <v>133</v>
      </c>
      <c r="L1745" s="34" t="str">
        <f>VLOOKUP(D1745,Products!$A$2:$F$61,3,FALSE)</f>
        <v>Beauty</v>
      </c>
      <c r="M1745" s="34" t="str">
        <f>VLOOKUP(C1745,Customers!$A$2:$F$301,5,FALSE)</f>
        <v>SMB</v>
      </c>
      <c r="N1745" s="34">
        <f>VLOOKUP(C1745,Customers!$A$2:$F$301,3,FALSE)</f>
        <v>29</v>
      </c>
      <c r="O1745" s="34" t="str">
        <f>VLOOKUP(E1745,Sales_Reps!$A$2:$E$31,3,FALSE)</f>
        <v>East</v>
      </c>
      <c r="P1745" s="13" t="s">
        <v>192</v>
      </c>
      <c r="Q1745" s="34">
        <f t="shared" si="58"/>
        <v>906107.71000000008</v>
      </c>
      <c r="R1745" s="34" t="str">
        <f>VLOOKUP(E1745,Sales_Reps!$A$2:$E$100,3,FALSE)</f>
        <v>East</v>
      </c>
      <c r="S1745" s="34" t="str">
        <f t="shared" si="59"/>
        <v>Beauty</v>
      </c>
      <c r="T1745" s="38">
        <f>VLOOKUP(D1745,Products!$A$2:$F$68,4,FALSE)</f>
        <v>1728</v>
      </c>
    </row>
    <row r="1746" spans="1:20" x14ac:dyDescent="0.35">
      <c r="A1746" s="13" t="s">
        <v>2244</v>
      </c>
      <c r="B1746" s="14">
        <v>45425</v>
      </c>
      <c r="C1746" s="13" t="s">
        <v>507</v>
      </c>
      <c r="D1746" s="13" t="s">
        <v>195</v>
      </c>
      <c r="E1746" s="13" t="s">
        <v>229</v>
      </c>
      <c r="F1746" s="15">
        <v>10</v>
      </c>
      <c r="G1746" s="15">
        <v>2860</v>
      </c>
      <c r="H1746" s="15">
        <v>15</v>
      </c>
      <c r="I1746" s="15">
        <v>24310</v>
      </c>
      <c r="J1746" s="13" t="s">
        <v>87</v>
      </c>
      <c r="K1746" s="13" t="s">
        <v>88</v>
      </c>
      <c r="L1746" s="34" t="str">
        <f>VLOOKUP(D1746,Products!$A$2:$F$61,3,FALSE)</f>
        <v>Sports</v>
      </c>
      <c r="M1746" s="34" t="str">
        <f>VLOOKUP(C1746,Customers!$A$2:$F$301,5,FALSE)</f>
        <v>Retail</v>
      </c>
      <c r="N1746" s="34">
        <f>VLOOKUP(C1746,Customers!$A$2:$F$301,3,FALSE)</f>
        <v>59</v>
      </c>
      <c r="O1746" s="34" t="str">
        <f>VLOOKUP(E1746,Sales_Reps!$A$2:$E$31,3,FALSE)</f>
        <v>West</v>
      </c>
      <c r="P1746" s="13" t="s">
        <v>229</v>
      </c>
      <c r="Q1746" s="34">
        <f t="shared" si="58"/>
        <v>1016696.8000000002</v>
      </c>
      <c r="R1746" s="34" t="str">
        <f>VLOOKUP(E1746,Sales_Reps!$A$2:$E$100,3,FALSE)</f>
        <v>West</v>
      </c>
      <c r="S1746" s="34" t="str">
        <f t="shared" si="59"/>
        <v>Sports</v>
      </c>
      <c r="T1746" s="38">
        <f>VLOOKUP(D1746,Products!$A$2:$F$68,4,FALSE)</f>
        <v>2028</v>
      </c>
    </row>
    <row r="1747" spans="1:20" x14ac:dyDescent="0.35">
      <c r="A1747" s="13" t="s">
        <v>2245</v>
      </c>
      <c r="B1747" s="14">
        <v>45444</v>
      </c>
      <c r="C1747" s="13" t="s">
        <v>310</v>
      </c>
      <c r="D1747" s="13" t="s">
        <v>157</v>
      </c>
      <c r="E1747" s="13" t="s">
        <v>303</v>
      </c>
      <c r="F1747" s="15">
        <v>5</v>
      </c>
      <c r="G1747" s="15">
        <v>3450</v>
      </c>
      <c r="H1747" s="15">
        <v>2.2999999999999998</v>
      </c>
      <c r="I1747" s="15">
        <v>16853.25</v>
      </c>
      <c r="J1747" s="13" t="s">
        <v>87</v>
      </c>
      <c r="K1747" s="13" t="s">
        <v>117</v>
      </c>
      <c r="L1747" s="34" t="str">
        <f>VLOOKUP(D1747,Products!$A$2:$F$61,3,FALSE)</f>
        <v>Beauty</v>
      </c>
      <c r="M1747" s="34" t="str">
        <f>VLOOKUP(C1747,Customers!$A$2:$F$301,5,FALSE)</f>
        <v>Retail</v>
      </c>
      <c r="N1747" s="34">
        <f>VLOOKUP(C1747,Customers!$A$2:$F$301,3,FALSE)</f>
        <v>42</v>
      </c>
      <c r="O1747" s="34" t="str">
        <f>VLOOKUP(E1747,Sales_Reps!$A$2:$E$31,3,FALSE)</f>
        <v>East</v>
      </c>
      <c r="P1747" s="13" t="s">
        <v>303</v>
      </c>
      <c r="Q1747" s="34">
        <f t="shared" si="58"/>
        <v>1112289.6400000001</v>
      </c>
      <c r="R1747" s="34" t="str">
        <f>VLOOKUP(E1747,Sales_Reps!$A$2:$E$100,3,FALSE)</f>
        <v>East</v>
      </c>
      <c r="S1747" s="34" t="str">
        <f t="shared" si="59"/>
        <v>Beauty</v>
      </c>
      <c r="T1747" s="38">
        <f>VLOOKUP(D1747,Products!$A$2:$F$68,4,FALSE)</f>
        <v>2420</v>
      </c>
    </row>
    <row r="1748" spans="1:20" x14ac:dyDescent="0.35">
      <c r="A1748" s="13" t="s">
        <v>2246</v>
      </c>
      <c r="B1748" s="14">
        <v>45397</v>
      </c>
      <c r="C1748" s="13" t="s">
        <v>194</v>
      </c>
      <c r="D1748" s="13" t="s">
        <v>131</v>
      </c>
      <c r="E1748" s="13" t="s">
        <v>188</v>
      </c>
      <c r="F1748" s="15">
        <v>3</v>
      </c>
      <c r="G1748" s="15">
        <v>2270</v>
      </c>
      <c r="H1748" s="15">
        <v>2.8</v>
      </c>
      <c r="I1748" s="15">
        <v>6619.32</v>
      </c>
      <c r="J1748" s="13" t="s">
        <v>93</v>
      </c>
      <c r="K1748" s="13" t="s">
        <v>88</v>
      </c>
      <c r="L1748" s="34" t="str">
        <f>VLOOKUP(D1748,Products!$A$2:$F$61,3,FALSE)</f>
        <v>Grocery</v>
      </c>
      <c r="M1748" s="34" t="str">
        <f>VLOOKUP(C1748,Customers!$A$2:$F$301,5,FALSE)</f>
        <v>SMB</v>
      </c>
      <c r="N1748" s="34">
        <f>VLOOKUP(C1748,Customers!$A$2:$F$301,3,FALSE)</f>
        <v>44</v>
      </c>
      <c r="O1748" s="34" t="str">
        <f>VLOOKUP(E1748,Sales_Reps!$A$2:$E$31,3,FALSE)</f>
        <v>South</v>
      </c>
      <c r="P1748" s="13" t="s">
        <v>188</v>
      </c>
      <c r="Q1748" s="34">
        <f t="shared" si="58"/>
        <v>1091740.1799999997</v>
      </c>
      <c r="R1748" s="34" t="str">
        <f>VLOOKUP(E1748,Sales_Reps!$A$2:$E$100,3,FALSE)</f>
        <v>South</v>
      </c>
      <c r="S1748" s="34" t="str">
        <f t="shared" si="59"/>
        <v>Grocery</v>
      </c>
      <c r="T1748" s="38">
        <f>VLOOKUP(D1748,Products!$A$2:$F$68,4,FALSE)</f>
        <v>1203</v>
      </c>
    </row>
    <row r="1749" spans="1:20" x14ac:dyDescent="0.35">
      <c r="A1749" s="13" t="s">
        <v>2247</v>
      </c>
      <c r="B1749" s="14">
        <v>45354</v>
      </c>
      <c r="C1749" s="13" t="s">
        <v>781</v>
      </c>
      <c r="D1749" s="13" t="s">
        <v>102</v>
      </c>
      <c r="E1749" s="13" t="s">
        <v>86</v>
      </c>
      <c r="F1749" s="15">
        <v>8</v>
      </c>
      <c r="G1749" s="15">
        <v>3660</v>
      </c>
      <c r="H1749" s="15">
        <v>16.8</v>
      </c>
      <c r="I1749" s="15">
        <v>24360.959999999999</v>
      </c>
      <c r="J1749" s="13" t="s">
        <v>87</v>
      </c>
      <c r="K1749" s="13" t="s">
        <v>99</v>
      </c>
      <c r="L1749" s="34" t="str">
        <f>VLOOKUP(D1749,Products!$A$2:$F$61,3,FALSE)</f>
        <v>Grocery</v>
      </c>
      <c r="M1749" s="34" t="str">
        <f>VLOOKUP(C1749,Customers!$A$2:$F$301,5,FALSE)</f>
        <v>SMB</v>
      </c>
      <c r="N1749" s="34">
        <f>VLOOKUP(C1749,Customers!$A$2:$F$301,3,FALSE)</f>
        <v>29</v>
      </c>
      <c r="O1749" s="34" t="str">
        <f>VLOOKUP(E1749,Sales_Reps!$A$2:$E$31,3,FALSE)</f>
        <v>North</v>
      </c>
      <c r="P1749" s="13" t="s">
        <v>86</v>
      </c>
      <c r="Q1749" s="34">
        <f t="shared" si="58"/>
        <v>855749.67999999982</v>
      </c>
      <c r="R1749" s="34" t="str">
        <f>VLOOKUP(E1749,Sales_Reps!$A$2:$E$100,3,FALSE)</f>
        <v>North</v>
      </c>
      <c r="S1749" s="34" t="str">
        <f t="shared" si="59"/>
        <v>Grocery</v>
      </c>
      <c r="T1749" s="38">
        <f>VLOOKUP(D1749,Products!$A$2:$F$68,4,FALSE)</f>
        <v>2214</v>
      </c>
    </row>
    <row r="1750" spans="1:20" x14ac:dyDescent="0.35">
      <c r="A1750" s="13" t="s">
        <v>2248</v>
      </c>
      <c r="B1750" s="14">
        <v>45469</v>
      </c>
      <c r="C1750" s="13" t="s">
        <v>615</v>
      </c>
      <c r="D1750" s="13" t="s">
        <v>276</v>
      </c>
      <c r="E1750" s="13" t="s">
        <v>107</v>
      </c>
      <c r="F1750" s="15">
        <v>7</v>
      </c>
      <c r="G1750" s="15">
        <v>3020</v>
      </c>
      <c r="H1750" s="15">
        <v>17.8</v>
      </c>
      <c r="I1750" s="15">
        <v>17377.080000000002</v>
      </c>
      <c r="J1750" s="13" t="s">
        <v>87</v>
      </c>
      <c r="K1750" s="13" t="s">
        <v>112</v>
      </c>
      <c r="L1750" s="34" t="str">
        <f>VLOOKUP(D1750,Products!$A$2:$F$61,3,FALSE)</f>
        <v>Beauty</v>
      </c>
      <c r="M1750" s="34" t="str">
        <f>VLOOKUP(C1750,Customers!$A$2:$F$301,5,FALSE)</f>
        <v>Retail</v>
      </c>
      <c r="N1750" s="34">
        <f>VLOOKUP(C1750,Customers!$A$2:$F$301,3,FALSE)</f>
        <v>53</v>
      </c>
      <c r="O1750" s="34" t="str">
        <f>VLOOKUP(E1750,Sales_Reps!$A$2:$E$31,3,FALSE)</f>
        <v>North</v>
      </c>
      <c r="P1750" s="13" t="s">
        <v>107</v>
      </c>
      <c r="Q1750" s="34">
        <f t="shared" si="58"/>
        <v>861553.33</v>
      </c>
      <c r="R1750" s="34" t="str">
        <f>VLOOKUP(E1750,Sales_Reps!$A$2:$E$100,3,FALSE)</f>
        <v>North</v>
      </c>
      <c r="S1750" s="34" t="str">
        <f t="shared" si="59"/>
        <v>Beauty</v>
      </c>
      <c r="T1750" s="38">
        <f>VLOOKUP(D1750,Products!$A$2:$F$68,4,FALSE)</f>
        <v>1626</v>
      </c>
    </row>
    <row r="1751" spans="1:20" x14ac:dyDescent="0.35">
      <c r="A1751" s="13" t="s">
        <v>2249</v>
      </c>
      <c r="B1751" s="14">
        <v>45587</v>
      </c>
      <c r="C1751" s="13" t="s">
        <v>1261</v>
      </c>
      <c r="D1751" s="13" t="s">
        <v>164</v>
      </c>
      <c r="E1751" s="13" t="s">
        <v>98</v>
      </c>
      <c r="F1751" s="15">
        <v>7</v>
      </c>
      <c r="G1751" s="15">
        <v>1080</v>
      </c>
      <c r="H1751" s="15">
        <v>12.9</v>
      </c>
      <c r="I1751" s="15">
        <v>6584.76</v>
      </c>
      <c r="J1751" s="13" t="s">
        <v>87</v>
      </c>
      <c r="K1751" s="13" t="s">
        <v>117</v>
      </c>
      <c r="L1751" s="34" t="str">
        <f>VLOOKUP(D1751,Products!$A$2:$F$61,3,FALSE)</f>
        <v>Home</v>
      </c>
      <c r="M1751" s="34" t="str">
        <f>VLOOKUP(C1751,Customers!$A$2:$F$301,5,FALSE)</f>
        <v>Retail</v>
      </c>
      <c r="N1751" s="34">
        <f>VLOOKUP(C1751,Customers!$A$2:$F$301,3,FALSE)</f>
        <v>54</v>
      </c>
      <c r="O1751" s="34" t="str">
        <f>VLOOKUP(E1751,Sales_Reps!$A$2:$E$31,3,FALSE)</f>
        <v>South</v>
      </c>
      <c r="P1751" s="13" t="s">
        <v>98</v>
      </c>
      <c r="Q1751" s="34">
        <f t="shared" si="58"/>
        <v>995713.54000000015</v>
      </c>
      <c r="R1751" s="34" t="str">
        <f>VLOOKUP(E1751,Sales_Reps!$A$2:$E$100,3,FALSE)</f>
        <v>South</v>
      </c>
      <c r="S1751" s="34" t="str">
        <f t="shared" si="59"/>
        <v>Home</v>
      </c>
      <c r="T1751" s="38">
        <f>VLOOKUP(D1751,Products!$A$2:$F$68,4,FALSE)</f>
        <v>519</v>
      </c>
    </row>
    <row r="1752" spans="1:20" x14ac:dyDescent="0.35">
      <c r="A1752" s="13" t="s">
        <v>2250</v>
      </c>
      <c r="B1752" s="14">
        <v>45494</v>
      </c>
      <c r="C1752" s="13" t="s">
        <v>565</v>
      </c>
      <c r="D1752" s="13" t="s">
        <v>245</v>
      </c>
      <c r="E1752" s="13" t="s">
        <v>325</v>
      </c>
      <c r="F1752" s="15">
        <v>2</v>
      </c>
      <c r="G1752" s="15">
        <v>2270</v>
      </c>
      <c r="H1752" s="15">
        <v>8.6</v>
      </c>
      <c r="I1752" s="15">
        <v>4149.5600000000004</v>
      </c>
      <c r="J1752" s="13" t="s">
        <v>140</v>
      </c>
      <c r="K1752" s="13" t="s">
        <v>112</v>
      </c>
      <c r="L1752" s="34" t="str">
        <f>VLOOKUP(D1752,Products!$A$2:$F$61,3,FALSE)</f>
        <v>Grocery</v>
      </c>
      <c r="M1752" s="34" t="str">
        <f>VLOOKUP(C1752,Customers!$A$2:$F$301,5,FALSE)</f>
        <v>SMB</v>
      </c>
      <c r="N1752" s="34">
        <f>VLOOKUP(C1752,Customers!$A$2:$F$301,3,FALSE)</f>
        <v>61</v>
      </c>
      <c r="O1752" s="34" t="str">
        <f>VLOOKUP(E1752,Sales_Reps!$A$2:$E$31,3,FALSE)</f>
        <v>South</v>
      </c>
      <c r="P1752" s="13" t="s">
        <v>325</v>
      </c>
      <c r="Q1752" s="34">
        <f t="shared" si="58"/>
        <v>901394.32000000007</v>
      </c>
      <c r="R1752" s="34" t="str">
        <f>VLOOKUP(E1752,Sales_Reps!$A$2:$E$100,3,FALSE)</f>
        <v>South</v>
      </c>
      <c r="S1752" s="34" t="str">
        <f t="shared" si="59"/>
        <v>Grocery</v>
      </c>
      <c r="T1752" s="38">
        <f>VLOOKUP(D1752,Products!$A$2:$F$68,4,FALSE)</f>
        <v>1412</v>
      </c>
    </row>
    <row r="1753" spans="1:20" x14ac:dyDescent="0.35">
      <c r="A1753" s="13" t="s">
        <v>2251</v>
      </c>
      <c r="B1753" s="14">
        <v>45445</v>
      </c>
      <c r="C1753" s="13" t="s">
        <v>390</v>
      </c>
      <c r="D1753" s="13" t="s">
        <v>292</v>
      </c>
      <c r="E1753" s="13" t="s">
        <v>325</v>
      </c>
      <c r="F1753" s="15">
        <v>10</v>
      </c>
      <c r="G1753" s="15">
        <v>620</v>
      </c>
      <c r="H1753" s="15">
        <v>26.1</v>
      </c>
      <c r="I1753" s="15">
        <v>4581.8</v>
      </c>
      <c r="J1753" s="13" t="s">
        <v>87</v>
      </c>
      <c r="K1753" s="13" t="s">
        <v>88</v>
      </c>
      <c r="L1753" s="34" t="str">
        <f>VLOOKUP(D1753,Products!$A$2:$F$61,3,FALSE)</f>
        <v>Apparel</v>
      </c>
      <c r="M1753" s="34" t="str">
        <f>VLOOKUP(C1753,Customers!$A$2:$F$301,5,FALSE)</f>
        <v>SMB</v>
      </c>
      <c r="N1753" s="34">
        <f>VLOOKUP(C1753,Customers!$A$2:$F$301,3,FALSE)</f>
        <v>54</v>
      </c>
      <c r="O1753" s="34" t="str">
        <f>VLOOKUP(E1753,Sales_Reps!$A$2:$E$31,3,FALSE)</f>
        <v>South</v>
      </c>
      <c r="P1753" s="13" t="s">
        <v>325</v>
      </c>
      <c r="Q1753" s="34">
        <f t="shared" si="58"/>
        <v>901394.32000000007</v>
      </c>
      <c r="R1753" s="34" t="str">
        <f>VLOOKUP(E1753,Sales_Reps!$A$2:$E$100,3,FALSE)</f>
        <v>South</v>
      </c>
      <c r="S1753" s="34" t="str">
        <f t="shared" si="59"/>
        <v>Apparel</v>
      </c>
      <c r="T1753" s="38">
        <f>VLOOKUP(D1753,Products!$A$2:$F$68,4,FALSE)</f>
        <v>396</v>
      </c>
    </row>
    <row r="1754" spans="1:20" x14ac:dyDescent="0.35">
      <c r="A1754" s="13" t="s">
        <v>2252</v>
      </c>
      <c r="B1754" s="14">
        <v>45561</v>
      </c>
      <c r="C1754" s="13" t="s">
        <v>606</v>
      </c>
      <c r="D1754" s="13" t="s">
        <v>351</v>
      </c>
      <c r="E1754" s="13" t="s">
        <v>188</v>
      </c>
      <c r="F1754" s="15">
        <v>2</v>
      </c>
      <c r="G1754" s="15">
        <v>4060</v>
      </c>
      <c r="H1754" s="15">
        <v>3.8</v>
      </c>
      <c r="I1754" s="15">
        <v>7811.44</v>
      </c>
      <c r="J1754" s="13" t="s">
        <v>87</v>
      </c>
      <c r="K1754" s="13" t="s">
        <v>112</v>
      </c>
      <c r="L1754" s="34" t="str">
        <f>VLOOKUP(D1754,Products!$A$2:$F$61,3,FALSE)</f>
        <v>Grocery</v>
      </c>
      <c r="M1754" s="34" t="str">
        <f>VLOOKUP(C1754,Customers!$A$2:$F$301,5,FALSE)</f>
        <v>Retail</v>
      </c>
      <c r="N1754" s="34">
        <f>VLOOKUP(C1754,Customers!$A$2:$F$301,3,FALSE)</f>
        <v>52</v>
      </c>
      <c r="O1754" s="34" t="str">
        <f>VLOOKUP(E1754,Sales_Reps!$A$2:$E$31,3,FALSE)</f>
        <v>South</v>
      </c>
      <c r="P1754" s="13" t="s">
        <v>188</v>
      </c>
      <c r="Q1754" s="34">
        <f t="shared" si="58"/>
        <v>1091740.1799999997</v>
      </c>
      <c r="R1754" s="34" t="str">
        <f>VLOOKUP(E1754,Sales_Reps!$A$2:$E$100,3,FALSE)</f>
        <v>South</v>
      </c>
      <c r="S1754" s="34" t="str">
        <f t="shared" si="59"/>
        <v>Grocery</v>
      </c>
      <c r="T1754" s="38">
        <f>VLOOKUP(D1754,Products!$A$2:$F$68,4,FALSE)</f>
        <v>2911</v>
      </c>
    </row>
    <row r="1755" spans="1:20" x14ac:dyDescent="0.35">
      <c r="A1755" s="13" t="s">
        <v>2253</v>
      </c>
      <c r="B1755" s="14">
        <v>45488</v>
      </c>
      <c r="C1755" s="13" t="s">
        <v>278</v>
      </c>
      <c r="D1755" s="13" t="s">
        <v>234</v>
      </c>
      <c r="E1755" s="13" t="s">
        <v>325</v>
      </c>
      <c r="F1755" s="15">
        <v>1</v>
      </c>
      <c r="G1755" s="15">
        <v>3780</v>
      </c>
      <c r="H1755" s="15">
        <v>27.9</v>
      </c>
      <c r="I1755" s="15">
        <v>2725.38</v>
      </c>
      <c r="J1755" s="13" t="s">
        <v>87</v>
      </c>
      <c r="K1755" s="13" t="s">
        <v>133</v>
      </c>
      <c r="L1755" s="34" t="str">
        <f>VLOOKUP(D1755,Products!$A$2:$F$61,3,FALSE)</f>
        <v>Grocery</v>
      </c>
      <c r="M1755" s="34" t="str">
        <f>VLOOKUP(C1755,Customers!$A$2:$F$301,5,FALSE)</f>
        <v>Corporate</v>
      </c>
      <c r="N1755" s="34">
        <f>VLOOKUP(C1755,Customers!$A$2:$F$301,3,FALSE)</f>
        <v>29</v>
      </c>
      <c r="O1755" s="34" t="str">
        <f>VLOOKUP(E1755,Sales_Reps!$A$2:$E$31,3,FALSE)</f>
        <v>South</v>
      </c>
      <c r="P1755" s="13" t="s">
        <v>325</v>
      </c>
      <c r="Q1755" s="34">
        <f t="shared" si="58"/>
        <v>901394.32000000007</v>
      </c>
      <c r="R1755" s="34" t="str">
        <f>VLOOKUP(E1755,Sales_Reps!$A$2:$E$100,3,FALSE)</f>
        <v>South</v>
      </c>
      <c r="S1755" s="34" t="str">
        <f t="shared" si="59"/>
        <v>Grocery</v>
      </c>
      <c r="T1755" s="38">
        <f>VLOOKUP(D1755,Products!$A$2:$F$68,4,FALSE)</f>
        <v>2436</v>
      </c>
    </row>
    <row r="1756" spans="1:20" x14ac:dyDescent="0.35">
      <c r="A1756" s="13" t="s">
        <v>2254</v>
      </c>
      <c r="B1756" s="14">
        <v>45617</v>
      </c>
      <c r="C1756" s="13" t="s">
        <v>258</v>
      </c>
      <c r="D1756" s="13" t="s">
        <v>367</v>
      </c>
      <c r="E1756" s="13" t="s">
        <v>285</v>
      </c>
      <c r="F1756" s="15">
        <v>8</v>
      </c>
      <c r="G1756" s="15">
        <v>2380</v>
      </c>
      <c r="H1756" s="15">
        <v>3.8</v>
      </c>
      <c r="I1756" s="15">
        <v>18316.48</v>
      </c>
      <c r="J1756" s="13" t="s">
        <v>87</v>
      </c>
      <c r="K1756" s="13" t="s">
        <v>99</v>
      </c>
      <c r="L1756" s="34" t="str">
        <f>VLOOKUP(D1756,Products!$A$2:$F$61,3,FALSE)</f>
        <v>Grocery</v>
      </c>
      <c r="M1756" s="34" t="str">
        <f>VLOOKUP(C1756,Customers!$A$2:$F$301,5,FALSE)</f>
        <v>SMB</v>
      </c>
      <c r="N1756" s="34">
        <f>VLOOKUP(C1756,Customers!$A$2:$F$301,3,FALSE)</f>
        <v>55</v>
      </c>
      <c r="O1756" s="34" t="str">
        <f>VLOOKUP(E1756,Sales_Reps!$A$2:$E$31,3,FALSE)</f>
        <v>East</v>
      </c>
      <c r="P1756" s="13" t="s">
        <v>285</v>
      </c>
      <c r="Q1756" s="34">
        <f t="shared" si="58"/>
        <v>1069570.5400000003</v>
      </c>
      <c r="R1756" s="34" t="str">
        <f>VLOOKUP(E1756,Sales_Reps!$A$2:$E$100,3,FALSE)</f>
        <v>East</v>
      </c>
      <c r="S1756" s="34" t="str">
        <f t="shared" si="59"/>
        <v>Grocery</v>
      </c>
      <c r="T1756" s="38">
        <f>VLOOKUP(D1756,Products!$A$2:$F$68,4,FALSE)</f>
        <v>1182</v>
      </c>
    </row>
    <row r="1757" spans="1:20" x14ac:dyDescent="0.35">
      <c r="A1757" s="13" t="s">
        <v>2255</v>
      </c>
      <c r="B1757" s="14">
        <v>45378</v>
      </c>
      <c r="C1757" s="13" t="s">
        <v>289</v>
      </c>
      <c r="D1757" s="13" t="s">
        <v>264</v>
      </c>
      <c r="E1757" s="13" t="s">
        <v>116</v>
      </c>
      <c r="F1757" s="15">
        <v>7</v>
      </c>
      <c r="G1757" s="15">
        <v>4070</v>
      </c>
      <c r="H1757" s="15">
        <v>0.3</v>
      </c>
      <c r="I1757" s="15">
        <v>28404.53</v>
      </c>
      <c r="J1757" s="13" t="s">
        <v>87</v>
      </c>
      <c r="K1757" s="13" t="s">
        <v>94</v>
      </c>
      <c r="L1757" s="34" t="str">
        <f>VLOOKUP(D1757,Products!$A$2:$F$61,3,FALSE)</f>
        <v>Grocery</v>
      </c>
      <c r="M1757" s="34" t="str">
        <f>VLOOKUP(C1757,Customers!$A$2:$F$301,5,FALSE)</f>
        <v>Retail</v>
      </c>
      <c r="N1757" s="34">
        <f>VLOOKUP(C1757,Customers!$A$2:$F$301,3,FALSE)</f>
        <v>38</v>
      </c>
      <c r="O1757" s="34" t="str">
        <f>VLOOKUP(E1757,Sales_Reps!$A$2:$E$31,3,FALSE)</f>
        <v>West</v>
      </c>
      <c r="P1757" s="13" t="s">
        <v>116</v>
      </c>
      <c r="Q1757" s="34">
        <f t="shared" si="58"/>
        <v>819558.58</v>
      </c>
      <c r="R1757" s="34" t="str">
        <f>VLOOKUP(E1757,Sales_Reps!$A$2:$E$100,3,FALSE)</f>
        <v>West</v>
      </c>
      <c r="S1757" s="34" t="str">
        <f t="shared" si="59"/>
        <v>Grocery</v>
      </c>
      <c r="T1757" s="38">
        <f>VLOOKUP(D1757,Products!$A$2:$F$68,4,FALSE)</f>
        <v>2027</v>
      </c>
    </row>
    <row r="1758" spans="1:20" x14ac:dyDescent="0.35">
      <c r="A1758" s="13" t="s">
        <v>2256</v>
      </c>
      <c r="B1758" s="14">
        <v>45459</v>
      </c>
      <c r="C1758" s="13" t="s">
        <v>1234</v>
      </c>
      <c r="D1758" s="13" t="s">
        <v>135</v>
      </c>
      <c r="E1758" s="13" t="s">
        <v>192</v>
      </c>
      <c r="F1758" s="15">
        <v>6</v>
      </c>
      <c r="G1758" s="15">
        <v>2640</v>
      </c>
      <c r="H1758" s="15">
        <v>3.4</v>
      </c>
      <c r="I1758" s="15">
        <v>15301.44</v>
      </c>
      <c r="J1758" s="13" t="s">
        <v>87</v>
      </c>
      <c r="K1758" s="13" t="s">
        <v>112</v>
      </c>
      <c r="L1758" s="34" t="str">
        <f>VLOOKUP(D1758,Products!$A$2:$F$61,3,FALSE)</f>
        <v>Electronics</v>
      </c>
      <c r="M1758" s="34" t="str">
        <f>VLOOKUP(C1758,Customers!$A$2:$F$301,5,FALSE)</f>
        <v>Retail</v>
      </c>
      <c r="N1758" s="34">
        <f>VLOOKUP(C1758,Customers!$A$2:$F$301,3,FALSE)</f>
        <v>29</v>
      </c>
      <c r="O1758" s="34" t="str">
        <f>VLOOKUP(E1758,Sales_Reps!$A$2:$E$31,3,FALSE)</f>
        <v>East</v>
      </c>
      <c r="P1758" s="13" t="s">
        <v>192</v>
      </c>
      <c r="Q1758" s="34">
        <f t="shared" si="58"/>
        <v>906107.71000000008</v>
      </c>
      <c r="R1758" s="34" t="str">
        <f>VLOOKUP(E1758,Sales_Reps!$A$2:$E$100,3,FALSE)</f>
        <v>East</v>
      </c>
      <c r="S1758" s="34" t="str">
        <f t="shared" si="59"/>
        <v>Electronics</v>
      </c>
      <c r="T1758" s="38">
        <f>VLOOKUP(D1758,Products!$A$2:$F$68,4,FALSE)</f>
        <v>1149</v>
      </c>
    </row>
    <row r="1759" spans="1:20" x14ac:dyDescent="0.35">
      <c r="A1759" s="13" t="s">
        <v>2257</v>
      </c>
      <c r="B1759" s="14">
        <v>45377</v>
      </c>
      <c r="C1759" s="13" t="s">
        <v>181</v>
      </c>
      <c r="D1759" s="13" t="s">
        <v>461</v>
      </c>
      <c r="E1759" s="13" t="s">
        <v>170</v>
      </c>
      <c r="F1759" s="15">
        <v>10</v>
      </c>
      <c r="G1759" s="15">
        <v>3780</v>
      </c>
      <c r="H1759" s="15">
        <v>13.3</v>
      </c>
      <c r="I1759" s="15">
        <v>32772.6</v>
      </c>
      <c r="J1759" s="13" t="s">
        <v>87</v>
      </c>
      <c r="K1759" s="13" t="s">
        <v>99</v>
      </c>
      <c r="L1759" s="34" t="str">
        <f>VLOOKUP(D1759,Products!$A$2:$F$61,3,FALSE)</f>
        <v>Sports</v>
      </c>
      <c r="M1759" s="34" t="str">
        <f>VLOOKUP(C1759,Customers!$A$2:$F$301,5,FALSE)</f>
        <v>Retail</v>
      </c>
      <c r="N1759" s="34">
        <f>VLOOKUP(C1759,Customers!$A$2:$F$301,3,FALSE)</f>
        <v>31</v>
      </c>
      <c r="O1759" s="34" t="str">
        <f>VLOOKUP(E1759,Sales_Reps!$A$2:$E$31,3,FALSE)</f>
        <v>West</v>
      </c>
      <c r="P1759" s="13" t="s">
        <v>170</v>
      </c>
      <c r="Q1759" s="34">
        <f t="shared" si="58"/>
        <v>747624.36999999988</v>
      </c>
      <c r="R1759" s="34" t="str">
        <f>VLOOKUP(E1759,Sales_Reps!$A$2:$E$100,3,FALSE)</f>
        <v>West</v>
      </c>
      <c r="S1759" s="34" t="str">
        <f t="shared" si="59"/>
        <v>Sports</v>
      </c>
      <c r="T1759" s="38">
        <f>VLOOKUP(D1759,Products!$A$2:$F$68,4,FALSE)</f>
        <v>1860</v>
      </c>
    </row>
    <row r="1760" spans="1:20" x14ac:dyDescent="0.35">
      <c r="A1760" s="13" t="s">
        <v>2258</v>
      </c>
      <c r="B1760" s="14">
        <v>45302</v>
      </c>
      <c r="C1760" s="13" t="s">
        <v>872</v>
      </c>
      <c r="D1760" s="13" t="s">
        <v>179</v>
      </c>
      <c r="E1760" s="13" t="s">
        <v>204</v>
      </c>
      <c r="F1760" s="15">
        <v>9</v>
      </c>
      <c r="G1760" s="15">
        <v>3350</v>
      </c>
      <c r="H1760" s="15">
        <v>12.8</v>
      </c>
      <c r="I1760" s="15">
        <v>26290.799999999999</v>
      </c>
      <c r="J1760" s="13" t="s">
        <v>87</v>
      </c>
      <c r="K1760" s="13" t="s">
        <v>112</v>
      </c>
      <c r="L1760" s="34" t="str">
        <f>VLOOKUP(D1760,Products!$A$2:$F$61,3,FALSE)</f>
        <v>Beauty</v>
      </c>
      <c r="M1760" s="34" t="str">
        <f>VLOOKUP(C1760,Customers!$A$2:$F$301,5,FALSE)</f>
        <v>Corporate</v>
      </c>
      <c r="N1760" s="34">
        <f>VLOOKUP(C1760,Customers!$A$2:$F$301,3,FALSE)</f>
        <v>62</v>
      </c>
      <c r="O1760" s="34" t="str">
        <f>VLOOKUP(E1760,Sales_Reps!$A$2:$E$31,3,FALSE)</f>
        <v>South</v>
      </c>
      <c r="P1760" s="13" t="s">
        <v>204</v>
      </c>
      <c r="Q1760" s="34">
        <f t="shared" si="58"/>
        <v>914554.71999999986</v>
      </c>
      <c r="R1760" s="34" t="str">
        <f>VLOOKUP(E1760,Sales_Reps!$A$2:$E$100,3,FALSE)</f>
        <v>South</v>
      </c>
      <c r="S1760" s="34" t="str">
        <f t="shared" si="59"/>
        <v>Beauty</v>
      </c>
      <c r="T1760" s="38">
        <f>VLOOKUP(D1760,Products!$A$2:$F$68,4,FALSE)</f>
        <v>1728</v>
      </c>
    </row>
    <row r="1761" spans="1:20" x14ac:dyDescent="0.35">
      <c r="A1761" s="13" t="s">
        <v>2259</v>
      </c>
      <c r="B1761" s="14">
        <v>45459</v>
      </c>
      <c r="C1761" s="13" t="s">
        <v>676</v>
      </c>
      <c r="D1761" s="13" t="s">
        <v>106</v>
      </c>
      <c r="E1761" s="13" t="s">
        <v>116</v>
      </c>
      <c r="F1761" s="15">
        <v>7</v>
      </c>
      <c r="G1761" s="15">
        <v>3160</v>
      </c>
      <c r="H1761" s="15">
        <v>15.3</v>
      </c>
      <c r="I1761" s="15">
        <v>18735.64</v>
      </c>
      <c r="J1761" s="13" t="s">
        <v>87</v>
      </c>
      <c r="K1761" s="13" t="s">
        <v>88</v>
      </c>
      <c r="L1761" s="34" t="str">
        <f>VLOOKUP(D1761,Products!$A$2:$F$61,3,FALSE)</f>
        <v>Apparel</v>
      </c>
      <c r="M1761" s="34" t="str">
        <f>VLOOKUP(C1761,Customers!$A$2:$F$301,5,FALSE)</f>
        <v>SMB</v>
      </c>
      <c r="N1761" s="34">
        <f>VLOOKUP(C1761,Customers!$A$2:$F$301,3,FALSE)</f>
        <v>35</v>
      </c>
      <c r="O1761" s="34" t="str">
        <f>VLOOKUP(E1761,Sales_Reps!$A$2:$E$31,3,FALSE)</f>
        <v>West</v>
      </c>
      <c r="P1761" s="13" t="s">
        <v>116</v>
      </c>
      <c r="Q1761" s="34">
        <f t="shared" si="58"/>
        <v>819558.58</v>
      </c>
      <c r="R1761" s="34" t="str">
        <f>VLOOKUP(E1761,Sales_Reps!$A$2:$E$100,3,FALSE)</f>
        <v>West</v>
      </c>
      <c r="S1761" s="34" t="str">
        <f t="shared" si="59"/>
        <v>Apparel</v>
      </c>
      <c r="T1761" s="38">
        <f>VLOOKUP(D1761,Products!$A$2:$F$68,4,FALSE)</f>
        <v>1886</v>
      </c>
    </row>
    <row r="1762" spans="1:20" x14ac:dyDescent="0.35">
      <c r="A1762" s="13" t="s">
        <v>2260</v>
      </c>
      <c r="B1762" s="14">
        <v>45428</v>
      </c>
      <c r="C1762" s="13" t="s">
        <v>983</v>
      </c>
      <c r="D1762" s="13" t="s">
        <v>195</v>
      </c>
      <c r="E1762" s="13" t="s">
        <v>139</v>
      </c>
      <c r="F1762" s="15">
        <v>6</v>
      </c>
      <c r="G1762" s="15">
        <v>2860</v>
      </c>
      <c r="H1762" s="15">
        <v>17.5</v>
      </c>
      <c r="I1762" s="15">
        <v>14157</v>
      </c>
      <c r="J1762" s="13" t="s">
        <v>87</v>
      </c>
      <c r="K1762" s="13" t="s">
        <v>117</v>
      </c>
      <c r="L1762" s="34" t="str">
        <f>VLOOKUP(D1762,Products!$A$2:$F$61,3,FALSE)</f>
        <v>Sports</v>
      </c>
      <c r="M1762" s="34" t="str">
        <f>VLOOKUP(C1762,Customers!$A$2:$F$301,5,FALSE)</f>
        <v>SMB</v>
      </c>
      <c r="N1762" s="34">
        <f>VLOOKUP(C1762,Customers!$A$2:$F$301,3,FALSE)</f>
        <v>36</v>
      </c>
      <c r="O1762" s="34" t="str">
        <f>VLOOKUP(E1762,Sales_Reps!$A$2:$E$31,3,FALSE)</f>
        <v>North</v>
      </c>
      <c r="P1762" s="13" t="s">
        <v>139</v>
      </c>
      <c r="Q1762" s="34">
        <f t="shared" si="58"/>
        <v>589026.2899999998</v>
      </c>
      <c r="R1762" s="34" t="str">
        <f>VLOOKUP(E1762,Sales_Reps!$A$2:$E$100,3,FALSE)</f>
        <v>North</v>
      </c>
      <c r="S1762" s="34" t="str">
        <f t="shared" si="59"/>
        <v>Sports</v>
      </c>
      <c r="T1762" s="38">
        <f>VLOOKUP(D1762,Products!$A$2:$F$68,4,FALSE)</f>
        <v>2028</v>
      </c>
    </row>
    <row r="1763" spans="1:20" x14ac:dyDescent="0.35">
      <c r="A1763" s="13" t="s">
        <v>2261</v>
      </c>
      <c r="B1763" s="14">
        <v>45341</v>
      </c>
      <c r="C1763" s="13" t="s">
        <v>757</v>
      </c>
      <c r="D1763" s="13" t="s">
        <v>282</v>
      </c>
      <c r="E1763" s="13" t="s">
        <v>132</v>
      </c>
      <c r="F1763" s="15">
        <v>9</v>
      </c>
      <c r="G1763" s="15">
        <v>300</v>
      </c>
      <c r="H1763" s="15">
        <v>25.2</v>
      </c>
      <c r="I1763" s="15">
        <v>2019.6</v>
      </c>
      <c r="J1763" s="13" t="s">
        <v>87</v>
      </c>
      <c r="K1763" s="13" t="s">
        <v>117</v>
      </c>
      <c r="L1763" s="34" t="str">
        <f>VLOOKUP(D1763,Products!$A$2:$F$61,3,FALSE)</f>
        <v>Electronics</v>
      </c>
      <c r="M1763" s="34" t="str">
        <f>VLOOKUP(C1763,Customers!$A$2:$F$301,5,FALSE)</f>
        <v>Corporate</v>
      </c>
      <c r="N1763" s="34">
        <f>VLOOKUP(C1763,Customers!$A$2:$F$301,3,FALSE)</f>
        <v>43</v>
      </c>
      <c r="O1763" s="34" t="str">
        <f>VLOOKUP(E1763,Sales_Reps!$A$2:$E$31,3,FALSE)</f>
        <v>South</v>
      </c>
      <c r="P1763" s="13" t="s">
        <v>132</v>
      </c>
      <c r="Q1763" s="34">
        <f t="shared" si="58"/>
        <v>880345.20000000007</v>
      </c>
      <c r="R1763" s="34" t="str">
        <f>VLOOKUP(E1763,Sales_Reps!$A$2:$E$100,3,FALSE)</f>
        <v>South</v>
      </c>
      <c r="S1763" s="34" t="str">
        <f t="shared" si="59"/>
        <v>Electronics</v>
      </c>
      <c r="T1763" s="38">
        <f>VLOOKUP(D1763,Products!$A$2:$F$68,4,FALSE)</f>
        <v>128</v>
      </c>
    </row>
    <row r="1764" spans="1:20" x14ac:dyDescent="0.35">
      <c r="A1764" s="13" t="s">
        <v>2262</v>
      </c>
      <c r="B1764" s="14">
        <v>45296</v>
      </c>
      <c r="C1764" s="13" t="s">
        <v>977</v>
      </c>
      <c r="D1764" s="13" t="s">
        <v>147</v>
      </c>
      <c r="E1764" s="13" t="s">
        <v>192</v>
      </c>
      <c r="F1764" s="15">
        <v>5</v>
      </c>
      <c r="G1764" s="15">
        <v>190</v>
      </c>
      <c r="H1764" s="15">
        <v>1.8</v>
      </c>
      <c r="I1764" s="15">
        <v>932.9</v>
      </c>
      <c r="J1764" s="13" t="s">
        <v>87</v>
      </c>
      <c r="K1764" s="13" t="s">
        <v>88</v>
      </c>
      <c r="L1764" s="34" t="str">
        <f>VLOOKUP(D1764,Products!$A$2:$F$61,3,FALSE)</f>
        <v>Sports</v>
      </c>
      <c r="M1764" s="34" t="str">
        <f>VLOOKUP(C1764,Customers!$A$2:$F$301,5,FALSE)</f>
        <v>Corporate</v>
      </c>
      <c r="N1764" s="34">
        <f>VLOOKUP(C1764,Customers!$A$2:$F$301,3,FALSE)</f>
        <v>29</v>
      </c>
      <c r="O1764" s="34" t="str">
        <f>VLOOKUP(E1764,Sales_Reps!$A$2:$E$31,3,FALSE)</f>
        <v>East</v>
      </c>
      <c r="P1764" s="13" t="s">
        <v>192</v>
      </c>
      <c r="Q1764" s="34">
        <f t="shared" si="58"/>
        <v>906107.71000000008</v>
      </c>
      <c r="R1764" s="34" t="str">
        <f>VLOOKUP(E1764,Sales_Reps!$A$2:$E$100,3,FALSE)</f>
        <v>East</v>
      </c>
      <c r="S1764" s="34" t="str">
        <f t="shared" si="59"/>
        <v>Sports</v>
      </c>
      <c r="T1764" s="38">
        <f>VLOOKUP(D1764,Products!$A$2:$F$68,4,FALSE)</f>
        <v>147</v>
      </c>
    </row>
    <row r="1765" spans="1:20" x14ac:dyDescent="0.35">
      <c r="A1765" s="13" t="s">
        <v>2263</v>
      </c>
      <c r="B1765" s="14">
        <v>45533</v>
      </c>
      <c r="C1765" s="13" t="s">
        <v>442</v>
      </c>
      <c r="D1765" s="13" t="s">
        <v>182</v>
      </c>
      <c r="E1765" s="13" t="s">
        <v>158</v>
      </c>
      <c r="F1765" s="15">
        <v>7</v>
      </c>
      <c r="G1765" s="15">
        <v>1010</v>
      </c>
      <c r="H1765" s="15">
        <v>11.2</v>
      </c>
      <c r="I1765" s="15">
        <v>6278.16</v>
      </c>
      <c r="J1765" s="13" t="s">
        <v>87</v>
      </c>
      <c r="K1765" s="13" t="s">
        <v>88</v>
      </c>
      <c r="L1765" s="34" t="str">
        <f>VLOOKUP(D1765,Products!$A$2:$F$61,3,FALSE)</f>
        <v>Sports</v>
      </c>
      <c r="M1765" s="34" t="str">
        <f>VLOOKUP(C1765,Customers!$A$2:$F$301,5,FALSE)</f>
        <v>Retail</v>
      </c>
      <c r="N1765" s="34">
        <f>VLOOKUP(C1765,Customers!$A$2:$F$301,3,FALSE)</f>
        <v>65</v>
      </c>
      <c r="O1765" s="34" t="str">
        <f>VLOOKUP(E1765,Sales_Reps!$A$2:$E$31,3,FALSE)</f>
        <v>East</v>
      </c>
      <c r="P1765" s="13" t="s">
        <v>158</v>
      </c>
      <c r="Q1765" s="34">
        <f t="shared" si="58"/>
        <v>761507.17000000027</v>
      </c>
      <c r="R1765" s="34" t="str">
        <f>VLOOKUP(E1765,Sales_Reps!$A$2:$E$100,3,FALSE)</f>
        <v>East</v>
      </c>
      <c r="S1765" s="34" t="str">
        <f t="shared" si="59"/>
        <v>Sports</v>
      </c>
      <c r="T1765" s="38">
        <f>VLOOKUP(D1765,Products!$A$2:$F$68,4,FALSE)</f>
        <v>516</v>
      </c>
    </row>
    <row r="1766" spans="1:20" x14ac:dyDescent="0.35">
      <c r="A1766" s="13" t="s">
        <v>2264</v>
      </c>
      <c r="B1766" s="14">
        <v>45515</v>
      </c>
      <c r="C1766" s="13" t="s">
        <v>219</v>
      </c>
      <c r="D1766" s="13" t="s">
        <v>161</v>
      </c>
      <c r="E1766" s="13" t="s">
        <v>215</v>
      </c>
      <c r="F1766" s="15">
        <v>8</v>
      </c>
      <c r="G1766" s="15">
        <v>3450</v>
      </c>
      <c r="H1766" s="15">
        <v>8.4</v>
      </c>
      <c r="I1766" s="15">
        <v>25281.599999999999</v>
      </c>
      <c r="J1766" s="13" t="s">
        <v>87</v>
      </c>
      <c r="K1766" s="13" t="s">
        <v>99</v>
      </c>
      <c r="L1766" s="34" t="str">
        <f>VLOOKUP(D1766,Products!$A$2:$F$61,3,FALSE)</f>
        <v>Sports</v>
      </c>
      <c r="M1766" s="34" t="str">
        <f>VLOOKUP(C1766,Customers!$A$2:$F$301,5,FALSE)</f>
        <v>SMB</v>
      </c>
      <c r="N1766" s="34">
        <f>VLOOKUP(C1766,Customers!$A$2:$F$301,3,FALSE)</f>
        <v>50</v>
      </c>
      <c r="O1766" s="34" t="str">
        <f>VLOOKUP(E1766,Sales_Reps!$A$2:$E$31,3,FALSE)</f>
        <v>North</v>
      </c>
      <c r="P1766" s="13" t="s">
        <v>215</v>
      </c>
      <c r="Q1766" s="34">
        <f t="shared" si="58"/>
        <v>789849.60000000009</v>
      </c>
      <c r="R1766" s="34" t="str">
        <f>VLOOKUP(E1766,Sales_Reps!$A$2:$E$100,3,FALSE)</f>
        <v>North</v>
      </c>
      <c r="S1766" s="34" t="str">
        <f t="shared" si="59"/>
        <v>Sports</v>
      </c>
      <c r="T1766" s="38">
        <f>VLOOKUP(D1766,Products!$A$2:$F$68,4,FALSE)</f>
        <v>2467</v>
      </c>
    </row>
    <row r="1767" spans="1:20" x14ac:dyDescent="0.35">
      <c r="A1767" s="13" t="s">
        <v>2265</v>
      </c>
      <c r="B1767" s="14">
        <v>45597</v>
      </c>
      <c r="C1767" s="13" t="s">
        <v>986</v>
      </c>
      <c r="D1767" s="13" t="s">
        <v>282</v>
      </c>
      <c r="E1767" s="13" t="s">
        <v>215</v>
      </c>
      <c r="F1767" s="15">
        <v>3</v>
      </c>
      <c r="G1767" s="15">
        <v>300</v>
      </c>
      <c r="H1767" s="15">
        <v>7.5</v>
      </c>
      <c r="I1767" s="15">
        <v>832.5</v>
      </c>
      <c r="J1767" s="13" t="s">
        <v>144</v>
      </c>
      <c r="K1767" s="13" t="s">
        <v>94</v>
      </c>
      <c r="L1767" s="34" t="str">
        <f>VLOOKUP(D1767,Products!$A$2:$F$61,3,FALSE)</f>
        <v>Electronics</v>
      </c>
      <c r="M1767" s="34" t="str">
        <f>VLOOKUP(C1767,Customers!$A$2:$F$301,5,FALSE)</f>
        <v>Corporate</v>
      </c>
      <c r="N1767" s="34">
        <f>VLOOKUP(C1767,Customers!$A$2:$F$301,3,FALSE)</f>
        <v>52</v>
      </c>
      <c r="O1767" s="34" t="str">
        <f>VLOOKUP(E1767,Sales_Reps!$A$2:$E$31,3,FALSE)</f>
        <v>North</v>
      </c>
      <c r="P1767" s="13" t="s">
        <v>215</v>
      </c>
      <c r="Q1767" s="34">
        <f t="shared" si="58"/>
        <v>789849.60000000009</v>
      </c>
      <c r="R1767" s="34" t="str">
        <f>VLOOKUP(E1767,Sales_Reps!$A$2:$E$100,3,FALSE)</f>
        <v>North</v>
      </c>
      <c r="S1767" s="34" t="str">
        <f t="shared" si="59"/>
        <v>Electronics</v>
      </c>
      <c r="T1767" s="38">
        <f>VLOOKUP(D1767,Products!$A$2:$F$68,4,FALSE)</f>
        <v>128</v>
      </c>
    </row>
    <row r="1768" spans="1:20" x14ac:dyDescent="0.35">
      <c r="A1768" s="13" t="s">
        <v>2266</v>
      </c>
      <c r="B1768" s="14">
        <v>45370</v>
      </c>
      <c r="C1768" s="13" t="s">
        <v>228</v>
      </c>
      <c r="D1768" s="13" t="s">
        <v>226</v>
      </c>
      <c r="E1768" s="13" t="s">
        <v>303</v>
      </c>
      <c r="F1768" s="15">
        <v>4</v>
      </c>
      <c r="G1768" s="15">
        <v>3730</v>
      </c>
      <c r="H1768" s="15">
        <v>24.8</v>
      </c>
      <c r="I1768" s="15">
        <v>11219.84</v>
      </c>
      <c r="J1768" s="13" t="s">
        <v>87</v>
      </c>
      <c r="K1768" s="13" t="s">
        <v>112</v>
      </c>
      <c r="L1768" s="34" t="str">
        <f>VLOOKUP(D1768,Products!$A$2:$F$61,3,FALSE)</f>
        <v>Home</v>
      </c>
      <c r="M1768" s="34" t="str">
        <f>VLOOKUP(C1768,Customers!$A$2:$F$301,5,FALSE)</f>
        <v>SMB</v>
      </c>
      <c r="N1768" s="34">
        <f>VLOOKUP(C1768,Customers!$A$2:$F$301,3,FALSE)</f>
        <v>54</v>
      </c>
      <c r="O1768" s="34" t="str">
        <f>VLOOKUP(E1768,Sales_Reps!$A$2:$E$31,3,FALSE)</f>
        <v>East</v>
      </c>
      <c r="P1768" s="13" t="s">
        <v>303</v>
      </c>
      <c r="Q1768" s="34">
        <f t="shared" si="58"/>
        <v>1112289.6400000001</v>
      </c>
      <c r="R1768" s="34" t="str">
        <f>VLOOKUP(E1768,Sales_Reps!$A$2:$E$100,3,FALSE)</f>
        <v>East</v>
      </c>
      <c r="S1768" s="34" t="str">
        <f t="shared" si="59"/>
        <v>Home</v>
      </c>
      <c r="T1768" s="38">
        <f>VLOOKUP(D1768,Products!$A$2:$F$68,4,FALSE)</f>
        <v>2135</v>
      </c>
    </row>
    <row r="1769" spans="1:20" x14ac:dyDescent="0.35">
      <c r="A1769" s="13" t="s">
        <v>2267</v>
      </c>
      <c r="B1769" s="14">
        <v>45462</v>
      </c>
      <c r="C1769" s="13" t="s">
        <v>178</v>
      </c>
      <c r="D1769" s="13" t="s">
        <v>151</v>
      </c>
      <c r="E1769" s="13" t="s">
        <v>192</v>
      </c>
      <c r="F1769" s="15">
        <v>5</v>
      </c>
      <c r="G1769" s="15">
        <v>2400</v>
      </c>
      <c r="H1769" s="15">
        <v>9.1999999999999993</v>
      </c>
      <c r="I1769" s="15">
        <v>10896</v>
      </c>
      <c r="J1769" s="13" t="s">
        <v>87</v>
      </c>
      <c r="K1769" s="13" t="s">
        <v>94</v>
      </c>
      <c r="L1769" s="34" t="str">
        <f>VLOOKUP(D1769,Products!$A$2:$F$61,3,FALSE)</f>
        <v>Sports</v>
      </c>
      <c r="M1769" s="34" t="str">
        <f>VLOOKUP(C1769,Customers!$A$2:$F$301,5,FALSE)</f>
        <v>Corporate</v>
      </c>
      <c r="N1769" s="34">
        <f>VLOOKUP(C1769,Customers!$A$2:$F$301,3,FALSE)</f>
        <v>55</v>
      </c>
      <c r="O1769" s="34" t="str">
        <f>VLOOKUP(E1769,Sales_Reps!$A$2:$E$31,3,FALSE)</f>
        <v>East</v>
      </c>
      <c r="P1769" s="13" t="s">
        <v>192</v>
      </c>
      <c r="Q1769" s="34">
        <f t="shared" si="58"/>
        <v>906107.71000000008</v>
      </c>
      <c r="R1769" s="34" t="str">
        <f>VLOOKUP(E1769,Sales_Reps!$A$2:$E$100,3,FALSE)</f>
        <v>East</v>
      </c>
      <c r="S1769" s="34" t="str">
        <f t="shared" si="59"/>
        <v>Sports</v>
      </c>
      <c r="T1769" s="38">
        <f>VLOOKUP(D1769,Products!$A$2:$F$68,4,FALSE)</f>
        <v>974</v>
      </c>
    </row>
    <row r="1770" spans="1:20" x14ac:dyDescent="0.35">
      <c r="A1770" s="13" t="s">
        <v>2268</v>
      </c>
      <c r="B1770" s="14">
        <v>45609</v>
      </c>
      <c r="C1770" s="13" t="s">
        <v>403</v>
      </c>
      <c r="D1770" s="13" t="s">
        <v>200</v>
      </c>
      <c r="E1770" s="13" t="s">
        <v>215</v>
      </c>
      <c r="F1770" s="15">
        <v>3</v>
      </c>
      <c r="G1770" s="15">
        <v>2760</v>
      </c>
      <c r="H1770" s="15">
        <v>2.4</v>
      </c>
      <c r="I1770" s="15">
        <v>8081.28</v>
      </c>
      <c r="J1770" s="13" t="s">
        <v>87</v>
      </c>
      <c r="K1770" s="13" t="s">
        <v>117</v>
      </c>
      <c r="L1770" s="34" t="str">
        <f>VLOOKUP(D1770,Products!$A$2:$F$61,3,FALSE)</f>
        <v>Grocery</v>
      </c>
      <c r="M1770" s="34" t="str">
        <f>VLOOKUP(C1770,Customers!$A$2:$F$301,5,FALSE)</f>
        <v>Retail</v>
      </c>
      <c r="N1770" s="34">
        <f>VLOOKUP(C1770,Customers!$A$2:$F$301,3,FALSE)</f>
        <v>59</v>
      </c>
      <c r="O1770" s="34" t="str">
        <f>VLOOKUP(E1770,Sales_Reps!$A$2:$E$31,3,FALSE)</f>
        <v>North</v>
      </c>
      <c r="P1770" s="13" t="s">
        <v>215</v>
      </c>
      <c r="Q1770" s="34">
        <f t="shared" si="58"/>
        <v>789849.60000000009</v>
      </c>
      <c r="R1770" s="34" t="str">
        <f>VLOOKUP(E1770,Sales_Reps!$A$2:$E$100,3,FALSE)</f>
        <v>North</v>
      </c>
      <c r="S1770" s="34" t="str">
        <f t="shared" si="59"/>
        <v>Grocery</v>
      </c>
      <c r="T1770" s="38">
        <f>VLOOKUP(D1770,Products!$A$2:$F$68,4,FALSE)</f>
        <v>1435</v>
      </c>
    </row>
    <row r="1771" spans="1:20" x14ac:dyDescent="0.35">
      <c r="A1771" s="13" t="s">
        <v>667</v>
      </c>
      <c r="B1771" s="14">
        <v>45548</v>
      </c>
      <c r="C1771" s="13" t="s">
        <v>208</v>
      </c>
      <c r="D1771" s="13" t="s">
        <v>97</v>
      </c>
      <c r="E1771" s="13" t="s">
        <v>204</v>
      </c>
      <c r="F1771" s="15">
        <v>8</v>
      </c>
      <c r="G1771" s="15">
        <v>470</v>
      </c>
      <c r="H1771" s="15">
        <v>24.8</v>
      </c>
      <c r="I1771" s="15">
        <v>2827.52</v>
      </c>
      <c r="J1771" s="13" t="s">
        <v>93</v>
      </c>
      <c r="K1771" s="13" t="s">
        <v>133</v>
      </c>
      <c r="L1771" s="34" t="str">
        <f>VLOOKUP(D1771,Products!$A$2:$F$61,3,FALSE)</f>
        <v>Sports</v>
      </c>
      <c r="M1771" s="34" t="str">
        <f>VLOOKUP(C1771,Customers!$A$2:$F$301,5,FALSE)</f>
        <v>Retail</v>
      </c>
      <c r="N1771" s="34">
        <f>VLOOKUP(C1771,Customers!$A$2:$F$301,3,FALSE)</f>
        <v>26</v>
      </c>
      <c r="O1771" s="34" t="str">
        <f>VLOOKUP(E1771,Sales_Reps!$A$2:$E$31,3,FALSE)</f>
        <v>South</v>
      </c>
      <c r="P1771" s="13" t="s">
        <v>204</v>
      </c>
      <c r="Q1771" s="34">
        <f t="shared" si="58"/>
        <v>914554.71999999986</v>
      </c>
      <c r="R1771" s="34" t="str">
        <f>VLOOKUP(E1771,Sales_Reps!$A$2:$E$100,3,FALSE)</f>
        <v>South</v>
      </c>
      <c r="S1771" s="34" t="str">
        <f t="shared" si="59"/>
        <v>Sports</v>
      </c>
      <c r="T1771" s="38">
        <f>VLOOKUP(D1771,Products!$A$2:$F$68,4,FALSE)</f>
        <v>302</v>
      </c>
    </row>
    <row r="1772" spans="1:20" x14ac:dyDescent="0.35">
      <c r="A1772" s="13" t="s">
        <v>2269</v>
      </c>
      <c r="B1772" s="14">
        <v>45633</v>
      </c>
      <c r="C1772" s="13" t="s">
        <v>602</v>
      </c>
      <c r="D1772" s="13" t="s">
        <v>97</v>
      </c>
      <c r="E1772" s="13" t="s">
        <v>343</v>
      </c>
      <c r="F1772" s="15">
        <v>3</v>
      </c>
      <c r="G1772" s="15">
        <v>470</v>
      </c>
      <c r="H1772" s="15">
        <v>18.600000000000001</v>
      </c>
      <c r="I1772" s="15">
        <v>1147.74</v>
      </c>
      <c r="J1772" s="13" t="s">
        <v>87</v>
      </c>
      <c r="K1772" s="13" t="s">
        <v>94</v>
      </c>
      <c r="L1772" s="34" t="str">
        <f>VLOOKUP(D1772,Products!$A$2:$F$61,3,FALSE)</f>
        <v>Sports</v>
      </c>
      <c r="M1772" s="34" t="str">
        <f>VLOOKUP(C1772,Customers!$A$2:$F$301,5,FALSE)</f>
        <v>Retail</v>
      </c>
      <c r="N1772" s="34">
        <f>VLOOKUP(C1772,Customers!$A$2:$F$301,3,FALSE)</f>
        <v>61</v>
      </c>
      <c r="O1772" s="34" t="str">
        <f>VLOOKUP(E1772,Sales_Reps!$A$2:$E$31,3,FALSE)</f>
        <v>West</v>
      </c>
      <c r="P1772" s="13" t="s">
        <v>343</v>
      </c>
      <c r="Q1772" s="34">
        <f t="shared" si="58"/>
        <v>917092.61999999965</v>
      </c>
      <c r="R1772" s="34" t="str">
        <f>VLOOKUP(E1772,Sales_Reps!$A$2:$E$100,3,FALSE)</f>
        <v>West</v>
      </c>
      <c r="S1772" s="34" t="str">
        <f t="shared" si="59"/>
        <v>Sports</v>
      </c>
      <c r="T1772" s="38">
        <f>VLOOKUP(D1772,Products!$A$2:$F$68,4,FALSE)</f>
        <v>302</v>
      </c>
    </row>
    <row r="1773" spans="1:20" x14ac:dyDescent="0.35">
      <c r="A1773" s="13" t="s">
        <v>2270</v>
      </c>
      <c r="B1773" s="14">
        <v>45580</v>
      </c>
      <c r="C1773" s="13" t="s">
        <v>507</v>
      </c>
      <c r="D1773" s="13" t="s">
        <v>110</v>
      </c>
      <c r="E1773" s="13" t="s">
        <v>128</v>
      </c>
      <c r="F1773" s="15">
        <v>2</v>
      </c>
      <c r="G1773" s="15">
        <v>370</v>
      </c>
      <c r="H1773" s="15">
        <v>24</v>
      </c>
      <c r="I1773" s="15">
        <v>562.4</v>
      </c>
      <c r="J1773" s="13" t="s">
        <v>87</v>
      </c>
      <c r="K1773" s="13" t="s">
        <v>88</v>
      </c>
      <c r="L1773" s="34" t="str">
        <f>VLOOKUP(D1773,Products!$A$2:$F$61,3,FALSE)</f>
        <v>Home</v>
      </c>
      <c r="M1773" s="34" t="str">
        <f>VLOOKUP(C1773,Customers!$A$2:$F$301,5,FALSE)</f>
        <v>Retail</v>
      </c>
      <c r="N1773" s="34">
        <f>VLOOKUP(C1773,Customers!$A$2:$F$301,3,FALSE)</f>
        <v>59</v>
      </c>
      <c r="O1773" s="34" t="str">
        <f>VLOOKUP(E1773,Sales_Reps!$A$2:$E$31,3,FALSE)</f>
        <v>West</v>
      </c>
      <c r="P1773" s="13" t="s">
        <v>128</v>
      </c>
      <c r="Q1773" s="34">
        <f t="shared" si="58"/>
        <v>880468.05</v>
      </c>
      <c r="R1773" s="34" t="str">
        <f>VLOOKUP(E1773,Sales_Reps!$A$2:$E$100,3,FALSE)</f>
        <v>West</v>
      </c>
      <c r="S1773" s="34" t="str">
        <f t="shared" si="59"/>
        <v>Home</v>
      </c>
      <c r="T1773" s="38">
        <f>VLOOKUP(D1773,Products!$A$2:$F$68,4,FALSE)</f>
        <v>288</v>
      </c>
    </row>
    <row r="1774" spans="1:20" x14ac:dyDescent="0.35">
      <c r="A1774" s="13" t="s">
        <v>2271</v>
      </c>
      <c r="B1774" s="14">
        <v>45329</v>
      </c>
      <c r="C1774" s="13" t="s">
        <v>1234</v>
      </c>
      <c r="D1774" s="13" t="s">
        <v>338</v>
      </c>
      <c r="E1774" s="13" t="s">
        <v>215</v>
      </c>
      <c r="F1774" s="15">
        <v>6</v>
      </c>
      <c r="G1774" s="15">
        <v>2210</v>
      </c>
      <c r="H1774" s="15">
        <v>28.3</v>
      </c>
      <c r="I1774" s="15">
        <v>9507.42</v>
      </c>
      <c r="J1774" s="13" t="s">
        <v>140</v>
      </c>
      <c r="K1774" s="13" t="s">
        <v>112</v>
      </c>
      <c r="L1774" s="34" t="str">
        <f>VLOOKUP(D1774,Products!$A$2:$F$61,3,FALSE)</f>
        <v>Grocery</v>
      </c>
      <c r="M1774" s="34" t="str">
        <f>VLOOKUP(C1774,Customers!$A$2:$F$301,5,FALSE)</f>
        <v>Retail</v>
      </c>
      <c r="N1774" s="34">
        <f>VLOOKUP(C1774,Customers!$A$2:$F$301,3,FALSE)</f>
        <v>29</v>
      </c>
      <c r="O1774" s="34" t="str">
        <f>VLOOKUP(E1774,Sales_Reps!$A$2:$E$31,3,FALSE)</f>
        <v>North</v>
      </c>
      <c r="P1774" s="13" t="s">
        <v>215</v>
      </c>
      <c r="Q1774" s="34">
        <f t="shared" si="58"/>
        <v>789849.60000000009</v>
      </c>
      <c r="R1774" s="34" t="str">
        <f>VLOOKUP(E1774,Sales_Reps!$A$2:$E$100,3,FALSE)</f>
        <v>North</v>
      </c>
      <c r="S1774" s="34" t="str">
        <f t="shared" si="59"/>
        <v>Grocery</v>
      </c>
      <c r="T1774" s="38">
        <f>VLOOKUP(D1774,Products!$A$2:$F$68,4,FALSE)</f>
        <v>1010</v>
      </c>
    </row>
    <row r="1775" spans="1:20" x14ac:dyDescent="0.35">
      <c r="A1775" s="13" t="s">
        <v>2272</v>
      </c>
      <c r="B1775" s="14">
        <v>45549</v>
      </c>
      <c r="C1775" s="13" t="s">
        <v>561</v>
      </c>
      <c r="D1775" s="13" t="s">
        <v>515</v>
      </c>
      <c r="E1775" s="13" t="s">
        <v>297</v>
      </c>
      <c r="F1775" s="15">
        <v>3</v>
      </c>
      <c r="G1775" s="15">
        <v>6940</v>
      </c>
      <c r="H1775" s="15">
        <v>27.2</v>
      </c>
      <c r="I1775" s="15">
        <v>15156.96</v>
      </c>
      <c r="J1775" s="13" t="s">
        <v>144</v>
      </c>
      <c r="K1775" s="13" t="s">
        <v>133</v>
      </c>
      <c r="L1775" s="34" t="str">
        <f>VLOOKUP(D1775,Products!$A$2:$F$61,3,FALSE)</f>
        <v>Sports</v>
      </c>
      <c r="M1775" s="34" t="str">
        <f>VLOOKUP(C1775,Customers!$A$2:$F$301,5,FALSE)</f>
        <v>SMB</v>
      </c>
      <c r="N1775" s="34">
        <f>VLOOKUP(C1775,Customers!$A$2:$F$301,3,FALSE)</f>
        <v>43</v>
      </c>
      <c r="O1775" s="34" t="str">
        <f>VLOOKUP(E1775,Sales_Reps!$A$2:$E$31,3,FALSE)</f>
        <v>North</v>
      </c>
      <c r="P1775" s="13" t="s">
        <v>297</v>
      </c>
      <c r="Q1775" s="34">
        <f t="shared" si="58"/>
        <v>980063.65999999968</v>
      </c>
      <c r="R1775" s="34" t="str">
        <f>VLOOKUP(E1775,Sales_Reps!$A$2:$E$100,3,FALSE)</f>
        <v>North</v>
      </c>
      <c r="S1775" s="34" t="str">
        <f t="shared" si="59"/>
        <v>Sports</v>
      </c>
      <c r="T1775" s="38">
        <f>VLOOKUP(D1775,Products!$A$2:$F$68,4,FALSE)</f>
        <v>2827</v>
      </c>
    </row>
    <row r="1776" spans="1:20" x14ac:dyDescent="0.35">
      <c r="A1776" s="13" t="s">
        <v>2273</v>
      </c>
      <c r="B1776" s="14">
        <v>45423</v>
      </c>
      <c r="C1776" s="13" t="s">
        <v>945</v>
      </c>
      <c r="D1776" s="13" t="s">
        <v>295</v>
      </c>
      <c r="E1776" s="13" t="s">
        <v>303</v>
      </c>
      <c r="F1776" s="15">
        <v>10</v>
      </c>
      <c r="G1776" s="15">
        <v>2030</v>
      </c>
      <c r="H1776" s="15">
        <v>25.6</v>
      </c>
      <c r="I1776" s="15">
        <v>15103.2</v>
      </c>
      <c r="J1776" s="13" t="s">
        <v>87</v>
      </c>
      <c r="K1776" s="13" t="s">
        <v>88</v>
      </c>
      <c r="L1776" s="34" t="str">
        <f>VLOOKUP(D1776,Products!$A$2:$F$61,3,FALSE)</f>
        <v>Home</v>
      </c>
      <c r="M1776" s="34" t="str">
        <f>VLOOKUP(C1776,Customers!$A$2:$F$301,5,FALSE)</f>
        <v>Retail</v>
      </c>
      <c r="N1776" s="34">
        <f>VLOOKUP(C1776,Customers!$A$2:$F$301,3,FALSE)</f>
        <v>54</v>
      </c>
      <c r="O1776" s="34" t="str">
        <f>VLOOKUP(E1776,Sales_Reps!$A$2:$E$31,3,FALSE)</f>
        <v>East</v>
      </c>
      <c r="P1776" s="13" t="s">
        <v>303</v>
      </c>
      <c r="Q1776" s="34">
        <f t="shared" si="58"/>
        <v>1112289.6400000001</v>
      </c>
      <c r="R1776" s="34" t="str">
        <f>VLOOKUP(E1776,Sales_Reps!$A$2:$E$100,3,FALSE)</f>
        <v>East</v>
      </c>
      <c r="S1776" s="34" t="str">
        <f t="shared" si="59"/>
        <v>Home</v>
      </c>
      <c r="T1776" s="38">
        <f>VLOOKUP(D1776,Products!$A$2:$F$68,4,FALSE)</f>
        <v>1143</v>
      </c>
    </row>
    <row r="1777" spans="1:20" x14ac:dyDescent="0.35">
      <c r="A1777" s="13" t="s">
        <v>2274</v>
      </c>
      <c r="B1777" s="14">
        <v>45533</v>
      </c>
      <c r="C1777" s="13" t="s">
        <v>945</v>
      </c>
      <c r="D1777" s="13" t="s">
        <v>182</v>
      </c>
      <c r="E1777" s="13" t="s">
        <v>238</v>
      </c>
      <c r="F1777" s="15">
        <v>9</v>
      </c>
      <c r="G1777" s="15">
        <v>1010</v>
      </c>
      <c r="H1777" s="15">
        <v>9.3000000000000007</v>
      </c>
      <c r="I1777" s="15">
        <v>8244.6299999999992</v>
      </c>
      <c r="J1777" s="13" t="s">
        <v>87</v>
      </c>
      <c r="K1777" s="13" t="s">
        <v>88</v>
      </c>
      <c r="L1777" s="34" t="str">
        <f>VLOOKUP(D1777,Products!$A$2:$F$61,3,FALSE)</f>
        <v>Sports</v>
      </c>
      <c r="M1777" s="34" t="str">
        <f>VLOOKUP(C1777,Customers!$A$2:$F$301,5,FALSE)</f>
        <v>Retail</v>
      </c>
      <c r="N1777" s="34">
        <f>VLOOKUP(C1777,Customers!$A$2:$F$301,3,FALSE)</f>
        <v>54</v>
      </c>
      <c r="O1777" s="34" t="str">
        <f>VLOOKUP(E1777,Sales_Reps!$A$2:$E$31,3,FALSE)</f>
        <v>East</v>
      </c>
      <c r="P1777" s="13" t="s">
        <v>238</v>
      </c>
      <c r="Q1777" s="34">
        <f t="shared" si="58"/>
        <v>780384.40999999992</v>
      </c>
      <c r="R1777" s="34" t="str">
        <f>VLOOKUP(E1777,Sales_Reps!$A$2:$E$100,3,FALSE)</f>
        <v>East</v>
      </c>
      <c r="S1777" s="34" t="str">
        <f t="shared" si="59"/>
        <v>Sports</v>
      </c>
      <c r="T1777" s="38">
        <f>VLOOKUP(D1777,Products!$A$2:$F$68,4,FALSE)</f>
        <v>516</v>
      </c>
    </row>
    <row r="1778" spans="1:20" x14ac:dyDescent="0.35">
      <c r="A1778" s="13" t="s">
        <v>2275</v>
      </c>
      <c r="B1778" s="14">
        <v>45571</v>
      </c>
      <c r="C1778" s="13" t="s">
        <v>328</v>
      </c>
      <c r="D1778" s="13" t="s">
        <v>355</v>
      </c>
      <c r="E1778" s="13" t="s">
        <v>297</v>
      </c>
      <c r="F1778" s="15">
        <v>5</v>
      </c>
      <c r="G1778" s="15">
        <v>2510</v>
      </c>
      <c r="H1778" s="15">
        <v>22.2</v>
      </c>
      <c r="I1778" s="15">
        <v>9763.9</v>
      </c>
      <c r="J1778" s="13" t="s">
        <v>87</v>
      </c>
      <c r="K1778" s="13" t="s">
        <v>94</v>
      </c>
      <c r="L1778" s="34" t="str">
        <f>VLOOKUP(D1778,Products!$A$2:$F$61,3,FALSE)</f>
        <v>Apparel</v>
      </c>
      <c r="M1778" s="34" t="str">
        <f>VLOOKUP(C1778,Customers!$A$2:$F$301,5,FALSE)</f>
        <v>Retail</v>
      </c>
      <c r="N1778" s="34">
        <f>VLOOKUP(C1778,Customers!$A$2:$F$301,3,FALSE)</f>
        <v>28</v>
      </c>
      <c r="O1778" s="34" t="str">
        <f>VLOOKUP(E1778,Sales_Reps!$A$2:$E$31,3,FALSE)</f>
        <v>North</v>
      </c>
      <c r="P1778" s="13" t="s">
        <v>297</v>
      </c>
      <c r="Q1778" s="34">
        <f t="shared" si="58"/>
        <v>980063.65999999968</v>
      </c>
      <c r="R1778" s="34" t="str">
        <f>VLOOKUP(E1778,Sales_Reps!$A$2:$E$100,3,FALSE)</f>
        <v>North</v>
      </c>
      <c r="S1778" s="34" t="str">
        <f t="shared" si="59"/>
        <v>Apparel</v>
      </c>
      <c r="T1778" s="38">
        <f>VLOOKUP(D1778,Products!$A$2:$F$68,4,FALSE)</f>
        <v>1075</v>
      </c>
    </row>
    <row r="1779" spans="1:20" x14ac:dyDescent="0.35">
      <c r="A1779" s="13" t="s">
        <v>2276</v>
      </c>
      <c r="B1779" s="14">
        <v>45441</v>
      </c>
      <c r="C1779" s="13" t="s">
        <v>759</v>
      </c>
      <c r="D1779" s="13" t="s">
        <v>110</v>
      </c>
      <c r="E1779" s="13" t="s">
        <v>297</v>
      </c>
      <c r="F1779" s="15">
        <v>10</v>
      </c>
      <c r="G1779" s="15">
        <v>370</v>
      </c>
      <c r="H1779" s="15">
        <v>29</v>
      </c>
      <c r="I1779" s="15">
        <v>2627</v>
      </c>
      <c r="J1779" s="13" t="s">
        <v>87</v>
      </c>
      <c r="K1779" s="13" t="s">
        <v>117</v>
      </c>
      <c r="L1779" s="34" t="str">
        <f>VLOOKUP(D1779,Products!$A$2:$F$61,3,FALSE)</f>
        <v>Home</v>
      </c>
      <c r="M1779" s="34" t="str">
        <f>VLOOKUP(C1779,Customers!$A$2:$F$301,5,FALSE)</f>
        <v>Retail</v>
      </c>
      <c r="N1779" s="34">
        <f>VLOOKUP(C1779,Customers!$A$2:$F$301,3,FALSE)</f>
        <v>29</v>
      </c>
      <c r="O1779" s="34" t="str">
        <f>VLOOKUP(E1779,Sales_Reps!$A$2:$E$31,3,FALSE)</f>
        <v>North</v>
      </c>
      <c r="P1779" s="13" t="s">
        <v>297</v>
      </c>
      <c r="Q1779" s="34">
        <f t="shared" si="58"/>
        <v>980063.65999999968</v>
      </c>
      <c r="R1779" s="34" t="str">
        <f>VLOOKUP(E1779,Sales_Reps!$A$2:$E$100,3,FALSE)</f>
        <v>North</v>
      </c>
      <c r="S1779" s="34" t="str">
        <f t="shared" si="59"/>
        <v>Home</v>
      </c>
      <c r="T1779" s="38">
        <f>VLOOKUP(D1779,Products!$A$2:$F$68,4,FALSE)</f>
        <v>288</v>
      </c>
    </row>
    <row r="1780" spans="1:20" x14ac:dyDescent="0.35">
      <c r="A1780" s="13" t="s">
        <v>2277</v>
      </c>
      <c r="B1780" s="14">
        <v>45403</v>
      </c>
      <c r="C1780" s="13" t="s">
        <v>544</v>
      </c>
      <c r="D1780" s="13" t="s">
        <v>167</v>
      </c>
      <c r="E1780" s="13" t="s">
        <v>158</v>
      </c>
      <c r="F1780" s="15">
        <v>3</v>
      </c>
      <c r="G1780" s="15">
        <v>2480</v>
      </c>
      <c r="H1780" s="15">
        <v>9.6</v>
      </c>
      <c r="I1780" s="15">
        <v>6725.76</v>
      </c>
      <c r="J1780" s="13" t="s">
        <v>87</v>
      </c>
      <c r="K1780" s="13" t="s">
        <v>133</v>
      </c>
      <c r="L1780" s="34" t="str">
        <f>VLOOKUP(D1780,Products!$A$2:$F$61,3,FALSE)</f>
        <v>Apparel</v>
      </c>
      <c r="M1780" s="34" t="str">
        <f>VLOOKUP(C1780,Customers!$A$2:$F$301,5,FALSE)</f>
        <v>Retail</v>
      </c>
      <c r="N1780" s="34">
        <f>VLOOKUP(C1780,Customers!$A$2:$F$301,3,FALSE)</f>
        <v>25</v>
      </c>
      <c r="O1780" s="34" t="str">
        <f>VLOOKUP(E1780,Sales_Reps!$A$2:$E$31,3,FALSE)</f>
        <v>East</v>
      </c>
      <c r="P1780" s="13" t="s">
        <v>158</v>
      </c>
      <c r="Q1780" s="34">
        <f t="shared" si="58"/>
        <v>761507.17000000027</v>
      </c>
      <c r="R1780" s="34" t="str">
        <f>VLOOKUP(E1780,Sales_Reps!$A$2:$E$100,3,FALSE)</f>
        <v>East</v>
      </c>
      <c r="S1780" s="34" t="str">
        <f t="shared" si="59"/>
        <v>Apparel</v>
      </c>
      <c r="T1780" s="38">
        <f>VLOOKUP(D1780,Products!$A$2:$F$68,4,FALSE)</f>
        <v>1173</v>
      </c>
    </row>
    <row r="1781" spans="1:20" x14ac:dyDescent="0.35">
      <c r="A1781" s="13" t="s">
        <v>2278</v>
      </c>
      <c r="B1781" s="14">
        <v>45644</v>
      </c>
      <c r="C1781" s="13" t="s">
        <v>795</v>
      </c>
      <c r="D1781" s="13" t="s">
        <v>135</v>
      </c>
      <c r="E1781" s="13" t="s">
        <v>238</v>
      </c>
      <c r="F1781" s="15">
        <v>3</v>
      </c>
      <c r="G1781" s="15">
        <v>2640</v>
      </c>
      <c r="H1781" s="15">
        <v>10.199999999999999</v>
      </c>
      <c r="I1781" s="15">
        <v>7112.16</v>
      </c>
      <c r="J1781" s="13" t="s">
        <v>140</v>
      </c>
      <c r="K1781" s="13" t="s">
        <v>94</v>
      </c>
      <c r="L1781" s="34" t="str">
        <f>VLOOKUP(D1781,Products!$A$2:$F$61,3,FALSE)</f>
        <v>Electronics</v>
      </c>
      <c r="M1781" s="34" t="str">
        <f>VLOOKUP(C1781,Customers!$A$2:$F$301,5,FALSE)</f>
        <v>Retail</v>
      </c>
      <c r="N1781" s="34">
        <f>VLOOKUP(C1781,Customers!$A$2:$F$301,3,FALSE)</f>
        <v>22</v>
      </c>
      <c r="O1781" s="34" t="str">
        <f>VLOOKUP(E1781,Sales_Reps!$A$2:$E$31,3,FALSE)</f>
        <v>East</v>
      </c>
      <c r="P1781" s="13" t="s">
        <v>238</v>
      </c>
      <c r="Q1781" s="34">
        <f t="shared" si="58"/>
        <v>780384.40999999992</v>
      </c>
      <c r="R1781" s="34" t="str">
        <f>VLOOKUP(E1781,Sales_Reps!$A$2:$E$100,3,FALSE)</f>
        <v>East</v>
      </c>
      <c r="S1781" s="34" t="str">
        <f t="shared" si="59"/>
        <v>Electronics</v>
      </c>
      <c r="T1781" s="38">
        <f>VLOOKUP(D1781,Products!$A$2:$F$68,4,FALSE)</f>
        <v>1149</v>
      </c>
    </row>
    <row r="1782" spans="1:20" x14ac:dyDescent="0.35">
      <c r="A1782" s="13" t="s">
        <v>2279</v>
      </c>
      <c r="B1782" s="14">
        <v>45504</v>
      </c>
      <c r="C1782" s="13" t="s">
        <v>1499</v>
      </c>
      <c r="D1782" s="13" t="s">
        <v>502</v>
      </c>
      <c r="E1782" s="13" t="s">
        <v>192</v>
      </c>
      <c r="F1782" s="15">
        <v>1</v>
      </c>
      <c r="G1782" s="15">
        <v>1090</v>
      </c>
      <c r="H1782" s="15">
        <v>21.6</v>
      </c>
      <c r="I1782" s="15">
        <v>854.56</v>
      </c>
      <c r="J1782" s="13" t="s">
        <v>140</v>
      </c>
      <c r="K1782" s="13" t="s">
        <v>94</v>
      </c>
      <c r="L1782" s="34" t="str">
        <f>VLOOKUP(D1782,Products!$A$2:$F$61,3,FALSE)</f>
        <v>Home</v>
      </c>
      <c r="M1782" s="34" t="str">
        <f>VLOOKUP(C1782,Customers!$A$2:$F$301,5,FALSE)</f>
        <v>Retail</v>
      </c>
      <c r="N1782" s="34">
        <f>VLOOKUP(C1782,Customers!$A$2:$F$301,3,FALSE)</f>
        <v>26</v>
      </c>
      <c r="O1782" s="34" t="str">
        <f>VLOOKUP(E1782,Sales_Reps!$A$2:$E$31,3,FALSE)</f>
        <v>East</v>
      </c>
      <c r="P1782" s="13" t="s">
        <v>192</v>
      </c>
      <c r="Q1782" s="34">
        <f t="shared" si="58"/>
        <v>906107.71000000008</v>
      </c>
      <c r="R1782" s="34" t="str">
        <f>VLOOKUP(E1782,Sales_Reps!$A$2:$E$100,3,FALSE)</f>
        <v>East</v>
      </c>
      <c r="S1782" s="34" t="str">
        <f t="shared" si="59"/>
        <v>Home</v>
      </c>
      <c r="T1782" s="38">
        <f>VLOOKUP(D1782,Products!$A$2:$F$68,4,FALSE)</f>
        <v>464</v>
      </c>
    </row>
    <row r="1783" spans="1:20" x14ac:dyDescent="0.35">
      <c r="A1783" s="13" t="s">
        <v>2280</v>
      </c>
      <c r="B1783" s="14">
        <v>45606</v>
      </c>
      <c r="C1783" s="13" t="s">
        <v>1350</v>
      </c>
      <c r="D1783" s="13" t="s">
        <v>179</v>
      </c>
      <c r="E1783" s="13" t="s">
        <v>297</v>
      </c>
      <c r="F1783" s="15">
        <v>10</v>
      </c>
      <c r="G1783" s="15">
        <v>3350</v>
      </c>
      <c r="H1783" s="15">
        <v>12.1</v>
      </c>
      <c r="I1783" s="15">
        <v>29446.5</v>
      </c>
      <c r="J1783" s="13" t="s">
        <v>87</v>
      </c>
      <c r="K1783" s="13" t="s">
        <v>112</v>
      </c>
      <c r="L1783" s="34" t="str">
        <f>VLOOKUP(D1783,Products!$A$2:$F$61,3,FALSE)</f>
        <v>Beauty</v>
      </c>
      <c r="M1783" s="34" t="str">
        <f>VLOOKUP(C1783,Customers!$A$2:$F$301,5,FALSE)</f>
        <v>Retail</v>
      </c>
      <c r="N1783" s="34">
        <f>VLOOKUP(C1783,Customers!$A$2:$F$301,3,FALSE)</f>
        <v>38</v>
      </c>
      <c r="O1783" s="34" t="str">
        <f>VLOOKUP(E1783,Sales_Reps!$A$2:$E$31,3,FALSE)</f>
        <v>North</v>
      </c>
      <c r="P1783" s="13" t="s">
        <v>297</v>
      </c>
      <c r="Q1783" s="34">
        <f t="shared" si="58"/>
        <v>980063.65999999968</v>
      </c>
      <c r="R1783" s="34" t="str">
        <f>VLOOKUP(E1783,Sales_Reps!$A$2:$E$100,3,FALSE)</f>
        <v>North</v>
      </c>
      <c r="S1783" s="34" t="str">
        <f t="shared" si="59"/>
        <v>Beauty</v>
      </c>
      <c r="T1783" s="38">
        <f>VLOOKUP(D1783,Products!$A$2:$F$68,4,FALSE)</f>
        <v>1728</v>
      </c>
    </row>
    <row r="1784" spans="1:20" x14ac:dyDescent="0.35">
      <c r="A1784" s="13" t="s">
        <v>2281</v>
      </c>
      <c r="B1784" s="14">
        <v>45562</v>
      </c>
      <c r="C1784" s="13" t="s">
        <v>585</v>
      </c>
      <c r="D1784" s="13" t="s">
        <v>241</v>
      </c>
      <c r="E1784" s="13" t="s">
        <v>188</v>
      </c>
      <c r="F1784" s="15">
        <v>4</v>
      </c>
      <c r="G1784" s="15">
        <v>6080</v>
      </c>
      <c r="H1784" s="15">
        <v>26.7</v>
      </c>
      <c r="I1784" s="15">
        <v>17826.560000000001</v>
      </c>
      <c r="J1784" s="13" t="s">
        <v>140</v>
      </c>
      <c r="K1784" s="13" t="s">
        <v>94</v>
      </c>
      <c r="L1784" s="34" t="str">
        <f>VLOOKUP(D1784,Products!$A$2:$F$61,3,FALSE)</f>
        <v>Beauty</v>
      </c>
      <c r="M1784" s="34" t="str">
        <f>VLOOKUP(C1784,Customers!$A$2:$F$301,5,FALSE)</f>
        <v>Retail</v>
      </c>
      <c r="N1784" s="34">
        <f>VLOOKUP(C1784,Customers!$A$2:$F$301,3,FALSE)</f>
        <v>26</v>
      </c>
      <c r="O1784" s="34" t="str">
        <f>VLOOKUP(E1784,Sales_Reps!$A$2:$E$31,3,FALSE)</f>
        <v>South</v>
      </c>
      <c r="P1784" s="13" t="s">
        <v>188</v>
      </c>
      <c r="Q1784" s="34">
        <f t="shared" si="58"/>
        <v>1091740.1799999997</v>
      </c>
      <c r="R1784" s="34" t="str">
        <f>VLOOKUP(E1784,Sales_Reps!$A$2:$E$100,3,FALSE)</f>
        <v>South</v>
      </c>
      <c r="S1784" s="34" t="str">
        <f t="shared" si="59"/>
        <v>Beauty</v>
      </c>
      <c r="T1784" s="38">
        <f>VLOOKUP(D1784,Products!$A$2:$F$68,4,FALSE)</f>
        <v>2617</v>
      </c>
    </row>
    <row r="1785" spans="1:20" x14ac:dyDescent="0.35">
      <c r="A1785" s="13" t="s">
        <v>2282</v>
      </c>
      <c r="B1785" s="14">
        <v>45372</v>
      </c>
      <c r="C1785" s="13" t="s">
        <v>697</v>
      </c>
      <c r="D1785" s="13" t="s">
        <v>380</v>
      </c>
      <c r="E1785" s="13" t="s">
        <v>297</v>
      </c>
      <c r="F1785" s="15">
        <v>3</v>
      </c>
      <c r="G1785" s="15">
        <v>960</v>
      </c>
      <c r="H1785" s="15">
        <v>13.2</v>
      </c>
      <c r="I1785" s="15">
        <v>2499.84</v>
      </c>
      <c r="J1785" s="13" t="s">
        <v>87</v>
      </c>
      <c r="K1785" s="13" t="s">
        <v>133</v>
      </c>
      <c r="L1785" s="34" t="str">
        <f>VLOOKUP(D1785,Products!$A$2:$F$61,3,FALSE)</f>
        <v>Beauty</v>
      </c>
      <c r="M1785" s="34" t="str">
        <f>VLOOKUP(C1785,Customers!$A$2:$F$301,5,FALSE)</f>
        <v>Retail</v>
      </c>
      <c r="N1785" s="34">
        <f>VLOOKUP(C1785,Customers!$A$2:$F$301,3,FALSE)</f>
        <v>65</v>
      </c>
      <c r="O1785" s="34" t="str">
        <f>VLOOKUP(E1785,Sales_Reps!$A$2:$E$31,3,FALSE)</f>
        <v>North</v>
      </c>
      <c r="P1785" s="13" t="s">
        <v>297</v>
      </c>
      <c r="Q1785" s="34">
        <f t="shared" si="58"/>
        <v>980063.65999999968</v>
      </c>
      <c r="R1785" s="34" t="str">
        <f>VLOOKUP(E1785,Sales_Reps!$A$2:$E$100,3,FALSE)</f>
        <v>North</v>
      </c>
      <c r="S1785" s="34" t="str">
        <f t="shared" si="59"/>
        <v>Beauty</v>
      </c>
      <c r="T1785" s="38">
        <f>VLOOKUP(D1785,Products!$A$2:$F$68,4,FALSE)</f>
        <v>675</v>
      </c>
    </row>
    <row r="1786" spans="1:20" x14ac:dyDescent="0.35">
      <c r="A1786" s="13" t="s">
        <v>2283</v>
      </c>
      <c r="B1786" s="14">
        <v>45610</v>
      </c>
      <c r="C1786" s="13" t="s">
        <v>563</v>
      </c>
      <c r="D1786" s="13" t="s">
        <v>102</v>
      </c>
      <c r="E1786" s="13" t="s">
        <v>86</v>
      </c>
      <c r="F1786" s="15">
        <v>9</v>
      </c>
      <c r="G1786" s="15">
        <v>3660</v>
      </c>
      <c r="H1786" s="15">
        <v>9.3000000000000007</v>
      </c>
      <c r="I1786" s="15">
        <v>29876.58</v>
      </c>
      <c r="J1786" s="13" t="s">
        <v>140</v>
      </c>
      <c r="K1786" s="13" t="s">
        <v>88</v>
      </c>
      <c r="L1786" s="34" t="str">
        <f>VLOOKUP(D1786,Products!$A$2:$F$61,3,FALSE)</f>
        <v>Grocery</v>
      </c>
      <c r="M1786" s="34" t="str">
        <f>VLOOKUP(C1786,Customers!$A$2:$F$301,5,FALSE)</f>
        <v>SMB</v>
      </c>
      <c r="N1786" s="34">
        <f>VLOOKUP(C1786,Customers!$A$2:$F$301,3,FALSE)</f>
        <v>24</v>
      </c>
      <c r="O1786" s="34" t="str">
        <f>VLOOKUP(E1786,Sales_Reps!$A$2:$E$31,3,FALSE)</f>
        <v>North</v>
      </c>
      <c r="P1786" s="13" t="s">
        <v>86</v>
      </c>
      <c r="Q1786" s="34">
        <f t="shared" si="58"/>
        <v>855749.67999999982</v>
      </c>
      <c r="R1786" s="34" t="str">
        <f>VLOOKUP(E1786,Sales_Reps!$A$2:$E$100,3,FALSE)</f>
        <v>North</v>
      </c>
      <c r="S1786" s="34" t="str">
        <f t="shared" si="59"/>
        <v>Grocery</v>
      </c>
      <c r="T1786" s="38">
        <f>VLOOKUP(D1786,Products!$A$2:$F$68,4,FALSE)</f>
        <v>2214</v>
      </c>
    </row>
    <row r="1787" spans="1:20" x14ac:dyDescent="0.35">
      <c r="A1787" s="13" t="s">
        <v>2284</v>
      </c>
      <c r="B1787" s="14">
        <v>45388</v>
      </c>
      <c r="C1787" s="13" t="s">
        <v>405</v>
      </c>
      <c r="D1787" s="13" t="s">
        <v>157</v>
      </c>
      <c r="E1787" s="13" t="s">
        <v>121</v>
      </c>
      <c r="F1787" s="15">
        <v>6</v>
      </c>
      <c r="G1787" s="15">
        <v>3450</v>
      </c>
      <c r="H1787" s="15">
        <v>8.1999999999999993</v>
      </c>
      <c r="I1787" s="15">
        <v>19002.599999999999</v>
      </c>
      <c r="J1787" s="13" t="s">
        <v>87</v>
      </c>
      <c r="K1787" s="13" t="s">
        <v>94</v>
      </c>
      <c r="L1787" s="34" t="str">
        <f>VLOOKUP(D1787,Products!$A$2:$F$61,3,FALSE)</f>
        <v>Beauty</v>
      </c>
      <c r="M1787" s="34" t="str">
        <f>VLOOKUP(C1787,Customers!$A$2:$F$301,5,FALSE)</f>
        <v>Corporate</v>
      </c>
      <c r="N1787" s="34">
        <f>VLOOKUP(C1787,Customers!$A$2:$F$301,3,FALSE)</f>
        <v>24</v>
      </c>
      <c r="O1787" s="34" t="str">
        <f>VLOOKUP(E1787,Sales_Reps!$A$2:$E$31,3,FALSE)</f>
        <v>East</v>
      </c>
      <c r="P1787" s="13" t="s">
        <v>121</v>
      </c>
      <c r="Q1787" s="34">
        <f t="shared" si="58"/>
        <v>971183.52000000014</v>
      </c>
      <c r="R1787" s="34" t="str">
        <f>VLOOKUP(E1787,Sales_Reps!$A$2:$E$100,3,FALSE)</f>
        <v>East</v>
      </c>
      <c r="S1787" s="34" t="str">
        <f t="shared" si="59"/>
        <v>Beauty</v>
      </c>
      <c r="T1787" s="38">
        <f>VLOOKUP(D1787,Products!$A$2:$F$68,4,FALSE)</f>
        <v>2420</v>
      </c>
    </row>
    <row r="1788" spans="1:20" x14ac:dyDescent="0.35">
      <c r="A1788" s="13" t="s">
        <v>2285</v>
      </c>
      <c r="B1788" s="14">
        <v>45421</v>
      </c>
      <c r="C1788" s="13" t="s">
        <v>673</v>
      </c>
      <c r="D1788" s="13" t="s">
        <v>270</v>
      </c>
      <c r="E1788" s="13" t="s">
        <v>192</v>
      </c>
      <c r="F1788" s="15">
        <v>7</v>
      </c>
      <c r="G1788" s="15">
        <v>4610</v>
      </c>
      <c r="H1788" s="15">
        <v>10.4</v>
      </c>
      <c r="I1788" s="15">
        <v>28913.919999999998</v>
      </c>
      <c r="J1788" s="13" t="s">
        <v>87</v>
      </c>
      <c r="K1788" s="13" t="s">
        <v>112</v>
      </c>
      <c r="L1788" s="34" t="str">
        <f>VLOOKUP(D1788,Products!$A$2:$F$61,3,FALSE)</f>
        <v>Home</v>
      </c>
      <c r="M1788" s="34" t="str">
        <f>VLOOKUP(C1788,Customers!$A$2:$F$301,5,FALSE)</f>
        <v>Retail</v>
      </c>
      <c r="N1788" s="34">
        <f>VLOOKUP(C1788,Customers!$A$2:$F$301,3,FALSE)</f>
        <v>35</v>
      </c>
      <c r="O1788" s="34" t="str">
        <f>VLOOKUP(E1788,Sales_Reps!$A$2:$E$31,3,FALSE)</f>
        <v>East</v>
      </c>
      <c r="P1788" s="13" t="s">
        <v>192</v>
      </c>
      <c r="Q1788" s="34">
        <f t="shared" si="58"/>
        <v>906107.71000000008</v>
      </c>
      <c r="R1788" s="34" t="str">
        <f>VLOOKUP(E1788,Sales_Reps!$A$2:$E$100,3,FALSE)</f>
        <v>East</v>
      </c>
      <c r="S1788" s="34" t="str">
        <f t="shared" si="59"/>
        <v>Home</v>
      </c>
      <c r="T1788" s="38">
        <f>VLOOKUP(D1788,Products!$A$2:$F$68,4,FALSE)</f>
        <v>1850</v>
      </c>
    </row>
    <row r="1789" spans="1:20" x14ac:dyDescent="0.35">
      <c r="A1789" s="13" t="s">
        <v>2286</v>
      </c>
      <c r="B1789" s="14">
        <v>45529</v>
      </c>
      <c r="C1789" s="13" t="s">
        <v>463</v>
      </c>
      <c r="D1789" s="13" t="s">
        <v>115</v>
      </c>
      <c r="E1789" s="13" t="s">
        <v>204</v>
      </c>
      <c r="F1789" s="15">
        <v>2</v>
      </c>
      <c r="G1789" s="15">
        <v>960</v>
      </c>
      <c r="H1789" s="15">
        <v>16.5</v>
      </c>
      <c r="I1789" s="15">
        <v>1603.2</v>
      </c>
      <c r="J1789" s="13" t="s">
        <v>87</v>
      </c>
      <c r="K1789" s="13" t="s">
        <v>117</v>
      </c>
      <c r="L1789" s="34" t="str">
        <f>VLOOKUP(D1789,Products!$A$2:$F$61,3,FALSE)</f>
        <v>Sports</v>
      </c>
      <c r="M1789" s="34" t="str">
        <f>VLOOKUP(C1789,Customers!$A$2:$F$301,5,FALSE)</f>
        <v>Retail</v>
      </c>
      <c r="N1789" s="34">
        <f>VLOOKUP(C1789,Customers!$A$2:$F$301,3,FALSE)</f>
        <v>55</v>
      </c>
      <c r="O1789" s="34" t="str">
        <f>VLOOKUP(E1789,Sales_Reps!$A$2:$E$31,3,FALSE)</f>
        <v>South</v>
      </c>
      <c r="P1789" s="13" t="s">
        <v>204</v>
      </c>
      <c r="Q1789" s="34">
        <f t="shared" si="58"/>
        <v>914554.71999999986</v>
      </c>
      <c r="R1789" s="34" t="str">
        <f>VLOOKUP(E1789,Sales_Reps!$A$2:$E$100,3,FALSE)</f>
        <v>South</v>
      </c>
      <c r="S1789" s="34" t="str">
        <f t="shared" si="59"/>
        <v>Sports</v>
      </c>
      <c r="T1789" s="38">
        <f>VLOOKUP(D1789,Products!$A$2:$F$68,4,FALSE)</f>
        <v>705</v>
      </c>
    </row>
    <row r="1790" spans="1:20" x14ac:dyDescent="0.35">
      <c r="A1790" s="13" t="s">
        <v>2287</v>
      </c>
      <c r="B1790" s="14">
        <v>45553</v>
      </c>
      <c r="C1790" s="13" t="s">
        <v>422</v>
      </c>
      <c r="D1790" s="13" t="s">
        <v>110</v>
      </c>
      <c r="E1790" s="13" t="s">
        <v>154</v>
      </c>
      <c r="F1790" s="15">
        <v>7</v>
      </c>
      <c r="G1790" s="15">
        <v>370</v>
      </c>
      <c r="H1790" s="15">
        <v>1.4</v>
      </c>
      <c r="I1790" s="15">
        <v>2553.7399999999998</v>
      </c>
      <c r="J1790" s="13" t="s">
        <v>144</v>
      </c>
      <c r="K1790" s="13" t="s">
        <v>94</v>
      </c>
      <c r="L1790" s="34" t="str">
        <f>VLOOKUP(D1790,Products!$A$2:$F$61,3,FALSE)</f>
        <v>Home</v>
      </c>
      <c r="M1790" s="34" t="str">
        <f>VLOOKUP(C1790,Customers!$A$2:$F$301,5,FALSE)</f>
        <v>SMB</v>
      </c>
      <c r="N1790" s="34">
        <f>VLOOKUP(C1790,Customers!$A$2:$F$301,3,FALSE)</f>
        <v>64</v>
      </c>
      <c r="O1790" s="34" t="str">
        <f>VLOOKUP(E1790,Sales_Reps!$A$2:$E$31,3,FALSE)</f>
        <v>East</v>
      </c>
      <c r="P1790" s="13" t="s">
        <v>154</v>
      </c>
      <c r="Q1790" s="34">
        <f t="shared" si="58"/>
        <v>983787.4800000001</v>
      </c>
      <c r="R1790" s="34" t="str">
        <f>VLOOKUP(E1790,Sales_Reps!$A$2:$E$100,3,FALSE)</f>
        <v>East</v>
      </c>
      <c r="S1790" s="34" t="str">
        <f t="shared" si="59"/>
        <v>Home</v>
      </c>
      <c r="T1790" s="38">
        <f>VLOOKUP(D1790,Products!$A$2:$F$68,4,FALSE)</f>
        <v>288</v>
      </c>
    </row>
    <row r="1791" spans="1:20" x14ac:dyDescent="0.35">
      <c r="A1791" s="13" t="s">
        <v>2288</v>
      </c>
      <c r="B1791" s="14">
        <v>45535</v>
      </c>
      <c r="C1791" s="13" t="s">
        <v>621</v>
      </c>
      <c r="D1791" s="13" t="s">
        <v>131</v>
      </c>
      <c r="E1791" s="13" t="s">
        <v>139</v>
      </c>
      <c r="F1791" s="15">
        <v>3</v>
      </c>
      <c r="G1791" s="15">
        <v>2270</v>
      </c>
      <c r="H1791" s="15">
        <v>12.6</v>
      </c>
      <c r="I1791" s="15">
        <v>5951.94</v>
      </c>
      <c r="J1791" s="13" t="s">
        <v>87</v>
      </c>
      <c r="K1791" s="13" t="s">
        <v>94</v>
      </c>
      <c r="L1791" s="34" t="str">
        <f>VLOOKUP(D1791,Products!$A$2:$F$61,3,FALSE)</f>
        <v>Grocery</v>
      </c>
      <c r="M1791" s="34" t="str">
        <f>VLOOKUP(C1791,Customers!$A$2:$F$301,5,FALSE)</f>
        <v>Corporate</v>
      </c>
      <c r="N1791" s="34">
        <f>VLOOKUP(C1791,Customers!$A$2:$F$301,3,FALSE)</f>
        <v>22</v>
      </c>
      <c r="O1791" s="34" t="str">
        <f>VLOOKUP(E1791,Sales_Reps!$A$2:$E$31,3,FALSE)</f>
        <v>North</v>
      </c>
      <c r="P1791" s="13" t="s">
        <v>139</v>
      </c>
      <c r="Q1791" s="34">
        <f t="shared" si="58"/>
        <v>589026.2899999998</v>
      </c>
      <c r="R1791" s="34" t="str">
        <f>VLOOKUP(E1791,Sales_Reps!$A$2:$E$100,3,FALSE)</f>
        <v>North</v>
      </c>
      <c r="S1791" s="34" t="str">
        <f t="shared" si="59"/>
        <v>Grocery</v>
      </c>
      <c r="T1791" s="38">
        <f>VLOOKUP(D1791,Products!$A$2:$F$68,4,FALSE)</f>
        <v>1203</v>
      </c>
    </row>
    <row r="1792" spans="1:20" x14ac:dyDescent="0.35">
      <c r="A1792" s="13" t="s">
        <v>631</v>
      </c>
      <c r="B1792" s="14">
        <v>45301</v>
      </c>
      <c r="C1792" s="13" t="s">
        <v>1358</v>
      </c>
      <c r="D1792" s="13" t="s">
        <v>143</v>
      </c>
      <c r="E1792" s="13" t="s">
        <v>98</v>
      </c>
      <c r="F1792" s="15">
        <v>1</v>
      </c>
      <c r="G1792" s="15">
        <v>3250</v>
      </c>
      <c r="H1792" s="15">
        <v>17.8</v>
      </c>
      <c r="I1792" s="15">
        <v>2671.5</v>
      </c>
      <c r="J1792" s="13" t="s">
        <v>87</v>
      </c>
      <c r="K1792" s="13" t="s">
        <v>112</v>
      </c>
      <c r="L1792" s="34" t="str">
        <f>VLOOKUP(D1792,Products!$A$2:$F$61,3,FALSE)</f>
        <v>Home</v>
      </c>
      <c r="M1792" s="34" t="str">
        <f>VLOOKUP(C1792,Customers!$A$2:$F$301,5,FALSE)</f>
        <v>Corporate</v>
      </c>
      <c r="N1792" s="34">
        <f>VLOOKUP(C1792,Customers!$A$2:$F$301,3,FALSE)</f>
        <v>42</v>
      </c>
      <c r="O1792" s="34" t="str">
        <f>VLOOKUP(E1792,Sales_Reps!$A$2:$E$31,3,FALSE)</f>
        <v>South</v>
      </c>
      <c r="P1792" s="13" t="s">
        <v>98</v>
      </c>
      <c r="Q1792" s="34">
        <f t="shared" si="58"/>
        <v>995713.54000000015</v>
      </c>
      <c r="R1792" s="34" t="str">
        <f>VLOOKUP(E1792,Sales_Reps!$A$2:$E$100,3,FALSE)</f>
        <v>South</v>
      </c>
      <c r="S1792" s="34" t="str">
        <f t="shared" si="59"/>
        <v>Home</v>
      </c>
      <c r="T1792" s="38">
        <f>VLOOKUP(D1792,Products!$A$2:$F$68,4,FALSE)</f>
        <v>1556</v>
      </c>
    </row>
    <row r="1793" spans="1:20" x14ac:dyDescent="0.35">
      <c r="A1793" s="13" t="s">
        <v>2289</v>
      </c>
      <c r="B1793" s="14">
        <v>45404</v>
      </c>
      <c r="C1793" s="13" t="s">
        <v>1875</v>
      </c>
      <c r="D1793" s="13" t="s">
        <v>292</v>
      </c>
      <c r="E1793" s="13" t="s">
        <v>303</v>
      </c>
      <c r="F1793" s="15">
        <v>5</v>
      </c>
      <c r="G1793" s="15">
        <v>620</v>
      </c>
      <c r="H1793" s="15">
        <v>19.399999999999999</v>
      </c>
      <c r="I1793" s="15">
        <v>2498.6</v>
      </c>
      <c r="J1793" s="13" t="s">
        <v>93</v>
      </c>
      <c r="K1793" s="13" t="s">
        <v>94</v>
      </c>
      <c r="L1793" s="34" t="str">
        <f>VLOOKUP(D1793,Products!$A$2:$F$61,3,FALSE)</f>
        <v>Apparel</v>
      </c>
      <c r="M1793" s="34" t="str">
        <f>VLOOKUP(C1793,Customers!$A$2:$F$301,5,FALSE)</f>
        <v>Corporate</v>
      </c>
      <c r="N1793" s="34">
        <f>VLOOKUP(C1793,Customers!$A$2:$F$301,3,FALSE)</f>
        <v>54</v>
      </c>
      <c r="O1793" s="34" t="str">
        <f>VLOOKUP(E1793,Sales_Reps!$A$2:$E$31,3,FALSE)</f>
        <v>East</v>
      </c>
      <c r="P1793" s="13" t="s">
        <v>303</v>
      </c>
      <c r="Q1793" s="34">
        <f t="shared" si="58"/>
        <v>1112289.6400000001</v>
      </c>
      <c r="R1793" s="34" t="str">
        <f>VLOOKUP(E1793,Sales_Reps!$A$2:$E$100,3,FALSE)</f>
        <v>East</v>
      </c>
      <c r="S1793" s="34" t="str">
        <f t="shared" si="59"/>
        <v>Apparel</v>
      </c>
      <c r="T1793" s="38">
        <f>VLOOKUP(D1793,Products!$A$2:$F$68,4,FALSE)</f>
        <v>396</v>
      </c>
    </row>
    <row r="1794" spans="1:20" x14ac:dyDescent="0.35">
      <c r="A1794" s="13" t="s">
        <v>2290</v>
      </c>
      <c r="B1794" s="14">
        <v>45600</v>
      </c>
      <c r="C1794" s="13" t="s">
        <v>390</v>
      </c>
      <c r="D1794" s="13" t="s">
        <v>279</v>
      </c>
      <c r="E1794" s="13" t="s">
        <v>92</v>
      </c>
      <c r="F1794" s="15">
        <v>6</v>
      </c>
      <c r="G1794" s="15">
        <v>2660</v>
      </c>
      <c r="H1794" s="15">
        <v>14.9</v>
      </c>
      <c r="I1794" s="15">
        <v>13581.96</v>
      </c>
      <c r="J1794" s="13" t="s">
        <v>87</v>
      </c>
      <c r="K1794" s="13" t="s">
        <v>88</v>
      </c>
      <c r="L1794" s="34" t="str">
        <f>VLOOKUP(D1794,Products!$A$2:$F$61,3,FALSE)</f>
        <v>Electronics</v>
      </c>
      <c r="M1794" s="34" t="str">
        <f>VLOOKUP(C1794,Customers!$A$2:$F$301,5,FALSE)</f>
        <v>SMB</v>
      </c>
      <c r="N1794" s="34">
        <f>VLOOKUP(C1794,Customers!$A$2:$F$301,3,FALSE)</f>
        <v>54</v>
      </c>
      <c r="O1794" s="34" t="str">
        <f>VLOOKUP(E1794,Sales_Reps!$A$2:$E$31,3,FALSE)</f>
        <v>North</v>
      </c>
      <c r="P1794" s="13" t="s">
        <v>92</v>
      </c>
      <c r="Q1794" s="34">
        <f t="shared" si="58"/>
        <v>782445.33</v>
      </c>
      <c r="R1794" s="34" t="str">
        <f>VLOOKUP(E1794,Sales_Reps!$A$2:$E$100,3,FALSE)</f>
        <v>North</v>
      </c>
      <c r="S1794" s="34" t="str">
        <f t="shared" si="59"/>
        <v>Electronics</v>
      </c>
      <c r="T1794" s="38">
        <f>VLOOKUP(D1794,Products!$A$2:$F$68,4,FALSE)</f>
        <v>1259</v>
      </c>
    </row>
    <row r="1795" spans="1:20" x14ac:dyDescent="0.35">
      <c r="A1795" s="13" t="s">
        <v>2291</v>
      </c>
      <c r="B1795" s="14">
        <v>45526</v>
      </c>
      <c r="C1795" s="13" t="s">
        <v>870</v>
      </c>
      <c r="D1795" s="13" t="s">
        <v>85</v>
      </c>
      <c r="E1795" s="13" t="s">
        <v>215</v>
      </c>
      <c r="F1795" s="15">
        <v>5</v>
      </c>
      <c r="G1795" s="15">
        <v>3620</v>
      </c>
      <c r="H1795" s="15">
        <v>21</v>
      </c>
      <c r="I1795" s="15">
        <v>14299</v>
      </c>
      <c r="J1795" s="13" t="s">
        <v>140</v>
      </c>
      <c r="K1795" s="13" t="s">
        <v>117</v>
      </c>
      <c r="L1795" s="34" t="str">
        <f>VLOOKUP(D1795,Products!$A$2:$F$61,3,FALSE)</f>
        <v>Apparel</v>
      </c>
      <c r="M1795" s="34" t="str">
        <f>VLOOKUP(C1795,Customers!$A$2:$F$301,5,FALSE)</f>
        <v>Retail</v>
      </c>
      <c r="N1795" s="34">
        <f>VLOOKUP(C1795,Customers!$A$2:$F$301,3,FALSE)</f>
        <v>47</v>
      </c>
      <c r="O1795" s="34" t="str">
        <f>VLOOKUP(E1795,Sales_Reps!$A$2:$E$31,3,FALSE)</f>
        <v>North</v>
      </c>
      <c r="P1795" s="13" t="s">
        <v>215</v>
      </c>
      <c r="Q1795" s="34">
        <f t="shared" ref="Q1795:Q1858" si="60">SUMIFS($I:$I,$E:$E,P1795)</f>
        <v>789849.60000000009</v>
      </c>
      <c r="R1795" s="34" t="str">
        <f>VLOOKUP(E1795,Sales_Reps!$A$2:$E$100,3,FALSE)</f>
        <v>North</v>
      </c>
      <c r="S1795" s="34" t="str">
        <f t="shared" ref="S1795:S1858" si="61">L1795</f>
        <v>Apparel</v>
      </c>
      <c r="T1795" s="38">
        <f>VLOOKUP(D1795,Products!$A$2:$F$68,4,FALSE)</f>
        <v>2509</v>
      </c>
    </row>
    <row r="1796" spans="1:20" x14ac:dyDescent="0.35">
      <c r="A1796" s="13" t="s">
        <v>2292</v>
      </c>
      <c r="B1796" s="14">
        <v>45580</v>
      </c>
      <c r="C1796" s="13" t="s">
        <v>1664</v>
      </c>
      <c r="D1796" s="13" t="s">
        <v>237</v>
      </c>
      <c r="E1796" s="13" t="s">
        <v>158</v>
      </c>
      <c r="F1796" s="15">
        <v>1</v>
      </c>
      <c r="G1796" s="15">
        <v>3640</v>
      </c>
      <c r="H1796" s="15">
        <v>15.8</v>
      </c>
      <c r="I1796" s="15">
        <v>3064.88</v>
      </c>
      <c r="J1796" s="13" t="s">
        <v>87</v>
      </c>
      <c r="K1796" s="13" t="s">
        <v>117</v>
      </c>
      <c r="L1796" s="34" t="str">
        <f>VLOOKUP(D1796,Products!$A$2:$F$61,3,FALSE)</f>
        <v>Apparel</v>
      </c>
      <c r="M1796" s="34" t="str">
        <f>VLOOKUP(C1796,Customers!$A$2:$F$301,5,FALSE)</f>
        <v>Retail</v>
      </c>
      <c r="N1796" s="34">
        <f>VLOOKUP(C1796,Customers!$A$2:$F$301,3,FALSE)</f>
        <v>48</v>
      </c>
      <c r="O1796" s="34" t="str">
        <f>VLOOKUP(E1796,Sales_Reps!$A$2:$E$31,3,FALSE)</f>
        <v>East</v>
      </c>
      <c r="P1796" s="13" t="s">
        <v>158</v>
      </c>
      <c r="Q1796" s="34">
        <f t="shared" si="60"/>
        <v>761507.17000000027</v>
      </c>
      <c r="R1796" s="34" t="str">
        <f>VLOOKUP(E1796,Sales_Reps!$A$2:$E$100,3,FALSE)</f>
        <v>East</v>
      </c>
      <c r="S1796" s="34" t="str">
        <f t="shared" si="61"/>
        <v>Apparel</v>
      </c>
      <c r="T1796" s="38">
        <f>VLOOKUP(D1796,Products!$A$2:$F$68,4,FALSE)</f>
        <v>2611</v>
      </c>
    </row>
    <row r="1797" spans="1:20" x14ac:dyDescent="0.35">
      <c r="A1797" s="13" t="s">
        <v>2293</v>
      </c>
      <c r="B1797" s="14">
        <v>45444</v>
      </c>
      <c r="C1797" s="13" t="s">
        <v>762</v>
      </c>
      <c r="D1797" s="13" t="s">
        <v>267</v>
      </c>
      <c r="E1797" s="13" t="s">
        <v>86</v>
      </c>
      <c r="F1797" s="15">
        <v>1</v>
      </c>
      <c r="G1797" s="15">
        <v>1220</v>
      </c>
      <c r="H1797" s="15">
        <v>0.6</v>
      </c>
      <c r="I1797" s="15">
        <v>1212.68</v>
      </c>
      <c r="J1797" s="13" t="s">
        <v>144</v>
      </c>
      <c r="K1797" s="13" t="s">
        <v>133</v>
      </c>
      <c r="L1797" s="34" t="str">
        <f>VLOOKUP(D1797,Products!$A$2:$F$61,3,FALSE)</f>
        <v>Electronics</v>
      </c>
      <c r="M1797" s="34" t="str">
        <f>VLOOKUP(C1797,Customers!$A$2:$F$301,5,FALSE)</f>
        <v>Retail</v>
      </c>
      <c r="N1797" s="34">
        <f>VLOOKUP(C1797,Customers!$A$2:$F$301,3,FALSE)</f>
        <v>52</v>
      </c>
      <c r="O1797" s="34" t="str">
        <f>VLOOKUP(E1797,Sales_Reps!$A$2:$E$31,3,FALSE)</f>
        <v>North</v>
      </c>
      <c r="P1797" s="13" t="s">
        <v>86</v>
      </c>
      <c r="Q1797" s="34">
        <f t="shared" si="60"/>
        <v>855749.67999999982</v>
      </c>
      <c r="R1797" s="34" t="str">
        <f>VLOOKUP(E1797,Sales_Reps!$A$2:$E$100,3,FALSE)</f>
        <v>North</v>
      </c>
      <c r="S1797" s="34" t="str">
        <f t="shared" si="61"/>
        <v>Electronics</v>
      </c>
      <c r="T1797" s="38">
        <f>VLOOKUP(D1797,Products!$A$2:$F$68,4,FALSE)</f>
        <v>517</v>
      </c>
    </row>
    <row r="1798" spans="1:20" x14ac:dyDescent="0.35">
      <c r="A1798" s="13" t="s">
        <v>2294</v>
      </c>
      <c r="B1798" s="14">
        <v>45350</v>
      </c>
      <c r="C1798" s="13" t="s">
        <v>153</v>
      </c>
      <c r="D1798" s="13" t="s">
        <v>167</v>
      </c>
      <c r="E1798" s="13" t="s">
        <v>297</v>
      </c>
      <c r="F1798" s="15">
        <v>10</v>
      </c>
      <c r="G1798" s="15">
        <v>2480</v>
      </c>
      <c r="H1798" s="15">
        <v>0.6</v>
      </c>
      <c r="I1798" s="15">
        <v>24651.200000000001</v>
      </c>
      <c r="J1798" s="13" t="s">
        <v>87</v>
      </c>
      <c r="K1798" s="13" t="s">
        <v>117</v>
      </c>
      <c r="L1798" s="34" t="str">
        <f>VLOOKUP(D1798,Products!$A$2:$F$61,3,FALSE)</f>
        <v>Apparel</v>
      </c>
      <c r="M1798" s="34" t="str">
        <f>VLOOKUP(C1798,Customers!$A$2:$F$301,5,FALSE)</f>
        <v>SMB</v>
      </c>
      <c r="N1798" s="34">
        <f>VLOOKUP(C1798,Customers!$A$2:$F$301,3,FALSE)</f>
        <v>46</v>
      </c>
      <c r="O1798" s="34" t="str">
        <f>VLOOKUP(E1798,Sales_Reps!$A$2:$E$31,3,FALSE)</f>
        <v>North</v>
      </c>
      <c r="P1798" s="13" t="s">
        <v>297</v>
      </c>
      <c r="Q1798" s="34">
        <f t="shared" si="60"/>
        <v>980063.65999999968</v>
      </c>
      <c r="R1798" s="34" t="str">
        <f>VLOOKUP(E1798,Sales_Reps!$A$2:$E$100,3,FALSE)</f>
        <v>North</v>
      </c>
      <c r="S1798" s="34" t="str">
        <f t="shared" si="61"/>
        <v>Apparel</v>
      </c>
      <c r="T1798" s="38">
        <f>VLOOKUP(D1798,Products!$A$2:$F$68,4,FALSE)</f>
        <v>1173</v>
      </c>
    </row>
    <row r="1799" spans="1:20" x14ac:dyDescent="0.35">
      <c r="A1799" s="13" t="s">
        <v>2295</v>
      </c>
      <c r="B1799" s="14">
        <v>45634</v>
      </c>
      <c r="C1799" s="13" t="s">
        <v>602</v>
      </c>
      <c r="D1799" s="13" t="s">
        <v>176</v>
      </c>
      <c r="E1799" s="13" t="s">
        <v>343</v>
      </c>
      <c r="F1799" s="15">
        <v>9</v>
      </c>
      <c r="G1799" s="15">
        <v>1650</v>
      </c>
      <c r="H1799" s="15">
        <v>26.8</v>
      </c>
      <c r="I1799" s="15">
        <v>10870.2</v>
      </c>
      <c r="J1799" s="13" t="s">
        <v>87</v>
      </c>
      <c r="K1799" s="13" t="s">
        <v>94</v>
      </c>
      <c r="L1799" s="34" t="str">
        <f>VLOOKUP(D1799,Products!$A$2:$F$61,3,FALSE)</f>
        <v>Beauty</v>
      </c>
      <c r="M1799" s="34" t="str">
        <f>VLOOKUP(C1799,Customers!$A$2:$F$301,5,FALSE)</f>
        <v>Retail</v>
      </c>
      <c r="N1799" s="34">
        <f>VLOOKUP(C1799,Customers!$A$2:$F$301,3,FALSE)</f>
        <v>61</v>
      </c>
      <c r="O1799" s="34" t="str">
        <f>VLOOKUP(E1799,Sales_Reps!$A$2:$E$31,3,FALSE)</f>
        <v>West</v>
      </c>
      <c r="P1799" s="13" t="s">
        <v>343</v>
      </c>
      <c r="Q1799" s="34">
        <f t="shared" si="60"/>
        <v>917092.61999999965</v>
      </c>
      <c r="R1799" s="34" t="str">
        <f>VLOOKUP(E1799,Sales_Reps!$A$2:$E$100,3,FALSE)</f>
        <v>West</v>
      </c>
      <c r="S1799" s="34" t="str">
        <f t="shared" si="61"/>
        <v>Beauty</v>
      </c>
      <c r="T1799" s="38">
        <f>VLOOKUP(D1799,Products!$A$2:$F$68,4,FALSE)</f>
        <v>1222</v>
      </c>
    </row>
    <row r="1800" spans="1:20" x14ac:dyDescent="0.35">
      <c r="A1800" s="13" t="s">
        <v>2296</v>
      </c>
      <c r="B1800" s="14">
        <v>45560</v>
      </c>
      <c r="C1800" s="13" t="s">
        <v>717</v>
      </c>
      <c r="D1800" s="13" t="s">
        <v>276</v>
      </c>
      <c r="E1800" s="13" t="s">
        <v>107</v>
      </c>
      <c r="F1800" s="15">
        <v>10</v>
      </c>
      <c r="G1800" s="15">
        <v>3020</v>
      </c>
      <c r="H1800" s="15">
        <v>2.6</v>
      </c>
      <c r="I1800" s="15">
        <v>29414.799999999999</v>
      </c>
      <c r="J1800" s="13" t="s">
        <v>87</v>
      </c>
      <c r="K1800" s="13" t="s">
        <v>94</v>
      </c>
      <c r="L1800" s="34" t="str">
        <f>VLOOKUP(D1800,Products!$A$2:$F$61,3,FALSE)</f>
        <v>Beauty</v>
      </c>
      <c r="M1800" s="34" t="str">
        <f>VLOOKUP(C1800,Customers!$A$2:$F$301,5,FALSE)</f>
        <v>Retail</v>
      </c>
      <c r="N1800" s="34">
        <f>VLOOKUP(C1800,Customers!$A$2:$F$301,3,FALSE)</f>
        <v>24</v>
      </c>
      <c r="O1800" s="34" t="str">
        <f>VLOOKUP(E1800,Sales_Reps!$A$2:$E$31,3,FALSE)</f>
        <v>North</v>
      </c>
      <c r="P1800" s="13" t="s">
        <v>107</v>
      </c>
      <c r="Q1800" s="34">
        <f t="shared" si="60"/>
        <v>861553.33</v>
      </c>
      <c r="R1800" s="34" t="str">
        <f>VLOOKUP(E1800,Sales_Reps!$A$2:$E$100,3,FALSE)</f>
        <v>North</v>
      </c>
      <c r="S1800" s="34" t="str">
        <f t="shared" si="61"/>
        <v>Beauty</v>
      </c>
      <c r="T1800" s="38">
        <f>VLOOKUP(D1800,Products!$A$2:$F$68,4,FALSE)</f>
        <v>1626</v>
      </c>
    </row>
    <row r="1801" spans="1:20" x14ac:dyDescent="0.35">
      <c r="A1801" s="13" t="s">
        <v>2297</v>
      </c>
      <c r="B1801" s="14">
        <v>45544</v>
      </c>
      <c r="C1801" s="13" t="s">
        <v>870</v>
      </c>
      <c r="D1801" s="13" t="s">
        <v>452</v>
      </c>
      <c r="E1801" s="13" t="s">
        <v>98</v>
      </c>
      <c r="F1801" s="15">
        <v>5</v>
      </c>
      <c r="G1801" s="15">
        <v>3450</v>
      </c>
      <c r="H1801" s="15">
        <v>25.3</v>
      </c>
      <c r="I1801" s="15">
        <v>12885.75</v>
      </c>
      <c r="J1801" s="13" t="s">
        <v>87</v>
      </c>
      <c r="K1801" s="13" t="s">
        <v>117</v>
      </c>
      <c r="L1801" s="34" t="str">
        <f>VLOOKUP(D1801,Products!$A$2:$F$61,3,FALSE)</f>
        <v>Apparel</v>
      </c>
      <c r="M1801" s="34" t="str">
        <f>VLOOKUP(C1801,Customers!$A$2:$F$301,5,FALSE)</f>
        <v>Retail</v>
      </c>
      <c r="N1801" s="34">
        <f>VLOOKUP(C1801,Customers!$A$2:$F$301,3,FALSE)</f>
        <v>47</v>
      </c>
      <c r="O1801" s="34" t="str">
        <f>VLOOKUP(E1801,Sales_Reps!$A$2:$E$31,3,FALSE)</f>
        <v>South</v>
      </c>
      <c r="P1801" s="13" t="s">
        <v>98</v>
      </c>
      <c r="Q1801" s="34">
        <f t="shared" si="60"/>
        <v>995713.54000000015</v>
      </c>
      <c r="R1801" s="34" t="str">
        <f>VLOOKUP(E1801,Sales_Reps!$A$2:$E$100,3,FALSE)</f>
        <v>South</v>
      </c>
      <c r="S1801" s="34" t="str">
        <f t="shared" si="61"/>
        <v>Apparel</v>
      </c>
      <c r="T1801" s="38">
        <f>VLOOKUP(D1801,Products!$A$2:$F$68,4,FALSE)</f>
        <v>1748</v>
      </c>
    </row>
    <row r="1802" spans="1:20" x14ac:dyDescent="0.35">
      <c r="A1802" s="13" t="s">
        <v>2298</v>
      </c>
      <c r="B1802" s="14">
        <v>45457</v>
      </c>
      <c r="C1802" s="13" t="s">
        <v>208</v>
      </c>
      <c r="D1802" s="13" t="s">
        <v>267</v>
      </c>
      <c r="E1802" s="13" t="s">
        <v>121</v>
      </c>
      <c r="F1802" s="15">
        <v>7</v>
      </c>
      <c r="G1802" s="15">
        <v>1220</v>
      </c>
      <c r="H1802" s="15">
        <v>13.1</v>
      </c>
      <c r="I1802" s="15">
        <v>7421.26</v>
      </c>
      <c r="J1802" s="13" t="s">
        <v>87</v>
      </c>
      <c r="K1802" s="13" t="s">
        <v>133</v>
      </c>
      <c r="L1802" s="34" t="str">
        <f>VLOOKUP(D1802,Products!$A$2:$F$61,3,FALSE)</f>
        <v>Electronics</v>
      </c>
      <c r="M1802" s="34" t="str">
        <f>VLOOKUP(C1802,Customers!$A$2:$F$301,5,FALSE)</f>
        <v>Retail</v>
      </c>
      <c r="N1802" s="34">
        <f>VLOOKUP(C1802,Customers!$A$2:$F$301,3,FALSE)</f>
        <v>26</v>
      </c>
      <c r="O1802" s="34" t="str">
        <f>VLOOKUP(E1802,Sales_Reps!$A$2:$E$31,3,FALSE)</f>
        <v>East</v>
      </c>
      <c r="P1802" s="13" t="s">
        <v>121</v>
      </c>
      <c r="Q1802" s="34">
        <f t="shared" si="60"/>
        <v>971183.52000000014</v>
      </c>
      <c r="R1802" s="34" t="str">
        <f>VLOOKUP(E1802,Sales_Reps!$A$2:$E$100,3,FALSE)</f>
        <v>East</v>
      </c>
      <c r="S1802" s="34" t="str">
        <f t="shared" si="61"/>
        <v>Electronics</v>
      </c>
      <c r="T1802" s="38">
        <f>VLOOKUP(D1802,Products!$A$2:$F$68,4,FALSE)</f>
        <v>517</v>
      </c>
    </row>
    <row r="1803" spans="1:20" x14ac:dyDescent="0.35">
      <c r="A1803" s="13" t="s">
        <v>2299</v>
      </c>
      <c r="B1803" s="14">
        <v>45578</v>
      </c>
      <c r="C1803" s="13" t="s">
        <v>206</v>
      </c>
      <c r="D1803" s="13" t="s">
        <v>234</v>
      </c>
      <c r="E1803" s="13" t="s">
        <v>92</v>
      </c>
      <c r="F1803" s="15">
        <v>10</v>
      </c>
      <c r="G1803" s="15">
        <v>3780</v>
      </c>
      <c r="H1803" s="15">
        <v>23.7</v>
      </c>
      <c r="I1803" s="15">
        <v>28841.4</v>
      </c>
      <c r="J1803" s="13" t="s">
        <v>87</v>
      </c>
      <c r="K1803" s="13" t="s">
        <v>133</v>
      </c>
      <c r="L1803" s="34" t="str">
        <f>VLOOKUP(D1803,Products!$A$2:$F$61,3,FALSE)</f>
        <v>Grocery</v>
      </c>
      <c r="M1803" s="34" t="str">
        <f>VLOOKUP(C1803,Customers!$A$2:$F$301,5,FALSE)</f>
        <v>SMB</v>
      </c>
      <c r="N1803" s="34">
        <f>VLOOKUP(C1803,Customers!$A$2:$F$301,3,FALSE)</f>
        <v>40</v>
      </c>
      <c r="O1803" s="34" t="str">
        <f>VLOOKUP(E1803,Sales_Reps!$A$2:$E$31,3,FALSE)</f>
        <v>North</v>
      </c>
      <c r="P1803" s="13" t="s">
        <v>92</v>
      </c>
      <c r="Q1803" s="34">
        <f t="shared" si="60"/>
        <v>782445.33</v>
      </c>
      <c r="R1803" s="34" t="str">
        <f>VLOOKUP(E1803,Sales_Reps!$A$2:$E$100,3,FALSE)</f>
        <v>North</v>
      </c>
      <c r="S1803" s="34" t="str">
        <f t="shared" si="61"/>
        <v>Grocery</v>
      </c>
      <c r="T1803" s="38">
        <f>VLOOKUP(D1803,Products!$A$2:$F$68,4,FALSE)</f>
        <v>2436</v>
      </c>
    </row>
    <row r="1804" spans="1:20" x14ac:dyDescent="0.35">
      <c r="A1804" s="13" t="s">
        <v>2300</v>
      </c>
      <c r="B1804" s="14">
        <v>45405</v>
      </c>
      <c r="C1804" s="13" t="s">
        <v>420</v>
      </c>
      <c r="D1804" s="13" t="s">
        <v>279</v>
      </c>
      <c r="E1804" s="13" t="s">
        <v>297</v>
      </c>
      <c r="F1804" s="15">
        <v>8</v>
      </c>
      <c r="G1804" s="15">
        <v>2660</v>
      </c>
      <c r="H1804" s="15">
        <v>16.100000000000001</v>
      </c>
      <c r="I1804" s="15">
        <v>17853.919999999998</v>
      </c>
      <c r="J1804" s="13" t="s">
        <v>87</v>
      </c>
      <c r="K1804" s="13" t="s">
        <v>99</v>
      </c>
      <c r="L1804" s="34" t="str">
        <f>VLOOKUP(D1804,Products!$A$2:$F$61,3,FALSE)</f>
        <v>Electronics</v>
      </c>
      <c r="M1804" s="34" t="str">
        <f>VLOOKUP(C1804,Customers!$A$2:$F$301,5,FALSE)</f>
        <v>Retail</v>
      </c>
      <c r="N1804" s="34">
        <f>VLOOKUP(C1804,Customers!$A$2:$F$301,3,FALSE)</f>
        <v>44</v>
      </c>
      <c r="O1804" s="34" t="str">
        <f>VLOOKUP(E1804,Sales_Reps!$A$2:$E$31,3,FALSE)</f>
        <v>North</v>
      </c>
      <c r="P1804" s="13" t="s">
        <v>297</v>
      </c>
      <c r="Q1804" s="34">
        <f t="shared" si="60"/>
        <v>980063.65999999968</v>
      </c>
      <c r="R1804" s="34" t="str">
        <f>VLOOKUP(E1804,Sales_Reps!$A$2:$E$100,3,FALSE)</f>
        <v>North</v>
      </c>
      <c r="S1804" s="34" t="str">
        <f t="shared" si="61"/>
        <v>Electronics</v>
      </c>
      <c r="T1804" s="38">
        <f>VLOOKUP(D1804,Products!$A$2:$F$68,4,FALSE)</f>
        <v>1259</v>
      </c>
    </row>
    <row r="1805" spans="1:20" x14ac:dyDescent="0.35">
      <c r="A1805" s="13" t="s">
        <v>2301</v>
      </c>
      <c r="B1805" s="14">
        <v>45338</v>
      </c>
      <c r="C1805" s="13" t="s">
        <v>312</v>
      </c>
      <c r="D1805" s="13" t="s">
        <v>502</v>
      </c>
      <c r="E1805" s="13" t="s">
        <v>107</v>
      </c>
      <c r="F1805" s="15">
        <v>6</v>
      </c>
      <c r="G1805" s="15">
        <v>1090</v>
      </c>
      <c r="H1805" s="15">
        <v>20</v>
      </c>
      <c r="I1805" s="15">
        <v>5232</v>
      </c>
      <c r="J1805" s="13" t="s">
        <v>93</v>
      </c>
      <c r="K1805" s="13" t="s">
        <v>133</v>
      </c>
      <c r="L1805" s="34" t="str">
        <f>VLOOKUP(D1805,Products!$A$2:$F$61,3,FALSE)</f>
        <v>Home</v>
      </c>
      <c r="M1805" s="34" t="str">
        <f>VLOOKUP(C1805,Customers!$A$2:$F$301,5,FALSE)</f>
        <v>Retail</v>
      </c>
      <c r="N1805" s="34">
        <f>VLOOKUP(C1805,Customers!$A$2:$F$301,3,FALSE)</f>
        <v>46</v>
      </c>
      <c r="O1805" s="34" t="str">
        <f>VLOOKUP(E1805,Sales_Reps!$A$2:$E$31,3,FALSE)</f>
        <v>North</v>
      </c>
      <c r="P1805" s="13" t="s">
        <v>107</v>
      </c>
      <c r="Q1805" s="34">
        <f t="shared" si="60"/>
        <v>861553.33</v>
      </c>
      <c r="R1805" s="34" t="str">
        <f>VLOOKUP(E1805,Sales_Reps!$A$2:$E$100,3,FALSE)</f>
        <v>North</v>
      </c>
      <c r="S1805" s="34" t="str">
        <f t="shared" si="61"/>
        <v>Home</v>
      </c>
      <c r="T1805" s="38">
        <f>VLOOKUP(D1805,Products!$A$2:$F$68,4,FALSE)</f>
        <v>464</v>
      </c>
    </row>
    <row r="1806" spans="1:20" x14ac:dyDescent="0.35">
      <c r="A1806" s="13" t="s">
        <v>2302</v>
      </c>
      <c r="B1806" s="14">
        <v>45324</v>
      </c>
      <c r="C1806" s="13" t="s">
        <v>2303</v>
      </c>
      <c r="D1806" s="13" t="s">
        <v>203</v>
      </c>
      <c r="E1806" s="13" t="s">
        <v>346</v>
      </c>
      <c r="F1806" s="15">
        <v>2</v>
      </c>
      <c r="G1806" s="15">
        <v>660</v>
      </c>
      <c r="H1806" s="15">
        <v>18.7</v>
      </c>
      <c r="I1806" s="15">
        <v>1073.1600000000001</v>
      </c>
      <c r="J1806" s="13" t="s">
        <v>87</v>
      </c>
      <c r="K1806" s="13" t="s">
        <v>112</v>
      </c>
      <c r="L1806" s="34" t="str">
        <f>VLOOKUP(D1806,Products!$A$2:$F$61,3,FALSE)</f>
        <v>Home</v>
      </c>
      <c r="M1806" s="34" t="e">
        <f>VLOOKUP(C1806,Customers!$A$2:$F$301,5,FALSE)</f>
        <v>#N/A</v>
      </c>
      <c r="N1806" s="34" t="e">
        <f>VLOOKUP(C1806,Customers!$A$2:$F$301,3,FALSE)</f>
        <v>#N/A</v>
      </c>
      <c r="O1806" s="34" t="str">
        <f>VLOOKUP(E1806,Sales_Reps!$A$2:$E$31,3,FALSE)</f>
        <v>South</v>
      </c>
      <c r="P1806" s="13" t="s">
        <v>346</v>
      </c>
      <c r="Q1806" s="34">
        <f t="shared" si="60"/>
        <v>814563.7100000002</v>
      </c>
      <c r="R1806" s="34" t="str">
        <f>VLOOKUP(E1806,Sales_Reps!$A$2:$E$100,3,FALSE)</f>
        <v>South</v>
      </c>
      <c r="S1806" s="34" t="str">
        <f t="shared" si="61"/>
        <v>Home</v>
      </c>
      <c r="T1806" s="38">
        <f>VLOOKUP(D1806,Products!$A$2:$F$68,4,FALSE)</f>
        <v>329</v>
      </c>
    </row>
    <row r="1807" spans="1:20" x14ac:dyDescent="0.35">
      <c r="A1807" s="13" t="s">
        <v>2304</v>
      </c>
      <c r="B1807" s="14">
        <v>45332</v>
      </c>
      <c r="C1807" s="13" t="s">
        <v>1072</v>
      </c>
      <c r="D1807" s="13" t="s">
        <v>502</v>
      </c>
      <c r="E1807" s="13" t="s">
        <v>188</v>
      </c>
      <c r="F1807" s="15">
        <v>7</v>
      </c>
      <c r="G1807" s="15">
        <v>1090</v>
      </c>
      <c r="H1807" s="15">
        <v>19.399999999999999</v>
      </c>
      <c r="I1807" s="15">
        <v>6149.78</v>
      </c>
      <c r="J1807" s="13" t="s">
        <v>93</v>
      </c>
      <c r="K1807" s="13" t="s">
        <v>112</v>
      </c>
      <c r="L1807" s="34" t="str">
        <f>VLOOKUP(D1807,Products!$A$2:$F$61,3,FALSE)</f>
        <v>Home</v>
      </c>
      <c r="M1807" s="34" t="str">
        <f>VLOOKUP(C1807,Customers!$A$2:$F$301,5,FALSE)</f>
        <v>SMB</v>
      </c>
      <c r="N1807" s="34">
        <f>VLOOKUP(C1807,Customers!$A$2:$F$301,3,FALSE)</f>
        <v>53</v>
      </c>
      <c r="O1807" s="34" t="str">
        <f>VLOOKUP(E1807,Sales_Reps!$A$2:$E$31,3,FALSE)</f>
        <v>South</v>
      </c>
      <c r="P1807" s="13" t="s">
        <v>188</v>
      </c>
      <c r="Q1807" s="34">
        <f t="shared" si="60"/>
        <v>1091740.1799999997</v>
      </c>
      <c r="R1807" s="34" t="str">
        <f>VLOOKUP(E1807,Sales_Reps!$A$2:$E$100,3,FALSE)</f>
        <v>South</v>
      </c>
      <c r="S1807" s="34" t="str">
        <f t="shared" si="61"/>
        <v>Home</v>
      </c>
      <c r="T1807" s="38">
        <f>VLOOKUP(D1807,Products!$A$2:$F$68,4,FALSE)</f>
        <v>464</v>
      </c>
    </row>
    <row r="1808" spans="1:20" x14ac:dyDescent="0.35">
      <c r="A1808" s="13" t="s">
        <v>2305</v>
      </c>
      <c r="B1808" s="14">
        <v>45429</v>
      </c>
      <c r="C1808" s="13" t="s">
        <v>310</v>
      </c>
      <c r="D1808" s="13" t="s">
        <v>338</v>
      </c>
      <c r="E1808" s="13" t="s">
        <v>188</v>
      </c>
      <c r="F1808" s="15">
        <v>3</v>
      </c>
      <c r="G1808" s="15">
        <v>2210</v>
      </c>
      <c r="H1808" s="15">
        <v>11</v>
      </c>
      <c r="I1808" s="15">
        <v>5900.7</v>
      </c>
      <c r="J1808" s="13" t="s">
        <v>87</v>
      </c>
      <c r="K1808" s="13" t="s">
        <v>117</v>
      </c>
      <c r="L1808" s="34" t="str">
        <f>VLOOKUP(D1808,Products!$A$2:$F$61,3,FALSE)</f>
        <v>Grocery</v>
      </c>
      <c r="M1808" s="34" t="str">
        <f>VLOOKUP(C1808,Customers!$A$2:$F$301,5,FALSE)</f>
        <v>Retail</v>
      </c>
      <c r="N1808" s="34">
        <f>VLOOKUP(C1808,Customers!$A$2:$F$301,3,FALSE)</f>
        <v>42</v>
      </c>
      <c r="O1808" s="34" t="str">
        <f>VLOOKUP(E1808,Sales_Reps!$A$2:$E$31,3,FALSE)</f>
        <v>South</v>
      </c>
      <c r="P1808" s="13" t="s">
        <v>188</v>
      </c>
      <c r="Q1808" s="34">
        <f t="shared" si="60"/>
        <v>1091740.1799999997</v>
      </c>
      <c r="R1808" s="34" t="str">
        <f>VLOOKUP(E1808,Sales_Reps!$A$2:$E$100,3,FALSE)</f>
        <v>South</v>
      </c>
      <c r="S1808" s="34" t="str">
        <f t="shared" si="61"/>
        <v>Grocery</v>
      </c>
      <c r="T1808" s="38">
        <f>VLOOKUP(D1808,Products!$A$2:$F$68,4,FALSE)</f>
        <v>1010</v>
      </c>
    </row>
    <row r="1809" spans="1:20" x14ac:dyDescent="0.35">
      <c r="A1809" s="13" t="s">
        <v>2306</v>
      </c>
      <c r="B1809" s="14">
        <v>45420</v>
      </c>
      <c r="C1809" s="13" t="s">
        <v>178</v>
      </c>
      <c r="D1809" s="13" t="s">
        <v>408</v>
      </c>
      <c r="E1809" s="13" t="s">
        <v>229</v>
      </c>
      <c r="F1809" s="15">
        <v>2</v>
      </c>
      <c r="G1809" s="15">
        <v>3970</v>
      </c>
      <c r="H1809" s="15">
        <v>24.9</v>
      </c>
      <c r="I1809" s="15">
        <v>5962.94</v>
      </c>
      <c r="J1809" s="13" t="s">
        <v>87</v>
      </c>
      <c r="K1809" s="13" t="s">
        <v>94</v>
      </c>
      <c r="L1809" s="34" t="str">
        <f>VLOOKUP(D1809,Products!$A$2:$F$61,3,FALSE)</f>
        <v>Electronics</v>
      </c>
      <c r="M1809" s="34" t="str">
        <f>VLOOKUP(C1809,Customers!$A$2:$F$301,5,FALSE)</f>
        <v>Corporate</v>
      </c>
      <c r="N1809" s="34">
        <f>VLOOKUP(C1809,Customers!$A$2:$F$301,3,FALSE)</f>
        <v>55</v>
      </c>
      <c r="O1809" s="34" t="str">
        <f>VLOOKUP(E1809,Sales_Reps!$A$2:$E$31,3,FALSE)</f>
        <v>West</v>
      </c>
      <c r="P1809" s="13" t="s">
        <v>229</v>
      </c>
      <c r="Q1809" s="34">
        <f t="shared" si="60"/>
        <v>1016696.8000000002</v>
      </c>
      <c r="R1809" s="34" t="str">
        <f>VLOOKUP(E1809,Sales_Reps!$A$2:$E$100,3,FALSE)</f>
        <v>West</v>
      </c>
      <c r="S1809" s="34" t="str">
        <f t="shared" si="61"/>
        <v>Electronics</v>
      </c>
      <c r="T1809" s="38">
        <f>VLOOKUP(D1809,Products!$A$2:$F$68,4,FALSE)</f>
        <v>2865</v>
      </c>
    </row>
    <row r="1810" spans="1:20" x14ac:dyDescent="0.35">
      <c r="A1810" s="13" t="s">
        <v>2307</v>
      </c>
      <c r="B1810" s="14">
        <v>45403</v>
      </c>
      <c r="C1810" s="13" t="s">
        <v>507</v>
      </c>
      <c r="D1810" s="13" t="s">
        <v>270</v>
      </c>
      <c r="E1810" s="13" t="s">
        <v>158</v>
      </c>
      <c r="F1810" s="15">
        <v>7</v>
      </c>
      <c r="G1810" s="15">
        <v>4610</v>
      </c>
      <c r="H1810" s="15">
        <v>6.3</v>
      </c>
      <c r="I1810" s="15">
        <v>30236.99</v>
      </c>
      <c r="J1810" s="13" t="s">
        <v>87</v>
      </c>
      <c r="K1810" s="13" t="s">
        <v>88</v>
      </c>
      <c r="L1810" s="34" t="str">
        <f>VLOOKUP(D1810,Products!$A$2:$F$61,3,FALSE)</f>
        <v>Home</v>
      </c>
      <c r="M1810" s="34" t="str">
        <f>VLOOKUP(C1810,Customers!$A$2:$F$301,5,FALSE)</f>
        <v>Retail</v>
      </c>
      <c r="N1810" s="34">
        <f>VLOOKUP(C1810,Customers!$A$2:$F$301,3,FALSE)</f>
        <v>59</v>
      </c>
      <c r="O1810" s="34" t="str">
        <f>VLOOKUP(E1810,Sales_Reps!$A$2:$E$31,3,FALSE)</f>
        <v>East</v>
      </c>
      <c r="P1810" s="13" t="s">
        <v>158</v>
      </c>
      <c r="Q1810" s="34">
        <f t="shared" si="60"/>
        <v>761507.17000000027</v>
      </c>
      <c r="R1810" s="34" t="str">
        <f>VLOOKUP(E1810,Sales_Reps!$A$2:$E$100,3,FALSE)</f>
        <v>East</v>
      </c>
      <c r="S1810" s="34" t="str">
        <f t="shared" si="61"/>
        <v>Home</v>
      </c>
      <c r="T1810" s="38">
        <f>VLOOKUP(D1810,Products!$A$2:$F$68,4,FALSE)</f>
        <v>1850</v>
      </c>
    </row>
    <row r="1811" spans="1:20" x14ac:dyDescent="0.35">
      <c r="A1811" s="13" t="s">
        <v>2308</v>
      </c>
      <c r="B1811" s="14">
        <v>45403</v>
      </c>
      <c r="C1811" s="13" t="s">
        <v>522</v>
      </c>
      <c r="D1811" s="13" t="s">
        <v>380</v>
      </c>
      <c r="E1811" s="13" t="s">
        <v>201</v>
      </c>
      <c r="F1811" s="15">
        <v>10</v>
      </c>
      <c r="G1811" s="15">
        <v>960</v>
      </c>
      <c r="H1811" s="15">
        <v>14.6</v>
      </c>
      <c r="I1811" s="15">
        <v>8198.4</v>
      </c>
      <c r="J1811" s="13" t="s">
        <v>87</v>
      </c>
      <c r="K1811" s="13" t="s">
        <v>99</v>
      </c>
      <c r="L1811" s="34" t="str">
        <f>VLOOKUP(D1811,Products!$A$2:$F$61,3,FALSE)</f>
        <v>Beauty</v>
      </c>
      <c r="M1811" s="34" t="str">
        <f>VLOOKUP(C1811,Customers!$A$2:$F$301,5,FALSE)</f>
        <v>SMB</v>
      </c>
      <c r="N1811" s="34">
        <f>VLOOKUP(C1811,Customers!$A$2:$F$301,3,FALSE)</f>
        <v>55</v>
      </c>
      <c r="O1811" s="34" t="str">
        <f>VLOOKUP(E1811,Sales_Reps!$A$2:$E$31,3,FALSE)</f>
        <v>West</v>
      </c>
      <c r="P1811" s="13" t="s">
        <v>201</v>
      </c>
      <c r="Q1811" s="34">
        <f t="shared" si="60"/>
        <v>576305.08000000019</v>
      </c>
      <c r="R1811" s="34" t="str">
        <f>VLOOKUP(E1811,Sales_Reps!$A$2:$E$100,3,FALSE)</f>
        <v>West</v>
      </c>
      <c r="S1811" s="34" t="str">
        <f t="shared" si="61"/>
        <v>Beauty</v>
      </c>
      <c r="T1811" s="38">
        <f>VLOOKUP(D1811,Products!$A$2:$F$68,4,FALSE)</f>
        <v>675</v>
      </c>
    </row>
    <row r="1812" spans="1:20" x14ac:dyDescent="0.35">
      <c r="A1812" s="13" t="s">
        <v>2309</v>
      </c>
      <c r="B1812" s="14">
        <v>45600</v>
      </c>
      <c r="C1812" s="13" t="s">
        <v>231</v>
      </c>
      <c r="D1812" s="13" t="s">
        <v>276</v>
      </c>
      <c r="E1812" s="13" t="s">
        <v>346</v>
      </c>
      <c r="F1812" s="15">
        <v>8</v>
      </c>
      <c r="G1812" s="15">
        <v>3020</v>
      </c>
      <c r="H1812" s="15">
        <v>14.5</v>
      </c>
      <c r="I1812" s="15">
        <v>20656.8</v>
      </c>
      <c r="J1812" s="13" t="s">
        <v>87</v>
      </c>
      <c r="K1812" s="13" t="s">
        <v>117</v>
      </c>
      <c r="L1812" s="34" t="str">
        <f>VLOOKUP(D1812,Products!$A$2:$F$61,3,FALSE)</f>
        <v>Beauty</v>
      </c>
      <c r="M1812" s="34" t="str">
        <f>VLOOKUP(C1812,Customers!$A$2:$F$301,5,FALSE)</f>
        <v>SMB</v>
      </c>
      <c r="N1812" s="34">
        <f>VLOOKUP(C1812,Customers!$A$2:$F$301,3,FALSE)</f>
        <v>64</v>
      </c>
      <c r="O1812" s="34" t="str">
        <f>VLOOKUP(E1812,Sales_Reps!$A$2:$E$31,3,FALSE)</f>
        <v>South</v>
      </c>
      <c r="P1812" s="13" t="s">
        <v>346</v>
      </c>
      <c r="Q1812" s="34">
        <f t="shared" si="60"/>
        <v>814563.7100000002</v>
      </c>
      <c r="R1812" s="34" t="str">
        <f>VLOOKUP(E1812,Sales_Reps!$A$2:$E$100,3,FALSE)</f>
        <v>South</v>
      </c>
      <c r="S1812" s="34" t="str">
        <f t="shared" si="61"/>
        <v>Beauty</v>
      </c>
      <c r="T1812" s="38">
        <f>VLOOKUP(D1812,Products!$A$2:$F$68,4,FALSE)</f>
        <v>1626</v>
      </c>
    </row>
    <row r="1813" spans="1:20" x14ac:dyDescent="0.35">
      <c r="A1813" s="13" t="s">
        <v>2310</v>
      </c>
      <c r="B1813" s="14">
        <v>45629</v>
      </c>
      <c r="C1813" s="13" t="s">
        <v>142</v>
      </c>
      <c r="D1813" s="13" t="s">
        <v>167</v>
      </c>
      <c r="E1813" s="13" t="s">
        <v>201</v>
      </c>
      <c r="F1813" s="15">
        <v>7</v>
      </c>
      <c r="G1813" s="15">
        <v>2480</v>
      </c>
      <c r="H1813" s="15">
        <v>17.3</v>
      </c>
      <c r="I1813" s="15">
        <v>14356.72</v>
      </c>
      <c r="J1813" s="13" t="s">
        <v>87</v>
      </c>
      <c r="K1813" s="13" t="s">
        <v>88</v>
      </c>
      <c r="L1813" s="34" t="str">
        <f>VLOOKUP(D1813,Products!$A$2:$F$61,3,FALSE)</f>
        <v>Apparel</v>
      </c>
      <c r="M1813" s="34" t="str">
        <f>VLOOKUP(C1813,Customers!$A$2:$F$301,5,FALSE)</f>
        <v>SMB</v>
      </c>
      <c r="N1813" s="34">
        <f>VLOOKUP(C1813,Customers!$A$2:$F$301,3,FALSE)</f>
        <v>39</v>
      </c>
      <c r="O1813" s="34" t="str">
        <f>VLOOKUP(E1813,Sales_Reps!$A$2:$E$31,3,FALSE)</f>
        <v>West</v>
      </c>
      <c r="P1813" s="13" t="s">
        <v>201</v>
      </c>
      <c r="Q1813" s="34">
        <f t="shared" si="60"/>
        <v>576305.08000000019</v>
      </c>
      <c r="R1813" s="34" t="str">
        <f>VLOOKUP(E1813,Sales_Reps!$A$2:$E$100,3,FALSE)</f>
        <v>West</v>
      </c>
      <c r="S1813" s="34" t="str">
        <f t="shared" si="61"/>
        <v>Apparel</v>
      </c>
      <c r="T1813" s="38">
        <f>VLOOKUP(D1813,Products!$A$2:$F$68,4,FALSE)</f>
        <v>1173</v>
      </c>
    </row>
    <row r="1814" spans="1:20" x14ac:dyDescent="0.35">
      <c r="A1814" s="13" t="s">
        <v>2311</v>
      </c>
      <c r="B1814" s="14">
        <v>45330</v>
      </c>
      <c r="C1814" s="13" t="s">
        <v>592</v>
      </c>
      <c r="D1814" s="13" t="s">
        <v>248</v>
      </c>
      <c r="E1814" s="13" t="s">
        <v>252</v>
      </c>
      <c r="F1814" s="15">
        <v>10</v>
      </c>
      <c r="G1814" s="15">
        <v>3870</v>
      </c>
      <c r="H1814" s="15">
        <v>22.4</v>
      </c>
      <c r="I1814" s="15">
        <v>30031.200000000001</v>
      </c>
      <c r="J1814" s="13" t="s">
        <v>93</v>
      </c>
      <c r="K1814" s="13" t="s">
        <v>133</v>
      </c>
      <c r="L1814" s="34" t="str">
        <f>VLOOKUP(D1814,Products!$A$2:$F$61,3,FALSE)</f>
        <v>Electronics</v>
      </c>
      <c r="M1814" s="34" t="str">
        <f>VLOOKUP(C1814,Customers!$A$2:$F$301,5,FALSE)</f>
        <v>Retail</v>
      </c>
      <c r="N1814" s="34">
        <f>VLOOKUP(C1814,Customers!$A$2:$F$301,3,FALSE)</f>
        <v>22</v>
      </c>
      <c r="O1814" s="34" t="str">
        <f>VLOOKUP(E1814,Sales_Reps!$A$2:$E$31,3,FALSE)</f>
        <v>South</v>
      </c>
      <c r="P1814" s="13" t="s">
        <v>252</v>
      </c>
      <c r="Q1814" s="34">
        <f t="shared" si="60"/>
        <v>811524.37999999989</v>
      </c>
      <c r="R1814" s="34" t="str">
        <f>VLOOKUP(E1814,Sales_Reps!$A$2:$E$100,3,FALSE)</f>
        <v>South</v>
      </c>
      <c r="S1814" s="34" t="str">
        <f t="shared" si="61"/>
        <v>Electronics</v>
      </c>
      <c r="T1814" s="38">
        <f>VLOOKUP(D1814,Products!$A$2:$F$68,4,FALSE)</f>
        <v>1559</v>
      </c>
    </row>
    <row r="1815" spans="1:20" x14ac:dyDescent="0.35">
      <c r="A1815" s="13" t="s">
        <v>2312</v>
      </c>
      <c r="B1815" s="14">
        <v>45551</v>
      </c>
      <c r="C1815" s="13" t="s">
        <v>878</v>
      </c>
      <c r="D1815" s="13" t="s">
        <v>203</v>
      </c>
      <c r="E1815" s="13" t="s">
        <v>285</v>
      </c>
      <c r="F1815" s="15">
        <v>6</v>
      </c>
      <c r="G1815" s="15">
        <v>660</v>
      </c>
      <c r="H1815" s="15">
        <v>27.3</v>
      </c>
      <c r="I1815" s="15">
        <v>2878.92</v>
      </c>
      <c r="J1815" s="13" t="s">
        <v>87</v>
      </c>
      <c r="K1815" s="13" t="s">
        <v>112</v>
      </c>
      <c r="L1815" s="34" t="str">
        <f>VLOOKUP(D1815,Products!$A$2:$F$61,3,FALSE)</f>
        <v>Home</v>
      </c>
      <c r="M1815" s="34" t="str">
        <f>VLOOKUP(C1815,Customers!$A$2:$F$301,5,FALSE)</f>
        <v>Corporate</v>
      </c>
      <c r="N1815" s="34">
        <f>VLOOKUP(C1815,Customers!$A$2:$F$301,3,FALSE)</f>
        <v>62</v>
      </c>
      <c r="O1815" s="34" t="str">
        <f>VLOOKUP(E1815,Sales_Reps!$A$2:$E$31,3,FALSE)</f>
        <v>East</v>
      </c>
      <c r="P1815" s="13" t="s">
        <v>285</v>
      </c>
      <c r="Q1815" s="34">
        <f t="shared" si="60"/>
        <v>1069570.5400000003</v>
      </c>
      <c r="R1815" s="34" t="str">
        <f>VLOOKUP(E1815,Sales_Reps!$A$2:$E$100,3,FALSE)</f>
        <v>East</v>
      </c>
      <c r="S1815" s="34" t="str">
        <f t="shared" si="61"/>
        <v>Home</v>
      </c>
      <c r="T1815" s="38">
        <f>VLOOKUP(D1815,Products!$A$2:$F$68,4,FALSE)</f>
        <v>329</v>
      </c>
    </row>
    <row r="1816" spans="1:20" x14ac:dyDescent="0.35">
      <c r="A1816" s="13" t="s">
        <v>2313</v>
      </c>
      <c r="B1816" s="14">
        <v>45321</v>
      </c>
      <c r="C1816" s="13" t="s">
        <v>2314</v>
      </c>
      <c r="D1816" s="13" t="s">
        <v>248</v>
      </c>
      <c r="E1816" s="13" t="s">
        <v>201</v>
      </c>
      <c r="F1816" s="15">
        <v>3</v>
      </c>
      <c r="G1816" s="15">
        <v>3870</v>
      </c>
      <c r="H1816" s="15">
        <v>7.6</v>
      </c>
      <c r="I1816" s="15">
        <v>10727.64</v>
      </c>
      <c r="J1816" s="13" t="s">
        <v>140</v>
      </c>
      <c r="K1816" s="13" t="s">
        <v>94</v>
      </c>
      <c r="L1816" s="34" t="str">
        <f>VLOOKUP(D1816,Products!$A$2:$F$61,3,FALSE)</f>
        <v>Electronics</v>
      </c>
      <c r="M1816" s="34" t="e">
        <f>VLOOKUP(C1816,Customers!$A$2:$F$301,5,FALSE)</f>
        <v>#N/A</v>
      </c>
      <c r="N1816" s="34" t="e">
        <f>VLOOKUP(C1816,Customers!$A$2:$F$301,3,FALSE)</f>
        <v>#N/A</v>
      </c>
      <c r="O1816" s="34" t="str">
        <f>VLOOKUP(E1816,Sales_Reps!$A$2:$E$31,3,FALSE)</f>
        <v>West</v>
      </c>
      <c r="P1816" s="13" t="s">
        <v>201</v>
      </c>
      <c r="Q1816" s="34">
        <f t="shared" si="60"/>
        <v>576305.08000000019</v>
      </c>
      <c r="R1816" s="34" t="str">
        <f>VLOOKUP(E1816,Sales_Reps!$A$2:$E$100,3,FALSE)</f>
        <v>West</v>
      </c>
      <c r="S1816" s="34" t="str">
        <f t="shared" si="61"/>
        <v>Electronics</v>
      </c>
      <c r="T1816" s="38">
        <f>VLOOKUP(D1816,Products!$A$2:$F$68,4,FALSE)</f>
        <v>1559</v>
      </c>
    </row>
    <row r="1817" spans="1:20" x14ac:dyDescent="0.35">
      <c r="A1817" s="13" t="s">
        <v>2315</v>
      </c>
      <c r="B1817" s="14">
        <v>45542</v>
      </c>
      <c r="C1817" s="13" t="s">
        <v>84</v>
      </c>
      <c r="D1817" s="13" t="s">
        <v>167</v>
      </c>
      <c r="E1817" s="13" t="s">
        <v>103</v>
      </c>
      <c r="F1817" s="15">
        <v>10</v>
      </c>
      <c r="G1817" s="15">
        <v>2480</v>
      </c>
      <c r="H1817" s="15">
        <v>21.5</v>
      </c>
      <c r="I1817" s="15">
        <v>19468</v>
      </c>
      <c r="J1817" s="13" t="s">
        <v>93</v>
      </c>
      <c r="K1817" s="13" t="s">
        <v>88</v>
      </c>
      <c r="L1817" s="34" t="str">
        <f>VLOOKUP(D1817,Products!$A$2:$F$61,3,FALSE)</f>
        <v>Apparel</v>
      </c>
      <c r="M1817" s="34" t="str">
        <f>VLOOKUP(C1817,Customers!$A$2:$F$301,5,FALSE)</f>
        <v>SMB</v>
      </c>
      <c r="N1817" s="34">
        <f>VLOOKUP(C1817,Customers!$A$2:$F$301,3,FALSE)</f>
        <v>44</v>
      </c>
      <c r="O1817" s="34" t="str">
        <f>VLOOKUP(E1817,Sales_Reps!$A$2:$E$31,3,FALSE)</f>
        <v>North</v>
      </c>
      <c r="P1817" s="13" t="s">
        <v>103</v>
      </c>
      <c r="Q1817" s="34">
        <f t="shared" si="60"/>
        <v>1138648.73</v>
      </c>
      <c r="R1817" s="34" t="str">
        <f>VLOOKUP(E1817,Sales_Reps!$A$2:$E$100,3,FALSE)</f>
        <v>North</v>
      </c>
      <c r="S1817" s="34" t="str">
        <f t="shared" si="61"/>
        <v>Apparel</v>
      </c>
      <c r="T1817" s="38">
        <f>VLOOKUP(D1817,Products!$A$2:$F$68,4,FALSE)</f>
        <v>1173</v>
      </c>
    </row>
    <row r="1818" spans="1:20" x14ac:dyDescent="0.35">
      <c r="A1818" s="13" t="s">
        <v>2316</v>
      </c>
      <c r="B1818" s="14">
        <v>45643</v>
      </c>
      <c r="C1818" s="13" t="s">
        <v>602</v>
      </c>
      <c r="D1818" s="13" t="s">
        <v>135</v>
      </c>
      <c r="E1818" s="13" t="s">
        <v>215</v>
      </c>
      <c r="F1818" s="15">
        <v>8</v>
      </c>
      <c r="G1818" s="15">
        <v>2640</v>
      </c>
      <c r="H1818" s="15">
        <v>22.3</v>
      </c>
      <c r="I1818" s="15">
        <v>16410.240000000002</v>
      </c>
      <c r="J1818" s="13" t="s">
        <v>87</v>
      </c>
      <c r="K1818" s="13" t="s">
        <v>94</v>
      </c>
      <c r="L1818" s="34" t="str">
        <f>VLOOKUP(D1818,Products!$A$2:$F$61,3,FALSE)</f>
        <v>Electronics</v>
      </c>
      <c r="M1818" s="34" t="str">
        <f>VLOOKUP(C1818,Customers!$A$2:$F$301,5,FALSE)</f>
        <v>Retail</v>
      </c>
      <c r="N1818" s="34">
        <f>VLOOKUP(C1818,Customers!$A$2:$F$301,3,FALSE)</f>
        <v>61</v>
      </c>
      <c r="O1818" s="34" t="str">
        <f>VLOOKUP(E1818,Sales_Reps!$A$2:$E$31,3,FALSE)</f>
        <v>North</v>
      </c>
      <c r="P1818" s="13" t="s">
        <v>215</v>
      </c>
      <c r="Q1818" s="34">
        <f t="shared" si="60"/>
        <v>789849.60000000009</v>
      </c>
      <c r="R1818" s="34" t="str">
        <f>VLOOKUP(E1818,Sales_Reps!$A$2:$E$100,3,FALSE)</f>
        <v>North</v>
      </c>
      <c r="S1818" s="34" t="str">
        <f t="shared" si="61"/>
        <v>Electronics</v>
      </c>
      <c r="T1818" s="38">
        <f>VLOOKUP(D1818,Products!$A$2:$F$68,4,FALSE)</f>
        <v>1149</v>
      </c>
    </row>
    <row r="1819" spans="1:20" x14ac:dyDescent="0.35">
      <c r="A1819" s="13" t="s">
        <v>2317</v>
      </c>
      <c r="B1819" s="14">
        <v>45559</v>
      </c>
      <c r="C1819" s="13" t="s">
        <v>1193</v>
      </c>
      <c r="D1819" s="13" t="s">
        <v>127</v>
      </c>
      <c r="E1819" s="13" t="s">
        <v>215</v>
      </c>
      <c r="F1819" s="15">
        <v>8</v>
      </c>
      <c r="G1819" s="15">
        <v>970</v>
      </c>
      <c r="H1819" s="15">
        <v>13.1</v>
      </c>
      <c r="I1819" s="15">
        <v>6743.44</v>
      </c>
      <c r="J1819" s="13" t="s">
        <v>87</v>
      </c>
      <c r="K1819" s="13" t="s">
        <v>133</v>
      </c>
      <c r="L1819" s="34" t="str">
        <f>VLOOKUP(D1819,Products!$A$2:$F$61,3,FALSE)</f>
        <v>Grocery</v>
      </c>
      <c r="M1819" s="34" t="str">
        <f>VLOOKUP(C1819,Customers!$A$2:$F$301,5,FALSE)</f>
        <v>SMB</v>
      </c>
      <c r="N1819" s="34">
        <f>VLOOKUP(C1819,Customers!$A$2:$F$301,3,FALSE)</f>
        <v>25</v>
      </c>
      <c r="O1819" s="34" t="str">
        <f>VLOOKUP(E1819,Sales_Reps!$A$2:$E$31,3,FALSE)</f>
        <v>North</v>
      </c>
      <c r="P1819" s="13" t="s">
        <v>215</v>
      </c>
      <c r="Q1819" s="34">
        <f t="shared" si="60"/>
        <v>789849.60000000009</v>
      </c>
      <c r="R1819" s="34" t="str">
        <f>VLOOKUP(E1819,Sales_Reps!$A$2:$E$100,3,FALSE)</f>
        <v>North</v>
      </c>
      <c r="S1819" s="34" t="str">
        <f t="shared" si="61"/>
        <v>Grocery</v>
      </c>
      <c r="T1819" s="38">
        <f>VLOOKUP(D1819,Products!$A$2:$F$68,4,FALSE)</f>
        <v>434</v>
      </c>
    </row>
    <row r="1820" spans="1:20" x14ac:dyDescent="0.35">
      <c r="A1820" s="13" t="s">
        <v>2318</v>
      </c>
      <c r="B1820" s="14">
        <v>45416</v>
      </c>
      <c r="C1820" s="13" t="s">
        <v>597</v>
      </c>
      <c r="D1820" s="13" t="s">
        <v>115</v>
      </c>
      <c r="E1820" s="13" t="s">
        <v>215</v>
      </c>
      <c r="F1820" s="15">
        <v>6</v>
      </c>
      <c r="G1820" s="15">
        <v>960</v>
      </c>
      <c r="H1820" s="15">
        <v>3.2</v>
      </c>
      <c r="I1820" s="15">
        <v>5575.68</v>
      </c>
      <c r="J1820" s="13" t="s">
        <v>87</v>
      </c>
      <c r="K1820" s="13" t="s">
        <v>112</v>
      </c>
      <c r="L1820" s="34" t="str">
        <f>VLOOKUP(D1820,Products!$A$2:$F$61,3,FALSE)</f>
        <v>Sports</v>
      </c>
      <c r="M1820" s="34" t="str">
        <f>VLOOKUP(C1820,Customers!$A$2:$F$301,5,FALSE)</f>
        <v>Retail</v>
      </c>
      <c r="N1820" s="34">
        <f>VLOOKUP(C1820,Customers!$A$2:$F$301,3,FALSE)</f>
        <v>39</v>
      </c>
      <c r="O1820" s="34" t="str">
        <f>VLOOKUP(E1820,Sales_Reps!$A$2:$E$31,3,FALSE)</f>
        <v>North</v>
      </c>
      <c r="P1820" s="13" t="s">
        <v>215</v>
      </c>
      <c r="Q1820" s="34">
        <f t="shared" si="60"/>
        <v>789849.60000000009</v>
      </c>
      <c r="R1820" s="34" t="str">
        <f>VLOOKUP(E1820,Sales_Reps!$A$2:$E$100,3,FALSE)</f>
        <v>North</v>
      </c>
      <c r="S1820" s="34" t="str">
        <f t="shared" si="61"/>
        <v>Sports</v>
      </c>
      <c r="T1820" s="38">
        <f>VLOOKUP(D1820,Products!$A$2:$F$68,4,FALSE)</f>
        <v>705</v>
      </c>
    </row>
    <row r="1821" spans="1:20" x14ac:dyDescent="0.35">
      <c r="A1821" s="13" t="s">
        <v>2319</v>
      </c>
      <c r="B1821" s="14">
        <v>45469</v>
      </c>
      <c r="C1821" s="13" t="s">
        <v>1529</v>
      </c>
      <c r="D1821" s="13" t="s">
        <v>295</v>
      </c>
      <c r="E1821" s="13" t="s">
        <v>107</v>
      </c>
      <c r="F1821" s="15">
        <v>9</v>
      </c>
      <c r="G1821" s="15">
        <v>2030</v>
      </c>
      <c r="H1821" s="15">
        <v>12.6</v>
      </c>
      <c r="I1821" s="15">
        <v>15967.98</v>
      </c>
      <c r="J1821" s="13" t="s">
        <v>140</v>
      </c>
      <c r="K1821" s="13" t="s">
        <v>94</v>
      </c>
      <c r="L1821" s="34" t="str">
        <f>VLOOKUP(D1821,Products!$A$2:$F$61,3,FALSE)</f>
        <v>Home</v>
      </c>
      <c r="M1821" s="34" t="str">
        <f>VLOOKUP(C1821,Customers!$A$2:$F$301,5,FALSE)</f>
        <v>Retail</v>
      </c>
      <c r="N1821" s="34">
        <f>VLOOKUP(C1821,Customers!$A$2:$F$301,3,FALSE)</f>
        <v>31</v>
      </c>
      <c r="O1821" s="34" t="str">
        <f>VLOOKUP(E1821,Sales_Reps!$A$2:$E$31,3,FALSE)</f>
        <v>North</v>
      </c>
      <c r="P1821" s="13" t="s">
        <v>107</v>
      </c>
      <c r="Q1821" s="34">
        <f t="shared" si="60"/>
        <v>861553.33</v>
      </c>
      <c r="R1821" s="34" t="str">
        <f>VLOOKUP(E1821,Sales_Reps!$A$2:$E$100,3,FALSE)</f>
        <v>North</v>
      </c>
      <c r="S1821" s="34" t="str">
        <f t="shared" si="61"/>
        <v>Home</v>
      </c>
      <c r="T1821" s="38">
        <f>VLOOKUP(D1821,Products!$A$2:$F$68,4,FALSE)</f>
        <v>1143</v>
      </c>
    </row>
    <row r="1822" spans="1:20" x14ac:dyDescent="0.35">
      <c r="A1822" s="13" t="s">
        <v>2025</v>
      </c>
      <c r="B1822" s="14">
        <v>45387</v>
      </c>
      <c r="C1822" s="13" t="s">
        <v>233</v>
      </c>
      <c r="D1822" s="13" t="s">
        <v>386</v>
      </c>
      <c r="E1822" s="13" t="s">
        <v>116</v>
      </c>
      <c r="F1822" s="15">
        <v>10</v>
      </c>
      <c r="G1822" s="15">
        <v>2290</v>
      </c>
      <c r="H1822" s="15">
        <v>22.2</v>
      </c>
      <c r="I1822" s="15">
        <v>17816.2</v>
      </c>
      <c r="J1822" s="13" t="s">
        <v>87</v>
      </c>
      <c r="K1822" s="13" t="s">
        <v>88</v>
      </c>
      <c r="L1822" s="34" t="str">
        <f>VLOOKUP(D1822,Products!$A$2:$F$61,3,FALSE)</f>
        <v>Beauty</v>
      </c>
      <c r="M1822" s="34" t="str">
        <f>VLOOKUP(C1822,Customers!$A$2:$F$301,5,FALSE)</f>
        <v>SMB</v>
      </c>
      <c r="N1822" s="34">
        <f>VLOOKUP(C1822,Customers!$A$2:$F$301,3,FALSE)</f>
        <v>29</v>
      </c>
      <c r="O1822" s="34" t="str">
        <f>VLOOKUP(E1822,Sales_Reps!$A$2:$E$31,3,FALSE)</f>
        <v>West</v>
      </c>
      <c r="P1822" s="13" t="s">
        <v>116</v>
      </c>
      <c r="Q1822" s="34">
        <f t="shared" si="60"/>
        <v>819558.58</v>
      </c>
      <c r="R1822" s="34" t="str">
        <f>VLOOKUP(E1822,Sales_Reps!$A$2:$E$100,3,FALSE)</f>
        <v>West</v>
      </c>
      <c r="S1822" s="34" t="str">
        <f t="shared" si="61"/>
        <v>Beauty</v>
      </c>
      <c r="T1822" s="38">
        <f>VLOOKUP(D1822,Products!$A$2:$F$68,4,FALSE)</f>
        <v>1219</v>
      </c>
    </row>
    <row r="1823" spans="1:20" x14ac:dyDescent="0.35">
      <c r="A1823" s="13" t="s">
        <v>2320</v>
      </c>
      <c r="B1823" s="14">
        <v>45373</v>
      </c>
      <c r="C1823" s="13" t="s">
        <v>1499</v>
      </c>
      <c r="D1823" s="13" t="s">
        <v>91</v>
      </c>
      <c r="E1823" s="13" t="s">
        <v>343</v>
      </c>
      <c r="F1823" s="15">
        <v>7</v>
      </c>
      <c r="G1823" s="15">
        <v>820</v>
      </c>
      <c r="H1823" s="15">
        <v>6.4</v>
      </c>
      <c r="I1823" s="15">
        <v>5372.64</v>
      </c>
      <c r="J1823" s="13" t="s">
        <v>144</v>
      </c>
      <c r="K1823" s="13" t="s">
        <v>94</v>
      </c>
      <c r="L1823" s="34" t="str">
        <f>VLOOKUP(D1823,Products!$A$2:$F$61,3,FALSE)</f>
        <v>Apparel</v>
      </c>
      <c r="M1823" s="34" t="str">
        <f>VLOOKUP(C1823,Customers!$A$2:$F$301,5,FALSE)</f>
        <v>Retail</v>
      </c>
      <c r="N1823" s="34">
        <f>VLOOKUP(C1823,Customers!$A$2:$F$301,3,FALSE)</f>
        <v>26</v>
      </c>
      <c r="O1823" s="34" t="str">
        <f>VLOOKUP(E1823,Sales_Reps!$A$2:$E$31,3,FALSE)</f>
        <v>West</v>
      </c>
      <c r="P1823" s="13" t="s">
        <v>343</v>
      </c>
      <c r="Q1823" s="34">
        <f t="shared" si="60"/>
        <v>917092.61999999965</v>
      </c>
      <c r="R1823" s="34" t="str">
        <f>VLOOKUP(E1823,Sales_Reps!$A$2:$E$100,3,FALSE)</f>
        <v>West</v>
      </c>
      <c r="S1823" s="34" t="str">
        <f t="shared" si="61"/>
        <v>Apparel</v>
      </c>
      <c r="T1823" s="38">
        <f>VLOOKUP(D1823,Products!$A$2:$F$68,4,FALSE)</f>
        <v>391</v>
      </c>
    </row>
    <row r="1824" spans="1:20" x14ac:dyDescent="0.35">
      <c r="A1824" s="13" t="s">
        <v>2321</v>
      </c>
      <c r="B1824" s="14">
        <v>45614</v>
      </c>
      <c r="C1824" s="13" t="s">
        <v>333</v>
      </c>
      <c r="D1824" s="13" t="s">
        <v>164</v>
      </c>
      <c r="E1824" s="13" t="s">
        <v>170</v>
      </c>
      <c r="F1824" s="15">
        <v>5</v>
      </c>
      <c r="G1824" s="15">
        <v>1080</v>
      </c>
      <c r="H1824" s="15">
        <v>6</v>
      </c>
      <c r="I1824" s="15">
        <v>5076</v>
      </c>
      <c r="J1824" s="13" t="s">
        <v>87</v>
      </c>
      <c r="K1824" s="13" t="s">
        <v>133</v>
      </c>
      <c r="L1824" s="34" t="str">
        <f>VLOOKUP(D1824,Products!$A$2:$F$61,3,FALSE)</f>
        <v>Home</v>
      </c>
      <c r="M1824" s="34" t="str">
        <f>VLOOKUP(C1824,Customers!$A$2:$F$301,5,FALSE)</f>
        <v>SMB</v>
      </c>
      <c r="N1824" s="34">
        <f>VLOOKUP(C1824,Customers!$A$2:$F$301,3,FALSE)</f>
        <v>65</v>
      </c>
      <c r="O1824" s="34" t="str">
        <f>VLOOKUP(E1824,Sales_Reps!$A$2:$E$31,3,FALSE)</f>
        <v>West</v>
      </c>
      <c r="P1824" s="13" t="s">
        <v>170</v>
      </c>
      <c r="Q1824" s="34">
        <f t="shared" si="60"/>
        <v>747624.36999999988</v>
      </c>
      <c r="R1824" s="34" t="str">
        <f>VLOOKUP(E1824,Sales_Reps!$A$2:$E$100,3,FALSE)</f>
        <v>West</v>
      </c>
      <c r="S1824" s="34" t="str">
        <f t="shared" si="61"/>
        <v>Home</v>
      </c>
      <c r="T1824" s="38">
        <f>VLOOKUP(D1824,Products!$A$2:$F$68,4,FALSE)</f>
        <v>519</v>
      </c>
    </row>
    <row r="1825" spans="1:20" x14ac:dyDescent="0.35">
      <c r="A1825" s="13" t="s">
        <v>2322</v>
      </c>
      <c r="B1825" s="14">
        <v>45310</v>
      </c>
      <c r="C1825" s="13" t="s">
        <v>479</v>
      </c>
      <c r="D1825" s="13" t="s">
        <v>147</v>
      </c>
      <c r="E1825" s="13" t="s">
        <v>128</v>
      </c>
      <c r="F1825" s="15">
        <v>4</v>
      </c>
      <c r="G1825" s="15">
        <v>190</v>
      </c>
      <c r="H1825" s="15">
        <v>6.3</v>
      </c>
      <c r="I1825" s="15">
        <v>712.12</v>
      </c>
      <c r="J1825" s="13" t="s">
        <v>144</v>
      </c>
      <c r="K1825" s="13" t="s">
        <v>88</v>
      </c>
      <c r="L1825" s="34" t="str">
        <f>VLOOKUP(D1825,Products!$A$2:$F$61,3,FALSE)</f>
        <v>Sports</v>
      </c>
      <c r="M1825" s="34" t="str">
        <f>VLOOKUP(C1825,Customers!$A$2:$F$301,5,FALSE)</f>
        <v>SMB</v>
      </c>
      <c r="N1825" s="34">
        <f>VLOOKUP(C1825,Customers!$A$2:$F$301,3,FALSE)</f>
        <v>49</v>
      </c>
      <c r="O1825" s="34" t="str">
        <f>VLOOKUP(E1825,Sales_Reps!$A$2:$E$31,3,FALSE)</f>
        <v>West</v>
      </c>
      <c r="P1825" s="13" t="s">
        <v>128</v>
      </c>
      <c r="Q1825" s="34">
        <f t="shared" si="60"/>
        <v>880468.05</v>
      </c>
      <c r="R1825" s="34" t="str">
        <f>VLOOKUP(E1825,Sales_Reps!$A$2:$E$100,3,FALSE)</f>
        <v>West</v>
      </c>
      <c r="S1825" s="34" t="str">
        <f t="shared" si="61"/>
        <v>Sports</v>
      </c>
      <c r="T1825" s="38">
        <f>VLOOKUP(D1825,Products!$A$2:$F$68,4,FALSE)</f>
        <v>147</v>
      </c>
    </row>
    <row r="1826" spans="1:20" x14ac:dyDescent="0.35">
      <c r="A1826" s="13" t="s">
        <v>2323</v>
      </c>
      <c r="B1826" s="14">
        <v>45319</v>
      </c>
      <c r="C1826" s="13" t="s">
        <v>272</v>
      </c>
      <c r="D1826" s="13" t="s">
        <v>355</v>
      </c>
      <c r="E1826" s="13" t="s">
        <v>229</v>
      </c>
      <c r="F1826" s="15">
        <v>6</v>
      </c>
      <c r="G1826" s="15">
        <v>2510</v>
      </c>
      <c r="H1826" s="15">
        <v>11.5</v>
      </c>
      <c r="I1826" s="15">
        <v>13328.1</v>
      </c>
      <c r="J1826" s="13" t="s">
        <v>87</v>
      </c>
      <c r="K1826" s="13" t="s">
        <v>94</v>
      </c>
      <c r="L1826" s="34" t="str">
        <f>VLOOKUP(D1826,Products!$A$2:$F$61,3,FALSE)</f>
        <v>Apparel</v>
      </c>
      <c r="M1826" s="34" t="str">
        <f>VLOOKUP(C1826,Customers!$A$2:$F$301,5,FALSE)</f>
        <v>SMB</v>
      </c>
      <c r="N1826" s="34">
        <f>VLOOKUP(C1826,Customers!$A$2:$F$301,3,FALSE)</f>
        <v>55</v>
      </c>
      <c r="O1826" s="34" t="str">
        <f>VLOOKUP(E1826,Sales_Reps!$A$2:$E$31,3,FALSE)</f>
        <v>West</v>
      </c>
      <c r="P1826" s="13" t="s">
        <v>229</v>
      </c>
      <c r="Q1826" s="34">
        <f t="shared" si="60"/>
        <v>1016696.8000000002</v>
      </c>
      <c r="R1826" s="34" t="str">
        <f>VLOOKUP(E1826,Sales_Reps!$A$2:$E$100,3,FALSE)</f>
        <v>West</v>
      </c>
      <c r="S1826" s="34" t="str">
        <f t="shared" si="61"/>
        <v>Apparel</v>
      </c>
      <c r="T1826" s="38">
        <f>VLOOKUP(D1826,Products!$A$2:$F$68,4,FALSE)</f>
        <v>1075</v>
      </c>
    </row>
    <row r="1827" spans="1:20" x14ac:dyDescent="0.35">
      <c r="A1827" s="13" t="s">
        <v>2324</v>
      </c>
      <c r="B1827" s="14">
        <v>45299</v>
      </c>
      <c r="C1827" s="13" t="s">
        <v>105</v>
      </c>
      <c r="D1827" s="13" t="s">
        <v>659</v>
      </c>
      <c r="E1827" s="13" t="s">
        <v>188</v>
      </c>
      <c r="F1827" s="15">
        <v>2</v>
      </c>
      <c r="G1827" s="15">
        <v>3560</v>
      </c>
      <c r="H1827" s="15">
        <v>10.5</v>
      </c>
      <c r="I1827" s="15">
        <v>6372.4</v>
      </c>
      <c r="J1827" s="13" t="s">
        <v>87</v>
      </c>
      <c r="K1827" s="13" t="s">
        <v>94</v>
      </c>
      <c r="L1827" s="34" t="str">
        <f>VLOOKUP(D1827,Products!$A$2:$F$61,3,FALSE)</f>
        <v>Apparel</v>
      </c>
      <c r="M1827" s="34" t="str">
        <f>VLOOKUP(C1827,Customers!$A$2:$F$301,5,FALSE)</f>
        <v>Retail</v>
      </c>
      <c r="N1827" s="34">
        <f>VLOOKUP(C1827,Customers!$A$2:$F$301,3,FALSE)</f>
        <v>36</v>
      </c>
      <c r="O1827" s="34" t="str">
        <f>VLOOKUP(E1827,Sales_Reps!$A$2:$E$31,3,FALSE)</f>
        <v>South</v>
      </c>
      <c r="P1827" s="13" t="s">
        <v>188</v>
      </c>
      <c r="Q1827" s="34">
        <f t="shared" si="60"/>
        <v>1091740.1799999997</v>
      </c>
      <c r="R1827" s="34" t="str">
        <f>VLOOKUP(E1827,Sales_Reps!$A$2:$E$100,3,FALSE)</f>
        <v>South</v>
      </c>
      <c r="S1827" s="34" t="str">
        <f t="shared" si="61"/>
        <v>Apparel</v>
      </c>
      <c r="T1827" s="38">
        <f>VLOOKUP(D1827,Products!$A$2:$F$68,4,FALSE)</f>
        <v>2629</v>
      </c>
    </row>
    <row r="1828" spans="1:20" x14ac:dyDescent="0.35">
      <c r="A1828" s="13" t="s">
        <v>2325</v>
      </c>
      <c r="B1828" s="14">
        <v>45556</v>
      </c>
      <c r="C1828" s="13" t="s">
        <v>841</v>
      </c>
      <c r="D1828" s="13" t="s">
        <v>91</v>
      </c>
      <c r="E1828" s="13" t="s">
        <v>252</v>
      </c>
      <c r="F1828" s="15">
        <v>3</v>
      </c>
      <c r="G1828" s="15">
        <v>820</v>
      </c>
      <c r="H1828" s="15">
        <v>13</v>
      </c>
      <c r="I1828" s="15">
        <v>2140.1999999999998</v>
      </c>
      <c r="J1828" s="13" t="s">
        <v>140</v>
      </c>
      <c r="K1828" s="13" t="s">
        <v>117</v>
      </c>
      <c r="L1828" s="34" t="str">
        <f>VLOOKUP(D1828,Products!$A$2:$F$61,3,FALSE)</f>
        <v>Apparel</v>
      </c>
      <c r="M1828" s="34" t="str">
        <f>VLOOKUP(C1828,Customers!$A$2:$F$301,5,FALSE)</f>
        <v>Corporate</v>
      </c>
      <c r="N1828" s="34">
        <f>VLOOKUP(C1828,Customers!$A$2:$F$301,3,FALSE)</f>
        <v>41</v>
      </c>
      <c r="O1828" s="34" t="str">
        <f>VLOOKUP(E1828,Sales_Reps!$A$2:$E$31,3,FALSE)</f>
        <v>South</v>
      </c>
      <c r="P1828" s="13" t="s">
        <v>252</v>
      </c>
      <c r="Q1828" s="34">
        <f t="shared" si="60"/>
        <v>811524.37999999989</v>
      </c>
      <c r="R1828" s="34" t="str">
        <f>VLOOKUP(E1828,Sales_Reps!$A$2:$E$100,3,FALSE)</f>
        <v>South</v>
      </c>
      <c r="S1828" s="34" t="str">
        <f t="shared" si="61"/>
        <v>Apparel</v>
      </c>
      <c r="T1828" s="38">
        <f>VLOOKUP(D1828,Products!$A$2:$F$68,4,FALSE)</f>
        <v>391</v>
      </c>
    </row>
    <row r="1829" spans="1:20" x14ac:dyDescent="0.35">
      <c r="A1829" s="13" t="s">
        <v>2326</v>
      </c>
      <c r="B1829" s="14">
        <v>45500</v>
      </c>
      <c r="C1829" s="13" t="s">
        <v>1358</v>
      </c>
      <c r="D1829" s="13" t="s">
        <v>237</v>
      </c>
      <c r="E1829" s="13" t="s">
        <v>148</v>
      </c>
      <c r="F1829" s="15">
        <v>6</v>
      </c>
      <c r="G1829" s="15">
        <v>3640</v>
      </c>
      <c r="H1829" s="15">
        <v>14</v>
      </c>
      <c r="I1829" s="15">
        <v>18782.400000000001</v>
      </c>
      <c r="J1829" s="13" t="s">
        <v>87</v>
      </c>
      <c r="K1829" s="13" t="s">
        <v>112</v>
      </c>
      <c r="L1829" s="34" t="str">
        <f>VLOOKUP(D1829,Products!$A$2:$F$61,3,FALSE)</f>
        <v>Apparel</v>
      </c>
      <c r="M1829" s="34" t="str">
        <f>VLOOKUP(C1829,Customers!$A$2:$F$301,5,FALSE)</f>
        <v>Corporate</v>
      </c>
      <c r="N1829" s="34">
        <f>VLOOKUP(C1829,Customers!$A$2:$F$301,3,FALSE)</f>
        <v>42</v>
      </c>
      <c r="O1829" s="34" t="str">
        <f>VLOOKUP(E1829,Sales_Reps!$A$2:$E$31,3,FALSE)</f>
        <v>North</v>
      </c>
      <c r="P1829" s="13" t="s">
        <v>148</v>
      </c>
      <c r="Q1829" s="34">
        <f t="shared" si="60"/>
        <v>986692.91</v>
      </c>
      <c r="R1829" s="34" t="str">
        <f>VLOOKUP(E1829,Sales_Reps!$A$2:$E$100,3,FALSE)</f>
        <v>North</v>
      </c>
      <c r="S1829" s="34" t="str">
        <f t="shared" si="61"/>
        <v>Apparel</v>
      </c>
      <c r="T1829" s="38">
        <f>VLOOKUP(D1829,Products!$A$2:$F$68,4,FALSE)</f>
        <v>2611</v>
      </c>
    </row>
    <row r="1830" spans="1:20" x14ac:dyDescent="0.35">
      <c r="A1830" s="13" t="s">
        <v>2327</v>
      </c>
      <c r="B1830" s="14">
        <v>45370</v>
      </c>
      <c r="C1830" s="13" t="s">
        <v>160</v>
      </c>
      <c r="D1830" s="13" t="s">
        <v>102</v>
      </c>
      <c r="E1830" s="13" t="s">
        <v>121</v>
      </c>
      <c r="F1830" s="15">
        <v>5</v>
      </c>
      <c r="G1830" s="15">
        <v>3660</v>
      </c>
      <c r="H1830" s="15">
        <v>28.7</v>
      </c>
      <c r="I1830" s="15">
        <v>13047.9</v>
      </c>
      <c r="J1830" s="13" t="s">
        <v>87</v>
      </c>
      <c r="K1830" s="13" t="s">
        <v>112</v>
      </c>
      <c r="L1830" s="34" t="str">
        <f>VLOOKUP(D1830,Products!$A$2:$F$61,3,FALSE)</f>
        <v>Grocery</v>
      </c>
      <c r="M1830" s="34" t="str">
        <f>VLOOKUP(C1830,Customers!$A$2:$F$301,5,FALSE)</f>
        <v>Retail</v>
      </c>
      <c r="N1830" s="34">
        <f>VLOOKUP(C1830,Customers!$A$2:$F$301,3,FALSE)</f>
        <v>54</v>
      </c>
      <c r="O1830" s="34" t="str">
        <f>VLOOKUP(E1830,Sales_Reps!$A$2:$E$31,3,FALSE)</f>
        <v>East</v>
      </c>
      <c r="P1830" s="13" t="s">
        <v>121</v>
      </c>
      <c r="Q1830" s="34">
        <f t="shared" si="60"/>
        <v>971183.52000000014</v>
      </c>
      <c r="R1830" s="34" t="str">
        <f>VLOOKUP(E1830,Sales_Reps!$A$2:$E$100,3,FALSE)</f>
        <v>East</v>
      </c>
      <c r="S1830" s="34" t="str">
        <f t="shared" si="61"/>
        <v>Grocery</v>
      </c>
      <c r="T1830" s="38">
        <f>VLOOKUP(D1830,Products!$A$2:$F$68,4,FALSE)</f>
        <v>2214</v>
      </c>
    </row>
    <row r="1831" spans="1:20" x14ac:dyDescent="0.35">
      <c r="A1831" s="13" t="s">
        <v>2328</v>
      </c>
      <c r="B1831" s="14">
        <v>45521</v>
      </c>
      <c r="C1831" s="13" t="s">
        <v>233</v>
      </c>
      <c r="D1831" s="13" t="s">
        <v>195</v>
      </c>
      <c r="E1831" s="13" t="s">
        <v>170</v>
      </c>
      <c r="F1831" s="15">
        <v>2</v>
      </c>
      <c r="G1831" s="15">
        <v>2860</v>
      </c>
      <c r="H1831" s="15">
        <v>21.1</v>
      </c>
      <c r="I1831" s="15">
        <v>4513.08</v>
      </c>
      <c r="J1831" s="13" t="s">
        <v>87</v>
      </c>
      <c r="K1831" s="13" t="s">
        <v>88</v>
      </c>
      <c r="L1831" s="34" t="str">
        <f>VLOOKUP(D1831,Products!$A$2:$F$61,3,FALSE)</f>
        <v>Sports</v>
      </c>
      <c r="M1831" s="34" t="str">
        <f>VLOOKUP(C1831,Customers!$A$2:$F$301,5,FALSE)</f>
        <v>SMB</v>
      </c>
      <c r="N1831" s="34">
        <f>VLOOKUP(C1831,Customers!$A$2:$F$301,3,FALSE)</f>
        <v>29</v>
      </c>
      <c r="O1831" s="34" t="str">
        <f>VLOOKUP(E1831,Sales_Reps!$A$2:$E$31,3,FALSE)</f>
        <v>West</v>
      </c>
      <c r="P1831" s="13" t="s">
        <v>170</v>
      </c>
      <c r="Q1831" s="34">
        <f t="shared" si="60"/>
        <v>747624.36999999988</v>
      </c>
      <c r="R1831" s="34" t="str">
        <f>VLOOKUP(E1831,Sales_Reps!$A$2:$E$100,3,FALSE)</f>
        <v>West</v>
      </c>
      <c r="S1831" s="34" t="str">
        <f t="shared" si="61"/>
        <v>Sports</v>
      </c>
      <c r="T1831" s="38">
        <f>VLOOKUP(D1831,Products!$A$2:$F$68,4,FALSE)</f>
        <v>2028</v>
      </c>
    </row>
    <row r="1832" spans="1:20" x14ac:dyDescent="0.35">
      <c r="A1832" s="13" t="s">
        <v>2329</v>
      </c>
      <c r="B1832" s="14">
        <v>45481</v>
      </c>
      <c r="C1832" s="13" t="s">
        <v>638</v>
      </c>
      <c r="D1832" s="13" t="s">
        <v>173</v>
      </c>
      <c r="E1832" s="13" t="s">
        <v>121</v>
      </c>
      <c r="F1832" s="15">
        <v>1</v>
      </c>
      <c r="G1832" s="15">
        <v>2720</v>
      </c>
      <c r="H1832" s="15">
        <v>22.1</v>
      </c>
      <c r="I1832" s="15">
        <v>2118.88</v>
      </c>
      <c r="J1832" s="13" t="s">
        <v>87</v>
      </c>
      <c r="K1832" s="13" t="s">
        <v>99</v>
      </c>
      <c r="L1832" s="34" t="str">
        <f>VLOOKUP(D1832,Products!$A$2:$F$61,3,FALSE)</f>
        <v>Apparel</v>
      </c>
      <c r="M1832" s="34" t="str">
        <f>VLOOKUP(C1832,Customers!$A$2:$F$301,5,FALSE)</f>
        <v>Retail</v>
      </c>
      <c r="N1832" s="34">
        <f>VLOOKUP(C1832,Customers!$A$2:$F$301,3,FALSE)</f>
        <v>43</v>
      </c>
      <c r="O1832" s="34" t="str">
        <f>VLOOKUP(E1832,Sales_Reps!$A$2:$E$31,3,FALSE)</f>
        <v>East</v>
      </c>
      <c r="P1832" s="13" t="s">
        <v>121</v>
      </c>
      <c r="Q1832" s="34">
        <f t="shared" si="60"/>
        <v>971183.52000000014</v>
      </c>
      <c r="R1832" s="34" t="str">
        <f>VLOOKUP(E1832,Sales_Reps!$A$2:$E$100,3,FALSE)</f>
        <v>East</v>
      </c>
      <c r="S1832" s="34" t="str">
        <f t="shared" si="61"/>
        <v>Apparel</v>
      </c>
      <c r="T1832" s="38">
        <f>VLOOKUP(D1832,Products!$A$2:$F$68,4,FALSE)</f>
        <v>1962</v>
      </c>
    </row>
    <row r="1833" spans="1:20" x14ac:dyDescent="0.35">
      <c r="A1833" s="13" t="s">
        <v>2330</v>
      </c>
      <c r="B1833" s="14">
        <v>45633</v>
      </c>
      <c r="C1833" s="13" t="s">
        <v>895</v>
      </c>
      <c r="D1833" s="13" t="s">
        <v>195</v>
      </c>
      <c r="E1833" s="13" t="s">
        <v>139</v>
      </c>
      <c r="F1833" s="15">
        <v>6</v>
      </c>
      <c r="G1833" s="15">
        <v>2860</v>
      </c>
      <c r="H1833" s="15">
        <v>10.5</v>
      </c>
      <c r="I1833" s="15">
        <v>15358.2</v>
      </c>
      <c r="J1833" s="13" t="s">
        <v>140</v>
      </c>
      <c r="K1833" s="13" t="s">
        <v>117</v>
      </c>
      <c r="L1833" s="34" t="str">
        <f>VLOOKUP(D1833,Products!$A$2:$F$61,3,FALSE)</f>
        <v>Sports</v>
      </c>
      <c r="M1833" s="34" t="str">
        <f>VLOOKUP(C1833,Customers!$A$2:$F$301,5,FALSE)</f>
        <v>Retail</v>
      </c>
      <c r="N1833" s="34">
        <f>VLOOKUP(C1833,Customers!$A$2:$F$301,3,FALSE)</f>
        <v>46</v>
      </c>
      <c r="O1833" s="34" t="str">
        <f>VLOOKUP(E1833,Sales_Reps!$A$2:$E$31,3,FALSE)</f>
        <v>North</v>
      </c>
      <c r="P1833" s="13" t="s">
        <v>139</v>
      </c>
      <c r="Q1833" s="34">
        <f t="shared" si="60"/>
        <v>589026.2899999998</v>
      </c>
      <c r="R1833" s="34" t="str">
        <f>VLOOKUP(E1833,Sales_Reps!$A$2:$E$100,3,FALSE)</f>
        <v>North</v>
      </c>
      <c r="S1833" s="34" t="str">
        <f t="shared" si="61"/>
        <v>Sports</v>
      </c>
      <c r="T1833" s="38">
        <f>VLOOKUP(D1833,Products!$A$2:$F$68,4,FALSE)</f>
        <v>2028</v>
      </c>
    </row>
    <row r="1834" spans="1:20" x14ac:dyDescent="0.35">
      <c r="A1834" s="13" t="s">
        <v>2331</v>
      </c>
      <c r="B1834" s="14">
        <v>45305</v>
      </c>
      <c r="C1834" s="13" t="s">
        <v>555</v>
      </c>
      <c r="D1834" s="13" t="s">
        <v>355</v>
      </c>
      <c r="E1834" s="13" t="s">
        <v>192</v>
      </c>
      <c r="F1834" s="15">
        <v>1</v>
      </c>
      <c r="G1834" s="15">
        <v>2510</v>
      </c>
      <c r="H1834" s="15">
        <v>12</v>
      </c>
      <c r="I1834" s="15">
        <v>2208.8000000000002</v>
      </c>
      <c r="J1834" s="13" t="s">
        <v>87</v>
      </c>
      <c r="K1834" s="13" t="s">
        <v>112</v>
      </c>
      <c r="L1834" s="34" t="str">
        <f>VLOOKUP(D1834,Products!$A$2:$F$61,3,FALSE)</f>
        <v>Apparel</v>
      </c>
      <c r="M1834" s="34" t="str">
        <f>VLOOKUP(C1834,Customers!$A$2:$F$301,5,FALSE)</f>
        <v>Retail</v>
      </c>
      <c r="N1834" s="34">
        <f>VLOOKUP(C1834,Customers!$A$2:$F$301,3,FALSE)</f>
        <v>37</v>
      </c>
      <c r="O1834" s="34" t="str">
        <f>VLOOKUP(E1834,Sales_Reps!$A$2:$E$31,3,FALSE)</f>
        <v>East</v>
      </c>
      <c r="P1834" s="13" t="s">
        <v>192</v>
      </c>
      <c r="Q1834" s="34">
        <f t="shared" si="60"/>
        <v>906107.71000000008</v>
      </c>
      <c r="R1834" s="34" t="str">
        <f>VLOOKUP(E1834,Sales_Reps!$A$2:$E$100,3,FALSE)</f>
        <v>East</v>
      </c>
      <c r="S1834" s="34" t="str">
        <f t="shared" si="61"/>
        <v>Apparel</v>
      </c>
      <c r="T1834" s="38">
        <f>VLOOKUP(D1834,Products!$A$2:$F$68,4,FALSE)</f>
        <v>1075</v>
      </c>
    </row>
    <row r="1835" spans="1:20" x14ac:dyDescent="0.35">
      <c r="A1835" s="13" t="s">
        <v>2332</v>
      </c>
      <c r="B1835" s="14">
        <v>45593</v>
      </c>
      <c r="C1835" s="13" t="s">
        <v>582</v>
      </c>
      <c r="D1835" s="13" t="s">
        <v>355</v>
      </c>
      <c r="E1835" s="13" t="s">
        <v>192</v>
      </c>
      <c r="F1835" s="15">
        <v>4</v>
      </c>
      <c r="G1835" s="15">
        <v>2510</v>
      </c>
      <c r="H1835" s="15">
        <v>23.2</v>
      </c>
      <c r="I1835" s="15">
        <v>7710.72</v>
      </c>
      <c r="J1835" s="13" t="s">
        <v>87</v>
      </c>
      <c r="K1835" s="13" t="s">
        <v>94</v>
      </c>
      <c r="L1835" s="34" t="str">
        <f>VLOOKUP(D1835,Products!$A$2:$F$61,3,FALSE)</f>
        <v>Apparel</v>
      </c>
      <c r="M1835" s="34" t="str">
        <f>VLOOKUP(C1835,Customers!$A$2:$F$301,5,FALSE)</f>
        <v>SMB</v>
      </c>
      <c r="N1835" s="34">
        <f>VLOOKUP(C1835,Customers!$A$2:$F$301,3,FALSE)</f>
        <v>59</v>
      </c>
      <c r="O1835" s="34" t="str">
        <f>VLOOKUP(E1835,Sales_Reps!$A$2:$E$31,3,FALSE)</f>
        <v>East</v>
      </c>
      <c r="P1835" s="13" t="s">
        <v>192</v>
      </c>
      <c r="Q1835" s="34">
        <f t="shared" si="60"/>
        <v>906107.71000000008</v>
      </c>
      <c r="R1835" s="34" t="str">
        <f>VLOOKUP(E1835,Sales_Reps!$A$2:$E$100,3,FALSE)</f>
        <v>East</v>
      </c>
      <c r="S1835" s="34" t="str">
        <f t="shared" si="61"/>
        <v>Apparel</v>
      </c>
      <c r="T1835" s="38">
        <f>VLOOKUP(D1835,Products!$A$2:$F$68,4,FALSE)</f>
        <v>1075</v>
      </c>
    </row>
    <row r="1836" spans="1:20" x14ac:dyDescent="0.35">
      <c r="A1836" s="13" t="s">
        <v>2333</v>
      </c>
      <c r="B1836" s="14">
        <v>45555</v>
      </c>
      <c r="C1836" s="13" t="s">
        <v>1065</v>
      </c>
      <c r="D1836" s="13" t="s">
        <v>380</v>
      </c>
      <c r="E1836" s="13" t="s">
        <v>92</v>
      </c>
      <c r="F1836" s="15">
        <v>8</v>
      </c>
      <c r="G1836" s="15">
        <v>960</v>
      </c>
      <c r="H1836" s="15">
        <v>20.3</v>
      </c>
      <c r="I1836" s="15">
        <v>6120.96</v>
      </c>
      <c r="J1836" s="13" t="s">
        <v>93</v>
      </c>
      <c r="K1836" s="13" t="s">
        <v>94</v>
      </c>
      <c r="L1836" s="34" t="str">
        <f>VLOOKUP(D1836,Products!$A$2:$F$61,3,FALSE)</f>
        <v>Beauty</v>
      </c>
      <c r="M1836" s="34" t="str">
        <f>VLOOKUP(C1836,Customers!$A$2:$F$301,5,FALSE)</f>
        <v>Retail</v>
      </c>
      <c r="N1836" s="34">
        <f>VLOOKUP(C1836,Customers!$A$2:$F$301,3,FALSE)</f>
        <v>49</v>
      </c>
      <c r="O1836" s="34" t="str">
        <f>VLOOKUP(E1836,Sales_Reps!$A$2:$E$31,3,FALSE)</f>
        <v>North</v>
      </c>
      <c r="P1836" s="13" t="s">
        <v>92</v>
      </c>
      <c r="Q1836" s="34">
        <f t="shared" si="60"/>
        <v>782445.33</v>
      </c>
      <c r="R1836" s="34" t="str">
        <f>VLOOKUP(E1836,Sales_Reps!$A$2:$E$100,3,FALSE)</f>
        <v>North</v>
      </c>
      <c r="S1836" s="34" t="str">
        <f t="shared" si="61"/>
        <v>Beauty</v>
      </c>
      <c r="T1836" s="38">
        <f>VLOOKUP(D1836,Products!$A$2:$F$68,4,FALSE)</f>
        <v>675</v>
      </c>
    </row>
    <row r="1837" spans="1:20" x14ac:dyDescent="0.35">
      <c r="A1837" s="13" t="s">
        <v>2334</v>
      </c>
      <c r="B1837" s="14">
        <v>45406</v>
      </c>
      <c r="C1837" s="13" t="s">
        <v>2053</v>
      </c>
      <c r="D1837" s="13" t="s">
        <v>124</v>
      </c>
      <c r="E1837" s="13" t="s">
        <v>132</v>
      </c>
      <c r="F1837" s="15">
        <v>3</v>
      </c>
      <c r="G1837" s="15">
        <v>5490</v>
      </c>
      <c r="H1837" s="15">
        <v>25.2</v>
      </c>
      <c r="I1837" s="15">
        <v>12319.56</v>
      </c>
      <c r="J1837" s="13" t="s">
        <v>87</v>
      </c>
      <c r="K1837" s="13" t="s">
        <v>133</v>
      </c>
      <c r="L1837" s="34" t="str">
        <f>VLOOKUP(D1837,Products!$A$2:$F$61,3,FALSE)</f>
        <v>Home</v>
      </c>
      <c r="M1837" s="34" t="str">
        <f>VLOOKUP(C1837,Customers!$A$2:$F$301,5,FALSE)</f>
        <v>SMB</v>
      </c>
      <c r="N1837" s="34">
        <f>VLOOKUP(C1837,Customers!$A$2:$F$301,3,FALSE)</f>
        <v>39</v>
      </c>
      <c r="O1837" s="34" t="str">
        <f>VLOOKUP(E1837,Sales_Reps!$A$2:$E$31,3,FALSE)</f>
        <v>South</v>
      </c>
      <c r="P1837" s="13" t="s">
        <v>132</v>
      </c>
      <c r="Q1837" s="34">
        <f t="shared" si="60"/>
        <v>880345.20000000007</v>
      </c>
      <c r="R1837" s="34" t="str">
        <f>VLOOKUP(E1837,Sales_Reps!$A$2:$E$100,3,FALSE)</f>
        <v>South</v>
      </c>
      <c r="S1837" s="34" t="str">
        <f t="shared" si="61"/>
        <v>Home</v>
      </c>
      <c r="T1837" s="38">
        <f>VLOOKUP(D1837,Products!$A$2:$F$68,4,FALSE)</f>
        <v>2549</v>
      </c>
    </row>
    <row r="1838" spans="1:20" x14ac:dyDescent="0.35">
      <c r="A1838" s="13" t="s">
        <v>2335</v>
      </c>
      <c r="B1838" s="14">
        <v>45647</v>
      </c>
      <c r="C1838" s="13" t="s">
        <v>945</v>
      </c>
      <c r="D1838" s="13" t="s">
        <v>355</v>
      </c>
      <c r="E1838" s="13" t="s">
        <v>103</v>
      </c>
      <c r="F1838" s="15">
        <v>2</v>
      </c>
      <c r="G1838" s="15">
        <v>2510</v>
      </c>
      <c r="H1838" s="15">
        <v>28.2</v>
      </c>
      <c r="I1838" s="15">
        <v>3604.36</v>
      </c>
      <c r="J1838" s="13" t="s">
        <v>87</v>
      </c>
      <c r="K1838" s="13" t="s">
        <v>88</v>
      </c>
      <c r="L1838" s="34" t="str">
        <f>VLOOKUP(D1838,Products!$A$2:$F$61,3,FALSE)</f>
        <v>Apparel</v>
      </c>
      <c r="M1838" s="34" t="str">
        <f>VLOOKUP(C1838,Customers!$A$2:$F$301,5,FALSE)</f>
        <v>Retail</v>
      </c>
      <c r="N1838" s="34">
        <f>VLOOKUP(C1838,Customers!$A$2:$F$301,3,FALSE)</f>
        <v>54</v>
      </c>
      <c r="O1838" s="34" t="str">
        <f>VLOOKUP(E1838,Sales_Reps!$A$2:$E$31,3,FALSE)</f>
        <v>North</v>
      </c>
      <c r="P1838" s="13" t="s">
        <v>103</v>
      </c>
      <c r="Q1838" s="34">
        <f t="shared" si="60"/>
        <v>1138648.73</v>
      </c>
      <c r="R1838" s="34" t="str">
        <f>VLOOKUP(E1838,Sales_Reps!$A$2:$E$100,3,FALSE)</f>
        <v>North</v>
      </c>
      <c r="S1838" s="34" t="str">
        <f t="shared" si="61"/>
        <v>Apparel</v>
      </c>
      <c r="T1838" s="38">
        <f>VLOOKUP(D1838,Products!$A$2:$F$68,4,FALSE)</f>
        <v>1075</v>
      </c>
    </row>
    <row r="1839" spans="1:20" x14ac:dyDescent="0.35">
      <c r="A1839" s="13" t="s">
        <v>2336</v>
      </c>
      <c r="B1839" s="14">
        <v>45386</v>
      </c>
      <c r="C1839" s="13" t="s">
        <v>797</v>
      </c>
      <c r="D1839" s="13" t="s">
        <v>91</v>
      </c>
      <c r="E1839" s="13" t="s">
        <v>273</v>
      </c>
      <c r="F1839" s="15">
        <v>1</v>
      </c>
      <c r="G1839" s="15">
        <v>820</v>
      </c>
      <c r="H1839" s="15">
        <v>4.7</v>
      </c>
      <c r="I1839" s="15">
        <v>781.46</v>
      </c>
      <c r="J1839" s="13" t="s">
        <v>87</v>
      </c>
      <c r="K1839" s="13" t="s">
        <v>99</v>
      </c>
      <c r="L1839" s="34" t="str">
        <f>VLOOKUP(D1839,Products!$A$2:$F$61,3,FALSE)</f>
        <v>Apparel</v>
      </c>
      <c r="M1839" s="34" t="str">
        <f>VLOOKUP(C1839,Customers!$A$2:$F$301,5,FALSE)</f>
        <v>Retail</v>
      </c>
      <c r="N1839" s="34">
        <f>VLOOKUP(C1839,Customers!$A$2:$F$301,3,FALSE)</f>
        <v>63</v>
      </c>
      <c r="O1839" s="34" t="str">
        <f>VLOOKUP(E1839,Sales_Reps!$A$2:$E$31,3,FALSE)</f>
        <v>South</v>
      </c>
      <c r="P1839" s="13" t="s">
        <v>273</v>
      </c>
      <c r="Q1839" s="34">
        <f t="shared" si="60"/>
        <v>735207.75999999989</v>
      </c>
      <c r="R1839" s="34" t="str">
        <f>VLOOKUP(E1839,Sales_Reps!$A$2:$E$100,3,FALSE)</f>
        <v>South</v>
      </c>
      <c r="S1839" s="34" t="str">
        <f t="shared" si="61"/>
        <v>Apparel</v>
      </c>
      <c r="T1839" s="38">
        <f>VLOOKUP(D1839,Products!$A$2:$F$68,4,FALSE)</f>
        <v>391</v>
      </c>
    </row>
    <row r="1840" spans="1:20" x14ac:dyDescent="0.35">
      <c r="A1840" s="13" t="s">
        <v>2337</v>
      </c>
      <c r="B1840" s="14">
        <v>45453</v>
      </c>
      <c r="C1840" s="13" t="s">
        <v>350</v>
      </c>
      <c r="D1840" s="13" t="s">
        <v>282</v>
      </c>
      <c r="E1840" s="13" t="s">
        <v>303</v>
      </c>
      <c r="F1840" s="15">
        <v>6</v>
      </c>
      <c r="G1840" s="15">
        <v>300</v>
      </c>
      <c r="H1840" s="15">
        <v>13.3</v>
      </c>
      <c r="I1840" s="15">
        <v>1560.6</v>
      </c>
      <c r="J1840" s="13" t="s">
        <v>87</v>
      </c>
      <c r="K1840" s="13" t="s">
        <v>112</v>
      </c>
      <c r="L1840" s="34" t="str">
        <f>VLOOKUP(D1840,Products!$A$2:$F$61,3,FALSE)</f>
        <v>Electronics</v>
      </c>
      <c r="M1840" s="34" t="str">
        <f>VLOOKUP(C1840,Customers!$A$2:$F$301,5,FALSE)</f>
        <v>SMB</v>
      </c>
      <c r="N1840" s="34">
        <f>VLOOKUP(C1840,Customers!$A$2:$F$301,3,FALSE)</f>
        <v>22</v>
      </c>
      <c r="O1840" s="34" t="str">
        <f>VLOOKUP(E1840,Sales_Reps!$A$2:$E$31,3,FALSE)</f>
        <v>East</v>
      </c>
      <c r="P1840" s="13" t="s">
        <v>303</v>
      </c>
      <c r="Q1840" s="34">
        <f t="shared" si="60"/>
        <v>1112289.6400000001</v>
      </c>
      <c r="R1840" s="34" t="str">
        <f>VLOOKUP(E1840,Sales_Reps!$A$2:$E$100,3,FALSE)</f>
        <v>East</v>
      </c>
      <c r="S1840" s="34" t="str">
        <f t="shared" si="61"/>
        <v>Electronics</v>
      </c>
      <c r="T1840" s="38">
        <f>VLOOKUP(D1840,Products!$A$2:$F$68,4,FALSE)</f>
        <v>128</v>
      </c>
    </row>
    <row r="1841" spans="1:20" x14ac:dyDescent="0.35">
      <c r="A1841" s="13" t="s">
        <v>2338</v>
      </c>
      <c r="B1841" s="14">
        <v>45492</v>
      </c>
      <c r="C1841" s="13" t="s">
        <v>105</v>
      </c>
      <c r="D1841" s="13" t="s">
        <v>179</v>
      </c>
      <c r="E1841" s="13" t="s">
        <v>346</v>
      </c>
      <c r="F1841" s="15">
        <v>4</v>
      </c>
      <c r="G1841" s="15">
        <v>3350</v>
      </c>
      <c r="H1841" s="15">
        <v>5.8</v>
      </c>
      <c r="I1841" s="15">
        <v>12622.8</v>
      </c>
      <c r="J1841" s="13" t="s">
        <v>93</v>
      </c>
      <c r="K1841" s="13" t="s">
        <v>94</v>
      </c>
      <c r="L1841" s="34" t="str">
        <f>VLOOKUP(D1841,Products!$A$2:$F$61,3,FALSE)</f>
        <v>Beauty</v>
      </c>
      <c r="M1841" s="34" t="str">
        <f>VLOOKUP(C1841,Customers!$A$2:$F$301,5,FALSE)</f>
        <v>Retail</v>
      </c>
      <c r="N1841" s="34">
        <f>VLOOKUP(C1841,Customers!$A$2:$F$301,3,FALSE)</f>
        <v>36</v>
      </c>
      <c r="O1841" s="34" t="str">
        <f>VLOOKUP(E1841,Sales_Reps!$A$2:$E$31,3,FALSE)</f>
        <v>South</v>
      </c>
      <c r="P1841" s="13" t="s">
        <v>346</v>
      </c>
      <c r="Q1841" s="34">
        <f t="shared" si="60"/>
        <v>814563.7100000002</v>
      </c>
      <c r="R1841" s="34" t="str">
        <f>VLOOKUP(E1841,Sales_Reps!$A$2:$E$100,3,FALSE)</f>
        <v>South</v>
      </c>
      <c r="S1841" s="34" t="str">
        <f t="shared" si="61"/>
        <v>Beauty</v>
      </c>
      <c r="T1841" s="38">
        <f>VLOOKUP(D1841,Products!$A$2:$F$68,4,FALSE)</f>
        <v>1728</v>
      </c>
    </row>
    <row r="1842" spans="1:20" x14ac:dyDescent="0.35">
      <c r="A1842" s="13" t="s">
        <v>2339</v>
      </c>
      <c r="B1842" s="14">
        <v>45605</v>
      </c>
      <c r="C1842" s="13" t="s">
        <v>1816</v>
      </c>
      <c r="D1842" s="13" t="s">
        <v>143</v>
      </c>
      <c r="E1842" s="13" t="s">
        <v>111</v>
      </c>
      <c r="F1842" s="15">
        <v>3</v>
      </c>
      <c r="G1842" s="15">
        <v>3250</v>
      </c>
      <c r="H1842" s="15">
        <v>19.600000000000001</v>
      </c>
      <c r="I1842" s="15">
        <v>7839</v>
      </c>
      <c r="J1842" s="13" t="s">
        <v>93</v>
      </c>
      <c r="K1842" s="13" t="s">
        <v>99</v>
      </c>
      <c r="L1842" s="34" t="str">
        <f>VLOOKUP(D1842,Products!$A$2:$F$61,3,FALSE)</f>
        <v>Home</v>
      </c>
      <c r="M1842" s="34" t="str">
        <f>VLOOKUP(C1842,Customers!$A$2:$F$301,5,FALSE)</f>
        <v>Retail</v>
      </c>
      <c r="N1842" s="34">
        <f>VLOOKUP(C1842,Customers!$A$2:$F$301,3,FALSE)</f>
        <v>62</v>
      </c>
      <c r="O1842" s="34" t="str">
        <f>VLOOKUP(E1842,Sales_Reps!$A$2:$E$31,3,FALSE)</f>
        <v>West</v>
      </c>
      <c r="P1842" s="13" t="s">
        <v>111</v>
      </c>
      <c r="Q1842" s="34">
        <f t="shared" si="60"/>
        <v>901298.89</v>
      </c>
      <c r="R1842" s="34" t="str">
        <f>VLOOKUP(E1842,Sales_Reps!$A$2:$E$100,3,FALSE)</f>
        <v>West</v>
      </c>
      <c r="S1842" s="34" t="str">
        <f t="shared" si="61"/>
        <v>Home</v>
      </c>
      <c r="T1842" s="38">
        <f>VLOOKUP(D1842,Products!$A$2:$F$68,4,FALSE)</f>
        <v>1556</v>
      </c>
    </row>
    <row r="1843" spans="1:20" x14ac:dyDescent="0.35">
      <c r="A1843" s="13" t="s">
        <v>2340</v>
      </c>
      <c r="B1843" s="14">
        <v>45344</v>
      </c>
      <c r="C1843" s="13" t="s">
        <v>153</v>
      </c>
      <c r="D1843" s="13" t="s">
        <v>176</v>
      </c>
      <c r="E1843" s="13" t="s">
        <v>343</v>
      </c>
      <c r="F1843" s="15">
        <v>10</v>
      </c>
      <c r="G1843" s="15">
        <v>1650</v>
      </c>
      <c r="H1843" s="15">
        <v>22.5</v>
      </c>
      <c r="I1843" s="15">
        <v>12787.5</v>
      </c>
      <c r="J1843" s="13" t="s">
        <v>140</v>
      </c>
      <c r="K1843" s="13" t="s">
        <v>117</v>
      </c>
      <c r="L1843" s="34" t="str">
        <f>VLOOKUP(D1843,Products!$A$2:$F$61,3,FALSE)</f>
        <v>Beauty</v>
      </c>
      <c r="M1843" s="34" t="str">
        <f>VLOOKUP(C1843,Customers!$A$2:$F$301,5,FALSE)</f>
        <v>SMB</v>
      </c>
      <c r="N1843" s="34">
        <f>VLOOKUP(C1843,Customers!$A$2:$F$301,3,FALSE)</f>
        <v>46</v>
      </c>
      <c r="O1843" s="34" t="str">
        <f>VLOOKUP(E1843,Sales_Reps!$A$2:$E$31,3,FALSE)</f>
        <v>West</v>
      </c>
      <c r="P1843" s="13" t="s">
        <v>343</v>
      </c>
      <c r="Q1843" s="34">
        <f t="shared" si="60"/>
        <v>917092.61999999965</v>
      </c>
      <c r="R1843" s="34" t="str">
        <f>VLOOKUP(E1843,Sales_Reps!$A$2:$E$100,3,FALSE)</f>
        <v>West</v>
      </c>
      <c r="S1843" s="34" t="str">
        <f t="shared" si="61"/>
        <v>Beauty</v>
      </c>
      <c r="T1843" s="38">
        <f>VLOOKUP(D1843,Products!$A$2:$F$68,4,FALSE)</f>
        <v>1222</v>
      </c>
    </row>
    <row r="1844" spans="1:20" x14ac:dyDescent="0.35">
      <c r="A1844" s="13" t="s">
        <v>2341</v>
      </c>
      <c r="B1844" s="14">
        <v>45506</v>
      </c>
      <c r="C1844" s="13" t="s">
        <v>752</v>
      </c>
      <c r="D1844" s="13" t="s">
        <v>267</v>
      </c>
      <c r="E1844" s="13" t="s">
        <v>201</v>
      </c>
      <c r="F1844" s="15">
        <v>2</v>
      </c>
      <c r="G1844" s="15">
        <v>1220</v>
      </c>
      <c r="H1844" s="15">
        <v>10.5</v>
      </c>
      <c r="I1844" s="15">
        <v>2183.8000000000002</v>
      </c>
      <c r="J1844" s="13" t="s">
        <v>87</v>
      </c>
      <c r="K1844" s="13" t="s">
        <v>117</v>
      </c>
      <c r="L1844" s="34" t="str">
        <f>VLOOKUP(D1844,Products!$A$2:$F$61,3,FALSE)</f>
        <v>Electronics</v>
      </c>
      <c r="M1844" s="34" t="str">
        <f>VLOOKUP(C1844,Customers!$A$2:$F$301,5,FALSE)</f>
        <v>Retail</v>
      </c>
      <c r="N1844" s="34">
        <f>VLOOKUP(C1844,Customers!$A$2:$F$301,3,FALSE)</f>
        <v>32</v>
      </c>
      <c r="O1844" s="34" t="str">
        <f>VLOOKUP(E1844,Sales_Reps!$A$2:$E$31,3,FALSE)</f>
        <v>West</v>
      </c>
      <c r="P1844" s="13" t="s">
        <v>201</v>
      </c>
      <c r="Q1844" s="34">
        <f t="shared" si="60"/>
        <v>576305.08000000019</v>
      </c>
      <c r="R1844" s="34" t="str">
        <f>VLOOKUP(E1844,Sales_Reps!$A$2:$E$100,3,FALSE)</f>
        <v>West</v>
      </c>
      <c r="S1844" s="34" t="str">
        <f t="shared" si="61"/>
        <v>Electronics</v>
      </c>
      <c r="T1844" s="38">
        <f>VLOOKUP(D1844,Products!$A$2:$F$68,4,FALSE)</f>
        <v>517</v>
      </c>
    </row>
    <row r="1845" spans="1:20" x14ac:dyDescent="0.35">
      <c r="A1845" s="13" t="s">
        <v>2342</v>
      </c>
      <c r="B1845" s="14">
        <v>45521</v>
      </c>
      <c r="C1845" s="13" t="s">
        <v>312</v>
      </c>
      <c r="D1845" s="13" t="s">
        <v>380</v>
      </c>
      <c r="E1845" s="13" t="s">
        <v>201</v>
      </c>
      <c r="F1845" s="15">
        <v>7</v>
      </c>
      <c r="G1845" s="15">
        <v>960</v>
      </c>
      <c r="H1845" s="15">
        <v>5.4</v>
      </c>
      <c r="I1845" s="15">
        <v>6357.12</v>
      </c>
      <c r="J1845" s="13" t="s">
        <v>144</v>
      </c>
      <c r="K1845" s="13" t="s">
        <v>133</v>
      </c>
      <c r="L1845" s="34" t="str">
        <f>VLOOKUP(D1845,Products!$A$2:$F$61,3,FALSE)</f>
        <v>Beauty</v>
      </c>
      <c r="M1845" s="34" t="str">
        <f>VLOOKUP(C1845,Customers!$A$2:$F$301,5,FALSE)</f>
        <v>Retail</v>
      </c>
      <c r="N1845" s="34">
        <f>VLOOKUP(C1845,Customers!$A$2:$F$301,3,FALSE)</f>
        <v>46</v>
      </c>
      <c r="O1845" s="34" t="str">
        <f>VLOOKUP(E1845,Sales_Reps!$A$2:$E$31,3,FALSE)</f>
        <v>West</v>
      </c>
      <c r="P1845" s="13" t="s">
        <v>201</v>
      </c>
      <c r="Q1845" s="34">
        <f t="shared" si="60"/>
        <v>576305.08000000019</v>
      </c>
      <c r="R1845" s="34" t="str">
        <f>VLOOKUP(E1845,Sales_Reps!$A$2:$E$100,3,FALSE)</f>
        <v>West</v>
      </c>
      <c r="S1845" s="34" t="str">
        <f t="shared" si="61"/>
        <v>Beauty</v>
      </c>
      <c r="T1845" s="38">
        <f>VLOOKUP(D1845,Products!$A$2:$F$68,4,FALSE)</f>
        <v>675</v>
      </c>
    </row>
    <row r="1846" spans="1:20" x14ac:dyDescent="0.35">
      <c r="A1846" s="13" t="s">
        <v>2343</v>
      </c>
      <c r="B1846" s="14">
        <v>45389</v>
      </c>
      <c r="C1846" s="13" t="s">
        <v>905</v>
      </c>
      <c r="D1846" s="13" t="s">
        <v>184</v>
      </c>
      <c r="E1846" s="13" t="s">
        <v>98</v>
      </c>
      <c r="F1846" s="15">
        <v>3</v>
      </c>
      <c r="G1846" s="15">
        <v>4880</v>
      </c>
      <c r="H1846" s="15">
        <v>17.100000000000001</v>
      </c>
      <c r="I1846" s="15">
        <v>12136.56</v>
      </c>
      <c r="J1846" s="13" t="s">
        <v>87</v>
      </c>
      <c r="K1846" s="13" t="s">
        <v>112</v>
      </c>
      <c r="L1846" s="34" t="str">
        <f>VLOOKUP(D1846,Products!$A$2:$F$61,3,FALSE)</f>
        <v>Beauty</v>
      </c>
      <c r="M1846" s="34" t="str">
        <f>VLOOKUP(C1846,Customers!$A$2:$F$301,5,FALSE)</f>
        <v>SMB</v>
      </c>
      <c r="N1846" s="34">
        <f>VLOOKUP(C1846,Customers!$A$2:$F$301,3,FALSE)</f>
        <v>43</v>
      </c>
      <c r="O1846" s="34" t="str">
        <f>VLOOKUP(E1846,Sales_Reps!$A$2:$E$31,3,FALSE)</f>
        <v>South</v>
      </c>
      <c r="P1846" s="13" t="s">
        <v>98</v>
      </c>
      <c r="Q1846" s="34">
        <f t="shared" si="60"/>
        <v>995713.54000000015</v>
      </c>
      <c r="R1846" s="34" t="str">
        <f>VLOOKUP(E1846,Sales_Reps!$A$2:$E$100,3,FALSE)</f>
        <v>South</v>
      </c>
      <c r="S1846" s="34" t="str">
        <f t="shared" si="61"/>
        <v>Beauty</v>
      </c>
      <c r="T1846" s="38">
        <f>VLOOKUP(D1846,Products!$A$2:$F$68,4,FALSE)</f>
        <v>2768</v>
      </c>
    </row>
    <row r="1847" spans="1:20" x14ac:dyDescent="0.35">
      <c r="A1847" s="13" t="s">
        <v>2344</v>
      </c>
      <c r="B1847" s="14">
        <v>45390</v>
      </c>
      <c r="C1847" s="13" t="s">
        <v>582</v>
      </c>
      <c r="D1847" s="13" t="s">
        <v>131</v>
      </c>
      <c r="E1847" s="13" t="s">
        <v>128</v>
      </c>
      <c r="F1847" s="15">
        <v>5</v>
      </c>
      <c r="G1847" s="15">
        <v>2270</v>
      </c>
      <c r="H1847" s="15">
        <v>12.4</v>
      </c>
      <c r="I1847" s="15">
        <v>9942.6</v>
      </c>
      <c r="J1847" s="13" t="s">
        <v>87</v>
      </c>
      <c r="K1847" s="13" t="s">
        <v>94</v>
      </c>
      <c r="L1847" s="34" t="str">
        <f>VLOOKUP(D1847,Products!$A$2:$F$61,3,FALSE)</f>
        <v>Grocery</v>
      </c>
      <c r="M1847" s="34" t="str">
        <f>VLOOKUP(C1847,Customers!$A$2:$F$301,5,FALSE)</f>
        <v>SMB</v>
      </c>
      <c r="N1847" s="34">
        <f>VLOOKUP(C1847,Customers!$A$2:$F$301,3,FALSE)</f>
        <v>59</v>
      </c>
      <c r="O1847" s="34" t="str">
        <f>VLOOKUP(E1847,Sales_Reps!$A$2:$E$31,3,FALSE)</f>
        <v>West</v>
      </c>
      <c r="P1847" s="13" t="s">
        <v>128</v>
      </c>
      <c r="Q1847" s="34">
        <f t="shared" si="60"/>
        <v>880468.05</v>
      </c>
      <c r="R1847" s="34" t="str">
        <f>VLOOKUP(E1847,Sales_Reps!$A$2:$E$100,3,FALSE)</f>
        <v>West</v>
      </c>
      <c r="S1847" s="34" t="str">
        <f t="shared" si="61"/>
        <v>Grocery</v>
      </c>
      <c r="T1847" s="38">
        <f>VLOOKUP(D1847,Products!$A$2:$F$68,4,FALSE)</f>
        <v>1203</v>
      </c>
    </row>
    <row r="1848" spans="1:20" x14ac:dyDescent="0.35">
      <c r="A1848" s="13" t="s">
        <v>2345</v>
      </c>
      <c r="B1848" s="14">
        <v>45413</v>
      </c>
      <c r="C1848" s="13" t="s">
        <v>613</v>
      </c>
      <c r="D1848" s="13" t="s">
        <v>502</v>
      </c>
      <c r="E1848" s="13" t="s">
        <v>128</v>
      </c>
      <c r="F1848" s="15">
        <v>1</v>
      </c>
      <c r="G1848" s="15">
        <v>1090</v>
      </c>
      <c r="H1848" s="15">
        <v>17.3</v>
      </c>
      <c r="I1848" s="15">
        <v>901.43</v>
      </c>
      <c r="J1848" s="13" t="s">
        <v>87</v>
      </c>
      <c r="K1848" s="13" t="s">
        <v>112</v>
      </c>
      <c r="L1848" s="34" t="str">
        <f>VLOOKUP(D1848,Products!$A$2:$F$61,3,FALSE)</f>
        <v>Home</v>
      </c>
      <c r="M1848" s="34" t="str">
        <f>VLOOKUP(C1848,Customers!$A$2:$F$301,5,FALSE)</f>
        <v>Retail</v>
      </c>
      <c r="N1848" s="34">
        <f>VLOOKUP(C1848,Customers!$A$2:$F$301,3,FALSE)</f>
        <v>44</v>
      </c>
      <c r="O1848" s="34" t="str">
        <f>VLOOKUP(E1848,Sales_Reps!$A$2:$E$31,3,FALSE)</f>
        <v>West</v>
      </c>
      <c r="P1848" s="13" t="s">
        <v>128</v>
      </c>
      <c r="Q1848" s="34">
        <f t="shared" si="60"/>
        <v>880468.05</v>
      </c>
      <c r="R1848" s="34" t="str">
        <f>VLOOKUP(E1848,Sales_Reps!$A$2:$E$100,3,FALSE)</f>
        <v>West</v>
      </c>
      <c r="S1848" s="34" t="str">
        <f t="shared" si="61"/>
        <v>Home</v>
      </c>
      <c r="T1848" s="38">
        <f>VLOOKUP(D1848,Products!$A$2:$F$68,4,FALSE)</f>
        <v>464</v>
      </c>
    </row>
    <row r="1849" spans="1:20" x14ac:dyDescent="0.35">
      <c r="A1849" s="13" t="s">
        <v>2346</v>
      </c>
      <c r="B1849" s="14">
        <v>45535</v>
      </c>
      <c r="C1849" s="13" t="s">
        <v>324</v>
      </c>
      <c r="D1849" s="13" t="s">
        <v>443</v>
      </c>
      <c r="E1849" s="13" t="s">
        <v>229</v>
      </c>
      <c r="F1849" s="15">
        <v>8</v>
      </c>
      <c r="G1849" s="15">
        <v>5080</v>
      </c>
      <c r="H1849" s="15">
        <v>0.9</v>
      </c>
      <c r="I1849" s="15">
        <v>40274.239999999998</v>
      </c>
      <c r="J1849" s="13" t="s">
        <v>87</v>
      </c>
      <c r="K1849" s="13" t="s">
        <v>133</v>
      </c>
      <c r="L1849" s="34" t="str">
        <f>VLOOKUP(D1849,Products!$A$2:$F$61,3,FALSE)</f>
        <v>Home</v>
      </c>
      <c r="M1849" s="34" t="str">
        <f>VLOOKUP(C1849,Customers!$A$2:$F$301,5,FALSE)</f>
        <v>Retail</v>
      </c>
      <c r="N1849" s="34">
        <f>VLOOKUP(C1849,Customers!$A$2:$F$301,3,FALSE)</f>
        <v>28</v>
      </c>
      <c r="O1849" s="34" t="str">
        <f>VLOOKUP(E1849,Sales_Reps!$A$2:$E$31,3,FALSE)</f>
        <v>West</v>
      </c>
      <c r="P1849" s="13" t="s">
        <v>229</v>
      </c>
      <c r="Q1849" s="34">
        <f t="shared" si="60"/>
        <v>1016696.8000000002</v>
      </c>
      <c r="R1849" s="34" t="str">
        <f>VLOOKUP(E1849,Sales_Reps!$A$2:$E$100,3,FALSE)</f>
        <v>West</v>
      </c>
      <c r="S1849" s="34" t="str">
        <f t="shared" si="61"/>
        <v>Home</v>
      </c>
      <c r="T1849" s="38">
        <f>VLOOKUP(D1849,Products!$A$2:$F$68,4,FALSE)</f>
        <v>2459</v>
      </c>
    </row>
    <row r="1850" spans="1:20" x14ac:dyDescent="0.35">
      <c r="A1850" s="13" t="s">
        <v>2347</v>
      </c>
      <c r="B1850" s="14">
        <v>45569</v>
      </c>
      <c r="C1850" s="13" t="s">
        <v>856</v>
      </c>
      <c r="D1850" s="13" t="s">
        <v>270</v>
      </c>
      <c r="E1850" s="13" t="s">
        <v>238</v>
      </c>
      <c r="F1850" s="15">
        <v>7</v>
      </c>
      <c r="G1850" s="15">
        <v>4610</v>
      </c>
      <c r="H1850" s="15">
        <v>0.9</v>
      </c>
      <c r="I1850" s="15">
        <v>31979.57</v>
      </c>
      <c r="J1850" s="13" t="s">
        <v>87</v>
      </c>
      <c r="K1850" s="13" t="s">
        <v>88</v>
      </c>
      <c r="L1850" s="34" t="str">
        <f>VLOOKUP(D1850,Products!$A$2:$F$61,3,FALSE)</f>
        <v>Home</v>
      </c>
      <c r="M1850" s="34" t="str">
        <f>VLOOKUP(C1850,Customers!$A$2:$F$301,5,FALSE)</f>
        <v>SMB</v>
      </c>
      <c r="N1850" s="34">
        <f>VLOOKUP(C1850,Customers!$A$2:$F$301,3,FALSE)</f>
        <v>59</v>
      </c>
      <c r="O1850" s="34" t="str">
        <f>VLOOKUP(E1850,Sales_Reps!$A$2:$E$31,3,FALSE)</f>
        <v>East</v>
      </c>
      <c r="P1850" s="13" t="s">
        <v>238</v>
      </c>
      <c r="Q1850" s="34">
        <f t="shared" si="60"/>
        <v>780384.40999999992</v>
      </c>
      <c r="R1850" s="34" t="str">
        <f>VLOOKUP(E1850,Sales_Reps!$A$2:$E$100,3,FALSE)</f>
        <v>East</v>
      </c>
      <c r="S1850" s="34" t="str">
        <f t="shared" si="61"/>
        <v>Home</v>
      </c>
      <c r="T1850" s="38">
        <f>VLOOKUP(D1850,Products!$A$2:$F$68,4,FALSE)</f>
        <v>1850</v>
      </c>
    </row>
    <row r="1851" spans="1:20" x14ac:dyDescent="0.35">
      <c r="A1851" s="13" t="s">
        <v>2348</v>
      </c>
      <c r="B1851" s="14">
        <v>45527</v>
      </c>
      <c r="C1851" s="13" t="s">
        <v>501</v>
      </c>
      <c r="D1851" s="13" t="s">
        <v>276</v>
      </c>
      <c r="E1851" s="13" t="s">
        <v>128</v>
      </c>
      <c r="F1851" s="15">
        <v>1</v>
      </c>
      <c r="G1851" s="15">
        <v>3020</v>
      </c>
      <c r="H1851" s="15">
        <v>10.3</v>
      </c>
      <c r="I1851" s="15">
        <v>2708.94</v>
      </c>
      <c r="J1851" s="13" t="s">
        <v>87</v>
      </c>
      <c r="K1851" s="13" t="s">
        <v>133</v>
      </c>
      <c r="L1851" s="34" t="str">
        <f>VLOOKUP(D1851,Products!$A$2:$F$61,3,FALSE)</f>
        <v>Beauty</v>
      </c>
      <c r="M1851" s="34" t="str">
        <f>VLOOKUP(C1851,Customers!$A$2:$F$301,5,FALSE)</f>
        <v>SMB</v>
      </c>
      <c r="N1851" s="34">
        <f>VLOOKUP(C1851,Customers!$A$2:$F$301,3,FALSE)</f>
        <v>65</v>
      </c>
      <c r="O1851" s="34" t="str">
        <f>VLOOKUP(E1851,Sales_Reps!$A$2:$E$31,3,FALSE)</f>
        <v>West</v>
      </c>
      <c r="P1851" s="13" t="s">
        <v>128</v>
      </c>
      <c r="Q1851" s="34">
        <f t="shared" si="60"/>
        <v>880468.05</v>
      </c>
      <c r="R1851" s="34" t="str">
        <f>VLOOKUP(E1851,Sales_Reps!$A$2:$E$100,3,FALSE)</f>
        <v>West</v>
      </c>
      <c r="S1851" s="34" t="str">
        <f t="shared" si="61"/>
        <v>Beauty</v>
      </c>
      <c r="T1851" s="38">
        <f>VLOOKUP(D1851,Products!$A$2:$F$68,4,FALSE)</f>
        <v>1626</v>
      </c>
    </row>
    <row r="1852" spans="1:20" x14ac:dyDescent="0.35">
      <c r="A1852" s="13" t="s">
        <v>2349</v>
      </c>
      <c r="B1852" s="14">
        <v>45453</v>
      </c>
      <c r="C1852" s="13" t="s">
        <v>638</v>
      </c>
      <c r="D1852" s="13" t="s">
        <v>245</v>
      </c>
      <c r="E1852" s="13" t="s">
        <v>128</v>
      </c>
      <c r="F1852" s="15">
        <v>6</v>
      </c>
      <c r="G1852" s="15">
        <v>2270</v>
      </c>
      <c r="H1852" s="15">
        <v>23.1</v>
      </c>
      <c r="I1852" s="15">
        <v>10473.780000000001</v>
      </c>
      <c r="J1852" s="13" t="s">
        <v>87</v>
      </c>
      <c r="K1852" s="13" t="s">
        <v>99</v>
      </c>
      <c r="L1852" s="34" t="str">
        <f>VLOOKUP(D1852,Products!$A$2:$F$61,3,FALSE)</f>
        <v>Grocery</v>
      </c>
      <c r="M1852" s="34" t="str">
        <f>VLOOKUP(C1852,Customers!$A$2:$F$301,5,FALSE)</f>
        <v>Retail</v>
      </c>
      <c r="N1852" s="34">
        <f>VLOOKUP(C1852,Customers!$A$2:$F$301,3,FALSE)</f>
        <v>43</v>
      </c>
      <c r="O1852" s="34" t="str">
        <f>VLOOKUP(E1852,Sales_Reps!$A$2:$E$31,3,FALSE)</f>
        <v>West</v>
      </c>
      <c r="P1852" s="13" t="s">
        <v>128</v>
      </c>
      <c r="Q1852" s="34">
        <f t="shared" si="60"/>
        <v>880468.05</v>
      </c>
      <c r="R1852" s="34" t="str">
        <f>VLOOKUP(E1852,Sales_Reps!$A$2:$E$100,3,FALSE)</f>
        <v>West</v>
      </c>
      <c r="S1852" s="34" t="str">
        <f t="shared" si="61"/>
        <v>Grocery</v>
      </c>
      <c r="T1852" s="38">
        <f>VLOOKUP(D1852,Products!$A$2:$F$68,4,FALSE)</f>
        <v>1412</v>
      </c>
    </row>
    <row r="1853" spans="1:20" x14ac:dyDescent="0.35">
      <c r="A1853" s="13" t="s">
        <v>2350</v>
      </c>
      <c r="B1853" s="14">
        <v>45605</v>
      </c>
      <c r="C1853" s="13" t="s">
        <v>142</v>
      </c>
      <c r="D1853" s="13" t="s">
        <v>264</v>
      </c>
      <c r="E1853" s="13" t="s">
        <v>132</v>
      </c>
      <c r="F1853" s="15">
        <v>6</v>
      </c>
      <c r="G1853" s="15">
        <v>4070</v>
      </c>
      <c r="H1853" s="15">
        <v>28.9</v>
      </c>
      <c r="I1853" s="15">
        <v>17362.62</v>
      </c>
      <c r="J1853" s="13" t="s">
        <v>87</v>
      </c>
      <c r="K1853" s="13" t="s">
        <v>88</v>
      </c>
      <c r="L1853" s="34" t="str">
        <f>VLOOKUP(D1853,Products!$A$2:$F$61,3,FALSE)</f>
        <v>Grocery</v>
      </c>
      <c r="M1853" s="34" t="str">
        <f>VLOOKUP(C1853,Customers!$A$2:$F$301,5,FALSE)</f>
        <v>SMB</v>
      </c>
      <c r="N1853" s="34">
        <f>VLOOKUP(C1853,Customers!$A$2:$F$301,3,FALSE)</f>
        <v>39</v>
      </c>
      <c r="O1853" s="34" t="str">
        <f>VLOOKUP(E1853,Sales_Reps!$A$2:$E$31,3,FALSE)</f>
        <v>South</v>
      </c>
      <c r="P1853" s="13" t="s">
        <v>132</v>
      </c>
      <c r="Q1853" s="34">
        <f t="shared" si="60"/>
        <v>880345.20000000007</v>
      </c>
      <c r="R1853" s="34" t="str">
        <f>VLOOKUP(E1853,Sales_Reps!$A$2:$E$100,3,FALSE)</f>
        <v>South</v>
      </c>
      <c r="S1853" s="34" t="str">
        <f t="shared" si="61"/>
        <v>Grocery</v>
      </c>
      <c r="T1853" s="38">
        <f>VLOOKUP(D1853,Products!$A$2:$F$68,4,FALSE)</f>
        <v>2027</v>
      </c>
    </row>
    <row r="1854" spans="1:20" x14ac:dyDescent="0.35">
      <c r="A1854" s="13" t="s">
        <v>2351</v>
      </c>
      <c r="B1854" s="14">
        <v>45650</v>
      </c>
      <c r="C1854" s="13" t="s">
        <v>541</v>
      </c>
      <c r="D1854" s="13" t="s">
        <v>267</v>
      </c>
      <c r="E1854" s="13" t="s">
        <v>238</v>
      </c>
      <c r="F1854" s="15">
        <v>5</v>
      </c>
      <c r="G1854" s="15">
        <v>1220</v>
      </c>
      <c r="H1854" s="15">
        <v>18.7</v>
      </c>
      <c r="I1854" s="15">
        <v>4959.3</v>
      </c>
      <c r="J1854" s="13" t="s">
        <v>87</v>
      </c>
      <c r="K1854" s="13" t="s">
        <v>94</v>
      </c>
      <c r="L1854" s="34" t="str">
        <f>VLOOKUP(D1854,Products!$A$2:$F$61,3,FALSE)</f>
        <v>Electronics</v>
      </c>
      <c r="M1854" s="34" t="str">
        <f>VLOOKUP(C1854,Customers!$A$2:$F$301,5,FALSE)</f>
        <v>Corporate</v>
      </c>
      <c r="N1854" s="34">
        <f>VLOOKUP(C1854,Customers!$A$2:$F$301,3,FALSE)</f>
        <v>34</v>
      </c>
      <c r="O1854" s="34" t="str">
        <f>VLOOKUP(E1854,Sales_Reps!$A$2:$E$31,3,FALSE)</f>
        <v>East</v>
      </c>
      <c r="P1854" s="13" t="s">
        <v>238</v>
      </c>
      <c r="Q1854" s="34">
        <f t="shared" si="60"/>
        <v>780384.40999999992</v>
      </c>
      <c r="R1854" s="34" t="str">
        <f>VLOOKUP(E1854,Sales_Reps!$A$2:$E$100,3,FALSE)</f>
        <v>East</v>
      </c>
      <c r="S1854" s="34" t="str">
        <f t="shared" si="61"/>
        <v>Electronics</v>
      </c>
      <c r="T1854" s="38">
        <f>VLOOKUP(D1854,Products!$A$2:$F$68,4,FALSE)</f>
        <v>517</v>
      </c>
    </row>
    <row r="1855" spans="1:20" x14ac:dyDescent="0.35">
      <c r="A1855" s="13" t="s">
        <v>2352</v>
      </c>
      <c r="B1855" s="14">
        <v>45412</v>
      </c>
      <c r="C1855" s="13" t="s">
        <v>385</v>
      </c>
      <c r="D1855" s="13" t="s">
        <v>167</v>
      </c>
      <c r="E1855" s="13" t="s">
        <v>116</v>
      </c>
      <c r="F1855" s="15">
        <v>8</v>
      </c>
      <c r="G1855" s="15">
        <v>2480</v>
      </c>
      <c r="H1855" s="15">
        <v>3.2</v>
      </c>
      <c r="I1855" s="15">
        <v>19205.12</v>
      </c>
      <c r="J1855" s="13" t="s">
        <v>140</v>
      </c>
      <c r="K1855" s="13" t="s">
        <v>117</v>
      </c>
      <c r="L1855" s="34" t="str">
        <f>VLOOKUP(D1855,Products!$A$2:$F$61,3,FALSE)</f>
        <v>Apparel</v>
      </c>
      <c r="M1855" s="34" t="str">
        <f>VLOOKUP(C1855,Customers!$A$2:$F$301,5,FALSE)</f>
        <v>Retail</v>
      </c>
      <c r="N1855" s="34">
        <f>VLOOKUP(C1855,Customers!$A$2:$F$301,3,FALSE)</f>
        <v>23</v>
      </c>
      <c r="O1855" s="34" t="str">
        <f>VLOOKUP(E1855,Sales_Reps!$A$2:$E$31,3,FALSE)</f>
        <v>West</v>
      </c>
      <c r="P1855" s="13" t="s">
        <v>116</v>
      </c>
      <c r="Q1855" s="34">
        <f t="shared" si="60"/>
        <v>819558.58</v>
      </c>
      <c r="R1855" s="34" t="str">
        <f>VLOOKUP(E1855,Sales_Reps!$A$2:$E$100,3,FALSE)</f>
        <v>West</v>
      </c>
      <c r="S1855" s="34" t="str">
        <f t="shared" si="61"/>
        <v>Apparel</v>
      </c>
      <c r="T1855" s="38">
        <f>VLOOKUP(D1855,Products!$A$2:$F$68,4,FALSE)</f>
        <v>1173</v>
      </c>
    </row>
    <row r="1856" spans="1:20" x14ac:dyDescent="0.35">
      <c r="A1856" s="13" t="s">
        <v>2353</v>
      </c>
      <c r="B1856" s="14">
        <v>45554</v>
      </c>
      <c r="C1856" s="13" t="s">
        <v>460</v>
      </c>
      <c r="D1856" s="13" t="s">
        <v>195</v>
      </c>
      <c r="E1856" s="13" t="s">
        <v>86</v>
      </c>
      <c r="F1856" s="15">
        <v>7</v>
      </c>
      <c r="G1856" s="15">
        <v>2860</v>
      </c>
      <c r="H1856" s="15">
        <v>8.4</v>
      </c>
      <c r="I1856" s="15">
        <v>18338.32</v>
      </c>
      <c r="J1856" s="13" t="s">
        <v>87</v>
      </c>
      <c r="K1856" s="13" t="s">
        <v>88</v>
      </c>
      <c r="L1856" s="34" t="str">
        <f>VLOOKUP(D1856,Products!$A$2:$F$61,3,FALSE)</f>
        <v>Sports</v>
      </c>
      <c r="M1856" s="34" t="str">
        <f>VLOOKUP(C1856,Customers!$A$2:$F$301,5,FALSE)</f>
        <v>Corporate</v>
      </c>
      <c r="N1856" s="34">
        <f>VLOOKUP(C1856,Customers!$A$2:$F$301,3,FALSE)</f>
        <v>37</v>
      </c>
      <c r="O1856" s="34" t="str">
        <f>VLOOKUP(E1856,Sales_Reps!$A$2:$E$31,3,FALSE)</f>
        <v>North</v>
      </c>
      <c r="P1856" s="13" t="s">
        <v>86</v>
      </c>
      <c r="Q1856" s="34">
        <f t="shared" si="60"/>
        <v>855749.67999999982</v>
      </c>
      <c r="R1856" s="34" t="str">
        <f>VLOOKUP(E1856,Sales_Reps!$A$2:$E$100,3,FALSE)</f>
        <v>North</v>
      </c>
      <c r="S1856" s="34" t="str">
        <f t="shared" si="61"/>
        <v>Sports</v>
      </c>
      <c r="T1856" s="38">
        <f>VLOOKUP(D1856,Products!$A$2:$F$68,4,FALSE)</f>
        <v>2028</v>
      </c>
    </row>
    <row r="1857" spans="1:20" x14ac:dyDescent="0.35">
      <c r="A1857" s="13" t="s">
        <v>2354</v>
      </c>
      <c r="B1857" s="14">
        <v>45365</v>
      </c>
      <c r="C1857" s="13" t="s">
        <v>322</v>
      </c>
      <c r="D1857" s="13" t="s">
        <v>234</v>
      </c>
      <c r="E1857" s="13" t="s">
        <v>116</v>
      </c>
      <c r="F1857" s="15">
        <v>1</v>
      </c>
      <c r="G1857" s="15">
        <v>3780</v>
      </c>
      <c r="H1857" s="15">
        <v>16.3</v>
      </c>
      <c r="I1857" s="15">
        <v>3163.86</v>
      </c>
      <c r="J1857" s="13" t="s">
        <v>140</v>
      </c>
      <c r="K1857" s="13" t="s">
        <v>99</v>
      </c>
      <c r="L1857" s="34" t="str">
        <f>VLOOKUP(D1857,Products!$A$2:$F$61,3,FALSE)</f>
        <v>Grocery</v>
      </c>
      <c r="M1857" s="34" t="str">
        <f>VLOOKUP(C1857,Customers!$A$2:$F$301,5,FALSE)</f>
        <v>Retail</v>
      </c>
      <c r="N1857" s="34">
        <f>VLOOKUP(C1857,Customers!$A$2:$F$301,3,FALSE)</f>
        <v>31</v>
      </c>
      <c r="O1857" s="34" t="str">
        <f>VLOOKUP(E1857,Sales_Reps!$A$2:$E$31,3,FALSE)</f>
        <v>West</v>
      </c>
      <c r="P1857" s="13" t="s">
        <v>116</v>
      </c>
      <c r="Q1857" s="34">
        <f t="shared" si="60"/>
        <v>819558.58</v>
      </c>
      <c r="R1857" s="34" t="str">
        <f>VLOOKUP(E1857,Sales_Reps!$A$2:$E$100,3,FALSE)</f>
        <v>West</v>
      </c>
      <c r="S1857" s="34" t="str">
        <f t="shared" si="61"/>
        <v>Grocery</v>
      </c>
      <c r="T1857" s="38">
        <f>VLOOKUP(D1857,Products!$A$2:$F$68,4,FALSE)</f>
        <v>2436</v>
      </c>
    </row>
    <row r="1858" spans="1:20" x14ac:dyDescent="0.35">
      <c r="A1858" s="13" t="s">
        <v>2355</v>
      </c>
      <c r="B1858" s="14">
        <v>45504</v>
      </c>
      <c r="C1858" s="13" t="s">
        <v>977</v>
      </c>
      <c r="D1858" s="13" t="s">
        <v>195</v>
      </c>
      <c r="E1858" s="13" t="s">
        <v>111</v>
      </c>
      <c r="F1858" s="15">
        <v>6</v>
      </c>
      <c r="G1858" s="15">
        <v>2860</v>
      </c>
      <c r="H1858" s="15">
        <v>10.7</v>
      </c>
      <c r="I1858" s="15">
        <v>15323.88</v>
      </c>
      <c r="J1858" s="13" t="s">
        <v>87</v>
      </c>
      <c r="K1858" s="13" t="s">
        <v>88</v>
      </c>
      <c r="L1858" s="34" t="str">
        <f>VLOOKUP(D1858,Products!$A$2:$F$61,3,FALSE)</f>
        <v>Sports</v>
      </c>
      <c r="M1858" s="34" t="str">
        <f>VLOOKUP(C1858,Customers!$A$2:$F$301,5,FALSE)</f>
        <v>Corporate</v>
      </c>
      <c r="N1858" s="34">
        <f>VLOOKUP(C1858,Customers!$A$2:$F$301,3,FALSE)</f>
        <v>29</v>
      </c>
      <c r="O1858" s="34" t="str">
        <f>VLOOKUP(E1858,Sales_Reps!$A$2:$E$31,3,FALSE)</f>
        <v>West</v>
      </c>
      <c r="P1858" s="13" t="s">
        <v>111</v>
      </c>
      <c r="Q1858" s="34">
        <f t="shared" si="60"/>
        <v>901298.89</v>
      </c>
      <c r="R1858" s="34" t="str">
        <f>VLOOKUP(E1858,Sales_Reps!$A$2:$E$100,3,FALSE)</f>
        <v>West</v>
      </c>
      <c r="S1858" s="34" t="str">
        <f t="shared" si="61"/>
        <v>Sports</v>
      </c>
      <c r="T1858" s="38">
        <f>VLOOKUP(D1858,Products!$A$2:$F$68,4,FALSE)</f>
        <v>2028</v>
      </c>
    </row>
    <row r="1859" spans="1:20" x14ac:dyDescent="0.35">
      <c r="A1859" s="13" t="s">
        <v>2356</v>
      </c>
      <c r="B1859" s="14">
        <v>45652</v>
      </c>
      <c r="C1859" s="13" t="s">
        <v>741</v>
      </c>
      <c r="D1859" s="13" t="s">
        <v>151</v>
      </c>
      <c r="E1859" s="13" t="s">
        <v>343</v>
      </c>
      <c r="F1859" s="15">
        <v>3</v>
      </c>
      <c r="G1859" s="15">
        <v>2400</v>
      </c>
      <c r="H1859" s="15">
        <v>20.7</v>
      </c>
      <c r="I1859" s="15">
        <v>5709.6</v>
      </c>
      <c r="J1859" s="13" t="s">
        <v>87</v>
      </c>
      <c r="K1859" s="13" t="s">
        <v>133</v>
      </c>
      <c r="L1859" s="34" t="str">
        <f>VLOOKUP(D1859,Products!$A$2:$F$61,3,FALSE)</f>
        <v>Sports</v>
      </c>
      <c r="M1859" s="34" t="str">
        <f>VLOOKUP(C1859,Customers!$A$2:$F$301,5,FALSE)</f>
        <v>SMB</v>
      </c>
      <c r="N1859" s="34">
        <f>VLOOKUP(C1859,Customers!$A$2:$F$301,3,FALSE)</f>
        <v>29</v>
      </c>
      <c r="O1859" s="34" t="str">
        <f>VLOOKUP(E1859,Sales_Reps!$A$2:$E$31,3,FALSE)</f>
        <v>West</v>
      </c>
      <c r="P1859" s="13" t="s">
        <v>343</v>
      </c>
      <c r="Q1859" s="34">
        <f t="shared" ref="Q1859:Q1922" si="62">SUMIFS($I:$I,$E:$E,P1859)</f>
        <v>917092.61999999965</v>
      </c>
      <c r="R1859" s="34" t="str">
        <f>VLOOKUP(E1859,Sales_Reps!$A$2:$E$100,3,FALSE)</f>
        <v>West</v>
      </c>
      <c r="S1859" s="34" t="str">
        <f t="shared" ref="S1859:S1922" si="63">L1859</f>
        <v>Sports</v>
      </c>
      <c r="T1859" s="38">
        <f>VLOOKUP(D1859,Products!$A$2:$F$68,4,FALSE)</f>
        <v>974</v>
      </c>
    </row>
    <row r="1860" spans="1:20" x14ac:dyDescent="0.35">
      <c r="A1860" s="13" t="s">
        <v>2357</v>
      </c>
      <c r="B1860" s="14">
        <v>45330</v>
      </c>
      <c r="C1860" s="13" t="s">
        <v>1261</v>
      </c>
      <c r="D1860" s="13" t="s">
        <v>367</v>
      </c>
      <c r="E1860" s="13" t="s">
        <v>111</v>
      </c>
      <c r="F1860" s="15">
        <v>8</v>
      </c>
      <c r="G1860" s="15">
        <v>2380</v>
      </c>
      <c r="H1860" s="15">
        <v>22.3</v>
      </c>
      <c r="I1860" s="15">
        <v>14794.08</v>
      </c>
      <c r="J1860" s="13" t="s">
        <v>144</v>
      </c>
      <c r="K1860" s="13" t="s">
        <v>117</v>
      </c>
      <c r="L1860" s="34" t="str">
        <f>VLOOKUP(D1860,Products!$A$2:$F$61,3,FALSE)</f>
        <v>Grocery</v>
      </c>
      <c r="M1860" s="34" t="str">
        <f>VLOOKUP(C1860,Customers!$A$2:$F$301,5,FALSE)</f>
        <v>Retail</v>
      </c>
      <c r="N1860" s="34">
        <f>VLOOKUP(C1860,Customers!$A$2:$F$301,3,FALSE)</f>
        <v>54</v>
      </c>
      <c r="O1860" s="34" t="str">
        <f>VLOOKUP(E1860,Sales_Reps!$A$2:$E$31,3,FALSE)</f>
        <v>West</v>
      </c>
      <c r="P1860" s="13" t="s">
        <v>111</v>
      </c>
      <c r="Q1860" s="34">
        <f t="shared" si="62"/>
        <v>901298.89</v>
      </c>
      <c r="R1860" s="34" t="str">
        <f>VLOOKUP(E1860,Sales_Reps!$A$2:$E$100,3,FALSE)</f>
        <v>West</v>
      </c>
      <c r="S1860" s="34" t="str">
        <f t="shared" si="63"/>
        <v>Grocery</v>
      </c>
      <c r="T1860" s="38">
        <f>VLOOKUP(D1860,Products!$A$2:$F$68,4,FALSE)</f>
        <v>1182</v>
      </c>
    </row>
    <row r="1861" spans="1:20" x14ac:dyDescent="0.35">
      <c r="A1861" s="13" t="s">
        <v>2358</v>
      </c>
      <c r="B1861" s="14">
        <v>45533</v>
      </c>
      <c r="C1861" s="13" t="s">
        <v>457</v>
      </c>
      <c r="D1861" s="13" t="s">
        <v>191</v>
      </c>
      <c r="E1861" s="13" t="s">
        <v>103</v>
      </c>
      <c r="F1861" s="15">
        <v>7</v>
      </c>
      <c r="G1861" s="15">
        <v>5100</v>
      </c>
      <c r="H1861" s="15">
        <v>22.9</v>
      </c>
      <c r="I1861" s="15">
        <v>27524.7</v>
      </c>
      <c r="J1861" s="13" t="s">
        <v>140</v>
      </c>
      <c r="K1861" s="13" t="s">
        <v>88</v>
      </c>
      <c r="L1861" s="34" t="str">
        <f>VLOOKUP(D1861,Products!$A$2:$F$61,3,FALSE)</f>
        <v>Beauty</v>
      </c>
      <c r="M1861" s="34" t="str">
        <f>VLOOKUP(C1861,Customers!$A$2:$F$301,5,FALSE)</f>
        <v>Retail</v>
      </c>
      <c r="N1861" s="34">
        <f>VLOOKUP(C1861,Customers!$A$2:$F$301,3,FALSE)</f>
        <v>29</v>
      </c>
      <c r="O1861" s="34" t="str">
        <f>VLOOKUP(E1861,Sales_Reps!$A$2:$E$31,3,FALSE)</f>
        <v>North</v>
      </c>
      <c r="P1861" s="13" t="s">
        <v>103</v>
      </c>
      <c r="Q1861" s="34">
        <f t="shared" si="62"/>
        <v>1138648.73</v>
      </c>
      <c r="R1861" s="34" t="str">
        <f>VLOOKUP(E1861,Sales_Reps!$A$2:$E$100,3,FALSE)</f>
        <v>North</v>
      </c>
      <c r="S1861" s="34" t="str">
        <f t="shared" si="63"/>
        <v>Beauty</v>
      </c>
      <c r="T1861" s="38">
        <f>VLOOKUP(D1861,Products!$A$2:$F$68,4,FALSE)</f>
        <v>2237</v>
      </c>
    </row>
    <row r="1862" spans="1:20" x14ac:dyDescent="0.35">
      <c r="A1862" s="13" t="s">
        <v>2359</v>
      </c>
      <c r="B1862" s="14">
        <v>45463</v>
      </c>
      <c r="C1862" s="13" t="s">
        <v>487</v>
      </c>
      <c r="D1862" s="13" t="s">
        <v>282</v>
      </c>
      <c r="E1862" s="13" t="s">
        <v>188</v>
      </c>
      <c r="F1862" s="15">
        <v>7</v>
      </c>
      <c r="G1862" s="15">
        <v>300</v>
      </c>
      <c r="H1862" s="15">
        <v>15.3</v>
      </c>
      <c r="I1862" s="15">
        <v>1778.7</v>
      </c>
      <c r="J1862" s="13" t="s">
        <v>87</v>
      </c>
      <c r="K1862" s="13" t="s">
        <v>88</v>
      </c>
      <c r="L1862" s="34" t="str">
        <f>VLOOKUP(D1862,Products!$A$2:$F$61,3,FALSE)</f>
        <v>Electronics</v>
      </c>
      <c r="M1862" s="34" t="str">
        <f>VLOOKUP(C1862,Customers!$A$2:$F$301,5,FALSE)</f>
        <v>Corporate</v>
      </c>
      <c r="N1862" s="34">
        <f>VLOOKUP(C1862,Customers!$A$2:$F$301,3,FALSE)</f>
        <v>29</v>
      </c>
      <c r="O1862" s="34" t="str">
        <f>VLOOKUP(E1862,Sales_Reps!$A$2:$E$31,3,FALSE)</f>
        <v>South</v>
      </c>
      <c r="P1862" s="13" t="s">
        <v>188</v>
      </c>
      <c r="Q1862" s="34">
        <f t="shared" si="62"/>
        <v>1091740.1799999997</v>
      </c>
      <c r="R1862" s="34" t="str">
        <f>VLOOKUP(E1862,Sales_Reps!$A$2:$E$100,3,FALSE)</f>
        <v>South</v>
      </c>
      <c r="S1862" s="34" t="str">
        <f t="shared" si="63"/>
        <v>Electronics</v>
      </c>
      <c r="T1862" s="38">
        <f>VLOOKUP(D1862,Products!$A$2:$F$68,4,FALSE)</f>
        <v>128</v>
      </c>
    </row>
    <row r="1863" spans="1:20" x14ac:dyDescent="0.35">
      <c r="A1863" s="13" t="s">
        <v>2360</v>
      </c>
      <c r="B1863" s="14">
        <v>45428</v>
      </c>
      <c r="C1863" s="13" t="s">
        <v>137</v>
      </c>
      <c r="D1863" s="13" t="s">
        <v>161</v>
      </c>
      <c r="E1863" s="13" t="s">
        <v>132</v>
      </c>
      <c r="F1863" s="15">
        <v>5</v>
      </c>
      <c r="G1863" s="15">
        <v>3450</v>
      </c>
      <c r="H1863" s="15">
        <v>16.8</v>
      </c>
      <c r="I1863" s="15">
        <v>14352</v>
      </c>
      <c r="J1863" s="13" t="s">
        <v>87</v>
      </c>
      <c r="K1863" s="13" t="s">
        <v>99</v>
      </c>
      <c r="L1863" s="34" t="str">
        <f>VLOOKUP(D1863,Products!$A$2:$F$61,3,FALSE)</f>
        <v>Sports</v>
      </c>
      <c r="M1863" s="34" t="str">
        <f>VLOOKUP(C1863,Customers!$A$2:$F$301,5,FALSE)</f>
        <v>SMB</v>
      </c>
      <c r="N1863" s="34">
        <f>VLOOKUP(C1863,Customers!$A$2:$F$301,3,FALSE)</f>
        <v>27</v>
      </c>
      <c r="O1863" s="34" t="str">
        <f>VLOOKUP(E1863,Sales_Reps!$A$2:$E$31,3,FALSE)</f>
        <v>South</v>
      </c>
      <c r="P1863" s="13" t="s">
        <v>132</v>
      </c>
      <c r="Q1863" s="34">
        <f t="shared" si="62"/>
        <v>880345.20000000007</v>
      </c>
      <c r="R1863" s="34" t="str">
        <f>VLOOKUP(E1863,Sales_Reps!$A$2:$E$100,3,FALSE)</f>
        <v>South</v>
      </c>
      <c r="S1863" s="34" t="str">
        <f t="shared" si="63"/>
        <v>Sports</v>
      </c>
      <c r="T1863" s="38">
        <f>VLOOKUP(D1863,Products!$A$2:$F$68,4,FALSE)</f>
        <v>2467</v>
      </c>
    </row>
    <row r="1864" spans="1:20" x14ac:dyDescent="0.35">
      <c r="A1864" s="13" t="s">
        <v>2361</v>
      </c>
      <c r="B1864" s="14">
        <v>45634</v>
      </c>
      <c r="C1864" s="13" t="s">
        <v>686</v>
      </c>
      <c r="D1864" s="13" t="s">
        <v>195</v>
      </c>
      <c r="E1864" s="13" t="s">
        <v>98</v>
      </c>
      <c r="F1864" s="15">
        <v>4</v>
      </c>
      <c r="G1864" s="15">
        <v>2860</v>
      </c>
      <c r="H1864" s="15">
        <v>14.3</v>
      </c>
      <c r="I1864" s="15">
        <v>9804.08</v>
      </c>
      <c r="J1864" s="13" t="s">
        <v>87</v>
      </c>
      <c r="K1864" s="13" t="s">
        <v>112</v>
      </c>
      <c r="L1864" s="34" t="str">
        <f>VLOOKUP(D1864,Products!$A$2:$F$61,3,FALSE)</f>
        <v>Sports</v>
      </c>
      <c r="M1864" s="34" t="str">
        <f>VLOOKUP(C1864,Customers!$A$2:$F$301,5,FALSE)</f>
        <v>Retail</v>
      </c>
      <c r="N1864" s="34">
        <f>VLOOKUP(C1864,Customers!$A$2:$F$301,3,FALSE)</f>
        <v>35</v>
      </c>
      <c r="O1864" s="34" t="str">
        <f>VLOOKUP(E1864,Sales_Reps!$A$2:$E$31,3,FALSE)</f>
        <v>South</v>
      </c>
      <c r="P1864" s="13" t="s">
        <v>98</v>
      </c>
      <c r="Q1864" s="34">
        <f t="shared" si="62"/>
        <v>995713.54000000015</v>
      </c>
      <c r="R1864" s="34" t="str">
        <f>VLOOKUP(E1864,Sales_Reps!$A$2:$E$100,3,FALSE)</f>
        <v>South</v>
      </c>
      <c r="S1864" s="34" t="str">
        <f t="shared" si="63"/>
        <v>Sports</v>
      </c>
      <c r="T1864" s="38">
        <f>VLOOKUP(D1864,Products!$A$2:$F$68,4,FALSE)</f>
        <v>2028</v>
      </c>
    </row>
    <row r="1865" spans="1:20" x14ac:dyDescent="0.35">
      <c r="A1865" s="13" t="s">
        <v>2362</v>
      </c>
      <c r="B1865" s="14">
        <v>45627</v>
      </c>
      <c r="C1865" s="13" t="s">
        <v>528</v>
      </c>
      <c r="D1865" s="13" t="s">
        <v>173</v>
      </c>
      <c r="E1865" s="13" t="s">
        <v>215</v>
      </c>
      <c r="F1865" s="15">
        <v>6</v>
      </c>
      <c r="G1865" s="15">
        <v>2720</v>
      </c>
      <c r="H1865" s="15">
        <v>25.1</v>
      </c>
      <c r="I1865" s="15">
        <v>12223.68</v>
      </c>
      <c r="J1865" s="13" t="s">
        <v>140</v>
      </c>
      <c r="K1865" s="13" t="s">
        <v>112</v>
      </c>
      <c r="L1865" s="34" t="str">
        <f>VLOOKUP(D1865,Products!$A$2:$F$61,3,FALSE)</f>
        <v>Apparel</v>
      </c>
      <c r="M1865" s="34" t="str">
        <f>VLOOKUP(C1865,Customers!$A$2:$F$301,5,FALSE)</f>
        <v>Retail</v>
      </c>
      <c r="N1865" s="34">
        <f>VLOOKUP(C1865,Customers!$A$2:$F$301,3,FALSE)</f>
        <v>44</v>
      </c>
      <c r="O1865" s="34" t="str">
        <f>VLOOKUP(E1865,Sales_Reps!$A$2:$E$31,3,FALSE)</f>
        <v>North</v>
      </c>
      <c r="P1865" s="13" t="s">
        <v>215</v>
      </c>
      <c r="Q1865" s="34">
        <f t="shared" si="62"/>
        <v>789849.60000000009</v>
      </c>
      <c r="R1865" s="34" t="str">
        <f>VLOOKUP(E1865,Sales_Reps!$A$2:$E$100,3,FALSE)</f>
        <v>North</v>
      </c>
      <c r="S1865" s="34" t="str">
        <f t="shared" si="63"/>
        <v>Apparel</v>
      </c>
      <c r="T1865" s="38">
        <f>VLOOKUP(D1865,Products!$A$2:$F$68,4,FALSE)</f>
        <v>1962</v>
      </c>
    </row>
    <row r="1866" spans="1:20" x14ac:dyDescent="0.35">
      <c r="A1866" s="13" t="s">
        <v>2363</v>
      </c>
      <c r="B1866" s="14">
        <v>45429</v>
      </c>
      <c r="C1866" s="13" t="s">
        <v>362</v>
      </c>
      <c r="D1866" s="13" t="s">
        <v>226</v>
      </c>
      <c r="E1866" s="13" t="s">
        <v>128</v>
      </c>
      <c r="F1866" s="15">
        <v>3</v>
      </c>
      <c r="G1866" s="15">
        <v>3730</v>
      </c>
      <c r="H1866" s="15">
        <v>24.8</v>
      </c>
      <c r="I1866" s="15">
        <v>8414.8799999999992</v>
      </c>
      <c r="J1866" s="13" t="s">
        <v>87</v>
      </c>
      <c r="K1866" s="13" t="s">
        <v>94</v>
      </c>
      <c r="L1866" s="34" t="str">
        <f>VLOOKUP(D1866,Products!$A$2:$F$61,3,FALSE)</f>
        <v>Home</v>
      </c>
      <c r="M1866" s="34" t="str">
        <f>VLOOKUP(C1866,Customers!$A$2:$F$301,5,FALSE)</f>
        <v>Corporate</v>
      </c>
      <c r="N1866" s="34">
        <f>VLOOKUP(C1866,Customers!$A$2:$F$301,3,FALSE)</f>
        <v>51</v>
      </c>
      <c r="O1866" s="34" t="str">
        <f>VLOOKUP(E1866,Sales_Reps!$A$2:$E$31,3,FALSE)</f>
        <v>West</v>
      </c>
      <c r="P1866" s="13" t="s">
        <v>128</v>
      </c>
      <c r="Q1866" s="34">
        <f t="shared" si="62"/>
        <v>880468.05</v>
      </c>
      <c r="R1866" s="34" t="str">
        <f>VLOOKUP(E1866,Sales_Reps!$A$2:$E$100,3,FALSE)</f>
        <v>West</v>
      </c>
      <c r="S1866" s="34" t="str">
        <f t="shared" si="63"/>
        <v>Home</v>
      </c>
      <c r="T1866" s="38">
        <f>VLOOKUP(D1866,Products!$A$2:$F$68,4,FALSE)</f>
        <v>2135</v>
      </c>
    </row>
    <row r="1867" spans="1:20" x14ac:dyDescent="0.35">
      <c r="A1867" s="13" t="s">
        <v>2364</v>
      </c>
      <c r="B1867" s="14">
        <v>45648</v>
      </c>
      <c r="C1867" s="13" t="s">
        <v>1350</v>
      </c>
      <c r="D1867" s="13" t="s">
        <v>351</v>
      </c>
      <c r="E1867" s="13" t="s">
        <v>297</v>
      </c>
      <c r="F1867" s="15">
        <v>2</v>
      </c>
      <c r="G1867" s="15">
        <v>4060</v>
      </c>
      <c r="H1867" s="15">
        <v>11.3</v>
      </c>
      <c r="I1867" s="15">
        <v>7202.44</v>
      </c>
      <c r="J1867" s="13" t="s">
        <v>87</v>
      </c>
      <c r="K1867" s="13" t="s">
        <v>112</v>
      </c>
      <c r="L1867" s="34" t="str">
        <f>VLOOKUP(D1867,Products!$A$2:$F$61,3,FALSE)</f>
        <v>Grocery</v>
      </c>
      <c r="M1867" s="34" t="str">
        <f>VLOOKUP(C1867,Customers!$A$2:$F$301,5,FALSE)</f>
        <v>Retail</v>
      </c>
      <c r="N1867" s="34">
        <f>VLOOKUP(C1867,Customers!$A$2:$F$301,3,FALSE)</f>
        <v>38</v>
      </c>
      <c r="O1867" s="34" t="str">
        <f>VLOOKUP(E1867,Sales_Reps!$A$2:$E$31,3,FALSE)</f>
        <v>North</v>
      </c>
      <c r="P1867" s="13" t="s">
        <v>297</v>
      </c>
      <c r="Q1867" s="34">
        <f t="shared" si="62"/>
        <v>980063.65999999968</v>
      </c>
      <c r="R1867" s="34" t="str">
        <f>VLOOKUP(E1867,Sales_Reps!$A$2:$E$100,3,FALSE)</f>
        <v>North</v>
      </c>
      <c r="S1867" s="34" t="str">
        <f t="shared" si="63"/>
        <v>Grocery</v>
      </c>
      <c r="T1867" s="38">
        <f>VLOOKUP(D1867,Products!$A$2:$F$68,4,FALSE)</f>
        <v>2911</v>
      </c>
    </row>
    <row r="1868" spans="1:20" x14ac:dyDescent="0.35">
      <c r="A1868" s="13" t="s">
        <v>2365</v>
      </c>
      <c r="B1868" s="14">
        <v>45295</v>
      </c>
      <c r="C1868" s="13" t="s">
        <v>921</v>
      </c>
      <c r="D1868" s="13" t="s">
        <v>386</v>
      </c>
      <c r="E1868" s="13" t="s">
        <v>303</v>
      </c>
      <c r="F1868" s="15">
        <v>6</v>
      </c>
      <c r="G1868" s="15">
        <v>2290</v>
      </c>
      <c r="H1868" s="15">
        <v>26.8</v>
      </c>
      <c r="I1868" s="15">
        <v>10057.68</v>
      </c>
      <c r="J1868" s="13" t="s">
        <v>144</v>
      </c>
      <c r="K1868" s="13" t="s">
        <v>117</v>
      </c>
      <c r="L1868" s="34" t="str">
        <f>VLOOKUP(D1868,Products!$A$2:$F$61,3,FALSE)</f>
        <v>Beauty</v>
      </c>
      <c r="M1868" s="34" t="str">
        <f>VLOOKUP(C1868,Customers!$A$2:$F$301,5,FALSE)</f>
        <v>Retail</v>
      </c>
      <c r="N1868" s="34">
        <f>VLOOKUP(C1868,Customers!$A$2:$F$301,3,FALSE)</f>
        <v>28</v>
      </c>
      <c r="O1868" s="34" t="str">
        <f>VLOOKUP(E1868,Sales_Reps!$A$2:$E$31,3,FALSE)</f>
        <v>East</v>
      </c>
      <c r="P1868" s="13" t="s">
        <v>303</v>
      </c>
      <c r="Q1868" s="34">
        <f t="shared" si="62"/>
        <v>1112289.6400000001</v>
      </c>
      <c r="R1868" s="34" t="str">
        <f>VLOOKUP(E1868,Sales_Reps!$A$2:$E$100,3,FALSE)</f>
        <v>East</v>
      </c>
      <c r="S1868" s="34" t="str">
        <f t="shared" si="63"/>
        <v>Beauty</v>
      </c>
      <c r="T1868" s="38">
        <f>VLOOKUP(D1868,Products!$A$2:$F$68,4,FALSE)</f>
        <v>1219</v>
      </c>
    </row>
    <row r="1869" spans="1:20" x14ac:dyDescent="0.35">
      <c r="A1869" s="13" t="s">
        <v>2366</v>
      </c>
      <c r="B1869" s="14">
        <v>45418</v>
      </c>
      <c r="C1869" s="13" t="s">
        <v>353</v>
      </c>
      <c r="D1869" s="13" t="s">
        <v>515</v>
      </c>
      <c r="E1869" s="13" t="s">
        <v>252</v>
      </c>
      <c r="F1869" s="15">
        <v>1</v>
      </c>
      <c r="G1869" s="15">
        <v>6940</v>
      </c>
      <c r="H1869" s="15">
        <v>15.7</v>
      </c>
      <c r="I1869" s="15">
        <v>5850.42</v>
      </c>
      <c r="J1869" s="13" t="s">
        <v>87</v>
      </c>
      <c r="K1869" s="13" t="s">
        <v>94</v>
      </c>
      <c r="L1869" s="34" t="str">
        <f>VLOOKUP(D1869,Products!$A$2:$F$61,3,FALSE)</f>
        <v>Sports</v>
      </c>
      <c r="M1869" s="34" t="str">
        <f>VLOOKUP(C1869,Customers!$A$2:$F$301,5,FALSE)</f>
        <v>Retail</v>
      </c>
      <c r="N1869" s="34">
        <f>VLOOKUP(C1869,Customers!$A$2:$F$301,3,FALSE)</f>
        <v>60</v>
      </c>
      <c r="O1869" s="34" t="str">
        <f>VLOOKUP(E1869,Sales_Reps!$A$2:$E$31,3,FALSE)</f>
        <v>South</v>
      </c>
      <c r="P1869" s="13" t="s">
        <v>252</v>
      </c>
      <c r="Q1869" s="34">
        <f t="shared" si="62"/>
        <v>811524.37999999989</v>
      </c>
      <c r="R1869" s="34" t="str">
        <f>VLOOKUP(E1869,Sales_Reps!$A$2:$E$100,3,FALSE)</f>
        <v>South</v>
      </c>
      <c r="S1869" s="34" t="str">
        <f t="shared" si="63"/>
        <v>Sports</v>
      </c>
      <c r="T1869" s="38">
        <f>VLOOKUP(D1869,Products!$A$2:$F$68,4,FALSE)</f>
        <v>2827</v>
      </c>
    </row>
    <row r="1870" spans="1:20" x14ac:dyDescent="0.35">
      <c r="A1870" s="13" t="s">
        <v>2367</v>
      </c>
      <c r="B1870" s="14">
        <v>45623</v>
      </c>
      <c r="C1870" s="13" t="s">
        <v>411</v>
      </c>
      <c r="D1870" s="13" t="s">
        <v>226</v>
      </c>
      <c r="E1870" s="13" t="s">
        <v>204</v>
      </c>
      <c r="F1870" s="15">
        <v>3</v>
      </c>
      <c r="G1870" s="15">
        <v>3730</v>
      </c>
      <c r="H1870" s="15">
        <v>18.100000000000001</v>
      </c>
      <c r="I1870" s="15">
        <v>9164.61</v>
      </c>
      <c r="J1870" s="13" t="s">
        <v>87</v>
      </c>
      <c r="K1870" s="13" t="s">
        <v>112</v>
      </c>
      <c r="L1870" s="34" t="str">
        <f>VLOOKUP(D1870,Products!$A$2:$F$61,3,FALSE)</f>
        <v>Home</v>
      </c>
      <c r="M1870" s="34" t="str">
        <f>VLOOKUP(C1870,Customers!$A$2:$F$301,5,FALSE)</f>
        <v>Retail</v>
      </c>
      <c r="N1870" s="34">
        <f>VLOOKUP(C1870,Customers!$A$2:$F$301,3,FALSE)</f>
        <v>61</v>
      </c>
      <c r="O1870" s="34" t="str">
        <f>VLOOKUP(E1870,Sales_Reps!$A$2:$E$31,3,FALSE)</f>
        <v>South</v>
      </c>
      <c r="P1870" s="13" t="s">
        <v>204</v>
      </c>
      <c r="Q1870" s="34">
        <f t="shared" si="62"/>
        <v>914554.71999999986</v>
      </c>
      <c r="R1870" s="34" t="str">
        <f>VLOOKUP(E1870,Sales_Reps!$A$2:$E$100,3,FALSE)</f>
        <v>South</v>
      </c>
      <c r="S1870" s="34" t="str">
        <f t="shared" si="63"/>
        <v>Home</v>
      </c>
      <c r="T1870" s="38">
        <f>VLOOKUP(D1870,Products!$A$2:$F$68,4,FALSE)</f>
        <v>2135</v>
      </c>
    </row>
    <row r="1871" spans="1:20" x14ac:dyDescent="0.35">
      <c r="A1871" s="13" t="s">
        <v>2368</v>
      </c>
      <c r="B1871" s="14">
        <v>45528</v>
      </c>
      <c r="C1871" s="13" t="s">
        <v>342</v>
      </c>
      <c r="D1871" s="13" t="s">
        <v>226</v>
      </c>
      <c r="E1871" s="13" t="s">
        <v>297</v>
      </c>
      <c r="F1871" s="15">
        <v>8</v>
      </c>
      <c r="G1871" s="15">
        <v>3730</v>
      </c>
      <c r="H1871" s="15">
        <v>12.5</v>
      </c>
      <c r="I1871" s="15">
        <v>26110</v>
      </c>
      <c r="J1871" s="13" t="s">
        <v>87</v>
      </c>
      <c r="K1871" s="13" t="s">
        <v>94</v>
      </c>
      <c r="L1871" s="34" t="str">
        <f>VLOOKUP(D1871,Products!$A$2:$F$61,3,FALSE)</f>
        <v>Home</v>
      </c>
      <c r="M1871" s="34" t="str">
        <f>VLOOKUP(C1871,Customers!$A$2:$F$301,5,FALSE)</f>
        <v>Retail</v>
      </c>
      <c r="N1871" s="34">
        <f>VLOOKUP(C1871,Customers!$A$2:$F$301,3,FALSE)</f>
        <v>26</v>
      </c>
      <c r="O1871" s="34" t="str">
        <f>VLOOKUP(E1871,Sales_Reps!$A$2:$E$31,3,FALSE)</f>
        <v>North</v>
      </c>
      <c r="P1871" s="13" t="s">
        <v>297</v>
      </c>
      <c r="Q1871" s="34">
        <f t="shared" si="62"/>
        <v>980063.65999999968</v>
      </c>
      <c r="R1871" s="34" t="str">
        <f>VLOOKUP(E1871,Sales_Reps!$A$2:$E$100,3,FALSE)</f>
        <v>North</v>
      </c>
      <c r="S1871" s="34" t="str">
        <f t="shared" si="63"/>
        <v>Home</v>
      </c>
      <c r="T1871" s="38">
        <f>VLOOKUP(D1871,Products!$A$2:$F$68,4,FALSE)</f>
        <v>2135</v>
      </c>
    </row>
    <row r="1872" spans="1:20" x14ac:dyDescent="0.35">
      <c r="A1872" s="13" t="s">
        <v>2369</v>
      </c>
      <c r="B1872" s="14">
        <v>45644</v>
      </c>
      <c r="C1872" s="13" t="s">
        <v>1816</v>
      </c>
      <c r="D1872" s="13" t="s">
        <v>367</v>
      </c>
      <c r="E1872" s="13" t="s">
        <v>188</v>
      </c>
      <c r="F1872" s="15">
        <v>9</v>
      </c>
      <c r="G1872" s="15">
        <v>2380</v>
      </c>
      <c r="H1872" s="15">
        <v>8.1</v>
      </c>
      <c r="I1872" s="15">
        <v>19684.98</v>
      </c>
      <c r="J1872" s="13" t="s">
        <v>140</v>
      </c>
      <c r="K1872" s="13" t="s">
        <v>99</v>
      </c>
      <c r="L1872" s="34" t="str">
        <f>VLOOKUP(D1872,Products!$A$2:$F$61,3,FALSE)</f>
        <v>Grocery</v>
      </c>
      <c r="M1872" s="34" t="str">
        <f>VLOOKUP(C1872,Customers!$A$2:$F$301,5,FALSE)</f>
        <v>Retail</v>
      </c>
      <c r="N1872" s="34">
        <f>VLOOKUP(C1872,Customers!$A$2:$F$301,3,FALSE)</f>
        <v>62</v>
      </c>
      <c r="O1872" s="34" t="str">
        <f>VLOOKUP(E1872,Sales_Reps!$A$2:$E$31,3,FALSE)</f>
        <v>South</v>
      </c>
      <c r="P1872" s="13" t="s">
        <v>188</v>
      </c>
      <c r="Q1872" s="34">
        <f t="shared" si="62"/>
        <v>1091740.1799999997</v>
      </c>
      <c r="R1872" s="34" t="str">
        <f>VLOOKUP(E1872,Sales_Reps!$A$2:$E$100,3,FALSE)</f>
        <v>South</v>
      </c>
      <c r="S1872" s="34" t="str">
        <f t="shared" si="63"/>
        <v>Grocery</v>
      </c>
      <c r="T1872" s="38">
        <f>VLOOKUP(D1872,Products!$A$2:$F$68,4,FALSE)</f>
        <v>1182</v>
      </c>
    </row>
    <row r="1873" spans="1:20" x14ac:dyDescent="0.35">
      <c r="A1873" s="13" t="s">
        <v>2370</v>
      </c>
      <c r="B1873" s="14">
        <v>45475</v>
      </c>
      <c r="C1873" s="13" t="s">
        <v>1217</v>
      </c>
      <c r="D1873" s="13" t="s">
        <v>164</v>
      </c>
      <c r="E1873" s="13" t="s">
        <v>297</v>
      </c>
      <c r="F1873" s="15">
        <v>6</v>
      </c>
      <c r="G1873" s="15">
        <v>1080</v>
      </c>
      <c r="H1873" s="15">
        <v>8.8000000000000007</v>
      </c>
      <c r="I1873" s="15">
        <v>5909.76</v>
      </c>
      <c r="J1873" s="13" t="s">
        <v>87</v>
      </c>
      <c r="K1873" s="13" t="s">
        <v>112</v>
      </c>
      <c r="L1873" s="34" t="str">
        <f>VLOOKUP(D1873,Products!$A$2:$F$61,3,FALSE)</f>
        <v>Home</v>
      </c>
      <c r="M1873" s="34" t="str">
        <f>VLOOKUP(C1873,Customers!$A$2:$F$301,5,FALSE)</f>
        <v>Retail</v>
      </c>
      <c r="N1873" s="34">
        <f>VLOOKUP(C1873,Customers!$A$2:$F$301,3,FALSE)</f>
        <v>44</v>
      </c>
      <c r="O1873" s="34" t="str">
        <f>VLOOKUP(E1873,Sales_Reps!$A$2:$E$31,3,FALSE)</f>
        <v>North</v>
      </c>
      <c r="P1873" s="13" t="s">
        <v>297</v>
      </c>
      <c r="Q1873" s="34">
        <f t="shared" si="62"/>
        <v>980063.65999999968</v>
      </c>
      <c r="R1873" s="34" t="str">
        <f>VLOOKUP(E1873,Sales_Reps!$A$2:$E$100,3,FALSE)</f>
        <v>North</v>
      </c>
      <c r="S1873" s="34" t="str">
        <f t="shared" si="63"/>
        <v>Home</v>
      </c>
      <c r="T1873" s="38">
        <f>VLOOKUP(D1873,Products!$A$2:$F$68,4,FALSE)</f>
        <v>519</v>
      </c>
    </row>
    <row r="1874" spans="1:20" x14ac:dyDescent="0.35">
      <c r="A1874" s="13" t="s">
        <v>2211</v>
      </c>
      <c r="B1874" s="14">
        <v>45401</v>
      </c>
      <c r="C1874" s="13" t="s">
        <v>592</v>
      </c>
      <c r="D1874" s="13" t="s">
        <v>97</v>
      </c>
      <c r="E1874" s="13" t="s">
        <v>252</v>
      </c>
      <c r="F1874" s="15">
        <v>5</v>
      </c>
      <c r="G1874" s="15">
        <v>470</v>
      </c>
      <c r="H1874" s="15">
        <v>1.3</v>
      </c>
      <c r="I1874" s="15">
        <v>2319.4499999999998</v>
      </c>
      <c r="J1874" s="13" t="s">
        <v>87</v>
      </c>
      <c r="K1874" s="13" t="s">
        <v>133</v>
      </c>
      <c r="L1874" s="34" t="str">
        <f>VLOOKUP(D1874,Products!$A$2:$F$61,3,FALSE)</f>
        <v>Sports</v>
      </c>
      <c r="M1874" s="34" t="str">
        <f>VLOOKUP(C1874,Customers!$A$2:$F$301,5,FALSE)</f>
        <v>Retail</v>
      </c>
      <c r="N1874" s="34">
        <f>VLOOKUP(C1874,Customers!$A$2:$F$301,3,FALSE)</f>
        <v>22</v>
      </c>
      <c r="O1874" s="34" t="str">
        <f>VLOOKUP(E1874,Sales_Reps!$A$2:$E$31,3,FALSE)</f>
        <v>South</v>
      </c>
      <c r="P1874" s="13" t="s">
        <v>252</v>
      </c>
      <c r="Q1874" s="34">
        <f t="shared" si="62"/>
        <v>811524.37999999989</v>
      </c>
      <c r="R1874" s="34" t="str">
        <f>VLOOKUP(E1874,Sales_Reps!$A$2:$E$100,3,FALSE)</f>
        <v>South</v>
      </c>
      <c r="S1874" s="34" t="str">
        <f t="shared" si="63"/>
        <v>Sports</v>
      </c>
      <c r="T1874" s="38">
        <f>VLOOKUP(D1874,Products!$A$2:$F$68,4,FALSE)</f>
        <v>302</v>
      </c>
    </row>
    <row r="1875" spans="1:20" x14ac:dyDescent="0.35">
      <c r="A1875" s="13" t="s">
        <v>2371</v>
      </c>
      <c r="B1875" s="14">
        <v>45516</v>
      </c>
      <c r="C1875" s="13" t="s">
        <v>945</v>
      </c>
      <c r="D1875" s="13" t="s">
        <v>110</v>
      </c>
      <c r="E1875" s="13" t="s">
        <v>201</v>
      </c>
      <c r="F1875" s="15">
        <v>4</v>
      </c>
      <c r="G1875" s="15">
        <v>370</v>
      </c>
      <c r="H1875" s="15">
        <v>13.1</v>
      </c>
      <c r="I1875" s="15">
        <v>1286.1199999999999</v>
      </c>
      <c r="J1875" s="13" t="s">
        <v>87</v>
      </c>
      <c r="K1875" s="13" t="s">
        <v>88</v>
      </c>
      <c r="L1875" s="34" t="str">
        <f>VLOOKUP(D1875,Products!$A$2:$F$61,3,FALSE)</f>
        <v>Home</v>
      </c>
      <c r="M1875" s="34" t="str">
        <f>VLOOKUP(C1875,Customers!$A$2:$F$301,5,FALSE)</f>
        <v>Retail</v>
      </c>
      <c r="N1875" s="34">
        <f>VLOOKUP(C1875,Customers!$A$2:$F$301,3,FALSE)</f>
        <v>54</v>
      </c>
      <c r="O1875" s="34" t="str">
        <f>VLOOKUP(E1875,Sales_Reps!$A$2:$E$31,3,FALSE)</f>
        <v>West</v>
      </c>
      <c r="P1875" s="13" t="s">
        <v>201</v>
      </c>
      <c r="Q1875" s="34">
        <f t="shared" si="62"/>
        <v>576305.08000000019</v>
      </c>
      <c r="R1875" s="34" t="str">
        <f>VLOOKUP(E1875,Sales_Reps!$A$2:$E$100,3,FALSE)</f>
        <v>West</v>
      </c>
      <c r="S1875" s="34" t="str">
        <f t="shared" si="63"/>
        <v>Home</v>
      </c>
      <c r="T1875" s="38">
        <f>VLOOKUP(D1875,Products!$A$2:$F$68,4,FALSE)</f>
        <v>288</v>
      </c>
    </row>
    <row r="1876" spans="1:20" x14ac:dyDescent="0.35">
      <c r="A1876" s="13" t="s">
        <v>2372</v>
      </c>
      <c r="B1876" s="14">
        <v>45517</v>
      </c>
      <c r="C1876" s="13" t="s">
        <v>617</v>
      </c>
      <c r="D1876" s="13" t="s">
        <v>106</v>
      </c>
      <c r="E1876" s="13" t="s">
        <v>86</v>
      </c>
      <c r="F1876" s="15">
        <v>7</v>
      </c>
      <c r="G1876" s="15">
        <v>3160</v>
      </c>
      <c r="H1876" s="15">
        <v>12.3</v>
      </c>
      <c r="I1876" s="15">
        <v>19399.240000000002</v>
      </c>
      <c r="J1876" s="13" t="s">
        <v>87</v>
      </c>
      <c r="K1876" s="13" t="s">
        <v>112</v>
      </c>
      <c r="L1876" s="34" t="str">
        <f>VLOOKUP(D1876,Products!$A$2:$F$61,3,FALSE)</f>
        <v>Apparel</v>
      </c>
      <c r="M1876" s="34" t="str">
        <f>VLOOKUP(C1876,Customers!$A$2:$F$301,5,FALSE)</f>
        <v>SMB</v>
      </c>
      <c r="N1876" s="34">
        <f>VLOOKUP(C1876,Customers!$A$2:$F$301,3,FALSE)</f>
        <v>65</v>
      </c>
      <c r="O1876" s="34" t="str">
        <f>VLOOKUP(E1876,Sales_Reps!$A$2:$E$31,3,FALSE)</f>
        <v>North</v>
      </c>
      <c r="P1876" s="13" t="s">
        <v>86</v>
      </c>
      <c r="Q1876" s="34">
        <f t="shared" si="62"/>
        <v>855749.67999999982</v>
      </c>
      <c r="R1876" s="34" t="str">
        <f>VLOOKUP(E1876,Sales_Reps!$A$2:$E$100,3,FALSE)</f>
        <v>North</v>
      </c>
      <c r="S1876" s="34" t="str">
        <f t="shared" si="63"/>
        <v>Apparel</v>
      </c>
      <c r="T1876" s="38">
        <f>VLOOKUP(D1876,Products!$A$2:$F$68,4,FALSE)</f>
        <v>1886</v>
      </c>
    </row>
    <row r="1877" spans="1:20" x14ac:dyDescent="0.35">
      <c r="A1877" s="13" t="s">
        <v>2373</v>
      </c>
      <c r="B1877" s="14">
        <v>45645</v>
      </c>
      <c r="C1877" s="13" t="s">
        <v>403</v>
      </c>
      <c r="D1877" s="13" t="s">
        <v>659</v>
      </c>
      <c r="E1877" s="13" t="s">
        <v>116</v>
      </c>
      <c r="F1877" s="15">
        <v>5</v>
      </c>
      <c r="G1877" s="15">
        <v>3560</v>
      </c>
      <c r="H1877" s="15">
        <v>24</v>
      </c>
      <c r="I1877" s="15">
        <v>13528</v>
      </c>
      <c r="J1877" s="13" t="s">
        <v>87</v>
      </c>
      <c r="K1877" s="13" t="s">
        <v>117</v>
      </c>
      <c r="L1877" s="34" t="str">
        <f>VLOOKUP(D1877,Products!$A$2:$F$61,3,FALSE)</f>
        <v>Apparel</v>
      </c>
      <c r="M1877" s="34" t="str">
        <f>VLOOKUP(C1877,Customers!$A$2:$F$301,5,FALSE)</f>
        <v>Retail</v>
      </c>
      <c r="N1877" s="34">
        <f>VLOOKUP(C1877,Customers!$A$2:$F$301,3,FALSE)</f>
        <v>59</v>
      </c>
      <c r="O1877" s="34" t="str">
        <f>VLOOKUP(E1877,Sales_Reps!$A$2:$E$31,3,FALSE)</f>
        <v>West</v>
      </c>
      <c r="P1877" s="13" t="s">
        <v>116</v>
      </c>
      <c r="Q1877" s="34">
        <f t="shared" si="62"/>
        <v>819558.58</v>
      </c>
      <c r="R1877" s="34" t="str">
        <f>VLOOKUP(E1877,Sales_Reps!$A$2:$E$100,3,FALSE)</f>
        <v>West</v>
      </c>
      <c r="S1877" s="34" t="str">
        <f t="shared" si="63"/>
        <v>Apparel</v>
      </c>
      <c r="T1877" s="38">
        <f>VLOOKUP(D1877,Products!$A$2:$F$68,4,FALSE)</f>
        <v>2629</v>
      </c>
    </row>
    <row r="1878" spans="1:20" x14ac:dyDescent="0.35">
      <c r="A1878" s="13" t="s">
        <v>2374</v>
      </c>
      <c r="B1878" s="14">
        <v>45417</v>
      </c>
      <c r="C1878" s="13" t="s">
        <v>422</v>
      </c>
      <c r="D1878" s="13" t="s">
        <v>295</v>
      </c>
      <c r="E1878" s="13" t="s">
        <v>158</v>
      </c>
      <c r="F1878" s="15">
        <v>6</v>
      </c>
      <c r="G1878" s="15">
        <v>2030</v>
      </c>
      <c r="H1878" s="15">
        <v>20.5</v>
      </c>
      <c r="I1878" s="15">
        <v>9683.1</v>
      </c>
      <c r="J1878" s="13" t="s">
        <v>87</v>
      </c>
      <c r="K1878" s="13" t="s">
        <v>94</v>
      </c>
      <c r="L1878" s="34" t="str">
        <f>VLOOKUP(D1878,Products!$A$2:$F$61,3,FALSE)</f>
        <v>Home</v>
      </c>
      <c r="M1878" s="34" t="str">
        <f>VLOOKUP(C1878,Customers!$A$2:$F$301,5,FALSE)</f>
        <v>SMB</v>
      </c>
      <c r="N1878" s="34">
        <f>VLOOKUP(C1878,Customers!$A$2:$F$301,3,FALSE)</f>
        <v>64</v>
      </c>
      <c r="O1878" s="34" t="str">
        <f>VLOOKUP(E1878,Sales_Reps!$A$2:$E$31,3,FALSE)</f>
        <v>East</v>
      </c>
      <c r="P1878" s="13" t="s">
        <v>158</v>
      </c>
      <c r="Q1878" s="34">
        <f t="shared" si="62"/>
        <v>761507.17000000027</v>
      </c>
      <c r="R1878" s="34" t="str">
        <f>VLOOKUP(E1878,Sales_Reps!$A$2:$E$100,3,FALSE)</f>
        <v>East</v>
      </c>
      <c r="S1878" s="34" t="str">
        <f t="shared" si="63"/>
        <v>Home</v>
      </c>
      <c r="T1878" s="38">
        <f>VLOOKUP(D1878,Products!$A$2:$F$68,4,FALSE)</f>
        <v>1143</v>
      </c>
    </row>
    <row r="1879" spans="1:20" x14ac:dyDescent="0.35">
      <c r="A1879" s="13" t="s">
        <v>2375</v>
      </c>
      <c r="B1879" s="14">
        <v>45351</v>
      </c>
      <c r="C1879" s="13" t="s">
        <v>472</v>
      </c>
      <c r="D1879" s="13" t="s">
        <v>135</v>
      </c>
      <c r="E1879" s="13" t="s">
        <v>303</v>
      </c>
      <c r="F1879" s="15">
        <v>5</v>
      </c>
      <c r="G1879" s="15">
        <v>2640</v>
      </c>
      <c r="H1879" s="15">
        <v>21.3</v>
      </c>
      <c r="I1879" s="15">
        <v>10388.4</v>
      </c>
      <c r="J1879" s="13" t="s">
        <v>93</v>
      </c>
      <c r="K1879" s="13" t="s">
        <v>94</v>
      </c>
      <c r="L1879" s="34" t="str">
        <f>VLOOKUP(D1879,Products!$A$2:$F$61,3,FALSE)</f>
        <v>Electronics</v>
      </c>
      <c r="M1879" s="34" t="str">
        <f>VLOOKUP(C1879,Customers!$A$2:$F$301,5,FALSE)</f>
        <v>Corporate</v>
      </c>
      <c r="N1879" s="34">
        <f>VLOOKUP(C1879,Customers!$A$2:$F$301,3,FALSE)</f>
        <v>35</v>
      </c>
      <c r="O1879" s="34" t="str">
        <f>VLOOKUP(E1879,Sales_Reps!$A$2:$E$31,3,FALSE)</f>
        <v>East</v>
      </c>
      <c r="P1879" s="13" t="s">
        <v>303</v>
      </c>
      <c r="Q1879" s="34">
        <f t="shared" si="62"/>
        <v>1112289.6400000001</v>
      </c>
      <c r="R1879" s="34" t="str">
        <f>VLOOKUP(E1879,Sales_Reps!$A$2:$E$100,3,FALSE)</f>
        <v>East</v>
      </c>
      <c r="S1879" s="34" t="str">
        <f t="shared" si="63"/>
        <v>Electronics</v>
      </c>
      <c r="T1879" s="38">
        <f>VLOOKUP(D1879,Products!$A$2:$F$68,4,FALSE)</f>
        <v>1149</v>
      </c>
    </row>
    <row r="1880" spans="1:20" x14ac:dyDescent="0.35">
      <c r="A1880" s="13" t="s">
        <v>2376</v>
      </c>
      <c r="B1880" s="14">
        <v>45629</v>
      </c>
      <c r="C1880" s="13" t="s">
        <v>225</v>
      </c>
      <c r="D1880" s="13" t="s">
        <v>245</v>
      </c>
      <c r="E1880" s="13" t="s">
        <v>297</v>
      </c>
      <c r="F1880" s="15">
        <v>4</v>
      </c>
      <c r="G1880" s="15">
        <v>2270</v>
      </c>
      <c r="H1880" s="15">
        <v>15.8</v>
      </c>
      <c r="I1880" s="15">
        <v>7645.36</v>
      </c>
      <c r="J1880" s="13" t="s">
        <v>87</v>
      </c>
      <c r="K1880" s="13" t="s">
        <v>94</v>
      </c>
      <c r="L1880" s="34" t="str">
        <f>VLOOKUP(D1880,Products!$A$2:$F$61,3,FALSE)</f>
        <v>Grocery</v>
      </c>
      <c r="M1880" s="34" t="str">
        <f>VLOOKUP(C1880,Customers!$A$2:$F$301,5,FALSE)</f>
        <v>Retail</v>
      </c>
      <c r="N1880" s="34">
        <f>VLOOKUP(C1880,Customers!$A$2:$F$301,3,FALSE)</f>
        <v>37</v>
      </c>
      <c r="O1880" s="34" t="str">
        <f>VLOOKUP(E1880,Sales_Reps!$A$2:$E$31,3,FALSE)</f>
        <v>North</v>
      </c>
      <c r="P1880" s="13" t="s">
        <v>297</v>
      </c>
      <c r="Q1880" s="34">
        <f t="shared" si="62"/>
        <v>980063.65999999968</v>
      </c>
      <c r="R1880" s="34" t="str">
        <f>VLOOKUP(E1880,Sales_Reps!$A$2:$E$100,3,FALSE)</f>
        <v>North</v>
      </c>
      <c r="S1880" s="34" t="str">
        <f t="shared" si="63"/>
        <v>Grocery</v>
      </c>
      <c r="T1880" s="38">
        <f>VLOOKUP(D1880,Products!$A$2:$F$68,4,FALSE)</f>
        <v>1412</v>
      </c>
    </row>
    <row r="1881" spans="1:20" x14ac:dyDescent="0.35">
      <c r="A1881" s="13" t="s">
        <v>2377</v>
      </c>
      <c r="B1881" s="14">
        <v>45588</v>
      </c>
      <c r="C1881" s="13" t="s">
        <v>528</v>
      </c>
      <c r="D1881" s="13" t="s">
        <v>110</v>
      </c>
      <c r="E1881" s="13" t="s">
        <v>297</v>
      </c>
      <c r="F1881" s="15">
        <v>1</v>
      </c>
      <c r="G1881" s="15">
        <v>370</v>
      </c>
      <c r="H1881" s="15">
        <v>27</v>
      </c>
      <c r="I1881" s="15">
        <v>270.10000000000002</v>
      </c>
      <c r="J1881" s="13" t="s">
        <v>93</v>
      </c>
      <c r="K1881" s="13" t="s">
        <v>112</v>
      </c>
      <c r="L1881" s="34" t="str">
        <f>VLOOKUP(D1881,Products!$A$2:$F$61,3,FALSE)</f>
        <v>Home</v>
      </c>
      <c r="M1881" s="34" t="str">
        <f>VLOOKUP(C1881,Customers!$A$2:$F$301,5,FALSE)</f>
        <v>Retail</v>
      </c>
      <c r="N1881" s="34">
        <f>VLOOKUP(C1881,Customers!$A$2:$F$301,3,FALSE)</f>
        <v>44</v>
      </c>
      <c r="O1881" s="34" t="str">
        <f>VLOOKUP(E1881,Sales_Reps!$A$2:$E$31,3,FALSE)</f>
        <v>North</v>
      </c>
      <c r="P1881" s="13" t="s">
        <v>297</v>
      </c>
      <c r="Q1881" s="34">
        <f t="shared" si="62"/>
        <v>980063.65999999968</v>
      </c>
      <c r="R1881" s="34" t="str">
        <f>VLOOKUP(E1881,Sales_Reps!$A$2:$E$100,3,FALSE)</f>
        <v>North</v>
      </c>
      <c r="S1881" s="34" t="str">
        <f t="shared" si="63"/>
        <v>Home</v>
      </c>
      <c r="T1881" s="38">
        <f>VLOOKUP(D1881,Products!$A$2:$F$68,4,FALSE)</f>
        <v>288</v>
      </c>
    </row>
    <row r="1882" spans="1:20" x14ac:dyDescent="0.35">
      <c r="A1882" s="13" t="s">
        <v>2378</v>
      </c>
      <c r="B1882" s="14">
        <v>45366</v>
      </c>
      <c r="C1882" s="13" t="s">
        <v>272</v>
      </c>
      <c r="D1882" s="13" t="s">
        <v>191</v>
      </c>
      <c r="E1882" s="13" t="s">
        <v>238</v>
      </c>
      <c r="F1882" s="15">
        <v>9</v>
      </c>
      <c r="G1882" s="15">
        <v>5100</v>
      </c>
      <c r="H1882" s="15">
        <v>2.4</v>
      </c>
      <c r="I1882" s="15">
        <v>44798.400000000001</v>
      </c>
      <c r="J1882" s="13" t="s">
        <v>87</v>
      </c>
      <c r="K1882" s="13" t="s">
        <v>94</v>
      </c>
      <c r="L1882" s="34" t="str">
        <f>VLOOKUP(D1882,Products!$A$2:$F$61,3,FALSE)</f>
        <v>Beauty</v>
      </c>
      <c r="M1882" s="34" t="str">
        <f>VLOOKUP(C1882,Customers!$A$2:$F$301,5,FALSE)</f>
        <v>SMB</v>
      </c>
      <c r="N1882" s="34">
        <f>VLOOKUP(C1882,Customers!$A$2:$F$301,3,FALSE)</f>
        <v>55</v>
      </c>
      <c r="O1882" s="34" t="str">
        <f>VLOOKUP(E1882,Sales_Reps!$A$2:$E$31,3,FALSE)</f>
        <v>East</v>
      </c>
      <c r="P1882" s="13" t="s">
        <v>238</v>
      </c>
      <c r="Q1882" s="34">
        <f t="shared" si="62"/>
        <v>780384.40999999992</v>
      </c>
      <c r="R1882" s="34" t="str">
        <f>VLOOKUP(E1882,Sales_Reps!$A$2:$E$100,3,FALSE)</f>
        <v>East</v>
      </c>
      <c r="S1882" s="34" t="str">
        <f t="shared" si="63"/>
        <v>Beauty</v>
      </c>
      <c r="T1882" s="38">
        <f>VLOOKUP(D1882,Products!$A$2:$F$68,4,FALSE)</f>
        <v>2237</v>
      </c>
    </row>
    <row r="1883" spans="1:20" x14ac:dyDescent="0.35">
      <c r="A1883" s="13" t="s">
        <v>2379</v>
      </c>
      <c r="B1883" s="14">
        <v>45322</v>
      </c>
      <c r="C1883" s="13" t="s">
        <v>592</v>
      </c>
      <c r="D1883" s="13" t="s">
        <v>110</v>
      </c>
      <c r="E1883" s="13" t="s">
        <v>154</v>
      </c>
      <c r="F1883" s="15">
        <v>6</v>
      </c>
      <c r="G1883" s="15">
        <v>370</v>
      </c>
      <c r="H1883" s="15">
        <v>18.7</v>
      </c>
      <c r="I1883" s="15">
        <v>1804.86</v>
      </c>
      <c r="J1883" s="13" t="s">
        <v>140</v>
      </c>
      <c r="K1883" s="13" t="s">
        <v>133</v>
      </c>
      <c r="L1883" s="34" t="str">
        <f>VLOOKUP(D1883,Products!$A$2:$F$61,3,FALSE)</f>
        <v>Home</v>
      </c>
      <c r="M1883" s="34" t="str">
        <f>VLOOKUP(C1883,Customers!$A$2:$F$301,5,FALSE)</f>
        <v>Retail</v>
      </c>
      <c r="N1883" s="34">
        <f>VLOOKUP(C1883,Customers!$A$2:$F$301,3,FALSE)</f>
        <v>22</v>
      </c>
      <c r="O1883" s="34" t="str">
        <f>VLOOKUP(E1883,Sales_Reps!$A$2:$E$31,3,FALSE)</f>
        <v>East</v>
      </c>
      <c r="P1883" s="13" t="s">
        <v>154</v>
      </c>
      <c r="Q1883" s="34">
        <f t="shared" si="62"/>
        <v>983787.4800000001</v>
      </c>
      <c r="R1883" s="34" t="str">
        <f>VLOOKUP(E1883,Sales_Reps!$A$2:$E$100,3,FALSE)</f>
        <v>East</v>
      </c>
      <c r="S1883" s="34" t="str">
        <f t="shared" si="63"/>
        <v>Home</v>
      </c>
      <c r="T1883" s="38">
        <f>VLOOKUP(D1883,Products!$A$2:$F$68,4,FALSE)</f>
        <v>288</v>
      </c>
    </row>
    <row r="1884" spans="1:20" x14ac:dyDescent="0.35">
      <c r="A1884" s="13" t="s">
        <v>2380</v>
      </c>
      <c r="B1884" s="14">
        <v>45465</v>
      </c>
      <c r="C1884" s="13" t="s">
        <v>563</v>
      </c>
      <c r="D1884" s="13" t="s">
        <v>127</v>
      </c>
      <c r="E1884" s="13" t="s">
        <v>139</v>
      </c>
      <c r="F1884" s="15">
        <v>6</v>
      </c>
      <c r="G1884" s="15">
        <v>970</v>
      </c>
      <c r="H1884" s="15">
        <v>21.6</v>
      </c>
      <c r="I1884" s="15">
        <v>4562.88</v>
      </c>
      <c r="J1884" s="13" t="s">
        <v>87</v>
      </c>
      <c r="K1884" s="13" t="s">
        <v>88</v>
      </c>
      <c r="L1884" s="34" t="str">
        <f>VLOOKUP(D1884,Products!$A$2:$F$61,3,FALSE)</f>
        <v>Grocery</v>
      </c>
      <c r="M1884" s="34" t="str">
        <f>VLOOKUP(C1884,Customers!$A$2:$F$301,5,FALSE)</f>
        <v>SMB</v>
      </c>
      <c r="N1884" s="34">
        <f>VLOOKUP(C1884,Customers!$A$2:$F$301,3,FALSE)</f>
        <v>24</v>
      </c>
      <c r="O1884" s="34" t="str">
        <f>VLOOKUP(E1884,Sales_Reps!$A$2:$E$31,3,FALSE)</f>
        <v>North</v>
      </c>
      <c r="P1884" s="13" t="s">
        <v>139</v>
      </c>
      <c r="Q1884" s="34">
        <f t="shared" si="62"/>
        <v>589026.2899999998</v>
      </c>
      <c r="R1884" s="34" t="str">
        <f>VLOOKUP(E1884,Sales_Reps!$A$2:$E$100,3,FALSE)</f>
        <v>North</v>
      </c>
      <c r="S1884" s="34" t="str">
        <f t="shared" si="63"/>
        <v>Grocery</v>
      </c>
      <c r="T1884" s="38">
        <f>VLOOKUP(D1884,Products!$A$2:$F$68,4,FALSE)</f>
        <v>434</v>
      </c>
    </row>
    <row r="1885" spans="1:20" x14ac:dyDescent="0.35">
      <c r="A1885" s="13" t="s">
        <v>2381</v>
      </c>
      <c r="B1885" s="14">
        <v>45622</v>
      </c>
      <c r="C1885" s="13" t="s">
        <v>2382</v>
      </c>
      <c r="D1885" s="13" t="s">
        <v>338</v>
      </c>
      <c r="E1885" s="13" t="s">
        <v>229</v>
      </c>
      <c r="F1885" s="15">
        <v>3</v>
      </c>
      <c r="G1885" s="15">
        <v>2210</v>
      </c>
      <c r="H1885" s="15">
        <v>8.5</v>
      </c>
      <c r="I1885" s="15">
        <v>6066.45</v>
      </c>
      <c r="J1885" s="13" t="s">
        <v>87</v>
      </c>
      <c r="K1885" s="13" t="s">
        <v>99</v>
      </c>
      <c r="L1885" s="34" t="str">
        <f>VLOOKUP(D1885,Products!$A$2:$F$61,3,FALSE)</f>
        <v>Grocery</v>
      </c>
      <c r="M1885" s="34" t="e">
        <f>VLOOKUP(C1885,Customers!$A$2:$F$301,5,FALSE)</f>
        <v>#N/A</v>
      </c>
      <c r="N1885" s="34" t="e">
        <f>VLOOKUP(C1885,Customers!$A$2:$F$301,3,FALSE)</f>
        <v>#N/A</v>
      </c>
      <c r="O1885" s="34" t="str">
        <f>VLOOKUP(E1885,Sales_Reps!$A$2:$E$31,3,FALSE)</f>
        <v>West</v>
      </c>
      <c r="P1885" s="13" t="s">
        <v>229</v>
      </c>
      <c r="Q1885" s="34">
        <f t="shared" si="62"/>
        <v>1016696.8000000002</v>
      </c>
      <c r="R1885" s="34" t="str">
        <f>VLOOKUP(E1885,Sales_Reps!$A$2:$E$100,3,FALSE)</f>
        <v>West</v>
      </c>
      <c r="S1885" s="34" t="str">
        <f t="shared" si="63"/>
        <v>Grocery</v>
      </c>
      <c r="T1885" s="38">
        <f>VLOOKUP(D1885,Products!$A$2:$F$68,4,FALSE)</f>
        <v>1010</v>
      </c>
    </row>
    <row r="1886" spans="1:20" x14ac:dyDescent="0.35">
      <c r="A1886" s="13" t="s">
        <v>2383</v>
      </c>
      <c r="B1886" s="14">
        <v>45457</v>
      </c>
      <c r="C1886" s="13" t="s">
        <v>382</v>
      </c>
      <c r="D1886" s="13" t="s">
        <v>176</v>
      </c>
      <c r="E1886" s="13" t="s">
        <v>297</v>
      </c>
      <c r="F1886" s="15">
        <v>1</v>
      </c>
      <c r="G1886" s="15">
        <v>1650</v>
      </c>
      <c r="H1886" s="15">
        <v>19.7</v>
      </c>
      <c r="I1886" s="15">
        <v>1324.95</v>
      </c>
      <c r="J1886" s="13" t="s">
        <v>87</v>
      </c>
      <c r="K1886" s="13" t="s">
        <v>99</v>
      </c>
      <c r="L1886" s="34" t="str">
        <f>VLOOKUP(D1886,Products!$A$2:$F$61,3,FALSE)</f>
        <v>Beauty</v>
      </c>
      <c r="M1886" s="34" t="str">
        <f>VLOOKUP(C1886,Customers!$A$2:$F$301,5,FALSE)</f>
        <v>Corporate</v>
      </c>
      <c r="N1886" s="34">
        <f>VLOOKUP(C1886,Customers!$A$2:$F$301,3,FALSE)</f>
        <v>27</v>
      </c>
      <c r="O1886" s="34" t="str">
        <f>VLOOKUP(E1886,Sales_Reps!$A$2:$E$31,3,FALSE)</f>
        <v>North</v>
      </c>
      <c r="P1886" s="13" t="s">
        <v>297</v>
      </c>
      <c r="Q1886" s="34">
        <f t="shared" si="62"/>
        <v>980063.65999999968</v>
      </c>
      <c r="R1886" s="34" t="str">
        <f>VLOOKUP(E1886,Sales_Reps!$A$2:$E$100,3,FALSE)</f>
        <v>North</v>
      </c>
      <c r="S1886" s="34" t="str">
        <f t="shared" si="63"/>
        <v>Beauty</v>
      </c>
      <c r="T1886" s="38">
        <f>VLOOKUP(D1886,Products!$A$2:$F$68,4,FALSE)</f>
        <v>1222</v>
      </c>
    </row>
    <row r="1887" spans="1:20" x14ac:dyDescent="0.35">
      <c r="A1887" s="13" t="s">
        <v>2384</v>
      </c>
      <c r="B1887" s="14">
        <v>45480</v>
      </c>
      <c r="C1887" s="13" t="s">
        <v>948</v>
      </c>
      <c r="D1887" s="13" t="s">
        <v>515</v>
      </c>
      <c r="E1887" s="13" t="s">
        <v>148</v>
      </c>
      <c r="F1887" s="15">
        <v>5</v>
      </c>
      <c r="G1887" s="15">
        <v>6940</v>
      </c>
      <c r="H1887" s="15">
        <v>7.7</v>
      </c>
      <c r="I1887" s="15">
        <v>32028.1</v>
      </c>
      <c r="J1887" s="13" t="s">
        <v>87</v>
      </c>
      <c r="K1887" s="13" t="s">
        <v>88</v>
      </c>
      <c r="L1887" s="34" t="str">
        <f>VLOOKUP(D1887,Products!$A$2:$F$61,3,FALSE)</f>
        <v>Sports</v>
      </c>
      <c r="M1887" s="34" t="str">
        <f>VLOOKUP(C1887,Customers!$A$2:$F$301,5,FALSE)</f>
        <v>Retail</v>
      </c>
      <c r="N1887" s="34">
        <f>VLOOKUP(C1887,Customers!$A$2:$F$301,3,FALSE)</f>
        <v>65</v>
      </c>
      <c r="O1887" s="34" t="str">
        <f>VLOOKUP(E1887,Sales_Reps!$A$2:$E$31,3,FALSE)</f>
        <v>North</v>
      </c>
      <c r="P1887" s="13" t="s">
        <v>148</v>
      </c>
      <c r="Q1887" s="34">
        <f t="shared" si="62"/>
        <v>986692.91</v>
      </c>
      <c r="R1887" s="34" t="str">
        <f>VLOOKUP(E1887,Sales_Reps!$A$2:$E$100,3,FALSE)</f>
        <v>North</v>
      </c>
      <c r="S1887" s="34" t="str">
        <f t="shared" si="63"/>
        <v>Sports</v>
      </c>
      <c r="T1887" s="38">
        <f>VLOOKUP(D1887,Products!$A$2:$F$68,4,FALSE)</f>
        <v>2827</v>
      </c>
    </row>
    <row r="1888" spans="1:20" x14ac:dyDescent="0.35">
      <c r="A1888" s="13" t="s">
        <v>2385</v>
      </c>
      <c r="B1888" s="14">
        <v>45392</v>
      </c>
      <c r="C1888" s="13" t="s">
        <v>487</v>
      </c>
      <c r="D1888" s="13" t="s">
        <v>338</v>
      </c>
      <c r="E1888" s="13" t="s">
        <v>285</v>
      </c>
      <c r="F1888" s="15">
        <v>2</v>
      </c>
      <c r="G1888" s="15">
        <v>2210</v>
      </c>
      <c r="H1888" s="15">
        <v>5.6</v>
      </c>
      <c r="I1888" s="15">
        <v>4172.4799999999996</v>
      </c>
      <c r="J1888" s="13" t="s">
        <v>140</v>
      </c>
      <c r="K1888" s="13" t="s">
        <v>88</v>
      </c>
      <c r="L1888" s="34" t="str">
        <f>VLOOKUP(D1888,Products!$A$2:$F$61,3,FALSE)</f>
        <v>Grocery</v>
      </c>
      <c r="M1888" s="34" t="str">
        <f>VLOOKUP(C1888,Customers!$A$2:$F$301,5,FALSE)</f>
        <v>Corporate</v>
      </c>
      <c r="N1888" s="34">
        <f>VLOOKUP(C1888,Customers!$A$2:$F$301,3,FALSE)</f>
        <v>29</v>
      </c>
      <c r="O1888" s="34" t="str">
        <f>VLOOKUP(E1888,Sales_Reps!$A$2:$E$31,3,FALSE)</f>
        <v>East</v>
      </c>
      <c r="P1888" s="13" t="s">
        <v>285</v>
      </c>
      <c r="Q1888" s="34">
        <f t="shared" si="62"/>
        <v>1069570.5400000003</v>
      </c>
      <c r="R1888" s="34" t="str">
        <f>VLOOKUP(E1888,Sales_Reps!$A$2:$E$100,3,FALSE)</f>
        <v>East</v>
      </c>
      <c r="S1888" s="34" t="str">
        <f t="shared" si="63"/>
        <v>Grocery</v>
      </c>
      <c r="T1888" s="38">
        <f>VLOOKUP(D1888,Products!$A$2:$F$68,4,FALSE)</f>
        <v>1010</v>
      </c>
    </row>
    <row r="1889" spans="1:20" x14ac:dyDescent="0.35">
      <c r="A1889" s="13" t="s">
        <v>2386</v>
      </c>
      <c r="B1889" s="14">
        <v>45380</v>
      </c>
      <c r="C1889" s="13" t="s">
        <v>316</v>
      </c>
      <c r="D1889" s="13" t="s">
        <v>138</v>
      </c>
      <c r="E1889" s="13" t="s">
        <v>98</v>
      </c>
      <c r="F1889" s="15">
        <v>9</v>
      </c>
      <c r="G1889" s="15">
        <v>2600</v>
      </c>
      <c r="H1889" s="15">
        <v>3.1</v>
      </c>
      <c r="I1889" s="15">
        <v>22674.6</v>
      </c>
      <c r="J1889" s="13" t="s">
        <v>87</v>
      </c>
      <c r="K1889" s="13" t="s">
        <v>88</v>
      </c>
      <c r="L1889" s="34" t="str">
        <f>VLOOKUP(D1889,Products!$A$2:$F$61,3,FALSE)</f>
        <v>Electronics</v>
      </c>
      <c r="M1889" s="34" t="str">
        <f>VLOOKUP(C1889,Customers!$A$2:$F$301,5,FALSE)</f>
        <v>SMB</v>
      </c>
      <c r="N1889" s="34">
        <f>VLOOKUP(C1889,Customers!$A$2:$F$301,3,FALSE)</f>
        <v>60</v>
      </c>
      <c r="O1889" s="34" t="str">
        <f>VLOOKUP(E1889,Sales_Reps!$A$2:$E$31,3,FALSE)</f>
        <v>South</v>
      </c>
      <c r="P1889" s="13" t="s">
        <v>98</v>
      </c>
      <c r="Q1889" s="34">
        <f t="shared" si="62"/>
        <v>995713.54000000015</v>
      </c>
      <c r="R1889" s="34" t="str">
        <f>VLOOKUP(E1889,Sales_Reps!$A$2:$E$100,3,FALSE)</f>
        <v>South</v>
      </c>
      <c r="S1889" s="34" t="str">
        <f t="shared" si="63"/>
        <v>Electronics</v>
      </c>
      <c r="T1889" s="38">
        <f>VLOOKUP(D1889,Products!$A$2:$F$68,4,FALSE)</f>
        <v>1052</v>
      </c>
    </row>
    <row r="1890" spans="1:20" x14ac:dyDescent="0.35">
      <c r="A1890" s="13" t="s">
        <v>2387</v>
      </c>
      <c r="B1890" s="14">
        <v>45494</v>
      </c>
      <c r="C1890" s="13" t="s">
        <v>900</v>
      </c>
      <c r="D1890" s="13" t="s">
        <v>461</v>
      </c>
      <c r="E1890" s="13" t="s">
        <v>148</v>
      </c>
      <c r="F1890" s="15">
        <v>7</v>
      </c>
      <c r="G1890" s="15">
        <v>3780</v>
      </c>
      <c r="H1890" s="15">
        <v>13.3</v>
      </c>
      <c r="I1890" s="15">
        <v>22940.82</v>
      </c>
      <c r="J1890" s="13" t="s">
        <v>87</v>
      </c>
      <c r="K1890" s="13" t="s">
        <v>117</v>
      </c>
      <c r="L1890" s="34" t="str">
        <f>VLOOKUP(D1890,Products!$A$2:$F$61,3,FALSE)</f>
        <v>Sports</v>
      </c>
      <c r="M1890" s="34" t="str">
        <f>VLOOKUP(C1890,Customers!$A$2:$F$301,5,FALSE)</f>
        <v>Retail</v>
      </c>
      <c r="N1890" s="34">
        <f>VLOOKUP(C1890,Customers!$A$2:$F$301,3,FALSE)</f>
        <v>35</v>
      </c>
      <c r="O1890" s="34" t="str">
        <f>VLOOKUP(E1890,Sales_Reps!$A$2:$E$31,3,FALSE)</f>
        <v>North</v>
      </c>
      <c r="P1890" s="13" t="s">
        <v>148</v>
      </c>
      <c r="Q1890" s="34">
        <f t="shared" si="62"/>
        <v>986692.91</v>
      </c>
      <c r="R1890" s="34" t="str">
        <f>VLOOKUP(E1890,Sales_Reps!$A$2:$E$100,3,FALSE)</f>
        <v>North</v>
      </c>
      <c r="S1890" s="34" t="str">
        <f t="shared" si="63"/>
        <v>Sports</v>
      </c>
      <c r="T1890" s="38">
        <f>VLOOKUP(D1890,Products!$A$2:$F$68,4,FALSE)</f>
        <v>1860</v>
      </c>
    </row>
    <row r="1891" spans="1:20" x14ac:dyDescent="0.35">
      <c r="A1891" s="13" t="s">
        <v>2388</v>
      </c>
      <c r="B1891" s="14">
        <v>45621</v>
      </c>
      <c r="C1891" s="13" t="s">
        <v>1038</v>
      </c>
      <c r="D1891" s="13" t="s">
        <v>151</v>
      </c>
      <c r="E1891" s="13" t="s">
        <v>252</v>
      </c>
      <c r="F1891" s="15">
        <v>4</v>
      </c>
      <c r="G1891" s="15">
        <v>2400</v>
      </c>
      <c r="H1891" s="15">
        <v>16.600000000000001</v>
      </c>
      <c r="I1891" s="15">
        <v>8006.4</v>
      </c>
      <c r="J1891" s="13" t="s">
        <v>93</v>
      </c>
      <c r="K1891" s="13" t="s">
        <v>117</v>
      </c>
      <c r="L1891" s="34" t="str">
        <f>VLOOKUP(D1891,Products!$A$2:$F$61,3,FALSE)</f>
        <v>Sports</v>
      </c>
      <c r="M1891" s="34" t="str">
        <f>VLOOKUP(C1891,Customers!$A$2:$F$301,5,FALSE)</f>
        <v>Corporate</v>
      </c>
      <c r="N1891" s="34">
        <f>VLOOKUP(C1891,Customers!$A$2:$F$301,3,FALSE)</f>
        <v>55</v>
      </c>
      <c r="O1891" s="34" t="str">
        <f>VLOOKUP(E1891,Sales_Reps!$A$2:$E$31,3,FALSE)</f>
        <v>South</v>
      </c>
      <c r="P1891" s="13" t="s">
        <v>252</v>
      </c>
      <c r="Q1891" s="34">
        <f t="shared" si="62"/>
        <v>811524.37999999989</v>
      </c>
      <c r="R1891" s="34" t="str">
        <f>VLOOKUP(E1891,Sales_Reps!$A$2:$E$100,3,FALSE)</f>
        <v>South</v>
      </c>
      <c r="S1891" s="34" t="str">
        <f t="shared" si="63"/>
        <v>Sports</v>
      </c>
      <c r="T1891" s="38">
        <f>VLOOKUP(D1891,Products!$A$2:$F$68,4,FALSE)</f>
        <v>974</v>
      </c>
    </row>
    <row r="1892" spans="1:20" x14ac:dyDescent="0.35">
      <c r="A1892" s="13" t="s">
        <v>2389</v>
      </c>
      <c r="B1892" s="14">
        <v>45603</v>
      </c>
      <c r="C1892" s="13" t="s">
        <v>281</v>
      </c>
      <c r="D1892" s="13" t="s">
        <v>282</v>
      </c>
      <c r="E1892" s="13" t="s">
        <v>92</v>
      </c>
      <c r="F1892" s="15">
        <v>10</v>
      </c>
      <c r="G1892" s="15">
        <v>300</v>
      </c>
      <c r="H1892" s="15">
        <v>23.9</v>
      </c>
      <c r="I1892" s="15">
        <v>2283</v>
      </c>
      <c r="J1892" s="13" t="s">
        <v>87</v>
      </c>
      <c r="K1892" s="13" t="s">
        <v>88</v>
      </c>
      <c r="L1892" s="34" t="str">
        <f>VLOOKUP(D1892,Products!$A$2:$F$61,3,FALSE)</f>
        <v>Electronics</v>
      </c>
      <c r="M1892" s="34" t="str">
        <f>VLOOKUP(C1892,Customers!$A$2:$F$301,5,FALSE)</f>
        <v>Retail</v>
      </c>
      <c r="N1892" s="34">
        <f>VLOOKUP(C1892,Customers!$A$2:$F$301,3,FALSE)</f>
        <v>25</v>
      </c>
      <c r="O1892" s="34" t="str">
        <f>VLOOKUP(E1892,Sales_Reps!$A$2:$E$31,3,FALSE)</f>
        <v>North</v>
      </c>
      <c r="P1892" s="13" t="s">
        <v>92</v>
      </c>
      <c r="Q1892" s="34">
        <f t="shared" si="62"/>
        <v>782445.33</v>
      </c>
      <c r="R1892" s="34" t="str">
        <f>VLOOKUP(E1892,Sales_Reps!$A$2:$E$100,3,FALSE)</f>
        <v>North</v>
      </c>
      <c r="S1892" s="34" t="str">
        <f t="shared" si="63"/>
        <v>Electronics</v>
      </c>
      <c r="T1892" s="38">
        <f>VLOOKUP(D1892,Products!$A$2:$F$68,4,FALSE)</f>
        <v>128</v>
      </c>
    </row>
    <row r="1893" spans="1:20" x14ac:dyDescent="0.35">
      <c r="A1893" s="13" t="s">
        <v>2390</v>
      </c>
      <c r="B1893" s="14">
        <v>45640</v>
      </c>
      <c r="C1893" s="13" t="s">
        <v>266</v>
      </c>
      <c r="D1893" s="13" t="s">
        <v>102</v>
      </c>
      <c r="E1893" s="13" t="s">
        <v>132</v>
      </c>
      <c r="F1893" s="15">
        <v>1</v>
      </c>
      <c r="G1893" s="15">
        <v>3660</v>
      </c>
      <c r="H1893" s="15">
        <v>1.5</v>
      </c>
      <c r="I1893" s="15">
        <v>3605.1</v>
      </c>
      <c r="J1893" s="13" t="s">
        <v>93</v>
      </c>
      <c r="K1893" s="13" t="s">
        <v>99</v>
      </c>
      <c r="L1893" s="34" t="str">
        <f>VLOOKUP(D1893,Products!$A$2:$F$61,3,FALSE)</f>
        <v>Grocery</v>
      </c>
      <c r="M1893" s="34" t="str">
        <f>VLOOKUP(C1893,Customers!$A$2:$F$301,5,FALSE)</f>
        <v>Corporate</v>
      </c>
      <c r="N1893" s="34">
        <f>VLOOKUP(C1893,Customers!$A$2:$F$301,3,FALSE)</f>
        <v>55</v>
      </c>
      <c r="O1893" s="34" t="str">
        <f>VLOOKUP(E1893,Sales_Reps!$A$2:$E$31,3,FALSE)</f>
        <v>South</v>
      </c>
      <c r="P1893" s="13" t="s">
        <v>132</v>
      </c>
      <c r="Q1893" s="34">
        <f t="shared" si="62"/>
        <v>880345.20000000007</v>
      </c>
      <c r="R1893" s="34" t="str">
        <f>VLOOKUP(E1893,Sales_Reps!$A$2:$E$100,3,FALSE)</f>
        <v>South</v>
      </c>
      <c r="S1893" s="34" t="str">
        <f t="shared" si="63"/>
        <v>Grocery</v>
      </c>
      <c r="T1893" s="38">
        <f>VLOOKUP(D1893,Products!$A$2:$F$68,4,FALSE)</f>
        <v>2214</v>
      </c>
    </row>
    <row r="1894" spans="1:20" x14ac:dyDescent="0.35">
      <c r="A1894" s="13" t="s">
        <v>2391</v>
      </c>
      <c r="B1894" s="14">
        <v>45534</v>
      </c>
      <c r="C1894" s="13" t="s">
        <v>310</v>
      </c>
      <c r="D1894" s="13" t="s">
        <v>161</v>
      </c>
      <c r="E1894" s="13" t="s">
        <v>273</v>
      </c>
      <c r="F1894" s="15">
        <v>9</v>
      </c>
      <c r="G1894" s="15">
        <v>3450</v>
      </c>
      <c r="H1894" s="15">
        <v>21.8</v>
      </c>
      <c r="I1894" s="15">
        <v>24281.1</v>
      </c>
      <c r="J1894" s="13" t="s">
        <v>87</v>
      </c>
      <c r="K1894" s="13" t="s">
        <v>117</v>
      </c>
      <c r="L1894" s="34" t="str">
        <f>VLOOKUP(D1894,Products!$A$2:$F$61,3,FALSE)</f>
        <v>Sports</v>
      </c>
      <c r="M1894" s="34" t="str">
        <f>VLOOKUP(C1894,Customers!$A$2:$F$301,5,FALSE)</f>
        <v>Retail</v>
      </c>
      <c r="N1894" s="34">
        <f>VLOOKUP(C1894,Customers!$A$2:$F$301,3,FALSE)</f>
        <v>42</v>
      </c>
      <c r="O1894" s="34" t="str">
        <f>VLOOKUP(E1894,Sales_Reps!$A$2:$E$31,3,FALSE)</f>
        <v>South</v>
      </c>
      <c r="P1894" s="13" t="s">
        <v>273</v>
      </c>
      <c r="Q1894" s="34">
        <f t="shared" si="62"/>
        <v>735207.75999999989</v>
      </c>
      <c r="R1894" s="34" t="str">
        <f>VLOOKUP(E1894,Sales_Reps!$A$2:$E$100,3,FALSE)</f>
        <v>South</v>
      </c>
      <c r="S1894" s="34" t="str">
        <f t="shared" si="63"/>
        <v>Sports</v>
      </c>
      <c r="T1894" s="38">
        <f>VLOOKUP(D1894,Products!$A$2:$F$68,4,FALSE)</f>
        <v>2467</v>
      </c>
    </row>
    <row r="1895" spans="1:20" x14ac:dyDescent="0.35">
      <c r="A1895" s="13" t="s">
        <v>2392</v>
      </c>
      <c r="B1895" s="14">
        <v>45410</v>
      </c>
      <c r="C1895" s="13" t="s">
        <v>501</v>
      </c>
      <c r="D1895" s="13" t="s">
        <v>452</v>
      </c>
      <c r="E1895" s="13" t="s">
        <v>86</v>
      </c>
      <c r="F1895" s="15">
        <v>10</v>
      </c>
      <c r="G1895" s="15">
        <v>3450</v>
      </c>
      <c r="H1895" s="15">
        <v>15.7</v>
      </c>
      <c r="I1895" s="15">
        <v>29083.5</v>
      </c>
      <c r="J1895" s="13" t="s">
        <v>140</v>
      </c>
      <c r="K1895" s="13" t="s">
        <v>133</v>
      </c>
      <c r="L1895" s="34" t="str">
        <f>VLOOKUP(D1895,Products!$A$2:$F$61,3,FALSE)</f>
        <v>Apparel</v>
      </c>
      <c r="M1895" s="34" t="str">
        <f>VLOOKUP(C1895,Customers!$A$2:$F$301,5,FALSE)</f>
        <v>SMB</v>
      </c>
      <c r="N1895" s="34">
        <f>VLOOKUP(C1895,Customers!$A$2:$F$301,3,FALSE)</f>
        <v>65</v>
      </c>
      <c r="O1895" s="34" t="str">
        <f>VLOOKUP(E1895,Sales_Reps!$A$2:$E$31,3,FALSE)</f>
        <v>North</v>
      </c>
      <c r="P1895" s="13" t="s">
        <v>86</v>
      </c>
      <c r="Q1895" s="34">
        <f t="shared" si="62"/>
        <v>855749.67999999982</v>
      </c>
      <c r="R1895" s="34" t="str">
        <f>VLOOKUP(E1895,Sales_Reps!$A$2:$E$100,3,FALSE)</f>
        <v>North</v>
      </c>
      <c r="S1895" s="34" t="str">
        <f t="shared" si="63"/>
        <v>Apparel</v>
      </c>
      <c r="T1895" s="38">
        <f>VLOOKUP(D1895,Products!$A$2:$F$68,4,FALSE)</f>
        <v>1748</v>
      </c>
    </row>
    <row r="1896" spans="1:20" x14ac:dyDescent="0.35">
      <c r="A1896" s="13" t="s">
        <v>2393</v>
      </c>
      <c r="B1896" s="14">
        <v>45412</v>
      </c>
      <c r="C1896" s="13" t="s">
        <v>101</v>
      </c>
      <c r="D1896" s="13" t="s">
        <v>264</v>
      </c>
      <c r="E1896" s="13" t="s">
        <v>107</v>
      </c>
      <c r="F1896" s="15">
        <v>2</v>
      </c>
      <c r="G1896" s="15">
        <v>4070</v>
      </c>
      <c r="H1896" s="15">
        <v>10.8</v>
      </c>
      <c r="I1896" s="15">
        <v>7260.88</v>
      </c>
      <c r="J1896" s="13" t="s">
        <v>87</v>
      </c>
      <c r="K1896" s="13" t="s">
        <v>99</v>
      </c>
      <c r="L1896" s="34" t="str">
        <f>VLOOKUP(D1896,Products!$A$2:$F$61,3,FALSE)</f>
        <v>Grocery</v>
      </c>
      <c r="M1896" s="34" t="str">
        <f>VLOOKUP(C1896,Customers!$A$2:$F$301,5,FALSE)</f>
        <v>Corporate</v>
      </c>
      <c r="N1896" s="34">
        <f>VLOOKUP(C1896,Customers!$A$2:$F$301,3,FALSE)</f>
        <v>46</v>
      </c>
      <c r="O1896" s="34" t="str">
        <f>VLOOKUP(E1896,Sales_Reps!$A$2:$E$31,3,FALSE)</f>
        <v>North</v>
      </c>
      <c r="P1896" s="13" t="s">
        <v>107</v>
      </c>
      <c r="Q1896" s="34">
        <f t="shared" si="62"/>
        <v>861553.33</v>
      </c>
      <c r="R1896" s="34" t="str">
        <f>VLOOKUP(E1896,Sales_Reps!$A$2:$E$100,3,FALSE)</f>
        <v>North</v>
      </c>
      <c r="S1896" s="34" t="str">
        <f t="shared" si="63"/>
        <v>Grocery</v>
      </c>
      <c r="T1896" s="38">
        <f>VLOOKUP(D1896,Products!$A$2:$F$68,4,FALSE)</f>
        <v>2027</v>
      </c>
    </row>
    <row r="1897" spans="1:20" x14ac:dyDescent="0.35">
      <c r="A1897" s="13" t="s">
        <v>2394</v>
      </c>
      <c r="B1897" s="14">
        <v>45372</v>
      </c>
      <c r="C1897" s="13" t="s">
        <v>369</v>
      </c>
      <c r="D1897" s="13" t="s">
        <v>461</v>
      </c>
      <c r="E1897" s="13" t="s">
        <v>154</v>
      </c>
      <c r="F1897" s="15">
        <v>4</v>
      </c>
      <c r="G1897" s="15">
        <v>3780</v>
      </c>
      <c r="H1897" s="15">
        <v>17.100000000000001</v>
      </c>
      <c r="I1897" s="15">
        <v>12534.48</v>
      </c>
      <c r="J1897" s="13" t="s">
        <v>87</v>
      </c>
      <c r="K1897" s="13" t="s">
        <v>94</v>
      </c>
      <c r="L1897" s="34" t="str">
        <f>VLOOKUP(D1897,Products!$A$2:$F$61,3,FALSE)</f>
        <v>Sports</v>
      </c>
      <c r="M1897" s="34" t="str">
        <f>VLOOKUP(C1897,Customers!$A$2:$F$301,5,FALSE)</f>
        <v>SMB</v>
      </c>
      <c r="N1897" s="34">
        <f>VLOOKUP(C1897,Customers!$A$2:$F$301,3,FALSE)</f>
        <v>62</v>
      </c>
      <c r="O1897" s="34" t="str">
        <f>VLOOKUP(E1897,Sales_Reps!$A$2:$E$31,3,FALSE)</f>
        <v>East</v>
      </c>
      <c r="P1897" s="13" t="s">
        <v>154</v>
      </c>
      <c r="Q1897" s="34">
        <f t="shared" si="62"/>
        <v>983787.4800000001</v>
      </c>
      <c r="R1897" s="34" t="str">
        <f>VLOOKUP(E1897,Sales_Reps!$A$2:$E$100,3,FALSE)</f>
        <v>East</v>
      </c>
      <c r="S1897" s="34" t="str">
        <f t="shared" si="63"/>
        <v>Sports</v>
      </c>
      <c r="T1897" s="38">
        <f>VLOOKUP(D1897,Products!$A$2:$F$68,4,FALSE)</f>
        <v>1860</v>
      </c>
    </row>
    <row r="1898" spans="1:20" x14ac:dyDescent="0.35">
      <c r="A1898" s="13" t="s">
        <v>2395</v>
      </c>
      <c r="B1898" s="14">
        <v>45622</v>
      </c>
      <c r="C1898" s="13" t="s">
        <v>673</v>
      </c>
      <c r="D1898" s="13" t="s">
        <v>200</v>
      </c>
      <c r="E1898" s="13" t="s">
        <v>139</v>
      </c>
      <c r="F1898" s="15">
        <v>1</v>
      </c>
      <c r="G1898" s="15">
        <v>2760</v>
      </c>
      <c r="H1898" s="15">
        <v>2.5</v>
      </c>
      <c r="I1898" s="15">
        <v>2691</v>
      </c>
      <c r="J1898" s="13" t="s">
        <v>140</v>
      </c>
      <c r="K1898" s="13" t="s">
        <v>112</v>
      </c>
      <c r="L1898" s="34" t="str">
        <f>VLOOKUP(D1898,Products!$A$2:$F$61,3,FALSE)</f>
        <v>Grocery</v>
      </c>
      <c r="M1898" s="34" t="str">
        <f>VLOOKUP(C1898,Customers!$A$2:$F$301,5,FALSE)</f>
        <v>Retail</v>
      </c>
      <c r="N1898" s="34">
        <f>VLOOKUP(C1898,Customers!$A$2:$F$301,3,FALSE)</f>
        <v>35</v>
      </c>
      <c r="O1898" s="34" t="str">
        <f>VLOOKUP(E1898,Sales_Reps!$A$2:$E$31,3,FALSE)</f>
        <v>North</v>
      </c>
      <c r="P1898" s="13" t="s">
        <v>139</v>
      </c>
      <c r="Q1898" s="34">
        <f t="shared" si="62"/>
        <v>589026.2899999998</v>
      </c>
      <c r="R1898" s="34" t="str">
        <f>VLOOKUP(E1898,Sales_Reps!$A$2:$E$100,3,FALSE)</f>
        <v>North</v>
      </c>
      <c r="S1898" s="34" t="str">
        <f t="shared" si="63"/>
        <v>Grocery</v>
      </c>
      <c r="T1898" s="38">
        <f>VLOOKUP(D1898,Products!$A$2:$F$68,4,FALSE)</f>
        <v>1435</v>
      </c>
    </row>
    <row r="1899" spans="1:20" x14ac:dyDescent="0.35">
      <c r="A1899" s="13" t="s">
        <v>2396</v>
      </c>
      <c r="B1899" s="14">
        <v>45493</v>
      </c>
      <c r="C1899" s="13" t="s">
        <v>156</v>
      </c>
      <c r="D1899" s="13" t="s">
        <v>184</v>
      </c>
      <c r="E1899" s="13" t="s">
        <v>170</v>
      </c>
      <c r="F1899" s="15">
        <v>2</v>
      </c>
      <c r="G1899" s="15">
        <v>4880</v>
      </c>
      <c r="H1899" s="15">
        <v>11</v>
      </c>
      <c r="I1899" s="15">
        <v>8686.4</v>
      </c>
      <c r="J1899" s="13" t="s">
        <v>87</v>
      </c>
      <c r="K1899" s="13" t="s">
        <v>133</v>
      </c>
      <c r="L1899" s="34" t="str">
        <f>VLOOKUP(D1899,Products!$A$2:$F$61,3,FALSE)</f>
        <v>Beauty</v>
      </c>
      <c r="M1899" s="34" t="str">
        <f>VLOOKUP(C1899,Customers!$A$2:$F$301,5,FALSE)</f>
        <v>Corporate</v>
      </c>
      <c r="N1899" s="34">
        <f>VLOOKUP(C1899,Customers!$A$2:$F$301,3,FALSE)</f>
        <v>32</v>
      </c>
      <c r="O1899" s="34" t="str">
        <f>VLOOKUP(E1899,Sales_Reps!$A$2:$E$31,3,FALSE)</f>
        <v>West</v>
      </c>
      <c r="P1899" s="13" t="s">
        <v>170</v>
      </c>
      <c r="Q1899" s="34">
        <f t="shared" si="62"/>
        <v>747624.36999999988</v>
      </c>
      <c r="R1899" s="34" t="str">
        <f>VLOOKUP(E1899,Sales_Reps!$A$2:$E$100,3,FALSE)</f>
        <v>West</v>
      </c>
      <c r="S1899" s="34" t="str">
        <f t="shared" si="63"/>
        <v>Beauty</v>
      </c>
      <c r="T1899" s="38">
        <f>VLOOKUP(D1899,Products!$A$2:$F$68,4,FALSE)</f>
        <v>2768</v>
      </c>
    </row>
    <row r="1900" spans="1:20" x14ac:dyDescent="0.35">
      <c r="A1900" s="13" t="s">
        <v>2397</v>
      </c>
      <c r="B1900" s="14">
        <v>45580</v>
      </c>
      <c r="C1900" s="13" t="s">
        <v>606</v>
      </c>
      <c r="D1900" s="13" t="s">
        <v>367</v>
      </c>
      <c r="E1900" s="13" t="s">
        <v>285</v>
      </c>
      <c r="F1900" s="15">
        <v>10</v>
      </c>
      <c r="G1900" s="15">
        <v>2380</v>
      </c>
      <c r="H1900" s="15">
        <v>28.3</v>
      </c>
      <c r="I1900" s="15">
        <v>17064.599999999999</v>
      </c>
      <c r="J1900" s="13" t="s">
        <v>87</v>
      </c>
      <c r="K1900" s="13" t="s">
        <v>112</v>
      </c>
      <c r="L1900" s="34" t="str">
        <f>VLOOKUP(D1900,Products!$A$2:$F$61,3,FALSE)</f>
        <v>Grocery</v>
      </c>
      <c r="M1900" s="34" t="str">
        <f>VLOOKUP(C1900,Customers!$A$2:$F$301,5,FALSE)</f>
        <v>Retail</v>
      </c>
      <c r="N1900" s="34">
        <f>VLOOKUP(C1900,Customers!$A$2:$F$301,3,FALSE)</f>
        <v>52</v>
      </c>
      <c r="O1900" s="34" t="str">
        <f>VLOOKUP(E1900,Sales_Reps!$A$2:$E$31,3,FALSE)</f>
        <v>East</v>
      </c>
      <c r="P1900" s="13" t="s">
        <v>285</v>
      </c>
      <c r="Q1900" s="34">
        <f t="shared" si="62"/>
        <v>1069570.5400000003</v>
      </c>
      <c r="R1900" s="34" t="str">
        <f>VLOOKUP(E1900,Sales_Reps!$A$2:$E$100,3,FALSE)</f>
        <v>East</v>
      </c>
      <c r="S1900" s="34" t="str">
        <f t="shared" si="63"/>
        <v>Grocery</v>
      </c>
      <c r="T1900" s="38">
        <f>VLOOKUP(D1900,Products!$A$2:$F$68,4,FALSE)</f>
        <v>1182</v>
      </c>
    </row>
    <row r="1901" spans="1:20" x14ac:dyDescent="0.35">
      <c r="A1901" s="13" t="s">
        <v>2398</v>
      </c>
      <c r="B1901" s="14">
        <v>45449</v>
      </c>
      <c r="C1901" s="13" t="s">
        <v>1104</v>
      </c>
      <c r="D1901" s="13" t="s">
        <v>386</v>
      </c>
      <c r="E1901" s="13" t="s">
        <v>148</v>
      </c>
      <c r="F1901" s="15">
        <v>3</v>
      </c>
      <c r="G1901" s="15">
        <v>2290</v>
      </c>
      <c r="H1901" s="15">
        <v>11.1</v>
      </c>
      <c r="I1901" s="15">
        <v>6107.43</v>
      </c>
      <c r="J1901" s="13" t="s">
        <v>140</v>
      </c>
      <c r="K1901" s="13" t="s">
        <v>117</v>
      </c>
      <c r="L1901" s="34" t="str">
        <f>VLOOKUP(D1901,Products!$A$2:$F$61,3,FALSE)</f>
        <v>Beauty</v>
      </c>
      <c r="M1901" s="34" t="str">
        <f>VLOOKUP(C1901,Customers!$A$2:$F$301,5,FALSE)</f>
        <v>Corporate</v>
      </c>
      <c r="N1901" s="34">
        <f>VLOOKUP(C1901,Customers!$A$2:$F$301,3,FALSE)</f>
        <v>31</v>
      </c>
      <c r="O1901" s="34" t="str">
        <f>VLOOKUP(E1901,Sales_Reps!$A$2:$E$31,3,FALSE)</f>
        <v>North</v>
      </c>
      <c r="P1901" s="13" t="s">
        <v>148</v>
      </c>
      <c r="Q1901" s="34">
        <f t="shared" si="62"/>
        <v>986692.91</v>
      </c>
      <c r="R1901" s="34" t="str">
        <f>VLOOKUP(E1901,Sales_Reps!$A$2:$E$100,3,FALSE)</f>
        <v>North</v>
      </c>
      <c r="S1901" s="34" t="str">
        <f t="shared" si="63"/>
        <v>Beauty</v>
      </c>
      <c r="T1901" s="38">
        <f>VLOOKUP(D1901,Products!$A$2:$F$68,4,FALSE)</f>
        <v>1219</v>
      </c>
    </row>
    <row r="1902" spans="1:20" x14ac:dyDescent="0.35">
      <c r="A1902" s="13" t="s">
        <v>2399</v>
      </c>
      <c r="B1902" s="14">
        <v>45417</v>
      </c>
      <c r="C1902" s="13" t="s">
        <v>156</v>
      </c>
      <c r="D1902" s="13" t="s">
        <v>200</v>
      </c>
      <c r="E1902" s="13" t="s">
        <v>139</v>
      </c>
      <c r="F1902" s="15">
        <v>6</v>
      </c>
      <c r="G1902" s="15">
        <v>2760</v>
      </c>
      <c r="H1902" s="15">
        <v>16.5</v>
      </c>
      <c r="I1902" s="15">
        <v>13827.6</v>
      </c>
      <c r="J1902" s="13" t="s">
        <v>87</v>
      </c>
      <c r="K1902" s="13" t="s">
        <v>133</v>
      </c>
      <c r="L1902" s="34" t="str">
        <f>VLOOKUP(D1902,Products!$A$2:$F$61,3,FALSE)</f>
        <v>Grocery</v>
      </c>
      <c r="M1902" s="34" t="str">
        <f>VLOOKUP(C1902,Customers!$A$2:$F$301,5,FALSE)</f>
        <v>Corporate</v>
      </c>
      <c r="N1902" s="34">
        <f>VLOOKUP(C1902,Customers!$A$2:$F$301,3,FALSE)</f>
        <v>32</v>
      </c>
      <c r="O1902" s="34" t="str">
        <f>VLOOKUP(E1902,Sales_Reps!$A$2:$E$31,3,FALSE)</f>
        <v>North</v>
      </c>
      <c r="P1902" s="13" t="s">
        <v>139</v>
      </c>
      <c r="Q1902" s="34">
        <f t="shared" si="62"/>
        <v>589026.2899999998</v>
      </c>
      <c r="R1902" s="34" t="str">
        <f>VLOOKUP(E1902,Sales_Reps!$A$2:$E$100,3,FALSE)</f>
        <v>North</v>
      </c>
      <c r="S1902" s="34" t="str">
        <f t="shared" si="63"/>
        <v>Grocery</v>
      </c>
      <c r="T1902" s="38">
        <f>VLOOKUP(D1902,Products!$A$2:$F$68,4,FALSE)</f>
        <v>1435</v>
      </c>
    </row>
    <row r="1903" spans="1:20" x14ac:dyDescent="0.35">
      <c r="A1903" s="13" t="s">
        <v>2400</v>
      </c>
      <c r="B1903" s="14">
        <v>45523</v>
      </c>
      <c r="C1903" s="13" t="s">
        <v>518</v>
      </c>
      <c r="D1903" s="13" t="s">
        <v>351</v>
      </c>
      <c r="E1903" s="13" t="s">
        <v>343</v>
      </c>
      <c r="F1903" s="15">
        <v>5</v>
      </c>
      <c r="G1903" s="15">
        <v>4060</v>
      </c>
      <c r="H1903" s="15">
        <v>22.5</v>
      </c>
      <c r="I1903" s="15">
        <v>15732.5</v>
      </c>
      <c r="J1903" s="13" t="s">
        <v>87</v>
      </c>
      <c r="K1903" s="13" t="s">
        <v>88</v>
      </c>
      <c r="L1903" s="34" t="str">
        <f>VLOOKUP(D1903,Products!$A$2:$F$61,3,FALSE)</f>
        <v>Grocery</v>
      </c>
      <c r="M1903" s="34" t="str">
        <f>VLOOKUP(C1903,Customers!$A$2:$F$301,5,FALSE)</f>
        <v>Retail</v>
      </c>
      <c r="N1903" s="34">
        <f>VLOOKUP(C1903,Customers!$A$2:$F$301,3,FALSE)</f>
        <v>49</v>
      </c>
      <c r="O1903" s="34" t="str">
        <f>VLOOKUP(E1903,Sales_Reps!$A$2:$E$31,3,FALSE)</f>
        <v>West</v>
      </c>
      <c r="P1903" s="13" t="s">
        <v>343</v>
      </c>
      <c r="Q1903" s="34">
        <f t="shared" si="62"/>
        <v>917092.61999999965</v>
      </c>
      <c r="R1903" s="34" t="str">
        <f>VLOOKUP(E1903,Sales_Reps!$A$2:$E$100,3,FALSE)</f>
        <v>West</v>
      </c>
      <c r="S1903" s="34" t="str">
        <f t="shared" si="63"/>
        <v>Grocery</v>
      </c>
      <c r="T1903" s="38">
        <f>VLOOKUP(D1903,Products!$A$2:$F$68,4,FALSE)</f>
        <v>2911</v>
      </c>
    </row>
    <row r="1904" spans="1:20" x14ac:dyDescent="0.35">
      <c r="A1904" s="13" t="s">
        <v>2401</v>
      </c>
      <c r="B1904" s="14">
        <v>45367</v>
      </c>
      <c r="C1904" s="13" t="s">
        <v>328</v>
      </c>
      <c r="D1904" s="13" t="s">
        <v>135</v>
      </c>
      <c r="E1904" s="13" t="s">
        <v>103</v>
      </c>
      <c r="F1904" s="15">
        <v>8</v>
      </c>
      <c r="G1904" s="15">
        <v>2640</v>
      </c>
      <c r="H1904" s="15">
        <v>11.8</v>
      </c>
      <c r="I1904" s="15">
        <v>18627.84</v>
      </c>
      <c r="J1904" s="13" t="s">
        <v>87</v>
      </c>
      <c r="K1904" s="13" t="s">
        <v>94</v>
      </c>
      <c r="L1904" s="34" t="str">
        <f>VLOOKUP(D1904,Products!$A$2:$F$61,3,FALSE)</f>
        <v>Electronics</v>
      </c>
      <c r="M1904" s="34" t="str">
        <f>VLOOKUP(C1904,Customers!$A$2:$F$301,5,FALSE)</f>
        <v>Retail</v>
      </c>
      <c r="N1904" s="34">
        <f>VLOOKUP(C1904,Customers!$A$2:$F$301,3,FALSE)</f>
        <v>28</v>
      </c>
      <c r="O1904" s="34" t="str">
        <f>VLOOKUP(E1904,Sales_Reps!$A$2:$E$31,3,FALSE)</f>
        <v>North</v>
      </c>
      <c r="P1904" s="13" t="s">
        <v>103</v>
      </c>
      <c r="Q1904" s="34">
        <f t="shared" si="62"/>
        <v>1138648.73</v>
      </c>
      <c r="R1904" s="34" t="str">
        <f>VLOOKUP(E1904,Sales_Reps!$A$2:$E$100,3,FALSE)</f>
        <v>North</v>
      </c>
      <c r="S1904" s="34" t="str">
        <f t="shared" si="63"/>
        <v>Electronics</v>
      </c>
      <c r="T1904" s="38">
        <f>VLOOKUP(D1904,Products!$A$2:$F$68,4,FALSE)</f>
        <v>1149</v>
      </c>
    </row>
    <row r="1905" spans="1:20" x14ac:dyDescent="0.35">
      <c r="A1905" s="13" t="s">
        <v>2402</v>
      </c>
      <c r="B1905" s="14">
        <v>45309</v>
      </c>
      <c r="C1905" s="13" t="s">
        <v>816</v>
      </c>
      <c r="D1905" s="13" t="s">
        <v>270</v>
      </c>
      <c r="E1905" s="13" t="s">
        <v>92</v>
      </c>
      <c r="F1905" s="15">
        <v>2</v>
      </c>
      <c r="G1905" s="15">
        <v>4610</v>
      </c>
      <c r="H1905" s="15">
        <v>10.4</v>
      </c>
      <c r="I1905" s="15">
        <v>8261.1200000000008</v>
      </c>
      <c r="J1905" s="13" t="s">
        <v>93</v>
      </c>
      <c r="K1905" s="13" t="s">
        <v>88</v>
      </c>
      <c r="L1905" s="34" t="str">
        <f>VLOOKUP(D1905,Products!$A$2:$F$61,3,FALSE)</f>
        <v>Home</v>
      </c>
      <c r="M1905" s="34" t="str">
        <f>VLOOKUP(C1905,Customers!$A$2:$F$301,5,FALSE)</f>
        <v>Retail</v>
      </c>
      <c r="N1905" s="34">
        <f>VLOOKUP(C1905,Customers!$A$2:$F$301,3,FALSE)</f>
        <v>36</v>
      </c>
      <c r="O1905" s="34" t="str">
        <f>VLOOKUP(E1905,Sales_Reps!$A$2:$E$31,3,FALSE)</f>
        <v>North</v>
      </c>
      <c r="P1905" s="13" t="s">
        <v>92</v>
      </c>
      <c r="Q1905" s="34">
        <f t="shared" si="62"/>
        <v>782445.33</v>
      </c>
      <c r="R1905" s="34" t="str">
        <f>VLOOKUP(E1905,Sales_Reps!$A$2:$E$100,3,FALSE)</f>
        <v>North</v>
      </c>
      <c r="S1905" s="34" t="str">
        <f t="shared" si="63"/>
        <v>Home</v>
      </c>
      <c r="T1905" s="38">
        <f>VLOOKUP(D1905,Products!$A$2:$F$68,4,FALSE)</f>
        <v>1850</v>
      </c>
    </row>
    <row r="1906" spans="1:20" x14ac:dyDescent="0.35">
      <c r="A1906" s="13" t="s">
        <v>2403</v>
      </c>
      <c r="B1906" s="14">
        <v>45383</v>
      </c>
      <c r="C1906" s="13" t="s">
        <v>278</v>
      </c>
      <c r="D1906" s="13" t="s">
        <v>338</v>
      </c>
      <c r="E1906" s="13" t="s">
        <v>128</v>
      </c>
      <c r="F1906" s="15">
        <v>6</v>
      </c>
      <c r="G1906" s="15">
        <v>2210</v>
      </c>
      <c r="H1906" s="15">
        <v>22.5</v>
      </c>
      <c r="I1906" s="15">
        <v>10276.5</v>
      </c>
      <c r="J1906" s="13" t="s">
        <v>140</v>
      </c>
      <c r="K1906" s="13" t="s">
        <v>133</v>
      </c>
      <c r="L1906" s="34" t="str">
        <f>VLOOKUP(D1906,Products!$A$2:$F$61,3,FALSE)</f>
        <v>Grocery</v>
      </c>
      <c r="M1906" s="34" t="str">
        <f>VLOOKUP(C1906,Customers!$A$2:$F$301,5,FALSE)</f>
        <v>Corporate</v>
      </c>
      <c r="N1906" s="34">
        <f>VLOOKUP(C1906,Customers!$A$2:$F$301,3,FALSE)</f>
        <v>29</v>
      </c>
      <c r="O1906" s="34" t="str">
        <f>VLOOKUP(E1906,Sales_Reps!$A$2:$E$31,3,FALSE)</f>
        <v>West</v>
      </c>
      <c r="P1906" s="13" t="s">
        <v>128</v>
      </c>
      <c r="Q1906" s="34">
        <f t="shared" si="62"/>
        <v>880468.05</v>
      </c>
      <c r="R1906" s="34" t="str">
        <f>VLOOKUP(E1906,Sales_Reps!$A$2:$E$100,3,FALSE)</f>
        <v>West</v>
      </c>
      <c r="S1906" s="34" t="str">
        <f t="shared" si="63"/>
        <v>Grocery</v>
      </c>
      <c r="T1906" s="38">
        <f>VLOOKUP(D1906,Products!$A$2:$F$68,4,FALSE)</f>
        <v>1010</v>
      </c>
    </row>
    <row r="1907" spans="1:20" x14ac:dyDescent="0.35">
      <c r="A1907" s="13" t="s">
        <v>2404</v>
      </c>
      <c r="B1907" s="14">
        <v>45420</v>
      </c>
      <c r="C1907" s="13" t="s">
        <v>546</v>
      </c>
      <c r="D1907" s="13" t="s">
        <v>338</v>
      </c>
      <c r="E1907" s="13" t="s">
        <v>273</v>
      </c>
      <c r="F1907" s="15">
        <v>4</v>
      </c>
      <c r="G1907" s="15">
        <v>2210</v>
      </c>
      <c r="H1907" s="15">
        <v>21.5</v>
      </c>
      <c r="I1907" s="15">
        <v>6939.4</v>
      </c>
      <c r="J1907" s="13" t="s">
        <v>93</v>
      </c>
      <c r="K1907" s="13" t="s">
        <v>99</v>
      </c>
      <c r="L1907" s="34" t="str">
        <f>VLOOKUP(D1907,Products!$A$2:$F$61,3,FALSE)</f>
        <v>Grocery</v>
      </c>
      <c r="M1907" s="34" t="str">
        <f>VLOOKUP(C1907,Customers!$A$2:$F$301,5,FALSE)</f>
        <v>SMB</v>
      </c>
      <c r="N1907" s="34">
        <f>VLOOKUP(C1907,Customers!$A$2:$F$301,3,FALSE)</f>
        <v>29</v>
      </c>
      <c r="O1907" s="34" t="str">
        <f>VLOOKUP(E1907,Sales_Reps!$A$2:$E$31,3,FALSE)</f>
        <v>South</v>
      </c>
      <c r="P1907" s="13" t="s">
        <v>273</v>
      </c>
      <c r="Q1907" s="34">
        <f t="shared" si="62"/>
        <v>735207.75999999989</v>
      </c>
      <c r="R1907" s="34" t="str">
        <f>VLOOKUP(E1907,Sales_Reps!$A$2:$E$100,3,FALSE)</f>
        <v>South</v>
      </c>
      <c r="S1907" s="34" t="str">
        <f t="shared" si="63"/>
        <v>Grocery</v>
      </c>
      <c r="T1907" s="38">
        <f>VLOOKUP(D1907,Products!$A$2:$F$68,4,FALSE)</f>
        <v>1010</v>
      </c>
    </row>
    <row r="1908" spans="1:20" x14ac:dyDescent="0.35">
      <c r="A1908" s="13" t="s">
        <v>2405</v>
      </c>
      <c r="B1908" s="14">
        <v>45400</v>
      </c>
      <c r="C1908" s="13" t="s">
        <v>84</v>
      </c>
      <c r="D1908" s="13" t="s">
        <v>502</v>
      </c>
      <c r="E1908" s="13" t="s">
        <v>252</v>
      </c>
      <c r="F1908" s="15">
        <v>6</v>
      </c>
      <c r="G1908" s="15">
        <v>1090</v>
      </c>
      <c r="H1908" s="15">
        <v>28.3</v>
      </c>
      <c r="I1908" s="15">
        <v>4689.18</v>
      </c>
      <c r="J1908" s="13" t="s">
        <v>87</v>
      </c>
      <c r="K1908" s="13" t="s">
        <v>88</v>
      </c>
      <c r="L1908" s="34" t="str">
        <f>VLOOKUP(D1908,Products!$A$2:$F$61,3,FALSE)</f>
        <v>Home</v>
      </c>
      <c r="M1908" s="34" t="str">
        <f>VLOOKUP(C1908,Customers!$A$2:$F$301,5,FALSE)</f>
        <v>SMB</v>
      </c>
      <c r="N1908" s="34">
        <f>VLOOKUP(C1908,Customers!$A$2:$F$301,3,FALSE)</f>
        <v>44</v>
      </c>
      <c r="O1908" s="34" t="str">
        <f>VLOOKUP(E1908,Sales_Reps!$A$2:$E$31,3,FALSE)</f>
        <v>South</v>
      </c>
      <c r="P1908" s="13" t="s">
        <v>252</v>
      </c>
      <c r="Q1908" s="34">
        <f t="shared" si="62"/>
        <v>811524.37999999989</v>
      </c>
      <c r="R1908" s="34" t="str">
        <f>VLOOKUP(E1908,Sales_Reps!$A$2:$E$100,3,FALSE)</f>
        <v>South</v>
      </c>
      <c r="S1908" s="34" t="str">
        <f t="shared" si="63"/>
        <v>Home</v>
      </c>
      <c r="T1908" s="38">
        <f>VLOOKUP(D1908,Products!$A$2:$F$68,4,FALSE)</f>
        <v>464</v>
      </c>
    </row>
    <row r="1909" spans="1:20" x14ac:dyDescent="0.35">
      <c r="A1909" s="13" t="s">
        <v>2406</v>
      </c>
      <c r="B1909" s="14">
        <v>45625</v>
      </c>
      <c r="C1909" s="13" t="s">
        <v>420</v>
      </c>
      <c r="D1909" s="13" t="s">
        <v>110</v>
      </c>
      <c r="E1909" s="13" t="s">
        <v>148</v>
      </c>
      <c r="F1909" s="15">
        <v>9</v>
      </c>
      <c r="G1909" s="15">
        <v>370</v>
      </c>
      <c r="H1909" s="15">
        <v>13.8</v>
      </c>
      <c r="I1909" s="15">
        <v>2870.46</v>
      </c>
      <c r="J1909" s="13" t="s">
        <v>87</v>
      </c>
      <c r="K1909" s="13" t="s">
        <v>99</v>
      </c>
      <c r="L1909" s="34" t="str">
        <f>VLOOKUP(D1909,Products!$A$2:$F$61,3,FALSE)</f>
        <v>Home</v>
      </c>
      <c r="M1909" s="34" t="str">
        <f>VLOOKUP(C1909,Customers!$A$2:$F$301,5,FALSE)</f>
        <v>Retail</v>
      </c>
      <c r="N1909" s="34">
        <f>VLOOKUP(C1909,Customers!$A$2:$F$301,3,FALSE)</f>
        <v>44</v>
      </c>
      <c r="O1909" s="34" t="str">
        <f>VLOOKUP(E1909,Sales_Reps!$A$2:$E$31,3,FALSE)</f>
        <v>North</v>
      </c>
      <c r="P1909" s="13" t="s">
        <v>148</v>
      </c>
      <c r="Q1909" s="34">
        <f t="shared" si="62"/>
        <v>986692.91</v>
      </c>
      <c r="R1909" s="34" t="str">
        <f>VLOOKUP(E1909,Sales_Reps!$A$2:$E$100,3,FALSE)</f>
        <v>North</v>
      </c>
      <c r="S1909" s="34" t="str">
        <f t="shared" si="63"/>
        <v>Home</v>
      </c>
      <c r="T1909" s="38">
        <f>VLOOKUP(D1909,Products!$A$2:$F$68,4,FALSE)</f>
        <v>288</v>
      </c>
    </row>
    <row r="1910" spans="1:20" x14ac:dyDescent="0.35">
      <c r="A1910" s="13" t="s">
        <v>2407</v>
      </c>
      <c r="B1910" s="14">
        <v>45555</v>
      </c>
      <c r="C1910" s="13" t="s">
        <v>493</v>
      </c>
      <c r="D1910" s="13" t="s">
        <v>187</v>
      </c>
      <c r="E1910" s="13" t="s">
        <v>111</v>
      </c>
      <c r="F1910" s="15">
        <v>10</v>
      </c>
      <c r="G1910" s="15">
        <v>3570</v>
      </c>
      <c r="H1910" s="15">
        <v>3</v>
      </c>
      <c r="I1910" s="15">
        <v>34629</v>
      </c>
      <c r="J1910" s="13" t="s">
        <v>140</v>
      </c>
      <c r="K1910" s="13" t="s">
        <v>88</v>
      </c>
      <c r="L1910" s="34" t="str">
        <f>VLOOKUP(D1910,Products!$A$2:$F$61,3,FALSE)</f>
        <v>Electronics</v>
      </c>
      <c r="M1910" s="34" t="str">
        <f>VLOOKUP(C1910,Customers!$A$2:$F$301,5,FALSE)</f>
        <v>Retail</v>
      </c>
      <c r="N1910" s="34">
        <f>VLOOKUP(C1910,Customers!$A$2:$F$301,3,FALSE)</f>
        <v>57</v>
      </c>
      <c r="O1910" s="34" t="str">
        <f>VLOOKUP(E1910,Sales_Reps!$A$2:$E$31,3,FALSE)</f>
        <v>West</v>
      </c>
      <c r="P1910" s="13" t="s">
        <v>111</v>
      </c>
      <c r="Q1910" s="34">
        <f t="shared" si="62"/>
        <v>901298.89</v>
      </c>
      <c r="R1910" s="34" t="str">
        <f>VLOOKUP(E1910,Sales_Reps!$A$2:$E$100,3,FALSE)</f>
        <v>West</v>
      </c>
      <c r="S1910" s="34" t="str">
        <f t="shared" si="63"/>
        <v>Electronics</v>
      </c>
      <c r="T1910" s="38">
        <f>VLOOKUP(D1910,Products!$A$2:$F$68,4,FALSE)</f>
        <v>1665</v>
      </c>
    </row>
    <row r="1911" spans="1:20" x14ac:dyDescent="0.35">
      <c r="A1911" s="13" t="s">
        <v>2408</v>
      </c>
      <c r="B1911" s="14">
        <v>45509</v>
      </c>
      <c r="C1911" s="13" t="s">
        <v>371</v>
      </c>
      <c r="D1911" s="13" t="s">
        <v>143</v>
      </c>
      <c r="E1911" s="13" t="s">
        <v>346</v>
      </c>
      <c r="F1911" s="15">
        <v>10</v>
      </c>
      <c r="G1911" s="15">
        <v>3250</v>
      </c>
      <c r="H1911" s="15">
        <v>20.3</v>
      </c>
      <c r="I1911" s="15">
        <v>25902.5</v>
      </c>
      <c r="J1911" s="13" t="s">
        <v>87</v>
      </c>
      <c r="K1911" s="13" t="s">
        <v>112</v>
      </c>
      <c r="L1911" s="34" t="str">
        <f>VLOOKUP(D1911,Products!$A$2:$F$61,3,FALSE)</f>
        <v>Home</v>
      </c>
      <c r="M1911" s="34" t="str">
        <f>VLOOKUP(C1911,Customers!$A$2:$F$301,5,FALSE)</f>
        <v>Retail</v>
      </c>
      <c r="N1911" s="34">
        <f>VLOOKUP(C1911,Customers!$A$2:$F$301,3,FALSE)</f>
        <v>42</v>
      </c>
      <c r="O1911" s="34" t="str">
        <f>VLOOKUP(E1911,Sales_Reps!$A$2:$E$31,3,FALSE)</f>
        <v>South</v>
      </c>
      <c r="P1911" s="13" t="s">
        <v>346</v>
      </c>
      <c r="Q1911" s="34">
        <f t="shared" si="62"/>
        <v>814563.7100000002</v>
      </c>
      <c r="R1911" s="34" t="str">
        <f>VLOOKUP(E1911,Sales_Reps!$A$2:$E$100,3,FALSE)</f>
        <v>South</v>
      </c>
      <c r="S1911" s="34" t="str">
        <f t="shared" si="63"/>
        <v>Home</v>
      </c>
      <c r="T1911" s="38">
        <f>VLOOKUP(D1911,Products!$A$2:$F$68,4,FALSE)</f>
        <v>1556</v>
      </c>
    </row>
    <row r="1912" spans="1:20" x14ac:dyDescent="0.35">
      <c r="A1912" s="13" t="s">
        <v>2409</v>
      </c>
      <c r="B1912" s="14">
        <v>45436</v>
      </c>
      <c r="C1912" s="13" t="s">
        <v>872</v>
      </c>
      <c r="D1912" s="13" t="s">
        <v>143</v>
      </c>
      <c r="E1912" s="13" t="s">
        <v>128</v>
      </c>
      <c r="F1912" s="15">
        <v>6</v>
      </c>
      <c r="G1912" s="15">
        <v>3250</v>
      </c>
      <c r="H1912" s="15">
        <v>25.8</v>
      </c>
      <c r="I1912" s="15">
        <v>14469</v>
      </c>
      <c r="J1912" s="13" t="s">
        <v>93</v>
      </c>
      <c r="K1912" s="13" t="s">
        <v>112</v>
      </c>
      <c r="L1912" s="34" t="str">
        <f>VLOOKUP(D1912,Products!$A$2:$F$61,3,FALSE)</f>
        <v>Home</v>
      </c>
      <c r="M1912" s="34" t="str">
        <f>VLOOKUP(C1912,Customers!$A$2:$F$301,5,FALSE)</f>
        <v>Corporate</v>
      </c>
      <c r="N1912" s="34">
        <f>VLOOKUP(C1912,Customers!$A$2:$F$301,3,FALSE)</f>
        <v>62</v>
      </c>
      <c r="O1912" s="34" t="str">
        <f>VLOOKUP(E1912,Sales_Reps!$A$2:$E$31,3,FALSE)</f>
        <v>West</v>
      </c>
      <c r="P1912" s="13" t="s">
        <v>128</v>
      </c>
      <c r="Q1912" s="34">
        <f t="shared" si="62"/>
        <v>880468.05</v>
      </c>
      <c r="R1912" s="34" t="str">
        <f>VLOOKUP(E1912,Sales_Reps!$A$2:$E$100,3,FALSE)</f>
        <v>West</v>
      </c>
      <c r="S1912" s="34" t="str">
        <f t="shared" si="63"/>
        <v>Home</v>
      </c>
      <c r="T1912" s="38">
        <f>VLOOKUP(D1912,Products!$A$2:$F$68,4,FALSE)</f>
        <v>1556</v>
      </c>
    </row>
    <row r="1913" spans="1:20" x14ac:dyDescent="0.35">
      <c r="A1913" s="13" t="s">
        <v>2410</v>
      </c>
      <c r="B1913" s="14">
        <v>45610</v>
      </c>
      <c r="C1913" s="13" t="s">
        <v>336</v>
      </c>
      <c r="D1913" s="13" t="s">
        <v>115</v>
      </c>
      <c r="E1913" s="13" t="s">
        <v>116</v>
      </c>
      <c r="F1913" s="15">
        <v>9</v>
      </c>
      <c r="G1913" s="15">
        <v>960</v>
      </c>
      <c r="H1913" s="15">
        <v>29</v>
      </c>
      <c r="I1913" s="15">
        <v>6134.4</v>
      </c>
      <c r="J1913" s="13" t="s">
        <v>87</v>
      </c>
      <c r="K1913" s="13" t="s">
        <v>112</v>
      </c>
      <c r="L1913" s="34" t="str">
        <f>VLOOKUP(D1913,Products!$A$2:$F$61,3,FALSE)</f>
        <v>Sports</v>
      </c>
      <c r="M1913" s="34" t="str">
        <f>VLOOKUP(C1913,Customers!$A$2:$F$301,5,FALSE)</f>
        <v>Retail</v>
      </c>
      <c r="N1913" s="34">
        <f>VLOOKUP(C1913,Customers!$A$2:$F$301,3,FALSE)</f>
        <v>49</v>
      </c>
      <c r="O1913" s="34" t="str">
        <f>VLOOKUP(E1913,Sales_Reps!$A$2:$E$31,3,FALSE)</f>
        <v>West</v>
      </c>
      <c r="P1913" s="13" t="s">
        <v>116</v>
      </c>
      <c r="Q1913" s="34">
        <f t="shared" si="62"/>
        <v>819558.58</v>
      </c>
      <c r="R1913" s="34" t="str">
        <f>VLOOKUP(E1913,Sales_Reps!$A$2:$E$100,3,FALSE)</f>
        <v>West</v>
      </c>
      <c r="S1913" s="34" t="str">
        <f t="shared" si="63"/>
        <v>Sports</v>
      </c>
      <c r="T1913" s="38">
        <f>VLOOKUP(D1913,Products!$A$2:$F$68,4,FALSE)</f>
        <v>705</v>
      </c>
    </row>
    <row r="1914" spans="1:20" x14ac:dyDescent="0.35">
      <c r="A1914" s="13" t="s">
        <v>2411</v>
      </c>
      <c r="B1914" s="14">
        <v>45535</v>
      </c>
      <c r="C1914" s="13" t="s">
        <v>357</v>
      </c>
      <c r="D1914" s="13" t="s">
        <v>241</v>
      </c>
      <c r="E1914" s="13" t="s">
        <v>188</v>
      </c>
      <c r="F1914" s="15">
        <v>9</v>
      </c>
      <c r="G1914" s="15">
        <v>6080</v>
      </c>
      <c r="H1914" s="15">
        <v>21</v>
      </c>
      <c r="I1914" s="15">
        <v>43228.800000000003</v>
      </c>
      <c r="J1914" s="13" t="s">
        <v>87</v>
      </c>
      <c r="K1914" s="13" t="s">
        <v>99</v>
      </c>
      <c r="L1914" s="34" t="str">
        <f>VLOOKUP(D1914,Products!$A$2:$F$61,3,FALSE)</f>
        <v>Beauty</v>
      </c>
      <c r="M1914" s="34" t="str">
        <f>VLOOKUP(C1914,Customers!$A$2:$F$301,5,FALSE)</f>
        <v>SMB</v>
      </c>
      <c r="N1914" s="34">
        <f>VLOOKUP(C1914,Customers!$A$2:$F$301,3,FALSE)</f>
        <v>38</v>
      </c>
      <c r="O1914" s="34" t="str">
        <f>VLOOKUP(E1914,Sales_Reps!$A$2:$E$31,3,FALSE)</f>
        <v>South</v>
      </c>
      <c r="P1914" s="13" t="s">
        <v>188</v>
      </c>
      <c r="Q1914" s="34">
        <f t="shared" si="62"/>
        <v>1091740.1799999997</v>
      </c>
      <c r="R1914" s="34" t="str">
        <f>VLOOKUP(E1914,Sales_Reps!$A$2:$E$100,3,FALSE)</f>
        <v>South</v>
      </c>
      <c r="S1914" s="34" t="str">
        <f t="shared" si="63"/>
        <v>Beauty</v>
      </c>
      <c r="T1914" s="38">
        <f>VLOOKUP(D1914,Products!$A$2:$F$68,4,FALSE)</f>
        <v>2617</v>
      </c>
    </row>
    <row r="1915" spans="1:20" x14ac:dyDescent="0.35">
      <c r="A1915" s="13" t="s">
        <v>2412</v>
      </c>
      <c r="B1915" s="14">
        <v>45366</v>
      </c>
      <c r="C1915" s="13" t="s">
        <v>169</v>
      </c>
      <c r="D1915" s="13" t="s">
        <v>270</v>
      </c>
      <c r="E1915" s="13" t="s">
        <v>192</v>
      </c>
      <c r="F1915" s="15">
        <v>6</v>
      </c>
      <c r="G1915" s="15">
        <v>4610</v>
      </c>
      <c r="H1915" s="15">
        <v>13.5</v>
      </c>
      <c r="I1915" s="15">
        <v>23925.9</v>
      </c>
      <c r="J1915" s="13" t="s">
        <v>87</v>
      </c>
      <c r="K1915" s="13" t="s">
        <v>112</v>
      </c>
      <c r="L1915" s="34" t="str">
        <f>VLOOKUP(D1915,Products!$A$2:$F$61,3,FALSE)</f>
        <v>Home</v>
      </c>
      <c r="M1915" s="34" t="str">
        <f>VLOOKUP(C1915,Customers!$A$2:$F$301,5,FALSE)</f>
        <v>Retail</v>
      </c>
      <c r="N1915" s="34">
        <f>VLOOKUP(C1915,Customers!$A$2:$F$301,3,FALSE)</f>
        <v>34</v>
      </c>
      <c r="O1915" s="34" t="str">
        <f>VLOOKUP(E1915,Sales_Reps!$A$2:$E$31,3,FALSE)</f>
        <v>East</v>
      </c>
      <c r="P1915" s="13" t="s">
        <v>192</v>
      </c>
      <c r="Q1915" s="34">
        <f t="shared" si="62"/>
        <v>906107.71000000008</v>
      </c>
      <c r="R1915" s="34" t="str">
        <f>VLOOKUP(E1915,Sales_Reps!$A$2:$E$100,3,FALSE)</f>
        <v>East</v>
      </c>
      <c r="S1915" s="34" t="str">
        <f t="shared" si="63"/>
        <v>Home</v>
      </c>
      <c r="T1915" s="38">
        <f>VLOOKUP(D1915,Products!$A$2:$F$68,4,FALSE)</f>
        <v>1850</v>
      </c>
    </row>
    <row r="1916" spans="1:20" x14ac:dyDescent="0.35">
      <c r="A1916" s="13" t="s">
        <v>2413</v>
      </c>
      <c r="B1916" s="14">
        <v>45446</v>
      </c>
      <c r="C1916" s="13" t="s">
        <v>541</v>
      </c>
      <c r="D1916" s="13" t="s">
        <v>443</v>
      </c>
      <c r="E1916" s="13" t="s">
        <v>158</v>
      </c>
      <c r="F1916" s="15">
        <v>7</v>
      </c>
      <c r="G1916" s="15">
        <v>5080</v>
      </c>
      <c r="H1916" s="15">
        <v>25.4</v>
      </c>
      <c r="I1916" s="15">
        <v>26527.759999999998</v>
      </c>
      <c r="J1916" s="13" t="s">
        <v>87</v>
      </c>
      <c r="K1916" s="13" t="s">
        <v>94</v>
      </c>
      <c r="L1916" s="34" t="str">
        <f>VLOOKUP(D1916,Products!$A$2:$F$61,3,FALSE)</f>
        <v>Home</v>
      </c>
      <c r="M1916" s="34" t="str">
        <f>VLOOKUP(C1916,Customers!$A$2:$F$301,5,FALSE)</f>
        <v>Corporate</v>
      </c>
      <c r="N1916" s="34">
        <f>VLOOKUP(C1916,Customers!$A$2:$F$301,3,FALSE)</f>
        <v>34</v>
      </c>
      <c r="O1916" s="34" t="str">
        <f>VLOOKUP(E1916,Sales_Reps!$A$2:$E$31,3,FALSE)</f>
        <v>East</v>
      </c>
      <c r="P1916" s="13" t="s">
        <v>158</v>
      </c>
      <c r="Q1916" s="34">
        <f t="shared" si="62"/>
        <v>761507.17000000027</v>
      </c>
      <c r="R1916" s="34" t="str">
        <f>VLOOKUP(E1916,Sales_Reps!$A$2:$E$100,3,FALSE)</f>
        <v>East</v>
      </c>
      <c r="S1916" s="34" t="str">
        <f t="shared" si="63"/>
        <v>Home</v>
      </c>
      <c r="T1916" s="38">
        <f>VLOOKUP(D1916,Products!$A$2:$F$68,4,FALSE)</f>
        <v>2459</v>
      </c>
    </row>
    <row r="1917" spans="1:20" x14ac:dyDescent="0.35">
      <c r="A1917" s="13" t="s">
        <v>2414</v>
      </c>
      <c r="B1917" s="14">
        <v>45550</v>
      </c>
      <c r="C1917" s="13" t="s">
        <v>553</v>
      </c>
      <c r="D1917" s="13" t="s">
        <v>179</v>
      </c>
      <c r="E1917" s="13" t="s">
        <v>238</v>
      </c>
      <c r="F1917" s="15">
        <v>5</v>
      </c>
      <c r="G1917" s="15">
        <v>3350</v>
      </c>
      <c r="H1917" s="15">
        <v>2.2000000000000002</v>
      </c>
      <c r="I1917" s="15">
        <v>16381.5</v>
      </c>
      <c r="J1917" s="13" t="s">
        <v>87</v>
      </c>
      <c r="K1917" s="13" t="s">
        <v>112</v>
      </c>
      <c r="L1917" s="34" t="str">
        <f>VLOOKUP(D1917,Products!$A$2:$F$61,3,FALSE)</f>
        <v>Beauty</v>
      </c>
      <c r="M1917" s="34" t="str">
        <f>VLOOKUP(C1917,Customers!$A$2:$F$301,5,FALSE)</f>
        <v>Retail</v>
      </c>
      <c r="N1917" s="34">
        <f>VLOOKUP(C1917,Customers!$A$2:$F$301,3,FALSE)</f>
        <v>65</v>
      </c>
      <c r="O1917" s="34" t="str">
        <f>VLOOKUP(E1917,Sales_Reps!$A$2:$E$31,3,FALSE)</f>
        <v>East</v>
      </c>
      <c r="P1917" s="13" t="s">
        <v>238</v>
      </c>
      <c r="Q1917" s="34">
        <f t="shared" si="62"/>
        <v>780384.40999999992</v>
      </c>
      <c r="R1917" s="34" t="str">
        <f>VLOOKUP(E1917,Sales_Reps!$A$2:$E$100,3,FALSE)</f>
        <v>East</v>
      </c>
      <c r="S1917" s="34" t="str">
        <f t="shared" si="63"/>
        <v>Beauty</v>
      </c>
      <c r="T1917" s="38">
        <f>VLOOKUP(D1917,Products!$A$2:$F$68,4,FALSE)</f>
        <v>1728</v>
      </c>
    </row>
    <row r="1918" spans="1:20" x14ac:dyDescent="0.35">
      <c r="A1918" s="13" t="s">
        <v>2415</v>
      </c>
      <c r="B1918" s="14">
        <v>45600</v>
      </c>
      <c r="C1918" s="13" t="s">
        <v>910</v>
      </c>
      <c r="D1918" s="13" t="s">
        <v>234</v>
      </c>
      <c r="E1918" s="13" t="s">
        <v>98</v>
      </c>
      <c r="F1918" s="15">
        <v>1</v>
      </c>
      <c r="G1918" s="15">
        <v>3780</v>
      </c>
      <c r="H1918" s="15">
        <v>13.7</v>
      </c>
      <c r="I1918" s="15">
        <v>3262.14</v>
      </c>
      <c r="J1918" s="13" t="s">
        <v>87</v>
      </c>
      <c r="K1918" s="13" t="s">
        <v>99</v>
      </c>
      <c r="L1918" s="34" t="str">
        <f>VLOOKUP(D1918,Products!$A$2:$F$61,3,FALSE)</f>
        <v>Grocery</v>
      </c>
      <c r="M1918" s="34" t="str">
        <f>VLOOKUP(C1918,Customers!$A$2:$F$301,5,FALSE)</f>
        <v>Retail</v>
      </c>
      <c r="N1918" s="34">
        <f>VLOOKUP(C1918,Customers!$A$2:$F$301,3,FALSE)</f>
        <v>55</v>
      </c>
      <c r="O1918" s="34" t="str">
        <f>VLOOKUP(E1918,Sales_Reps!$A$2:$E$31,3,FALSE)</f>
        <v>South</v>
      </c>
      <c r="P1918" s="13" t="s">
        <v>98</v>
      </c>
      <c r="Q1918" s="34">
        <f t="shared" si="62"/>
        <v>995713.54000000015</v>
      </c>
      <c r="R1918" s="34" t="str">
        <f>VLOOKUP(E1918,Sales_Reps!$A$2:$E$100,3,FALSE)</f>
        <v>South</v>
      </c>
      <c r="S1918" s="34" t="str">
        <f t="shared" si="63"/>
        <v>Grocery</v>
      </c>
      <c r="T1918" s="38">
        <f>VLOOKUP(D1918,Products!$A$2:$F$68,4,FALSE)</f>
        <v>2436</v>
      </c>
    </row>
    <row r="1919" spans="1:20" x14ac:dyDescent="0.35">
      <c r="A1919" s="13" t="s">
        <v>2416</v>
      </c>
      <c r="B1919" s="14">
        <v>45352</v>
      </c>
      <c r="C1919" s="13" t="s">
        <v>178</v>
      </c>
      <c r="D1919" s="13" t="s">
        <v>184</v>
      </c>
      <c r="E1919" s="13" t="s">
        <v>192</v>
      </c>
      <c r="F1919" s="15">
        <v>4</v>
      </c>
      <c r="G1919" s="15">
        <v>4880</v>
      </c>
      <c r="H1919" s="15">
        <v>11.6</v>
      </c>
      <c r="I1919" s="15">
        <v>17255.68</v>
      </c>
      <c r="J1919" s="13" t="s">
        <v>87</v>
      </c>
      <c r="K1919" s="13" t="s">
        <v>94</v>
      </c>
      <c r="L1919" s="34" t="str">
        <f>VLOOKUP(D1919,Products!$A$2:$F$61,3,FALSE)</f>
        <v>Beauty</v>
      </c>
      <c r="M1919" s="34" t="str">
        <f>VLOOKUP(C1919,Customers!$A$2:$F$301,5,FALSE)</f>
        <v>Corporate</v>
      </c>
      <c r="N1919" s="34">
        <f>VLOOKUP(C1919,Customers!$A$2:$F$301,3,FALSE)</f>
        <v>55</v>
      </c>
      <c r="O1919" s="34" t="str">
        <f>VLOOKUP(E1919,Sales_Reps!$A$2:$E$31,3,FALSE)</f>
        <v>East</v>
      </c>
      <c r="P1919" s="13" t="s">
        <v>192</v>
      </c>
      <c r="Q1919" s="34">
        <f t="shared" si="62"/>
        <v>906107.71000000008</v>
      </c>
      <c r="R1919" s="34" t="str">
        <f>VLOOKUP(E1919,Sales_Reps!$A$2:$E$100,3,FALSE)</f>
        <v>East</v>
      </c>
      <c r="S1919" s="34" t="str">
        <f t="shared" si="63"/>
        <v>Beauty</v>
      </c>
      <c r="T1919" s="38">
        <f>VLOOKUP(D1919,Products!$A$2:$F$68,4,FALSE)</f>
        <v>2768</v>
      </c>
    </row>
    <row r="1920" spans="1:20" x14ac:dyDescent="0.35">
      <c r="A1920" s="13" t="s">
        <v>2417</v>
      </c>
      <c r="B1920" s="14">
        <v>45385</v>
      </c>
      <c r="C1920" s="13" t="s">
        <v>662</v>
      </c>
      <c r="D1920" s="13" t="s">
        <v>191</v>
      </c>
      <c r="E1920" s="13" t="s">
        <v>229</v>
      </c>
      <c r="F1920" s="15">
        <v>3</v>
      </c>
      <c r="G1920" s="15">
        <v>5100</v>
      </c>
      <c r="H1920" s="15">
        <v>24.2</v>
      </c>
      <c r="I1920" s="15">
        <v>11597.4</v>
      </c>
      <c r="J1920" s="13" t="s">
        <v>87</v>
      </c>
      <c r="K1920" s="13" t="s">
        <v>2418</v>
      </c>
      <c r="L1920" s="34" t="str">
        <f>VLOOKUP(D1920,Products!$A$2:$F$61,3,FALSE)</f>
        <v>Beauty</v>
      </c>
      <c r="M1920" s="34" t="str">
        <f>VLOOKUP(C1920,Customers!$A$2:$F$301,5,FALSE)</f>
        <v>Corporate</v>
      </c>
      <c r="N1920" s="34">
        <f>VLOOKUP(C1920,Customers!$A$2:$F$301,3,FALSE)</f>
        <v>41</v>
      </c>
      <c r="O1920" s="34" t="str">
        <f>VLOOKUP(E1920,Sales_Reps!$A$2:$E$31,3,FALSE)</f>
        <v>West</v>
      </c>
      <c r="P1920" s="13" t="s">
        <v>229</v>
      </c>
      <c r="Q1920" s="34">
        <f t="shared" si="62"/>
        <v>1016696.8000000002</v>
      </c>
      <c r="R1920" s="34" t="str">
        <f>VLOOKUP(E1920,Sales_Reps!$A$2:$E$100,3,FALSE)</f>
        <v>West</v>
      </c>
      <c r="S1920" s="34" t="str">
        <f t="shared" si="63"/>
        <v>Beauty</v>
      </c>
      <c r="T1920" s="38">
        <f>VLOOKUP(D1920,Products!$A$2:$F$68,4,FALSE)</f>
        <v>2237</v>
      </c>
    </row>
    <row r="1921" spans="1:20" x14ac:dyDescent="0.35">
      <c r="A1921" s="13" t="s">
        <v>2419</v>
      </c>
      <c r="B1921" s="14">
        <v>45634</v>
      </c>
      <c r="C1921" s="13" t="s">
        <v>779</v>
      </c>
      <c r="D1921" s="13" t="s">
        <v>279</v>
      </c>
      <c r="E1921" s="13" t="s">
        <v>154</v>
      </c>
      <c r="F1921" s="15">
        <v>5</v>
      </c>
      <c r="G1921" s="15">
        <v>2660</v>
      </c>
      <c r="H1921" s="15">
        <v>4.7</v>
      </c>
      <c r="I1921" s="15">
        <v>12674.9</v>
      </c>
      <c r="J1921" s="13" t="s">
        <v>87</v>
      </c>
      <c r="K1921" s="13" t="s">
        <v>117</v>
      </c>
      <c r="L1921" s="34" t="str">
        <f>VLOOKUP(D1921,Products!$A$2:$F$61,3,FALSE)</f>
        <v>Electronics</v>
      </c>
      <c r="M1921" s="34" t="str">
        <f>VLOOKUP(C1921,Customers!$A$2:$F$301,5,FALSE)</f>
        <v>Retail</v>
      </c>
      <c r="N1921" s="34">
        <f>VLOOKUP(C1921,Customers!$A$2:$F$301,3,FALSE)</f>
        <v>27</v>
      </c>
      <c r="O1921" s="34" t="str">
        <f>VLOOKUP(E1921,Sales_Reps!$A$2:$E$31,3,FALSE)</f>
        <v>East</v>
      </c>
      <c r="P1921" s="13" t="s">
        <v>154</v>
      </c>
      <c r="Q1921" s="34">
        <f t="shared" si="62"/>
        <v>983787.4800000001</v>
      </c>
      <c r="R1921" s="34" t="str">
        <f>VLOOKUP(E1921,Sales_Reps!$A$2:$E$100,3,FALSE)</f>
        <v>East</v>
      </c>
      <c r="S1921" s="34" t="str">
        <f t="shared" si="63"/>
        <v>Electronics</v>
      </c>
      <c r="T1921" s="38">
        <f>VLOOKUP(D1921,Products!$A$2:$F$68,4,FALSE)</f>
        <v>1259</v>
      </c>
    </row>
    <row r="1922" spans="1:20" x14ac:dyDescent="0.35">
      <c r="A1922" s="13" t="s">
        <v>2420</v>
      </c>
      <c r="B1922" s="14">
        <v>45444</v>
      </c>
      <c r="C1922" s="13" t="s">
        <v>359</v>
      </c>
      <c r="D1922" s="13" t="s">
        <v>367</v>
      </c>
      <c r="E1922" s="13" t="s">
        <v>238</v>
      </c>
      <c r="F1922" s="15">
        <v>10</v>
      </c>
      <c r="G1922" s="15">
        <v>2380</v>
      </c>
      <c r="H1922" s="15">
        <v>1</v>
      </c>
      <c r="I1922" s="15">
        <v>23562</v>
      </c>
      <c r="J1922" s="13" t="s">
        <v>87</v>
      </c>
      <c r="K1922" s="13" t="s">
        <v>99</v>
      </c>
      <c r="L1922" s="34" t="str">
        <f>VLOOKUP(D1922,Products!$A$2:$F$61,3,FALSE)</f>
        <v>Grocery</v>
      </c>
      <c r="M1922" s="34" t="str">
        <f>VLOOKUP(C1922,Customers!$A$2:$F$301,5,FALSE)</f>
        <v>SMB</v>
      </c>
      <c r="N1922" s="34">
        <f>VLOOKUP(C1922,Customers!$A$2:$F$301,3,FALSE)</f>
        <v>28</v>
      </c>
      <c r="O1922" s="34" t="str">
        <f>VLOOKUP(E1922,Sales_Reps!$A$2:$E$31,3,FALSE)</f>
        <v>East</v>
      </c>
      <c r="P1922" s="13" t="s">
        <v>238</v>
      </c>
      <c r="Q1922" s="34">
        <f t="shared" si="62"/>
        <v>780384.40999999992</v>
      </c>
      <c r="R1922" s="34" t="str">
        <f>VLOOKUP(E1922,Sales_Reps!$A$2:$E$100,3,FALSE)</f>
        <v>East</v>
      </c>
      <c r="S1922" s="34" t="str">
        <f t="shared" si="63"/>
        <v>Grocery</v>
      </c>
      <c r="T1922" s="38">
        <f>VLOOKUP(D1922,Products!$A$2:$F$68,4,FALSE)</f>
        <v>1182</v>
      </c>
    </row>
    <row r="1923" spans="1:20" x14ac:dyDescent="0.35">
      <c r="A1923" s="13" t="s">
        <v>2421</v>
      </c>
      <c r="B1923" s="14">
        <v>45553</v>
      </c>
      <c r="C1923" s="13" t="s">
        <v>816</v>
      </c>
      <c r="D1923" s="13" t="s">
        <v>184</v>
      </c>
      <c r="E1923" s="13" t="s">
        <v>297</v>
      </c>
      <c r="F1923" s="15">
        <v>9</v>
      </c>
      <c r="G1923" s="15">
        <v>4880</v>
      </c>
      <c r="H1923" s="15">
        <v>7.2</v>
      </c>
      <c r="I1923" s="15">
        <v>40757.760000000002</v>
      </c>
      <c r="J1923" s="13" t="s">
        <v>87</v>
      </c>
      <c r="K1923" s="13" t="s">
        <v>88</v>
      </c>
      <c r="L1923" s="34" t="str">
        <f>VLOOKUP(D1923,Products!$A$2:$F$61,3,FALSE)</f>
        <v>Beauty</v>
      </c>
      <c r="M1923" s="34" t="str">
        <f>VLOOKUP(C1923,Customers!$A$2:$F$301,5,FALSE)</f>
        <v>Retail</v>
      </c>
      <c r="N1923" s="34">
        <f>VLOOKUP(C1923,Customers!$A$2:$F$301,3,FALSE)</f>
        <v>36</v>
      </c>
      <c r="O1923" s="34" t="str">
        <f>VLOOKUP(E1923,Sales_Reps!$A$2:$E$31,3,FALSE)</f>
        <v>North</v>
      </c>
      <c r="P1923" s="13" t="s">
        <v>297</v>
      </c>
      <c r="Q1923" s="34">
        <f t="shared" ref="Q1923:Q1986" si="64">SUMIFS($I:$I,$E:$E,P1923)</f>
        <v>980063.65999999968</v>
      </c>
      <c r="R1923" s="34" t="str">
        <f>VLOOKUP(E1923,Sales_Reps!$A$2:$E$100,3,FALSE)</f>
        <v>North</v>
      </c>
      <c r="S1923" s="34" t="str">
        <f t="shared" ref="S1923:S1986" si="65">L1923</f>
        <v>Beauty</v>
      </c>
      <c r="T1923" s="38">
        <f>VLOOKUP(D1923,Products!$A$2:$F$68,4,FALSE)</f>
        <v>2768</v>
      </c>
    </row>
    <row r="1924" spans="1:20" x14ac:dyDescent="0.35">
      <c r="A1924" s="13" t="s">
        <v>2422</v>
      </c>
      <c r="B1924" s="14">
        <v>45411</v>
      </c>
      <c r="C1924" s="13" t="s">
        <v>1193</v>
      </c>
      <c r="D1924" s="13" t="s">
        <v>226</v>
      </c>
      <c r="E1924" s="13" t="s">
        <v>98</v>
      </c>
      <c r="F1924" s="15">
        <v>1</v>
      </c>
      <c r="G1924" s="15">
        <v>3730</v>
      </c>
      <c r="H1924" s="15">
        <v>15.3</v>
      </c>
      <c r="I1924" s="15">
        <v>3159.31</v>
      </c>
      <c r="J1924" s="13" t="s">
        <v>87</v>
      </c>
      <c r="K1924" s="13" t="s">
        <v>133</v>
      </c>
      <c r="L1924" s="34" t="str">
        <f>VLOOKUP(D1924,Products!$A$2:$F$61,3,FALSE)</f>
        <v>Home</v>
      </c>
      <c r="M1924" s="34" t="str">
        <f>VLOOKUP(C1924,Customers!$A$2:$F$301,5,FALSE)</f>
        <v>SMB</v>
      </c>
      <c r="N1924" s="34">
        <f>VLOOKUP(C1924,Customers!$A$2:$F$301,3,FALSE)</f>
        <v>25</v>
      </c>
      <c r="O1924" s="34" t="str">
        <f>VLOOKUP(E1924,Sales_Reps!$A$2:$E$31,3,FALSE)</f>
        <v>South</v>
      </c>
      <c r="P1924" s="13" t="s">
        <v>98</v>
      </c>
      <c r="Q1924" s="34">
        <f t="shared" si="64"/>
        <v>995713.54000000015</v>
      </c>
      <c r="R1924" s="34" t="str">
        <f>VLOOKUP(E1924,Sales_Reps!$A$2:$E$100,3,FALSE)</f>
        <v>South</v>
      </c>
      <c r="S1924" s="34" t="str">
        <f t="shared" si="65"/>
        <v>Home</v>
      </c>
      <c r="T1924" s="38">
        <f>VLOOKUP(D1924,Products!$A$2:$F$68,4,FALSE)</f>
        <v>2135</v>
      </c>
    </row>
    <row r="1925" spans="1:20" x14ac:dyDescent="0.35">
      <c r="A1925" s="13" t="s">
        <v>2423</v>
      </c>
      <c r="B1925" s="14">
        <v>45442</v>
      </c>
      <c r="C1925" s="13" t="s">
        <v>114</v>
      </c>
      <c r="D1925" s="13" t="s">
        <v>461</v>
      </c>
      <c r="E1925" s="13" t="s">
        <v>148</v>
      </c>
      <c r="F1925" s="15">
        <v>10</v>
      </c>
      <c r="G1925" s="15">
        <v>3780</v>
      </c>
      <c r="H1925" s="15">
        <v>2.7</v>
      </c>
      <c r="I1925" s="15">
        <v>36779.4</v>
      </c>
      <c r="J1925" s="13" t="s">
        <v>87</v>
      </c>
      <c r="K1925" s="13" t="s">
        <v>117</v>
      </c>
      <c r="L1925" s="34" t="str">
        <f>VLOOKUP(D1925,Products!$A$2:$F$61,3,FALSE)</f>
        <v>Sports</v>
      </c>
      <c r="M1925" s="34" t="str">
        <f>VLOOKUP(C1925,Customers!$A$2:$F$301,5,FALSE)</f>
        <v>Retail</v>
      </c>
      <c r="N1925" s="34">
        <f>VLOOKUP(C1925,Customers!$A$2:$F$301,3,FALSE)</f>
        <v>27</v>
      </c>
      <c r="O1925" s="34" t="str">
        <f>VLOOKUP(E1925,Sales_Reps!$A$2:$E$31,3,FALSE)</f>
        <v>North</v>
      </c>
      <c r="P1925" s="13" t="s">
        <v>148</v>
      </c>
      <c r="Q1925" s="34">
        <f t="shared" si="64"/>
        <v>986692.91</v>
      </c>
      <c r="R1925" s="34" t="str">
        <f>VLOOKUP(E1925,Sales_Reps!$A$2:$E$100,3,FALSE)</f>
        <v>North</v>
      </c>
      <c r="S1925" s="34" t="str">
        <f t="shared" si="65"/>
        <v>Sports</v>
      </c>
      <c r="T1925" s="38">
        <f>VLOOKUP(D1925,Products!$A$2:$F$68,4,FALSE)</f>
        <v>1860</v>
      </c>
    </row>
    <row r="1926" spans="1:20" x14ac:dyDescent="0.35">
      <c r="A1926" s="13" t="s">
        <v>2424</v>
      </c>
      <c r="B1926" s="14">
        <v>45381</v>
      </c>
      <c r="C1926" s="13" t="s">
        <v>1308</v>
      </c>
      <c r="D1926" s="13" t="s">
        <v>85</v>
      </c>
      <c r="E1926" s="13" t="s">
        <v>154</v>
      </c>
      <c r="F1926" s="15">
        <v>2</v>
      </c>
      <c r="G1926" s="15">
        <v>3620</v>
      </c>
      <c r="H1926" s="15">
        <v>23</v>
      </c>
      <c r="I1926" s="15">
        <v>5574.8</v>
      </c>
      <c r="J1926" s="13" t="s">
        <v>87</v>
      </c>
      <c r="K1926" s="13" t="s">
        <v>94</v>
      </c>
      <c r="L1926" s="34" t="str">
        <f>VLOOKUP(D1926,Products!$A$2:$F$61,3,FALSE)</f>
        <v>Apparel</v>
      </c>
      <c r="M1926" s="34" t="str">
        <f>VLOOKUP(C1926,Customers!$A$2:$F$301,5,FALSE)</f>
        <v>SMB</v>
      </c>
      <c r="N1926" s="34">
        <f>VLOOKUP(C1926,Customers!$A$2:$F$301,3,FALSE)</f>
        <v>51</v>
      </c>
      <c r="O1926" s="34" t="str">
        <f>VLOOKUP(E1926,Sales_Reps!$A$2:$E$31,3,FALSE)</f>
        <v>East</v>
      </c>
      <c r="P1926" s="13" t="s">
        <v>154</v>
      </c>
      <c r="Q1926" s="34">
        <f t="shared" si="64"/>
        <v>983787.4800000001</v>
      </c>
      <c r="R1926" s="34" t="str">
        <f>VLOOKUP(E1926,Sales_Reps!$A$2:$E$100,3,FALSE)</f>
        <v>East</v>
      </c>
      <c r="S1926" s="34" t="str">
        <f t="shared" si="65"/>
        <v>Apparel</v>
      </c>
      <c r="T1926" s="38">
        <f>VLOOKUP(D1926,Products!$A$2:$F$68,4,FALSE)</f>
        <v>2509</v>
      </c>
    </row>
    <row r="1927" spans="1:20" x14ac:dyDescent="0.35">
      <c r="A1927" s="13" t="s">
        <v>2425</v>
      </c>
      <c r="B1927" s="14">
        <v>45536</v>
      </c>
      <c r="C1927" s="13" t="s">
        <v>707</v>
      </c>
      <c r="D1927" s="13" t="s">
        <v>443</v>
      </c>
      <c r="E1927" s="13" t="s">
        <v>158</v>
      </c>
      <c r="F1927" s="15">
        <v>9</v>
      </c>
      <c r="G1927" s="15">
        <v>5080</v>
      </c>
      <c r="H1927" s="15">
        <v>19.899999999999999</v>
      </c>
      <c r="I1927" s="15">
        <v>36621.72</v>
      </c>
      <c r="J1927" s="13" t="s">
        <v>87</v>
      </c>
      <c r="K1927" s="13" t="s">
        <v>112</v>
      </c>
      <c r="L1927" s="34" t="str">
        <f>VLOOKUP(D1927,Products!$A$2:$F$61,3,FALSE)</f>
        <v>Home</v>
      </c>
      <c r="M1927" s="34" t="str">
        <f>VLOOKUP(C1927,Customers!$A$2:$F$301,5,FALSE)</f>
        <v>Retail</v>
      </c>
      <c r="N1927" s="34">
        <f>VLOOKUP(C1927,Customers!$A$2:$F$301,3,FALSE)</f>
        <v>33</v>
      </c>
      <c r="O1927" s="34" t="str">
        <f>VLOOKUP(E1927,Sales_Reps!$A$2:$E$31,3,FALSE)</f>
        <v>East</v>
      </c>
      <c r="P1927" s="13" t="s">
        <v>158</v>
      </c>
      <c r="Q1927" s="34">
        <f t="shared" si="64"/>
        <v>761507.17000000027</v>
      </c>
      <c r="R1927" s="34" t="str">
        <f>VLOOKUP(E1927,Sales_Reps!$A$2:$E$100,3,FALSE)</f>
        <v>East</v>
      </c>
      <c r="S1927" s="34" t="str">
        <f t="shared" si="65"/>
        <v>Home</v>
      </c>
      <c r="T1927" s="38">
        <f>VLOOKUP(D1927,Products!$A$2:$F$68,4,FALSE)</f>
        <v>2459</v>
      </c>
    </row>
    <row r="1928" spans="1:20" x14ac:dyDescent="0.35">
      <c r="A1928" s="13" t="s">
        <v>2426</v>
      </c>
      <c r="B1928" s="14">
        <v>45561</v>
      </c>
      <c r="C1928" s="13" t="s">
        <v>394</v>
      </c>
      <c r="D1928" s="13" t="s">
        <v>659</v>
      </c>
      <c r="E1928" s="13" t="s">
        <v>116</v>
      </c>
      <c r="F1928" s="15">
        <v>2</v>
      </c>
      <c r="G1928" s="15">
        <v>3560</v>
      </c>
      <c r="H1928" s="15">
        <v>5.5</v>
      </c>
      <c r="I1928" s="15">
        <v>6728.4</v>
      </c>
      <c r="J1928" s="13" t="s">
        <v>87</v>
      </c>
      <c r="K1928" s="13" t="s">
        <v>117</v>
      </c>
      <c r="L1928" s="34" t="str">
        <f>VLOOKUP(D1928,Products!$A$2:$F$61,3,FALSE)</f>
        <v>Apparel</v>
      </c>
      <c r="M1928" s="34" t="str">
        <f>VLOOKUP(C1928,Customers!$A$2:$F$301,5,FALSE)</f>
        <v>SMB</v>
      </c>
      <c r="N1928" s="34">
        <f>VLOOKUP(C1928,Customers!$A$2:$F$301,3,FALSE)</f>
        <v>28</v>
      </c>
      <c r="O1928" s="34" t="str">
        <f>VLOOKUP(E1928,Sales_Reps!$A$2:$E$31,3,FALSE)</f>
        <v>West</v>
      </c>
      <c r="P1928" s="13" t="s">
        <v>116</v>
      </c>
      <c r="Q1928" s="34">
        <f t="shared" si="64"/>
        <v>819558.58</v>
      </c>
      <c r="R1928" s="34" t="str">
        <f>VLOOKUP(E1928,Sales_Reps!$A$2:$E$100,3,FALSE)</f>
        <v>West</v>
      </c>
      <c r="S1928" s="34" t="str">
        <f t="shared" si="65"/>
        <v>Apparel</v>
      </c>
      <c r="T1928" s="38">
        <f>VLOOKUP(D1928,Products!$A$2:$F$68,4,FALSE)</f>
        <v>2629</v>
      </c>
    </row>
    <row r="1929" spans="1:20" x14ac:dyDescent="0.35">
      <c r="A1929" s="13" t="s">
        <v>2427</v>
      </c>
      <c r="B1929" s="14">
        <v>45349</v>
      </c>
      <c r="C1929" s="13" t="s">
        <v>555</v>
      </c>
      <c r="D1929" s="13" t="s">
        <v>127</v>
      </c>
      <c r="E1929" s="13" t="s">
        <v>215</v>
      </c>
      <c r="F1929" s="15">
        <v>6</v>
      </c>
      <c r="G1929" s="15">
        <v>970</v>
      </c>
      <c r="H1929" s="15">
        <v>22.5</v>
      </c>
      <c r="I1929" s="15">
        <v>4510.5</v>
      </c>
      <c r="J1929" s="13" t="s">
        <v>144</v>
      </c>
      <c r="K1929" s="13" t="s">
        <v>112</v>
      </c>
      <c r="L1929" s="34" t="str">
        <f>VLOOKUP(D1929,Products!$A$2:$F$61,3,FALSE)</f>
        <v>Grocery</v>
      </c>
      <c r="M1929" s="34" t="str">
        <f>VLOOKUP(C1929,Customers!$A$2:$F$301,5,FALSE)</f>
        <v>Retail</v>
      </c>
      <c r="N1929" s="34">
        <f>VLOOKUP(C1929,Customers!$A$2:$F$301,3,FALSE)</f>
        <v>37</v>
      </c>
      <c r="O1929" s="34" t="str">
        <f>VLOOKUP(E1929,Sales_Reps!$A$2:$E$31,3,FALSE)</f>
        <v>North</v>
      </c>
      <c r="P1929" s="13" t="s">
        <v>215</v>
      </c>
      <c r="Q1929" s="34">
        <f t="shared" si="64"/>
        <v>789849.60000000009</v>
      </c>
      <c r="R1929" s="34" t="str">
        <f>VLOOKUP(E1929,Sales_Reps!$A$2:$E$100,3,FALSE)</f>
        <v>North</v>
      </c>
      <c r="S1929" s="34" t="str">
        <f t="shared" si="65"/>
        <v>Grocery</v>
      </c>
      <c r="T1929" s="38">
        <f>VLOOKUP(D1929,Products!$A$2:$F$68,4,FALSE)</f>
        <v>434</v>
      </c>
    </row>
    <row r="1930" spans="1:20" x14ac:dyDescent="0.35">
      <c r="A1930" s="13" t="s">
        <v>2428</v>
      </c>
      <c r="B1930" s="14">
        <v>45650</v>
      </c>
      <c r="C1930" s="13" t="s">
        <v>956</v>
      </c>
      <c r="D1930" s="13" t="s">
        <v>179</v>
      </c>
      <c r="E1930" s="13" t="s">
        <v>98</v>
      </c>
      <c r="F1930" s="15">
        <v>9</v>
      </c>
      <c r="G1930" s="15">
        <v>3350</v>
      </c>
      <c r="H1930" s="15">
        <v>5.0999999999999996</v>
      </c>
      <c r="I1930" s="15">
        <v>28612.35</v>
      </c>
      <c r="J1930" s="13" t="s">
        <v>87</v>
      </c>
      <c r="K1930" s="13" t="s">
        <v>112</v>
      </c>
      <c r="L1930" s="34" t="str">
        <f>VLOOKUP(D1930,Products!$A$2:$F$61,3,FALSE)</f>
        <v>Beauty</v>
      </c>
      <c r="M1930" s="34" t="str">
        <f>VLOOKUP(C1930,Customers!$A$2:$F$301,5,FALSE)</f>
        <v>Retail</v>
      </c>
      <c r="N1930" s="34">
        <f>VLOOKUP(C1930,Customers!$A$2:$F$301,3,FALSE)</f>
        <v>49</v>
      </c>
      <c r="O1930" s="34" t="str">
        <f>VLOOKUP(E1930,Sales_Reps!$A$2:$E$31,3,FALSE)</f>
        <v>South</v>
      </c>
      <c r="P1930" s="13" t="s">
        <v>98</v>
      </c>
      <c r="Q1930" s="34">
        <f t="shared" si="64"/>
        <v>995713.54000000015</v>
      </c>
      <c r="R1930" s="34" t="str">
        <f>VLOOKUP(E1930,Sales_Reps!$A$2:$E$100,3,FALSE)</f>
        <v>South</v>
      </c>
      <c r="S1930" s="34" t="str">
        <f t="shared" si="65"/>
        <v>Beauty</v>
      </c>
      <c r="T1930" s="38">
        <f>VLOOKUP(D1930,Products!$A$2:$F$68,4,FALSE)</f>
        <v>1728</v>
      </c>
    </row>
    <row r="1931" spans="1:20" x14ac:dyDescent="0.35">
      <c r="A1931" s="13" t="s">
        <v>2429</v>
      </c>
      <c r="B1931" s="14">
        <v>45525</v>
      </c>
      <c r="C1931" s="13" t="s">
        <v>2430</v>
      </c>
      <c r="D1931" s="13" t="s">
        <v>110</v>
      </c>
      <c r="E1931" s="13" t="s">
        <v>273</v>
      </c>
      <c r="F1931" s="15">
        <v>6</v>
      </c>
      <c r="G1931" s="15">
        <v>370</v>
      </c>
      <c r="H1931" s="15">
        <v>17.8</v>
      </c>
      <c r="I1931" s="15">
        <v>1824.84</v>
      </c>
      <c r="J1931" s="13" t="s">
        <v>87</v>
      </c>
      <c r="K1931" s="13" t="s">
        <v>112</v>
      </c>
      <c r="L1931" s="34" t="str">
        <f>VLOOKUP(D1931,Products!$A$2:$F$61,3,FALSE)</f>
        <v>Home</v>
      </c>
      <c r="M1931" s="34" t="e">
        <f>VLOOKUP(C1931,Customers!$A$2:$F$301,5,FALSE)</f>
        <v>#N/A</v>
      </c>
      <c r="N1931" s="34" t="e">
        <f>VLOOKUP(C1931,Customers!$A$2:$F$301,3,FALSE)</f>
        <v>#N/A</v>
      </c>
      <c r="O1931" s="34" t="str">
        <f>VLOOKUP(E1931,Sales_Reps!$A$2:$E$31,3,FALSE)</f>
        <v>South</v>
      </c>
      <c r="P1931" s="13" t="s">
        <v>273</v>
      </c>
      <c r="Q1931" s="34">
        <f t="shared" si="64"/>
        <v>735207.75999999989</v>
      </c>
      <c r="R1931" s="34" t="str">
        <f>VLOOKUP(E1931,Sales_Reps!$A$2:$E$100,3,FALSE)</f>
        <v>South</v>
      </c>
      <c r="S1931" s="34" t="str">
        <f t="shared" si="65"/>
        <v>Home</v>
      </c>
      <c r="T1931" s="38">
        <f>VLOOKUP(D1931,Products!$A$2:$F$68,4,FALSE)</f>
        <v>288</v>
      </c>
    </row>
    <row r="1932" spans="1:20" x14ac:dyDescent="0.35">
      <c r="A1932" s="13" t="s">
        <v>2431</v>
      </c>
      <c r="B1932" s="14">
        <v>45365</v>
      </c>
      <c r="C1932" s="13" t="s">
        <v>266</v>
      </c>
      <c r="D1932" s="13" t="s">
        <v>131</v>
      </c>
      <c r="E1932" s="13" t="s">
        <v>273</v>
      </c>
      <c r="F1932" s="15">
        <v>3</v>
      </c>
      <c r="G1932" s="15">
        <v>2270</v>
      </c>
      <c r="H1932" s="15">
        <v>8.4</v>
      </c>
      <c r="I1932" s="15">
        <v>6237.96</v>
      </c>
      <c r="J1932" s="13" t="s">
        <v>93</v>
      </c>
      <c r="K1932" s="13" t="s">
        <v>99</v>
      </c>
      <c r="L1932" s="34" t="str">
        <f>VLOOKUP(D1932,Products!$A$2:$F$61,3,FALSE)</f>
        <v>Grocery</v>
      </c>
      <c r="M1932" s="34" t="str">
        <f>VLOOKUP(C1932,Customers!$A$2:$F$301,5,FALSE)</f>
        <v>Corporate</v>
      </c>
      <c r="N1932" s="34">
        <f>VLOOKUP(C1932,Customers!$A$2:$F$301,3,FALSE)</f>
        <v>55</v>
      </c>
      <c r="O1932" s="34" t="str">
        <f>VLOOKUP(E1932,Sales_Reps!$A$2:$E$31,3,FALSE)</f>
        <v>South</v>
      </c>
      <c r="P1932" s="13" t="s">
        <v>273</v>
      </c>
      <c r="Q1932" s="34">
        <f t="shared" si="64"/>
        <v>735207.75999999989</v>
      </c>
      <c r="R1932" s="34" t="str">
        <f>VLOOKUP(E1932,Sales_Reps!$A$2:$E$100,3,FALSE)</f>
        <v>South</v>
      </c>
      <c r="S1932" s="34" t="str">
        <f t="shared" si="65"/>
        <v>Grocery</v>
      </c>
      <c r="T1932" s="38">
        <f>VLOOKUP(D1932,Products!$A$2:$F$68,4,FALSE)</f>
        <v>1203</v>
      </c>
    </row>
    <row r="1933" spans="1:20" x14ac:dyDescent="0.35">
      <c r="A1933" s="13" t="s">
        <v>2432</v>
      </c>
      <c r="B1933" s="14">
        <v>45464</v>
      </c>
      <c r="C1933" s="13" t="s">
        <v>567</v>
      </c>
      <c r="D1933" s="13" t="s">
        <v>161</v>
      </c>
      <c r="E1933" s="13" t="s">
        <v>158</v>
      </c>
      <c r="F1933" s="15">
        <v>3</v>
      </c>
      <c r="G1933" s="15">
        <v>3450</v>
      </c>
      <c r="H1933" s="15">
        <v>7.2</v>
      </c>
      <c r="I1933" s="15">
        <v>9604.7999999999993</v>
      </c>
      <c r="J1933" s="13" t="s">
        <v>87</v>
      </c>
      <c r="K1933" s="13" t="s">
        <v>117</v>
      </c>
      <c r="L1933" s="34" t="str">
        <f>VLOOKUP(D1933,Products!$A$2:$F$61,3,FALSE)</f>
        <v>Sports</v>
      </c>
      <c r="M1933" s="34" t="str">
        <f>VLOOKUP(C1933,Customers!$A$2:$F$301,5,FALSE)</f>
        <v>Corporate</v>
      </c>
      <c r="N1933" s="34">
        <f>VLOOKUP(C1933,Customers!$A$2:$F$301,3,FALSE)</f>
        <v>41</v>
      </c>
      <c r="O1933" s="34" t="str">
        <f>VLOOKUP(E1933,Sales_Reps!$A$2:$E$31,3,FALSE)</f>
        <v>East</v>
      </c>
      <c r="P1933" s="13" t="s">
        <v>158</v>
      </c>
      <c r="Q1933" s="34">
        <f t="shared" si="64"/>
        <v>761507.17000000027</v>
      </c>
      <c r="R1933" s="34" t="str">
        <f>VLOOKUP(E1933,Sales_Reps!$A$2:$E$100,3,FALSE)</f>
        <v>East</v>
      </c>
      <c r="S1933" s="34" t="str">
        <f t="shared" si="65"/>
        <v>Sports</v>
      </c>
      <c r="T1933" s="38">
        <f>VLOOKUP(D1933,Products!$A$2:$F$68,4,FALSE)</f>
        <v>2467</v>
      </c>
    </row>
    <row r="1934" spans="1:20" x14ac:dyDescent="0.35">
      <c r="A1934" s="13" t="s">
        <v>2433</v>
      </c>
      <c r="B1934" s="14">
        <v>45633</v>
      </c>
      <c r="C1934" s="13" t="s">
        <v>299</v>
      </c>
      <c r="D1934" s="13" t="s">
        <v>182</v>
      </c>
      <c r="E1934" s="13" t="s">
        <v>107</v>
      </c>
      <c r="F1934" s="15">
        <v>9</v>
      </c>
      <c r="G1934" s="15">
        <v>1010</v>
      </c>
      <c r="H1934" s="15">
        <v>17.8</v>
      </c>
      <c r="I1934" s="15">
        <v>7471.98</v>
      </c>
      <c r="J1934" s="13" t="s">
        <v>87</v>
      </c>
      <c r="K1934" s="13" t="s">
        <v>133</v>
      </c>
      <c r="L1934" s="34" t="str">
        <f>VLOOKUP(D1934,Products!$A$2:$F$61,3,FALSE)</f>
        <v>Sports</v>
      </c>
      <c r="M1934" s="34" t="str">
        <f>VLOOKUP(C1934,Customers!$A$2:$F$301,5,FALSE)</f>
        <v>Retail</v>
      </c>
      <c r="N1934" s="34">
        <f>VLOOKUP(C1934,Customers!$A$2:$F$301,3,FALSE)</f>
        <v>29</v>
      </c>
      <c r="O1934" s="34" t="str">
        <f>VLOOKUP(E1934,Sales_Reps!$A$2:$E$31,3,FALSE)</f>
        <v>North</v>
      </c>
      <c r="P1934" s="13" t="s">
        <v>107</v>
      </c>
      <c r="Q1934" s="34">
        <f t="shared" si="64"/>
        <v>861553.33</v>
      </c>
      <c r="R1934" s="34" t="str">
        <f>VLOOKUP(E1934,Sales_Reps!$A$2:$E$100,3,FALSE)</f>
        <v>North</v>
      </c>
      <c r="S1934" s="34" t="str">
        <f t="shared" si="65"/>
        <v>Sports</v>
      </c>
      <c r="T1934" s="38">
        <f>VLOOKUP(D1934,Products!$A$2:$F$68,4,FALSE)</f>
        <v>516</v>
      </c>
    </row>
    <row r="1935" spans="1:20" x14ac:dyDescent="0.35">
      <c r="A1935" s="13" t="s">
        <v>2434</v>
      </c>
      <c r="B1935" s="14">
        <v>45373</v>
      </c>
      <c r="C1935" s="13" t="s">
        <v>1036</v>
      </c>
      <c r="D1935" s="13" t="s">
        <v>270</v>
      </c>
      <c r="E1935" s="13" t="s">
        <v>148</v>
      </c>
      <c r="F1935" s="15">
        <v>5</v>
      </c>
      <c r="G1935" s="15">
        <v>4610</v>
      </c>
      <c r="H1935" s="15">
        <v>29.8</v>
      </c>
      <c r="I1935" s="15">
        <v>16181.1</v>
      </c>
      <c r="J1935" s="13" t="s">
        <v>140</v>
      </c>
      <c r="K1935" s="13" t="s">
        <v>112</v>
      </c>
      <c r="L1935" s="34" t="str">
        <f>VLOOKUP(D1935,Products!$A$2:$F$61,3,FALSE)</f>
        <v>Home</v>
      </c>
      <c r="M1935" s="34" t="str">
        <f>VLOOKUP(C1935,Customers!$A$2:$F$301,5,FALSE)</f>
        <v>Retail</v>
      </c>
      <c r="N1935" s="34">
        <f>VLOOKUP(C1935,Customers!$A$2:$F$301,3,FALSE)</f>
        <v>33</v>
      </c>
      <c r="O1935" s="34" t="str">
        <f>VLOOKUP(E1935,Sales_Reps!$A$2:$E$31,3,FALSE)</f>
        <v>North</v>
      </c>
      <c r="P1935" s="13" t="s">
        <v>148</v>
      </c>
      <c r="Q1935" s="34">
        <f t="shared" si="64"/>
        <v>986692.91</v>
      </c>
      <c r="R1935" s="34" t="str">
        <f>VLOOKUP(E1935,Sales_Reps!$A$2:$E$100,3,FALSE)</f>
        <v>North</v>
      </c>
      <c r="S1935" s="34" t="str">
        <f t="shared" si="65"/>
        <v>Home</v>
      </c>
      <c r="T1935" s="38">
        <f>VLOOKUP(D1935,Products!$A$2:$F$68,4,FALSE)</f>
        <v>1850</v>
      </c>
    </row>
    <row r="1936" spans="1:20" x14ac:dyDescent="0.35">
      <c r="A1936" s="13" t="s">
        <v>2435</v>
      </c>
      <c r="B1936" s="14">
        <v>45497</v>
      </c>
      <c r="C1936" s="13" t="s">
        <v>490</v>
      </c>
      <c r="D1936" s="13" t="s">
        <v>110</v>
      </c>
      <c r="E1936" s="13" t="s">
        <v>148</v>
      </c>
      <c r="F1936" s="15">
        <v>6</v>
      </c>
      <c r="G1936" s="15">
        <v>370</v>
      </c>
      <c r="H1936" s="15">
        <v>17.899999999999999</v>
      </c>
      <c r="I1936" s="15">
        <v>1822.62</v>
      </c>
      <c r="J1936" s="13" t="s">
        <v>87</v>
      </c>
      <c r="K1936" s="13" t="s">
        <v>99</v>
      </c>
      <c r="L1936" s="34" t="str">
        <f>VLOOKUP(D1936,Products!$A$2:$F$61,3,FALSE)</f>
        <v>Home</v>
      </c>
      <c r="M1936" s="34" t="str">
        <f>VLOOKUP(C1936,Customers!$A$2:$F$301,5,FALSE)</f>
        <v>Retail</v>
      </c>
      <c r="N1936" s="34">
        <f>VLOOKUP(C1936,Customers!$A$2:$F$301,3,FALSE)</f>
        <v>59</v>
      </c>
      <c r="O1936" s="34" t="str">
        <f>VLOOKUP(E1936,Sales_Reps!$A$2:$E$31,3,FALSE)</f>
        <v>North</v>
      </c>
      <c r="P1936" s="13" t="s">
        <v>148</v>
      </c>
      <c r="Q1936" s="34">
        <f t="shared" si="64"/>
        <v>986692.91</v>
      </c>
      <c r="R1936" s="34" t="str">
        <f>VLOOKUP(E1936,Sales_Reps!$A$2:$E$100,3,FALSE)</f>
        <v>North</v>
      </c>
      <c r="S1936" s="34" t="str">
        <f t="shared" si="65"/>
        <v>Home</v>
      </c>
      <c r="T1936" s="38">
        <f>VLOOKUP(D1936,Products!$A$2:$F$68,4,FALSE)</f>
        <v>288</v>
      </c>
    </row>
    <row r="1937" spans="1:20" x14ac:dyDescent="0.35">
      <c r="A1937" s="13" t="s">
        <v>2436</v>
      </c>
      <c r="B1937" s="14">
        <v>45352</v>
      </c>
      <c r="C1937" s="13" t="s">
        <v>405</v>
      </c>
      <c r="D1937" s="13" t="s">
        <v>367</v>
      </c>
      <c r="E1937" s="13" t="s">
        <v>201</v>
      </c>
      <c r="F1937" s="15">
        <v>6</v>
      </c>
      <c r="G1937" s="15">
        <v>2380</v>
      </c>
      <c r="H1937" s="15">
        <v>13.6</v>
      </c>
      <c r="I1937" s="15">
        <v>12337.92</v>
      </c>
      <c r="J1937" s="13" t="s">
        <v>140</v>
      </c>
      <c r="K1937" s="13" t="s">
        <v>94</v>
      </c>
      <c r="L1937" s="34" t="str">
        <f>VLOOKUP(D1937,Products!$A$2:$F$61,3,FALSE)</f>
        <v>Grocery</v>
      </c>
      <c r="M1937" s="34" t="str">
        <f>VLOOKUP(C1937,Customers!$A$2:$F$301,5,FALSE)</f>
        <v>Corporate</v>
      </c>
      <c r="N1937" s="34">
        <f>VLOOKUP(C1937,Customers!$A$2:$F$301,3,FALSE)</f>
        <v>24</v>
      </c>
      <c r="O1937" s="34" t="str">
        <f>VLOOKUP(E1937,Sales_Reps!$A$2:$E$31,3,FALSE)</f>
        <v>West</v>
      </c>
      <c r="P1937" s="13" t="s">
        <v>201</v>
      </c>
      <c r="Q1937" s="34">
        <f t="shared" si="64"/>
        <v>576305.08000000019</v>
      </c>
      <c r="R1937" s="34" t="str">
        <f>VLOOKUP(E1937,Sales_Reps!$A$2:$E$100,3,FALSE)</f>
        <v>West</v>
      </c>
      <c r="S1937" s="34" t="str">
        <f t="shared" si="65"/>
        <v>Grocery</v>
      </c>
      <c r="T1937" s="38">
        <f>VLOOKUP(D1937,Products!$A$2:$F$68,4,FALSE)</f>
        <v>1182</v>
      </c>
    </row>
    <row r="1938" spans="1:20" x14ac:dyDescent="0.35">
      <c r="A1938" s="13" t="s">
        <v>2437</v>
      </c>
      <c r="B1938" s="14">
        <v>45379</v>
      </c>
      <c r="C1938" s="13" t="s">
        <v>175</v>
      </c>
      <c r="D1938" s="13" t="s">
        <v>380</v>
      </c>
      <c r="E1938" s="13" t="s">
        <v>154</v>
      </c>
      <c r="F1938" s="15">
        <v>6</v>
      </c>
      <c r="G1938" s="15">
        <v>960</v>
      </c>
      <c r="H1938" s="15">
        <v>15</v>
      </c>
      <c r="I1938" s="15">
        <v>4896</v>
      </c>
      <c r="J1938" s="13" t="s">
        <v>93</v>
      </c>
      <c r="K1938" s="13" t="s">
        <v>133</v>
      </c>
      <c r="L1938" s="34" t="str">
        <f>VLOOKUP(D1938,Products!$A$2:$F$61,3,FALSE)</f>
        <v>Beauty</v>
      </c>
      <c r="M1938" s="34" t="str">
        <f>VLOOKUP(C1938,Customers!$A$2:$F$301,5,FALSE)</f>
        <v>SMB</v>
      </c>
      <c r="N1938" s="34">
        <f>VLOOKUP(C1938,Customers!$A$2:$F$301,3,FALSE)</f>
        <v>40</v>
      </c>
      <c r="O1938" s="34" t="str">
        <f>VLOOKUP(E1938,Sales_Reps!$A$2:$E$31,3,FALSE)</f>
        <v>East</v>
      </c>
      <c r="P1938" s="13" t="s">
        <v>154</v>
      </c>
      <c r="Q1938" s="34">
        <f t="shared" si="64"/>
        <v>983787.4800000001</v>
      </c>
      <c r="R1938" s="34" t="str">
        <f>VLOOKUP(E1938,Sales_Reps!$A$2:$E$100,3,FALSE)</f>
        <v>East</v>
      </c>
      <c r="S1938" s="34" t="str">
        <f t="shared" si="65"/>
        <v>Beauty</v>
      </c>
      <c r="T1938" s="38">
        <f>VLOOKUP(D1938,Products!$A$2:$F$68,4,FALSE)</f>
        <v>675</v>
      </c>
    </row>
    <row r="1939" spans="1:20" x14ac:dyDescent="0.35">
      <c r="A1939" s="13" t="s">
        <v>2438</v>
      </c>
      <c r="B1939" s="14">
        <v>45422</v>
      </c>
      <c r="C1939" s="13" t="s">
        <v>720</v>
      </c>
      <c r="D1939" s="13" t="s">
        <v>115</v>
      </c>
      <c r="E1939" s="13" t="s">
        <v>297</v>
      </c>
      <c r="F1939" s="15">
        <v>3</v>
      </c>
      <c r="G1939" s="15">
        <v>960</v>
      </c>
      <c r="H1939" s="15">
        <v>12.3</v>
      </c>
      <c r="I1939" s="15">
        <v>2525.7600000000002</v>
      </c>
      <c r="J1939" s="13" t="s">
        <v>87</v>
      </c>
      <c r="K1939" s="13" t="s">
        <v>88</v>
      </c>
      <c r="L1939" s="34" t="str">
        <f>VLOOKUP(D1939,Products!$A$2:$F$61,3,FALSE)</f>
        <v>Sports</v>
      </c>
      <c r="M1939" s="34" t="str">
        <f>VLOOKUP(C1939,Customers!$A$2:$F$301,5,FALSE)</f>
        <v>Retail</v>
      </c>
      <c r="N1939" s="34">
        <f>VLOOKUP(C1939,Customers!$A$2:$F$301,3,FALSE)</f>
        <v>48</v>
      </c>
      <c r="O1939" s="34" t="str">
        <f>VLOOKUP(E1939,Sales_Reps!$A$2:$E$31,3,FALSE)</f>
        <v>North</v>
      </c>
      <c r="P1939" s="13" t="s">
        <v>297</v>
      </c>
      <c r="Q1939" s="34">
        <f t="shared" si="64"/>
        <v>980063.65999999968</v>
      </c>
      <c r="R1939" s="34" t="str">
        <f>VLOOKUP(E1939,Sales_Reps!$A$2:$E$100,3,FALSE)</f>
        <v>North</v>
      </c>
      <c r="S1939" s="34" t="str">
        <f t="shared" si="65"/>
        <v>Sports</v>
      </c>
      <c r="T1939" s="38">
        <f>VLOOKUP(D1939,Products!$A$2:$F$68,4,FALSE)</f>
        <v>705</v>
      </c>
    </row>
    <row r="1940" spans="1:20" x14ac:dyDescent="0.35">
      <c r="A1940" s="13" t="s">
        <v>2439</v>
      </c>
      <c r="B1940" s="14">
        <v>45413</v>
      </c>
      <c r="C1940" s="13" t="s">
        <v>557</v>
      </c>
      <c r="D1940" s="13" t="s">
        <v>292</v>
      </c>
      <c r="E1940" s="13" t="s">
        <v>229</v>
      </c>
      <c r="F1940" s="15">
        <v>7</v>
      </c>
      <c r="G1940" s="15">
        <v>620</v>
      </c>
      <c r="H1940" s="15">
        <v>5.8</v>
      </c>
      <c r="I1940" s="15">
        <v>4088.28</v>
      </c>
      <c r="J1940" s="13" t="s">
        <v>87</v>
      </c>
      <c r="K1940" s="13" t="s">
        <v>112</v>
      </c>
      <c r="L1940" s="34" t="str">
        <f>VLOOKUP(D1940,Products!$A$2:$F$61,3,FALSE)</f>
        <v>Apparel</v>
      </c>
      <c r="M1940" s="34" t="str">
        <f>VLOOKUP(C1940,Customers!$A$2:$F$301,5,FALSE)</f>
        <v>Retail</v>
      </c>
      <c r="N1940" s="34">
        <f>VLOOKUP(C1940,Customers!$A$2:$F$301,3,FALSE)</f>
        <v>65</v>
      </c>
      <c r="O1940" s="34" t="str">
        <f>VLOOKUP(E1940,Sales_Reps!$A$2:$E$31,3,FALSE)</f>
        <v>West</v>
      </c>
      <c r="P1940" s="13" t="s">
        <v>229</v>
      </c>
      <c r="Q1940" s="34">
        <f t="shared" si="64"/>
        <v>1016696.8000000002</v>
      </c>
      <c r="R1940" s="34" t="str">
        <f>VLOOKUP(E1940,Sales_Reps!$A$2:$E$100,3,FALSE)</f>
        <v>West</v>
      </c>
      <c r="S1940" s="34" t="str">
        <f t="shared" si="65"/>
        <v>Apparel</v>
      </c>
      <c r="T1940" s="38">
        <f>VLOOKUP(D1940,Products!$A$2:$F$68,4,FALSE)</f>
        <v>396</v>
      </c>
    </row>
    <row r="1941" spans="1:20" x14ac:dyDescent="0.35">
      <c r="A1941" s="13" t="s">
        <v>2440</v>
      </c>
      <c r="B1941" s="14">
        <v>45467</v>
      </c>
      <c r="C1941" s="13" t="s">
        <v>735</v>
      </c>
      <c r="D1941" s="13" t="s">
        <v>115</v>
      </c>
      <c r="E1941" s="13" t="s">
        <v>192</v>
      </c>
      <c r="F1941" s="15">
        <v>1</v>
      </c>
      <c r="G1941" s="15">
        <v>960</v>
      </c>
      <c r="H1941" s="15">
        <v>4.5999999999999996</v>
      </c>
      <c r="I1941" s="15">
        <v>915.84</v>
      </c>
      <c r="J1941" s="13" t="s">
        <v>87</v>
      </c>
      <c r="K1941" s="13" t="s">
        <v>88</v>
      </c>
      <c r="L1941" s="34" t="str">
        <f>VLOOKUP(D1941,Products!$A$2:$F$61,3,FALSE)</f>
        <v>Sports</v>
      </c>
      <c r="M1941" s="34" t="str">
        <f>VLOOKUP(C1941,Customers!$A$2:$F$301,5,FALSE)</f>
        <v>Retail</v>
      </c>
      <c r="N1941" s="34">
        <f>VLOOKUP(C1941,Customers!$A$2:$F$301,3,FALSE)</f>
        <v>54</v>
      </c>
      <c r="O1941" s="34" t="str">
        <f>VLOOKUP(E1941,Sales_Reps!$A$2:$E$31,3,FALSE)</f>
        <v>East</v>
      </c>
      <c r="P1941" s="13" t="s">
        <v>192</v>
      </c>
      <c r="Q1941" s="34">
        <f t="shared" si="64"/>
        <v>906107.71000000008</v>
      </c>
      <c r="R1941" s="34" t="str">
        <f>VLOOKUP(E1941,Sales_Reps!$A$2:$E$100,3,FALSE)</f>
        <v>East</v>
      </c>
      <c r="S1941" s="34" t="str">
        <f t="shared" si="65"/>
        <v>Sports</v>
      </c>
      <c r="T1941" s="38">
        <f>VLOOKUP(D1941,Products!$A$2:$F$68,4,FALSE)</f>
        <v>705</v>
      </c>
    </row>
    <row r="1942" spans="1:20" x14ac:dyDescent="0.35">
      <c r="A1942" s="13" t="s">
        <v>2441</v>
      </c>
      <c r="B1942" s="14">
        <v>45520</v>
      </c>
      <c r="C1942" s="13" t="s">
        <v>493</v>
      </c>
      <c r="D1942" s="13" t="s">
        <v>157</v>
      </c>
      <c r="E1942" s="13" t="s">
        <v>128</v>
      </c>
      <c r="F1942" s="15">
        <v>4</v>
      </c>
      <c r="G1942" s="15">
        <v>3450</v>
      </c>
      <c r="H1942" s="15">
        <v>13.3</v>
      </c>
      <c r="I1942" s="15">
        <v>11964.6</v>
      </c>
      <c r="J1942" s="13" t="s">
        <v>87</v>
      </c>
      <c r="K1942" s="13" t="s">
        <v>88</v>
      </c>
      <c r="L1942" s="34" t="str">
        <f>VLOOKUP(D1942,Products!$A$2:$F$61,3,FALSE)</f>
        <v>Beauty</v>
      </c>
      <c r="M1942" s="34" t="str">
        <f>VLOOKUP(C1942,Customers!$A$2:$F$301,5,FALSE)</f>
        <v>Retail</v>
      </c>
      <c r="N1942" s="34">
        <f>VLOOKUP(C1942,Customers!$A$2:$F$301,3,FALSE)</f>
        <v>57</v>
      </c>
      <c r="O1942" s="34" t="str">
        <f>VLOOKUP(E1942,Sales_Reps!$A$2:$E$31,3,FALSE)</f>
        <v>West</v>
      </c>
      <c r="P1942" s="13" t="s">
        <v>128</v>
      </c>
      <c r="Q1942" s="34">
        <f t="shared" si="64"/>
        <v>880468.05</v>
      </c>
      <c r="R1942" s="34" t="str">
        <f>VLOOKUP(E1942,Sales_Reps!$A$2:$E$100,3,FALSE)</f>
        <v>West</v>
      </c>
      <c r="S1942" s="34" t="str">
        <f t="shared" si="65"/>
        <v>Beauty</v>
      </c>
      <c r="T1942" s="38">
        <f>VLOOKUP(D1942,Products!$A$2:$F$68,4,FALSE)</f>
        <v>2420</v>
      </c>
    </row>
    <row r="1943" spans="1:20" x14ac:dyDescent="0.35">
      <c r="A1943" s="13" t="s">
        <v>2442</v>
      </c>
      <c r="B1943" s="14">
        <v>45626</v>
      </c>
      <c r="C1943" s="13" t="s">
        <v>561</v>
      </c>
      <c r="D1943" s="13" t="s">
        <v>173</v>
      </c>
      <c r="E1943" s="13" t="s">
        <v>121</v>
      </c>
      <c r="F1943" s="15">
        <v>10</v>
      </c>
      <c r="G1943" s="15">
        <v>2720</v>
      </c>
      <c r="H1943" s="15">
        <v>3.4</v>
      </c>
      <c r="I1943" s="15">
        <v>26275.200000000001</v>
      </c>
      <c r="J1943" s="13" t="s">
        <v>87</v>
      </c>
      <c r="K1943" s="13" t="s">
        <v>133</v>
      </c>
      <c r="L1943" s="34" t="str">
        <f>VLOOKUP(D1943,Products!$A$2:$F$61,3,FALSE)</f>
        <v>Apparel</v>
      </c>
      <c r="M1943" s="34" t="str">
        <f>VLOOKUP(C1943,Customers!$A$2:$F$301,5,FALSE)</f>
        <v>SMB</v>
      </c>
      <c r="N1943" s="34">
        <f>VLOOKUP(C1943,Customers!$A$2:$F$301,3,FALSE)</f>
        <v>43</v>
      </c>
      <c r="O1943" s="34" t="str">
        <f>VLOOKUP(E1943,Sales_Reps!$A$2:$E$31,3,FALSE)</f>
        <v>East</v>
      </c>
      <c r="P1943" s="13" t="s">
        <v>121</v>
      </c>
      <c r="Q1943" s="34">
        <f t="shared" si="64"/>
        <v>971183.52000000014</v>
      </c>
      <c r="R1943" s="34" t="str">
        <f>VLOOKUP(E1943,Sales_Reps!$A$2:$E$100,3,FALSE)</f>
        <v>East</v>
      </c>
      <c r="S1943" s="34" t="str">
        <f t="shared" si="65"/>
        <v>Apparel</v>
      </c>
      <c r="T1943" s="38">
        <f>VLOOKUP(D1943,Products!$A$2:$F$68,4,FALSE)</f>
        <v>1962</v>
      </c>
    </row>
    <row r="1944" spans="1:20" x14ac:dyDescent="0.35">
      <c r="A1944" s="13" t="s">
        <v>2443</v>
      </c>
      <c r="B1944" s="14">
        <v>45452</v>
      </c>
      <c r="C1944" s="13" t="s">
        <v>617</v>
      </c>
      <c r="D1944" s="13" t="s">
        <v>157</v>
      </c>
      <c r="E1944" s="13" t="s">
        <v>121</v>
      </c>
      <c r="F1944" s="15">
        <v>1</v>
      </c>
      <c r="G1944" s="15">
        <v>3450</v>
      </c>
      <c r="H1944" s="15">
        <v>29.4</v>
      </c>
      <c r="I1944" s="15">
        <v>2435.6999999999998</v>
      </c>
      <c r="J1944" s="13" t="s">
        <v>87</v>
      </c>
      <c r="K1944" s="13" t="s">
        <v>112</v>
      </c>
      <c r="L1944" s="34" t="str">
        <f>VLOOKUP(D1944,Products!$A$2:$F$61,3,FALSE)</f>
        <v>Beauty</v>
      </c>
      <c r="M1944" s="34" t="str">
        <f>VLOOKUP(C1944,Customers!$A$2:$F$301,5,FALSE)</f>
        <v>SMB</v>
      </c>
      <c r="N1944" s="34">
        <f>VLOOKUP(C1944,Customers!$A$2:$F$301,3,FALSE)</f>
        <v>65</v>
      </c>
      <c r="O1944" s="34" t="str">
        <f>VLOOKUP(E1944,Sales_Reps!$A$2:$E$31,3,FALSE)</f>
        <v>East</v>
      </c>
      <c r="P1944" s="13" t="s">
        <v>121</v>
      </c>
      <c r="Q1944" s="34">
        <f t="shared" si="64"/>
        <v>971183.52000000014</v>
      </c>
      <c r="R1944" s="34" t="str">
        <f>VLOOKUP(E1944,Sales_Reps!$A$2:$E$100,3,FALSE)</f>
        <v>East</v>
      </c>
      <c r="S1944" s="34" t="str">
        <f t="shared" si="65"/>
        <v>Beauty</v>
      </c>
      <c r="T1944" s="38">
        <f>VLOOKUP(D1944,Products!$A$2:$F$68,4,FALSE)</f>
        <v>2420</v>
      </c>
    </row>
    <row r="1945" spans="1:20" x14ac:dyDescent="0.35">
      <c r="A1945" s="13" t="s">
        <v>2444</v>
      </c>
      <c r="B1945" s="14">
        <v>45529</v>
      </c>
      <c r="C1945" s="13" t="s">
        <v>557</v>
      </c>
      <c r="D1945" s="13" t="s">
        <v>176</v>
      </c>
      <c r="E1945" s="13" t="s">
        <v>116</v>
      </c>
      <c r="F1945" s="15">
        <v>5</v>
      </c>
      <c r="G1945" s="15">
        <v>1650</v>
      </c>
      <c r="H1945" s="15">
        <v>29.4</v>
      </c>
      <c r="I1945" s="15">
        <v>5824.5</v>
      </c>
      <c r="J1945" s="13" t="s">
        <v>87</v>
      </c>
      <c r="K1945" s="13" t="s">
        <v>112</v>
      </c>
      <c r="L1945" s="34" t="str">
        <f>VLOOKUP(D1945,Products!$A$2:$F$61,3,FALSE)</f>
        <v>Beauty</v>
      </c>
      <c r="M1945" s="34" t="str">
        <f>VLOOKUP(C1945,Customers!$A$2:$F$301,5,FALSE)</f>
        <v>Retail</v>
      </c>
      <c r="N1945" s="34">
        <f>VLOOKUP(C1945,Customers!$A$2:$F$301,3,FALSE)</f>
        <v>65</v>
      </c>
      <c r="O1945" s="34" t="str">
        <f>VLOOKUP(E1945,Sales_Reps!$A$2:$E$31,3,FALSE)</f>
        <v>West</v>
      </c>
      <c r="P1945" s="13" t="s">
        <v>116</v>
      </c>
      <c r="Q1945" s="34">
        <f t="shared" si="64"/>
        <v>819558.58</v>
      </c>
      <c r="R1945" s="34" t="str">
        <f>VLOOKUP(E1945,Sales_Reps!$A$2:$E$100,3,FALSE)</f>
        <v>West</v>
      </c>
      <c r="S1945" s="34" t="str">
        <f t="shared" si="65"/>
        <v>Beauty</v>
      </c>
      <c r="T1945" s="38">
        <f>VLOOKUP(D1945,Products!$A$2:$F$68,4,FALSE)</f>
        <v>1222</v>
      </c>
    </row>
    <row r="1946" spans="1:20" x14ac:dyDescent="0.35">
      <c r="A1946" s="13" t="s">
        <v>2445</v>
      </c>
      <c r="B1946" s="14">
        <v>45639</v>
      </c>
      <c r="C1946" s="13" t="s">
        <v>781</v>
      </c>
      <c r="D1946" s="13" t="s">
        <v>85</v>
      </c>
      <c r="E1946" s="13" t="s">
        <v>204</v>
      </c>
      <c r="F1946" s="15">
        <v>2</v>
      </c>
      <c r="G1946" s="15">
        <v>3620</v>
      </c>
      <c r="H1946" s="15">
        <v>15.6</v>
      </c>
      <c r="I1946" s="15">
        <v>6110.56</v>
      </c>
      <c r="J1946" s="13" t="s">
        <v>87</v>
      </c>
      <c r="K1946" s="13" t="s">
        <v>99</v>
      </c>
      <c r="L1946" s="34" t="str">
        <f>VLOOKUP(D1946,Products!$A$2:$F$61,3,FALSE)</f>
        <v>Apparel</v>
      </c>
      <c r="M1946" s="34" t="str">
        <f>VLOOKUP(C1946,Customers!$A$2:$F$301,5,FALSE)</f>
        <v>SMB</v>
      </c>
      <c r="N1946" s="34">
        <f>VLOOKUP(C1946,Customers!$A$2:$F$301,3,FALSE)</f>
        <v>29</v>
      </c>
      <c r="O1946" s="34" t="str">
        <f>VLOOKUP(E1946,Sales_Reps!$A$2:$E$31,3,FALSE)</f>
        <v>South</v>
      </c>
      <c r="P1946" s="13" t="s">
        <v>204</v>
      </c>
      <c r="Q1946" s="34">
        <f t="shared" si="64"/>
        <v>914554.71999999986</v>
      </c>
      <c r="R1946" s="34" t="str">
        <f>VLOOKUP(E1946,Sales_Reps!$A$2:$E$100,3,FALSE)</f>
        <v>South</v>
      </c>
      <c r="S1946" s="34" t="str">
        <f t="shared" si="65"/>
        <v>Apparel</v>
      </c>
      <c r="T1946" s="38">
        <f>VLOOKUP(D1946,Products!$A$2:$F$68,4,FALSE)</f>
        <v>2509</v>
      </c>
    </row>
    <row r="1947" spans="1:20" x14ac:dyDescent="0.35">
      <c r="A1947" s="13" t="s">
        <v>2446</v>
      </c>
      <c r="B1947" s="14">
        <v>45592</v>
      </c>
      <c r="C1947" s="13" t="s">
        <v>96</v>
      </c>
      <c r="D1947" s="13" t="s">
        <v>282</v>
      </c>
      <c r="E1947" s="13" t="s">
        <v>325</v>
      </c>
      <c r="F1947" s="15">
        <v>3</v>
      </c>
      <c r="G1947" s="15">
        <v>300</v>
      </c>
      <c r="H1947" s="15">
        <v>24.8</v>
      </c>
      <c r="I1947" s="15">
        <v>676.8</v>
      </c>
      <c r="J1947" s="13" t="s">
        <v>87</v>
      </c>
      <c r="K1947" s="13" t="s">
        <v>99</v>
      </c>
      <c r="L1947" s="34" t="str">
        <f>VLOOKUP(D1947,Products!$A$2:$F$61,3,FALSE)</f>
        <v>Electronics</v>
      </c>
      <c r="M1947" s="34" t="str">
        <f>VLOOKUP(C1947,Customers!$A$2:$F$301,5,FALSE)</f>
        <v>Retail</v>
      </c>
      <c r="N1947" s="34">
        <f>VLOOKUP(C1947,Customers!$A$2:$F$301,3,FALSE)</f>
        <v>52</v>
      </c>
      <c r="O1947" s="34" t="str">
        <f>VLOOKUP(E1947,Sales_Reps!$A$2:$E$31,3,FALSE)</f>
        <v>South</v>
      </c>
      <c r="P1947" s="13" t="s">
        <v>325</v>
      </c>
      <c r="Q1947" s="34">
        <f t="shared" si="64"/>
        <v>901394.32000000007</v>
      </c>
      <c r="R1947" s="34" t="str">
        <f>VLOOKUP(E1947,Sales_Reps!$A$2:$E$100,3,FALSE)</f>
        <v>South</v>
      </c>
      <c r="S1947" s="34" t="str">
        <f t="shared" si="65"/>
        <v>Electronics</v>
      </c>
      <c r="T1947" s="38">
        <f>VLOOKUP(D1947,Products!$A$2:$F$68,4,FALSE)</f>
        <v>128</v>
      </c>
    </row>
    <row r="1948" spans="1:20" x14ac:dyDescent="0.35">
      <c r="A1948" s="13" t="s">
        <v>2447</v>
      </c>
      <c r="B1948" s="14">
        <v>45338</v>
      </c>
      <c r="C1948" s="13" t="s">
        <v>272</v>
      </c>
      <c r="D1948" s="13" t="s">
        <v>259</v>
      </c>
      <c r="E1948" s="13" t="s">
        <v>215</v>
      </c>
      <c r="F1948" s="15">
        <v>3</v>
      </c>
      <c r="G1948" s="15">
        <v>1540</v>
      </c>
      <c r="H1948" s="15">
        <v>29.5</v>
      </c>
      <c r="I1948" s="15">
        <v>3257.1</v>
      </c>
      <c r="J1948" s="13" t="s">
        <v>87</v>
      </c>
      <c r="K1948" s="13" t="s">
        <v>94</v>
      </c>
      <c r="L1948" s="34" t="str">
        <f>VLOOKUP(D1948,Products!$A$2:$F$61,3,FALSE)</f>
        <v>Beauty</v>
      </c>
      <c r="M1948" s="34" t="str">
        <f>VLOOKUP(C1948,Customers!$A$2:$F$301,5,FALSE)</f>
        <v>SMB</v>
      </c>
      <c r="N1948" s="34">
        <f>VLOOKUP(C1948,Customers!$A$2:$F$301,3,FALSE)</f>
        <v>55</v>
      </c>
      <c r="O1948" s="34" t="str">
        <f>VLOOKUP(E1948,Sales_Reps!$A$2:$E$31,3,FALSE)</f>
        <v>North</v>
      </c>
      <c r="P1948" s="13" t="s">
        <v>215</v>
      </c>
      <c r="Q1948" s="34">
        <f t="shared" si="64"/>
        <v>789849.60000000009</v>
      </c>
      <c r="R1948" s="34" t="str">
        <f>VLOOKUP(E1948,Sales_Reps!$A$2:$E$100,3,FALSE)</f>
        <v>North</v>
      </c>
      <c r="S1948" s="34" t="str">
        <f t="shared" si="65"/>
        <v>Beauty</v>
      </c>
      <c r="T1948" s="38">
        <f>VLOOKUP(D1948,Products!$A$2:$F$68,4,FALSE)</f>
        <v>647</v>
      </c>
    </row>
    <row r="1949" spans="1:20" x14ac:dyDescent="0.35">
      <c r="A1949" s="13" t="s">
        <v>2448</v>
      </c>
      <c r="B1949" s="14">
        <v>45551</v>
      </c>
      <c r="C1949" s="13" t="s">
        <v>779</v>
      </c>
      <c r="D1949" s="13" t="s">
        <v>131</v>
      </c>
      <c r="E1949" s="13" t="s">
        <v>121</v>
      </c>
      <c r="F1949" s="15">
        <v>10</v>
      </c>
      <c r="G1949" s="15">
        <v>2270</v>
      </c>
      <c r="H1949" s="15">
        <v>5.5</v>
      </c>
      <c r="I1949" s="15">
        <v>21451.5</v>
      </c>
      <c r="J1949" s="13" t="s">
        <v>140</v>
      </c>
      <c r="K1949" s="13" t="s">
        <v>117</v>
      </c>
      <c r="L1949" s="34" t="str">
        <f>VLOOKUP(D1949,Products!$A$2:$F$61,3,FALSE)</f>
        <v>Grocery</v>
      </c>
      <c r="M1949" s="34" t="str">
        <f>VLOOKUP(C1949,Customers!$A$2:$F$301,5,FALSE)</f>
        <v>Retail</v>
      </c>
      <c r="N1949" s="34">
        <f>VLOOKUP(C1949,Customers!$A$2:$F$301,3,FALSE)</f>
        <v>27</v>
      </c>
      <c r="O1949" s="34" t="str">
        <f>VLOOKUP(E1949,Sales_Reps!$A$2:$E$31,3,FALSE)</f>
        <v>East</v>
      </c>
      <c r="P1949" s="13" t="s">
        <v>121</v>
      </c>
      <c r="Q1949" s="34">
        <f t="shared" si="64"/>
        <v>971183.52000000014</v>
      </c>
      <c r="R1949" s="34" t="str">
        <f>VLOOKUP(E1949,Sales_Reps!$A$2:$E$100,3,FALSE)</f>
        <v>East</v>
      </c>
      <c r="S1949" s="34" t="str">
        <f t="shared" si="65"/>
        <v>Grocery</v>
      </c>
      <c r="T1949" s="38">
        <f>VLOOKUP(D1949,Products!$A$2:$F$68,4,FALSE)</f>
        <v>1203</v>
      </c>
    </row>
    <row r="1950" spans="1:20" x14ac:dyDescent="0.35">
      <c r="A1950" s="13" t="s">
        <v>2449</v>
      </c>
      <c r="B1950" s="14">
        <v>45350</v>
      </c>
      <c r="C1950" s="13" t="s">
        <v>856</v>
      </c>
      <c r="D1950" s="13" t="s">
        <v>135</v>
      </c>
      <c r="E1950" s="13" t="s">
        <v>107</v>
      </c>
      <c r="F1950" s="15">
        <v>3</v>
      </c>
      <c r="G1950" s="15">
        <v>2640</v>
      </c>
      <c r="H1950" s="15">
        <v>28.2</v>
      </c>
      <c r="I1950" s="15">
        <v>5686.56</v>
      </c>
      <c r="J1950" s="13" t="s">
        <v>144</v>
      </c>
      <c r="K1950" s="13" t="s">
        <v>88</v>
      </c>
      <c r="L1950" s="34" t="str">
        <f>VLOOKUP(D1950,Products!$A$2:$F$61,3,FALSE)</f>
        <v>Electronics</v>
      </c>
      <c r="M1950" s="34" t="str">
        <f>VLOOKUP(C1950,Customers!$A$2:$F$301,5,FALSE)</f>
        <v>SMB</v>
      </c>
      <c r="N1950" s="34">
        <f>VLOOKUP(C1950,Customers!$A$2:$F$301,3,FALSE)</f>
        <v>59</v>
      </c>
      <c r="O1950" s="34" t="str">
        <f>VLOOKUP(E1950,Sales_Reps!$A$2:$E$31,3,FALSE)</f>
        <v>North</v>
      </c>
      <c r="P1950" s="13" t="s">
        <v>107</v>
      </c>
      <c r="Q1950" s="34">
        <f t="shared" si="64"/>
        <v>861553.33</v>
      </c>
      <c r="R1950" s="34" t="str">
        <f>VLOOKUP(E1950,Sales_Reps!$A$2:$E$100,3,FALSE)</f>
        <v>North</v>
      </c>
      <c r="S1950" s="34" t="str">
        <f t="shared" si="65"/>
        <v>Electronics</v>
      </c>
      <c r="T1950" s="38">
        <f>VLOOKUP(D1950,Products!$A$2:$F$68,4,FALSE)</f>
        <v>1149</v>
      </c>
    </row>
    <row r="1951" spans="1:20" x14ac:dyDescent="0.35">
      <c r="A1951" s="13" t="s">
        <v>2450</v>
      </c>
      <c r="B1951" s="14">
        <v>45507</v>
      </c>
      <c r="C1951" s="13" t="s">
        <v>1250</v>
      </c>
      <c r="D1951" s="13" t="s">
        <v>135</v>
      </c>
      <c r="E1951" s="13" t="s">
        <v>188</v>
      </c>
      <c r="F1951" s="15">
        <v>10</v>
      </c>
      <c r="G1951" s="15">
        <v>2640</v>
      </c>
      <c r="H1951" s="15">
        <v>25.9</v>
      </c>
      <c r="I1951" s="15">
        <v>19562.400000000001</v>
      </c>
      <c r="J1951" s="13" t="s">
        <v>87</v>
      </c>
      <c r="K1951" s="13" t="s">
        <v>88</v>
      </c>
      <c r="L1951" s="34" t="str">
        <f>VLOOKUP(D1951,Products!$A$2:$F$61,3,FALSE)</f>
        <v>Electronics</v>
      </c>
      <c r="M1951" s="34" t="str">
        <f>VLOOKUP(C1951,Customers!$A$2:$F$301,5,FALSE)</f>
        <v>Retail</v>
      </c>
      <c r="N1951" s="34">
        <f>VLOOKUP(C1951,Customers!$A$2:$F$301,3,FALSE)</f>
        <v>44</v>
      </c>
      <c r="O1951" s="34" t="str">
        <f>VLOOKUP(E1951,Sales_Reps!$A$2:$E$31,3,FALSE)</f>
        <v>South</v>
      </c>
      <c r="P1951" s="13" t="s">
        <v>188</v>
      </c>
      <c r="Q1951" s="34">
        <f t="shared" si="64"/>
        <v>1091740.1799999997</v>
      </c>
      <c r="R1951" s="34" t="str">
        <f>VLOOKUP(E1951,Sales_Reps!$A$2:$E$100,3,FALSE)</f>
        <v>South</v>
      </c>
      <c r="S1951" s="34" t="str">
        <f t="shared" si="65"/>
        <v>Electronics</v>
      </c>
      <c r="T1951" s="38">
        <f>VLOOKUP(D1951,Products!$A$2:$F$68,4,FALSE)</f>
        <v>1149</v>
      </c>
    </row>
    <row r="1952" spans="1:20" x14ac:dyDescent="0.35">
      <c r="A1952" s="13" t="s">
        <v>2451</v>
      </c>
      <c r="B1952" s="14">
        <v>45538</v>
      </c>
      <c r="C1952" s="13" t="s">
        <v>705</v>
      </c>
      <c r="D1952" s="13" t="s">
        <v>120</v>
      </c>
      <c r="E1952" s="13" t="s">
        <v>170</v>
      </c>
      <c r="F1952" s="15">
        <v>2</v>
      </c>
      <c r="G1952" s="15">
        <v>1430</v>
      </c>
      <c r="H1952" s="15">
        <v>5</v>
      </c>
      <c r="I1952" s="15">
        <v>2717</v>
      </c>
      <c r="J1952" s="13" t="s">
        <v>140</v>
      </c>
      <c r="K1952" s="13" t="s">
        <v>99</v>
      </c>
      <c r="L1952" s="34" t="str">
        <f>VLOOKUP(D1952,Products!$A$2:$F$61,3,FALSE)</f>
        <v>Electronics</v>
      </c>
      <c r="M1952" s="34" t="str">
        <f>VLOOKUP(C1952,Customers!$A$2:$F$301,5,FALSE)</f>
        <v>Retail</v>
      </c>
      <c r="N1952" s="34">
        <f>VLOOKUP(C1952,Customers!$A$2:$F$301,3,FALSE)</f>
        <v>53</v>
      </c>
      <c r="O1952" s="34" t="str">
        <f>VLOOKUP(E1952,Sales_Reps!$A$2:$E$31,3,FALSE)</f>
        <v>West</v>
      </c>
      <c r="P1952" s="13" t="s">
        <v>170</v>
      </c>
      <c r="Q1952" s="34">
        <f t="shared" si="64"/>
        <v>747624.36999999988</v>
      </c>
      <c r="R1952" s="34" t="str">
        <f>VLOOKUP(E1952,Sales_Reps!$A$2:$E$100,3,FALSE)</f>
        <v>West</v>
      </c>
      <c r="S1952" s="34" t="str">
        <f t="shared" si="65"/>
        <v>Electronics</v>
      </c>
      <c r="T1952" s="38">
        <f>VLOOKUP(D1952,Products!$A$2:$F$68,4,FALSE)</f>
        <v>861</v>
      </c>
    </row>
    <row r="1953" spans="1:20" x14ac:dyDescent="0.35">
      <c r="A1953" s="13" t="s">
        <v>2452</v>
      </c>
      <c r="B1953" s="14">
        <v>45618</v>
      </c>
      <c r="C1953" s="13" t="s">
        <v>440</v>
      </c>
      <c r="D1953" s="13" t="s">
        <v>187</v>
      </c>
      <c r="E1953" s="13" t="s">
        <v>192</v>
      </c>
      <c r="F1953" s="15">
        <v>6</v>
      </c>
      <c r="G1953" s="15">
        <v>3570</v>
      </c>
      <c r="H1953" s="15">
        <v>28.5</v>
      </c>
      <c r="I1953" s="15">
        <v>15315.3</v>
      </c>
      <c r="J1953" s="13" t="s">
        <v>140</v>
      </c>
      <c r="K1953" s="13" t="s">
        <v>88</v>
      </c>
      <c r="L1953" s="34" t="str">
        <f>VLOOKUP(D1953,Products!$A$2:$F$61,3,FALSE)</f>
        <v>Electronics</v>
      </c>
      <c r="M1953" s="34" t="str">
        <f>VLOOKUP(C1953,Customers!$A$2:$F$301,5,FALSE)</f>
        <v>SMB</v>
      </c>
      <c r="N1953" s="34">
        <f>VLOOKUP(C1953,Customers!$A$2:$F$301,3,FALSE)</f>
        <v>30</v>
      </c>
      <c r="O1953" s="34" t="str">
        <f>VLOOKUP(E1953,Sales_Reps!$A$2:$E$31,3,FALSE)</f>
        <v>East</v>
      </c>
      <c r="P1953" s="13" t="s">
        <v>192</v>
      </c>
      <c r="Q1953" s="34">
        <f t="shared" si="64"/>
        <v>906107.71000000008</v>
      </c>
      <c r="R1953" s="34" t="str">
        <f>VLOOKUP(E1953,Sales_Reps!$A$2:$E$100,3,FALSE)</f>
        <v>East</v>
      </c>
      <c r="S1953" s="34" t="str">
        <f t="shared" si="65"/>
        <v>Electronics</v>
      </c>
      <c r="T1953" s="38">
        <f>VLOOKUP(D1953,Products!$A$2:$F$68,4,FALSE)</f>
        <v>1665</v>
      </c>
    </row>
    <row r="1954" spans="1:20" x14ac:dyDescent="0.35">
      <c r="A1954" s="13" t="s">
        <v>2453</v>
      </c>
      <c r="B1954" s="14">
        <v>45444</v>
      </c>
      <c r="C1954" s="13" t="s">
        <v>397</v>
      </c>
      <c r="D1954" s="13" t="s">
        <v>187</v>
      </c>
      <c r="E1954" s="13" t="s">
        <v>116</v>
      </c>
      <c r="F1954" s="15">
        <v>1</v>
      </c>
      <c r="G1954" s="15">
        <v>3570</v>
      </c>
      <c r="H1954" s="15">
        <v>7.7</v>
      </c>
      <c r="I1954" s="15">
        <v>3295.11</v>
      </c>
      <c r="J1954" s="13" t="s">
        <v>87</v>
      </c>
      <c r="K1954" s="13" t="s">
        <v>99</v>
      </c>
      <c r="L1954" s="34" t="str">
        <f>VLOOKUP(D1954,Products!$A$2:$F$61,3,FALSE)</f>
        <v>Electronics</v>
      </c>
      <c r="M1954" s="34" t="str">
        <f>VLOOKUP(C1954,Customers!$A$2:$F$301,5,FALSE)</f>
        <v>Retail</v>
      </c>
      <c r="N1954" s="34">
        <f>VLOOKUP(C1954,Customers!$A$2:$F$301,3,FALSE)</f>
        <v>30</v>
      </c>
      <c r="O1954" s="34" t="str">
        <f>VLOOKUP(E1954,Sales_Reps!$A$2:$E$31,3,FALSE)</f>
        <v>West</v>
      </c>
      <c r="P1954" s="13" t="s">
        <v>116</v>
      </c>
      <c r="Q1954" s="34">
        <f t="shared" si="64"/>
        <v>819558.58</v>
      </c>
      <c r="R1954" s="34" t="str">
        <f>VLOOKUP(E1954,Sales_Reps!$A$2:$E$100,3,FALSE)</f>
        <v>West</v>
      </c>
      <c r="S1954" s="34" t="str">
        <f t="shared" si="65"/>
        <v>Electronics</v>
      </c>
      <c r="T1954" s="38">
        <f>VLOOKUP(D1954,Products!$A$2:$F$68,4,FALSE)</f>
        <v>1665</v>
      </c>
    </row>
    <row r="1955" spans="1:20" x14ac:dyDescent="0.35">
      <c r="A1955" s="13" t="s">
        <v>2454</v>
      </c>
      <c r="B1955" s="14">
        <v>45377</v>
      </c>
      <c r="C1955" s="13" t="s">
        <v>1294</v>
      </c>
      <c r="D1955" s="13" t="s">
        <v>248</v>
      </c>
      <c r="E1955" s="13" t="s">
        <v>170</v>
      </c>
      <c r="F1955" s="15">
        <v>9</v>
      </c>
      <c r="G1955" s="15">
        <v>3870</v>
      </c>
      <c r="H1955" s="15">
        <v>11.9</v>
      </c>
      <c r="I1955" s="15">
        <v>30685.23</v>
      </c>
      <c r="J1955" s="13" t="s">
        <v>140</v>
      </c>
      <c r="K1955" s="13" t="s">
        <v>94</v>
      </c>
      <c r="L1955" s="34" t="str">
        <f>VLOOKUP(D1955,Products!$A$2:$F$61,3,FALSE)</f>
        <v>Electronics</v>
      </c>
      <c r="M1955" s="34" t="str">
        <f>VLOOKUP(C1955,Customers!$A$2:$F$301,5,FALSE)</f>
        <v>SMB</v>
      </c>
      <c r="N1955" s="34">
        <f>VLOOKUP(C1955,Customers!$A$2:$F$301,3,FALSE)</f>
        <v>43</v>
      </c>
      <c r="O1955" s="34" t="str">
        <f>VLOOKUP(E1955,Sales_Reps!$A$2:$E$31,3,FALSE)</f>
        <v>West</v>
      </c>
      <c r="P1955" s="13" t="s">
        <v>170</v>
      </c>
      <c r="Q1955" s="34">
        <f t="shared" si="64"/>
        <v>747624.36999999988</v>
      </c>
      <c r="R1955" s="34" t="str">
        <f>VLOOKUP(E1955,Sales_Reps!$A$2:$E$100,3,FALSE)</f>
        <v>West</v>
      </c>
      <c r="S1955" s="34" t="str">
        <f t="shared" si="65"/>
        <v>Electronics</v>
      </c>
      <c r="T1955" s="38">
        <f>VLOOKUP(D1955,Products!$A$2:$F$68,4,FALSE)</f>
        <v>1559</v>
      </c>
    </row>
    <row r="1956" spans="1:20" x14ac:dyDescent="0.35">
      <c r="A1956" s="13" t="s">
        <v>2455</v>
      </c>
      <c r="B1956" s="14">
        <v>45515</v>
      </c>
      <c r="C1956" s="13" t="s">
        <v>850</v>
      </c>
      <c r="D1956" s="13" t="s">
        <v>515</v>
      </c>
      <c r="E1956" s="13" t="s">
        <v>98</v>
      </c>
      <c r="F1956" s="15">
        <v>5</v>
      </c>
      <c r="G1956" s="15">
        <v>6940</v>
      </c>
      <c r="H1956" s="15">
        <v>17.399999999999999</v>
      </c>
      <c r="I1956" s="15">
        <v>28662.2</v>
      </c>
      <c r="J1956" s="13" t="s">
        <v>87</v>
      </c>
      <c r="K1956" s="13" t="s">
        <v>94</v>
      </c>
      <c r="L1956" s="34" t="str">
        <f>VLOOKUP(D1956,Products!$A$2:$F$61,3,FALSE)</f>
        <v>Sports</v>
      </c>
      <c r="M1956" s="34" t="str">
        <f>VLOOKUP(C1956,Customers!$A$2:$F$301,5,FALSE)</f>
        <v>SMB</v>
      </c>
      <c r="N1956" s="34">
        <f>VLOOKUP(C1956,Customers!$A$2:$F$301,3,FALSE)</f>
        <v>26</v>
      </c>
      <c r="O1956" s="34" t="str">
        <f>VLOOKUP(E1956,Sales_Reps!$A$2:$E$31,3,FALSE)</f>
        <v>South</v>
      </c>
      <c r="P1956" s="13" t="s">
        <v>98</v>
      </c>
      <c r="Q1956" s="34">
        <f t="shared" si="64"/>
        <v>995713.54000000015</v>
      </c>
      <c r="R1956" s="34" t="str">
        <f>VLOOKUP(E1956,Sales_Reps!$A$2:$E$100,3,FALSE)</f>
        <v>South</v>
      </c>
      <c r="S1956" s="34" t="str">
        <f t="shared" si="65"/>
        <v>Sports</v>
      </c>
      <c r="T1956" s="38">
        <f>VLOOKUP(D1956,Products!$A$2:$F$68,4,FALSE)</f>
        <v>2827</v>
      </c>
    </row>
    <row r="1957" spans="1:20" x14ac:dyDescent="0.35">
      <c r="A1957" s="13" t="s">
        <v>2456</v>
      </c>
      <c r="B1957" s="14">
        <v>45312</v>
      </c>
      <c r="C1957" s="13" t="s">
        <v>263</v>
      </c>
      <c r="D1957" s="13" t="s">
        <v>110</v>
      </c>
      <c r="E1957" s="13" t="s">
        <v>201</v>
      </c>
      <c r="F1957" s="15">
        <v>6</v>
      </c>
      <c r="G1957" s="15">
        <v>370</v>
      </c>
      <c r="H1957" s="15">
        <v>8.1</v>
      </c>
      <c r="I1957" s="15">
        <v>2040.18</v>
      </c>
      <c r="J1957" s="13" t="s">
        <v>140</v>
      </c>
      <c r="K1957" s="13" t="s">
        <v>133</v>
      </c>
      <c r="L1957" s="34" t="str">
        <f>VLOOKUP(D1957,Products!$A$2:$F$61,3,FALSE)</f>
        <v>Home</v>
      </c>
      <c r="M1957" s="34" t="str">
        <f>VLOOKUP(C1957,Customers!$A$2:$F$301,5,FALSE)</f>
        <v>Retail</v>
      </c>
      <c r="N1957" s="34">
        <f>VLOOKUP(C1957,Customers!$A$2:$F$301,3,FALSE)</f>
        <v>53</v>
      </c>
      <c r="O1957" s="34" t="str">
        <f>VLOOKUP(E1957,Sales_Reps!$A$2:$E$31,3,FALSE)</f>
        <v>West</v>
      </c>
      <c r="P1957" s="13" t="s">
        <v>201</v>
      </c>
      <c r="Q1957" s="34">
        <f t="shared" si="64"/>
        <v>576305.08000000019</v>
      </c>
      <c r="R1957" s="34" t="str">
        <f>VLOOKUP(E1957,Sales_Reps!$A$2:$E$100,3,FALSE)</f>
        <v>West</v>
      </c>
      <c r="S1957" s="34" t="str">
        <f t="shared" si="65"/>
        <v>Home</v>
      </c>
      <c r="T1957" s="38">
        <f>VLOOKUP(D1957,Products!$A$2:$F$68,4,FALSE)</f>
        <v>288</v>
      </c>
    </row>
    <row r="1958" spans="1:20" x14ac:dyDescent="0.35">
      <c r="A1958" s="13" t="s">
        <v>2457</v>
      </c>
      <c r="B1958" s="14">
        <v>45549</v>
      </c>
      <c r="C1958" s="13" t="s">
        <v>266</v>
      </c>
      <c r="D1958" s="13" t="s">
        <v>659</v>
      </c>
      <c r="E1958" s="13" t="s">
        <v>343</v>
      </c>
      <c r="F1958" s="15">
        <v>8</v>
      </c>
      <c r="G1958" s="15">
        <v>3560</v>
      </c>
      <c r="H1958" s="15">
        <v>23.3</v>
      </c>
      <c r="I1958" s="15">
        <v>21844.16</v>
      </c>
      <c r="J1958" s="13" t="s">
        <v>87</v>
      </c>
      <c r="K1958" s="13" t="s">
        <v>99</v>
      </c>
      <c r="L1958" s="34" t="str">
        <f>VLOOKUP(D1958,Products!$A$2:$F$61,3,FALSE)</f>
        <v>Apparel</v>
      </c>
      <c r="M1958" s="34" t="str">
        <f>VLOOKUP(C1958,Customers!$A$2:$F$301,5,FALSE)</f>
        <v>Corporate</v>
      </c>
      <c r="N1958" s="34">
        <f>VLOOKUP(C1958,Customers!$A$2:$F$301,3,FALSE)</f>
        <v>55</v>
      </c>
      <c r="O1958" s="34" t="str">
        <f>VLOOKUP(E1958,Sales_Reps!$A$2:$E$31,3,FALSE)</f>
        <v>West</v>
      </c>
      <c r="P1958" s="13" t="s">
        <v>343</v>
      </c>
      <c r="Q1958" s="34">
        <f t="shared" si="64"/>
        <v>917092.61999999965</v>
      </c>
      <c r="R1958" s="34" t="str">
        <f>VLOOKUP(E1958,Sales_Reps!$A$2:$E$100,3,FALSE)</f>
        <v>West</v>
      </c>
      <c r="S1958" s="34" t="str">
        <f t="shared" si="65"/>
        <v>Apparel</v>
      </c>
      <c r="T1958" s="38">
        <f>VLOOKUP(D1958,Products!$A$2:$F$68,4,FALSE)</f>
        <v>2629</v>
      </c>
    </row>
    <row r="1959" spans="1:20" x14ac:dyDescent="0.35">
      <c r="A1959" s="13" t="s">
        <v>2458</v>
      </c>
      <c r="B1959" s="14">
        <v>45633</v>
      </c>
      <c r="C1959" s="13" t="s">
        <v>613</v>
      </c>
      <c r="D1959" s="13" t="s">
        <v>267</v>
      </c>
      <c r="E1959" s="13" t="s">
        <v>128</v>
      </c>
      <c r="F1959" s="15">
        <v>4</v>
      </c>
      <c r="G1959" s="15">
        <v>1220</v>
      </c>
      <c r="H1959" s="15">
        <v>2.7</v>
      </c>
      <c r="I1959" s="15">
        <v>4748.24</v>
      </c>
      <c r="J1959" s="13" t="s">
        <v>87</v>
      </c>
      <c r="K1959" s="13" t="s">
        <v>112</v>
      </c>
      <c r="L1959" s="34" t="str">
        <f>VLOOKUP(D1959,Products!$A$2:$F$61,3,FALSE)</f>
        <v>Electronics</v>
      </c>
      <c r="M1959" s="34" t="str">
        <f>VLOOKUP(C1959,Customers!$A$2:$F$301,5,FALSE)</f>
        <v>Retail</v>
      </c>
      <c r="N1959" s="34">
        <f>VLOOKUP(C1959,Customers!$A$2:$F$301,3,FALSE)</f>
        <v>44</v>
      </c>
      <c r="O1959" s="34" t="str">
        <f>VLOOKUP(E1959,Sales_Reps!$A$2:$E$31,3,FALSE)</f>
        <v>West</v>
      </c>
      <c r="P1959" s="13" t="s">
        <v>128</v>
      </c>
      <c r="Q1959" s="34">
        <f t="shared" si="64"/>
        <v>880468.05</v>
      </c>
      <c r="R1959" s="34" t="str">
        <f>VLOOKUP(E1959,Sales_Reps!$A$2:$E$100,3,FALSE)</f>
        <v>West</v>
      </c>
      <c r="S1959" s="34" t="str">
        <f t="shared" si="65"/>
        <v>Electronics</v>
      </c>
      <c r="T1959" s="38">
        <f>VLOOKUP(D1959,Products!$A$2:$F$68,4,FALSE)</f>
        <v>517</v>
      </c>
    </row>
    <row r="1960" spans="1:20" x14ac:dyDescent="0.35">
      <c r="A1960" s="13" t="s">
        <v>2459</v>
      </c>
      <c r="B1960" s="14">
        <v>45598</v>
      </c>
      <c r="C1960" s="13" t="s">
        <v>717</v>
      </c>
      <c r="D1960" s="13" t="s">
        <v>264</v>
      </c>
      <c r="E1960" s="13" t="s">
        <v>192</v>
      </c>
      <c r="F1960" s="15">
        <v>10</v>
      </c>
      <c r="G1960" s="15">
        <v>4070</v>
      </c>
      <c r="H1960" s="15">
        <v>11.6</v>
      </c>
      <c r="I1960" s="15">
        <v>35978.800000000003</v>
      </c>
      <c r="J1960" s="13" t="s">
        <v>87</v>
      </c>
      <c r="K1960" s="13" t="s">
        <v>94</v>
      </c>
      <c r="L1960" s="34" t="str">
        <f>VLOOKUP(D1960,Products!$A$2:$F$61,3,FALSE)</f>
        <v>Grocery</v>
      </c>
      <c r="M1960" s="34" t="str">
        <f>VLOOKUP(C1960,Customers!$A$2:$F$301,5,FALSE)</f>
        <v>Retail</v>
      </c>
      <c r="N1960" s="34">
        <f>VLOOKUP(C1960,Customers!$A$2:$F$301,3,FALSE)</f>
        <v>24</v>
      </c>
      <c r="O1960" s="34" t="str">
        <f>VLOOKUP(E1960,Sales_Reps!$A$2:$E$31,3,FALSE)</f>
        <v>East</v>
      </c>
      <c r="P1960" s="13" t="s">
        <v>192</v>
      </c>
      <c r="Q1960" s="34">
        <f t="shared" si="64"/>
        <v>906107.71000000008</v>
      </c>
      <c r="R1960" s="34" t="str">
        <f>VLOOKUP(E1960,Sales_Reps!$A$2:$E$100,3,FALSE)</f>
        <v>East</v>
      </c>
      <c r="S1960" s="34" t="str">
        <f t="shared" si="65"/>
        <v>Grocery</v>
      </c>
      <c r="T1960" s="38">
        <f>VLOOKUP(D1960,Products!$A$2:$F$68,4,FALSE)</f>
        <v>2027</v>
      </c>
    </row>
    <row r="1961" spans="1:20" x14ac:dyDescent="0.35">
      <c r="A1961" s="13" t="s">
        <v>2460</v>
      </c>
      <c r="B1961" s="14">
        <v>45336</v>
      </c>
      <c r="C1961" s="13" t="s">
        <v>797</v>
      </c>
      <c r="D1961" s="13" t="s">
        <v>102</v>
      </c>
      <c r="E1961" s="13" t="s">
        <v>121</v>
      </c>
      <c r="F1961" s="15">
        <v>10</v>
      </c>
      <c r="G1961" s="15">
        <v>3660</v>
      </c>
      <c r="H1961" s="15">
        <v>28.8</v>
      </c>
      <c r="I1961" s="15">
        <v>26059.200000000001</v>
      </c>
      <c r="J1961" s="13" t="s">
        <v>87</v>
      </c>
      <c r="K1961" s="13" t="s">
        <v>99</v>
      </c>
      <c r="L1961" s="34" t="str">
        <f>VLOOKUP(D1961,Products!$A$2:$F$61,3,FALSE)</f>
        <v>Grocery</v>
      </c>
      <c r="M1961" s="34" t="str">
        <f>VLOOKUP(C1961,Customers!$A$2:$F$301,5,FALSE)</f>
        <v>Retail</v>
      </c>
      <c r="N1961" s="34">
        <f>VLOOKUP(C1961,Customers!$A$2:$F$301,3,FALSE)</f>
        <v>63</v>
      </c>
      <c r="O1961" s="34" t="str">
        <f>VLOOKUP(E1961,Sales_Reps!$A$2:$E$31,3,FALSE)</f>
        <v>East</v>
      </c>
      <c r="P1961" s="13" t="s">
        <v>121</v>
      </c>
      <c r="Q1961" s="34">
        <f t="shared" si="64"/>
        <v>971183.52000000014</v>
      </c>
      <c r="R1961" s="34" t="str">
        <f>VLOOKUP(E1961,Sales_Reps!$A$2:$E$100,3,FALSE)</f>
        <v>East</v>
      </c>
      <c r="S1961" s="34" t="str">
        <f t="shared" si="65"/>
        <v>Grocery</v>
      </c>
      <c r="T1961" s="38">
        <f>VLOOKUP(D1961,Products!$A$2:$F$68,4,FALSE)</f>
        <v>2214</v>
      </c>
    </row>
    <row r="1962" spans="1:20" x14ac:dyDescent="0.35">
      <c r="A1962" s="13" t="s">
        <v>2461</v>
      </c>
      <c r="B1962" s="14">
        <v>45449</v>
      </c>
      <c r="C1962" s="13" t="s">
        <v>615</v>
      </c>
      <c r="D1962" s="13" t="s">
        <v>443</v>
      </c>
      <c r="E1962" s="13" t="s">
        <v>303</v>
      </c>
      <c r="F1962" s="15">
        <v>5</v>
      </c>
      <c r="G1962" s="15">
        <v>5080</v>
      </c>
      <c r="H1962" s="15">
        <v>12.1</v>
      </c>
      <c r="I1962" s="15">
        <v>22326.6</v>
      </c>
      <c r="J1962" s="13" t="s">
        <v>87</v>
      </c>
      <c r="K1962" s="13" t="s">
        <v>112</v>
      </c>
      <c r="L1962" s="34" t="str">
        <f>VLOOKUP(D1962,Products!$A$2:$F$61,3,FALSE)</f>
        <v>Home</v>
      </c>
      <c r="M1962" s="34" t="str">
        <f>VLOOKUP(C1962,Customers!$A$2:$F$301,5,FALSE)</f>
        <v>Retail</v>
      </c>
      <c r="N1962" s="34">
        <f>VLOOKUP(C1962,Customers!$A$2:$F$301,3,FALSE)</f>
        <v>53</v>
      </c>
      <c r="O1962" s="34" t="str">
        <f>VLOOKUP(E1962,Sales_Reps!$A$2:$E$31,3,FALSE)</f>
        <v>East</v>
      </c>
      <c r="P1962" s="13" t="s">
        <v>303</v>
      </c>
      <c r="Q1962" s="34">
        <f t="shared" si="64"/>
        <v>1112289.6400000001</v>
      </c>
      <c r="R1962" s="34" t="str">
        <f>VLOOKUP(E1962,Sales_Reps!$A$2:$E$100,3,FALSE)</f>
        <v>East</v>
      </c>
      <c r="S1962" s="34" t="str">
        <f t="shared" si="65"/>
        <v>Home</v>
      </c>
      <c r="T1962" s="38">
        <f>VLOOKUP(D1962,Products!$A$2:$F$68,4,FALSE)</f>
        <v>2459</v>
      </c>
    </row>
    <row r="1963" spans="1:20" x14ac:dyDescent="0.35">
      <c r="A1963" s="13" t="s">
        <v>2462</v>
      </c>
      <c r="B1963" s="14">
        <v>45338</v>
      </c>
      <c r="C1963" s="13" t="s">
        <v>797</v>
      </c>
      <c r="D1963" s="13" t="s">
        <v>270</v>
      </c>
      <c r="E1963" s="13" t="s">
        <v>252</v>
      </c>
      <c r="F1963" s="15">
        <v>10</v>
      </c>
      <c r="G1963" s="15">
        <v>4610</v>
      </c>
      <c r="H1963" s="15">
        <v>22.5</v>
      </c>
      <c r="I1963" s="15">
        <v>35727.5</v>
      </c>
      <c r="J1963" s="13" t="s">
        <v>87</v>
      </c>
      <c r="K1963" s="13" t="s">
        <v>99</v>
      </c>
      <c r="L1963" s="34" t="str">
        <f>VLOOKUP(D1963,Products!$A$2:$F$61,3,FALSE)</f>
        <v>Home</v>
      </c>
      <c r="M1963" s="34" t="str">
        <f>VLOOKUP(C1963,Customers!$A$2:$F$301,5,FALSE)</f>
        <v>Retail</v>
      </c>
      <c r="N1963" s="34">
        <f>VLOOKUP(C1963,Customers!$A$2:$F$301,3,FALSE)</f>
        <v>63</v>
      </c>
      <c r="O1963" s="34" t="str">
        <f>VLOOKUP(E1963,Sales_Reps!$A$2:$E$31,3,FALSE)</f>
        <v>South</v>
      </c>
      <c r="P1963" s="13" t="s">
        <v>252</v>
      </c>
      <c r="Q1963" s="34">
        <f t="shared" si="64"/>
        <v>811524.37999999989</v>
      </c>
      <c r="R1963" s="34" t="str">
        <f>VLOOKUP(E1963,Sales_Reps!$A$2:$E$100,3,FALSE)</f>
        <v>South</v>
      </c>
      <c r="S1963" s="34" t="str">
        <f t="shared" si="65"/>
        <v>Home</v>
      </c>
      <c r="T1963" s="38">
        <f>VLOOKUP(D1963,Products!$A$2:$F$68,4,FALSE)</f>
        <v>1850</v>
      </c>
    </row>
    <row r="1964" spans="1:20" x14ac:dyDescent="0.35">
      <c r="A1964" s="13" t="s">
        <v>2463</v>
      </c>
      <c r="B1964" s="14">
        <v>45317</v>
      </c>
      <c r="C1964" s="13" t="s">
        <v>779</v>
      </c>
      <c r="D1964" s="13" t="s">
        <v>279</v>
      </c>
      <c r="E1964" s="13" t="s">
        <v>86</v>
      </c>
      <c r="F1964" s="15">
        <v>3</v>
      </c>
      <c r="G1964" s="15">
        <v>2660</v>
      </c>
      <c r="H1964" s="15">
        <v>15</v>
      </c>
      <c r="I1964" s="15">
        <v>6783</v>
      </c>
      <c r="J1964" s="13" t="s">
        <v>87</v>
      </c>
      <c r="K1964" s="13" t="s">
        <v>117</v>
      </c>
      <c r="L1964" s="34" t="str">
        <f>VLOOKUP(D1964,Products!$A$2:$F$61,3,FALSE)</f>
        <v>Electronics</v>
      </c>
      <c r="M1964" s="34" t="str">
        <f>VLOOKUP(C1964,Customers!$A$2:$F$301,5,FALSE)</f>
        <v>Retail</v>
      </c>
      <c r="N1964" s="34">
        <f>VLOOKUP(C1964,Customers!$A$2:$F$301,3,FALSE)</f>
        <v>27</v>
      </c>
      <c r="O1964" s="34" t="str">
        <f>VLOOKUP(E1964,Sales_Reps!$A$2:$E$31,3,FALSE)</f>
        <v>North</v>
      </c>
      <c r="P1964" s="13" t="s">
        <v>86</v>
      </c>
      <c r="Q1964" s="34">
        <f t="shared" si="64"/>
        <v>855749.67999999982</v>
      </c>
      <c r="R1964" s="34" t="str">
        <f>VLOOKUP(E1964,Sales_Reps!$A$2:$E$100,3,FALSE)</f>
        <v>North</v>
      </c>
      <c r="S1964" s="34" t="str">
        <f t="shared" si="65"/>
        <v>Electronics</v>
      </c>
      <c r="T1964" s="38">
        <f>VLOOKUP(D1964,Products!$A$2:$F$68,4,FALSE)</f>
        <v>1259</v>
      </c>
    </row>
    <row r="1965" spans="1:20" x14ac:dyDescent="0.35">
      <c r="A1965" s="13" t="s">
        <v>2464</v>
      </c>
      <c r="B1965" s="14">
        <v>45384</v>
      </c>
      <c r="C1965" s="13" t="s">
        <v>595</v>
      </c>
      <c r="D1965" s="13" t="s">
        <v>106</v>
      </c>
      <c r="E1965" s="13" t="s">
        <v>103</v>
      </c>
      <c r="F1965" s="15">
        <v>5</v>
      </c>
      <c r="G1965" s="15">
        <v>3160</v>
      </c>
      <c r="H1965" s="15">
        <v>1.3</v>
      </c>
      <c r="I1965" s="15">
        <v>15594.6</v>
      </c>
      <c r="J1965" s="13" t="s">
        <v>87</v>
      </c>
      <c r="K1965" s="13" t="s">
        <v>99</v>
      </c>
      <c r="L1965" s="34" t="str">
        <f>VLOOKUP(D1965,Products!$A$2:$F$61,3,FALSE)</f>
        <v>Apparel</v>
      </c>
      <c r="M1965" s="34" t="str">
        <f>VLOOKUP(C1965,Customers!$A$2:$F$301,5,FALSE)</f>
        <v>SMB</v>
      </c>
      <c r="N1965" s="34">
        <f>VLOOKUP(C1965,Customers!$A$2:$F$301,3,FALSE)</f>
        <v>48</v>
      </c>
      <c r="O1965" s="34" t="str">
        <f>VLOOKUP(E1965,Sales_Reps!$A$2:$E$31,3,FALSE)</f>
        <v>North</v>
      </c>
      <c r="P1965" s="13" t="s">
        <v>103</v>
      </c>
      <c r="Q1965" s="34">
        <f t="shared" si="64"/>
        <v>1138648.73</v>
      </c>
      <c r="R1965" s="34" t="str">
        <f>VLOOKUP(E1965,Sales_Reps!$A$2:$E$100,3,FALSE)</f>
        <v>North</v>
      </c>
      <c r="S1965" s="34" t="str">
        <f t="shared" si="65"/>
        <v>Apparel</v>
      </c>
      <c r="T1965" s="38">
        <f>VLOOKUP(D1965,Products!$A$2:$F$68,4,FALSE)</f>
        <v>1886</v>
      </c>
    </row>
    <row r="1966" spans="1:20" x14ac:dyDescent="0.35">
      <c r="A1966" s="13" t="s">
        <v>2465</v>
      </c>
      <c r="B1966" s="14">
        <v>45325</v>
      </c>
      <c r="C1966" s="13" t="s">
        <v>684</v>
      </c>
      <c r="D1966" s="13" t="s">
        <v>110</v>
      </c>
      <c r="E1966" s="13" t="s">
        <v>139</v>
      </c>
      <c r="F1966" s="15">
        <v>10</v>
      </c>
      <c r="G1966" s="15">
        <v>370</v>
      </c>
      <c r="H1966" s="15">
        <v>29</v>
      </c>
      <c r="I1966" s="15">
        <v>2627</v>
      </c>
      <c r="J1966" s="13" t="s">
        <v>87</v>
      </c>
      <c r="K1966" s="13" t="s">
        <v>99</v>
      </c>
      <c r="L1966" s="34" t="str">
        <f>VLOOKUP(D1966,Products!$A$2:$F$61,3,FALSE)</f>
        <v>Home</v>
      </c>
      <c r="M1966" s="34" t="str">
        <f>VLOOKUP(C1966,Customers!$A$2:$F$301,5,FALSE)</f>
        <v>Retail</v>
      </c>
      <c r="N1966" s="34">
        <f>VLOOKUP(C1966,Customers!$A$2:$F$301,3,FALSE)</f>
        <v>41</v>
      </c>
      <c r="O1966" s="34" t="str">
        <f>VLOOKUP(E1966,Sales_Reps!$A$2:$E$31,3,FALSE)</f>
        <v>North</v>
      </c>
      <c r="P1966" s="13" t="s">
        <v>139</v>
      </c>
      <c r="Q1966" s="34">
        <f t="shared" si="64"/>
        <v>589026.2899999998</v>
      </c>
      <c r="R1966" s="34" t="str">
        <f>VLOOKUP(E1966,Sales_Reps!$A$2:$E$100,3,FALSE)</f>
        <v>North</v>
      </c>
      <c r="S1966" s="34" t="str">
        <f t="shared" si="65"/>
        <v>Home</v>
      </c>
      <c r="T1966" s="38">
        <f>VLOOKUP(D1966,Products!$A$2:$F$68,4,FALSE)</f>
        <v>288</v>
      </c>
    </row>
    <row r="1967" spans="1:20" x14ac:dyDescent="0.35">
      <c r="A1967" s="13" t="s">
        <v>2466</v>
      </c>
      <c r="B1967" s="14">
        <v>45358</v>
      </c>
      <c r="C1967" s="13" t="s">
        <v>1051</v>
      </c>
      <c r="D1967" s="13" t="s">
        <v>182</v>
      </c>
      <c r="E1967" s="13" t="s">
        <v>107</v>
      </c>
      <c r="F1967" s="15">
        <v>10</v>
      </c>
      <c r="G1967" s="15">
        <v>1010</v>
      </c>
      <c r="H1967" s="15">
        <v>14.1</v>
      </c>
      <c r="I1967" s="15">
        <v>8675.9</v>
      </c>
      <c r="J1967" s="13" t="s">
        <v>144</v>
      </c>
      <c r="K1967" s="13" t="s">
        <v>112</v>
      </c>
      <c r="L1967" s="34" t="str">
        <f>VLOOKUP(D1967,Products!$A$2:$F$61,3,FALSE)</f>
        <v>Sports</v>
      </c>
      <c r="M1967" s="34" t="str">
        <f>VLOOKUP(C1967,Customers!$A$2:$F$301,5,FALSE)</f>
        <v>Retail</v>
      </c>
      <c r="N1967" s="34">
        <f>VLOOKUP(C1967,Customers!$A$2:$F$301,3,FALSE)</f>
        <v>54</v>
      </c>
      <c r="O1967" s="34" t="str">
        <f>VLOOKUP(E1967,Sales_Reps!$A$2:$E$31,3,FALSE)</f>
        <v>North</v>
      </c>
      <c r="P1967" s="13" t="s">
        <v>107</v>
      </c>
      <c r="Q1967" s="34">
        <f t="shared" si="64"/>
        <v>861553.33</v>
      </c>
      <c r="R1967" s="34" t="str">
        <f>VLOOKUP(E1967,Sales_Reps!$A$2:$E$100,3,FALSE)</f>
        <v>North</v>
      </c>
      <c r="S1967" s="34" t="str">
        <f t="shared" si="65"/>
        <v>Sports</v>
      </c>
      <c r="T1967" s="38">
        <f>VLOOKUP(D1967,Products!$A$2:$F$68,4,FALSE)</f>
        <v>516</v>
      </c>
    </row>
    <row r="1968" spans="1:20" x14ac:dyDescent="0.35">
      <c r="A1968" s="13" t="s">
        <v>2467</v>
      </c>
      <c r="B1968" s="14">
        <v>45586</v>
      </c>
      <c r="C1968" s="13" t="s">
        <v>333</v>
      </c>
      <c r="D1968" s="13" t="s">
        <v>659</v>
      </c>
      <c r="E1968" s="13" t="s">
        <v>170</v>
      </c>
      <c r="F1968" s="15">
        <v>3</v>
      </c>
      <c r="G1968" s="15">
        <v>3560</v>
      </c>
      <c r="H1968" s="15">
        <v>23.6</v>
      </c>
      <c r="I1968" s="15">
        <v>8159.52</v>
      </c>
      <c r="J1968" s="13" t="s">
        <v>87</v>
      </c>
      <c r="K1968" s="13" t="s">
        <v>133</v>
      </c>
      <c r="L1968" s="34" t="str">
        <f>VLOOKUP(D1968,Products!$A$2:$F$61,3,FALSE)</f>
        <v>Apparel</v>
      </c>
      <c r="M1968" s="34" t="str">
        <f>VLOOKUP(C1968,Customers!$A$2:$F$301,5,FALSE)</f>
        <v>SMB</v>
      </c>
      <c r="N1968" s="34">
        <f>VLOOKUP(C1968,Customers!$A$2:$F$301,3,FALSE)</f>
        <v>65</v>
      </c>
      <c r="O1968" s="34" t="str">
        <f>VLOOKUP(E1968,Sales_Reps!$A$2:$E$31,3,FALSE)</f>
        <v>West</v>
      </c>
      <c r="P1968" s="13" t="s">
        <v>170</v>
      </c>
      <c r="Q1968" s="34">
        <f t="shared" si="64"/>
        <v>747624.36999999988</v>
      </c>
      <c r="R1968" s="34" t="str">
        <f>VLOOKUP(E1968,Sales_Reps!$A$2:$E$100,3,FALSE)</f>
        <v>West</v>
      </c>
      <c r="S1968" s="34" t="str">
        <f t="shared" si="65"/>
        <v>Apparel</v>
      </c>
      <c r="T1968" s="38">
        <f>VLOOKUP(D1968,Products!$A$2:$F$68,4,FALSE)</f>
        <v>2629</v>
      </c>
    </row>
    <row r="1969" spans="1:20" x14ac:dyDescent="0.35">
      <c r="A1969" s="13" t="s">
        <v>2468</v>
      </c>
      <c r="B1969" s="14">
        <v>45340</v>
      </c>
      <c r="C1969" s="13" t="s">
        <v>324</v>
      </c>
      <c r="D1969" s="13" t="s">
        <v>267</v>
      </c>
      <c r="E1969" s="13" t="s">
        <v>128</v>
      </c>
      <c r="F1969" s="15">
        <v>9</v>
      </c>
      <c r="G1969" s="15">
        <v>1220</v>
      </c>
      <c r="H1969" s="15">
        <v>16.600000000000001</v>
      </c>
      <c r="I1969" s="15">
        <v>9157.32</v>
      </c>
      <c r="J1969" s="13" t="s">
        <v>87</v>
      </c>
      <c r="K1969" s="13" t="s">
        <v>133</v>
      </c>
      <c r="L1969" s="34" t="str">
        <f>VLOOKUP(D1969,Products!$A$2:$F$61,3,FALSE)</f>
        <v>Electronics</v>
      </c>
      <c r="M1969" s="34" t="str">
        <f>VLOOKUP(C1969,Customers!$A$2:$F$301,5,FALSE)</f>
        <v>Retail</v>
      </c>
      <c r="N1969" s="34">
        <f>VLOOKUP(C1969,Customers!$A$2:$F$301,3,FALSE)</f>
        <v>28</v>
      </c>
      <c r="O1969" s="34" t="str">
        <f>VLOOKUP(E1969,Sales_Reps!$A$2:$E$31,3,FALSE)</f>
        <v>West</v>
      </c>
      <c r="P1969" s="13" t="s">
        <v>128</v>
      </c>
      <c r="Q1969" s="34">
        <f t="shared" si="64"/>
        <v>880468.05</v>
      </c>
      <c r="R1969" s="34" t="str">
        <f>VLOOKUP(E1969,Sales_Reps!$A$2:$E$100,3,FALSE)</f>
        <v>West</v>
      </c>
      <c r="S1969" s="34" t="str">
        <f t="shared" si="65"/>
        <v>Electronics</v>
      </c>
      <c r="T1969" s="38">
        <f>VLOOKUP(D1969,Products!$A$2:$F$68,4,FALSE)</f>
        <v>517</v>
      </c>
    </row>
    <row r="1970" spans="1:20" x14ac:dyDescent="0.35">
      <c r="A1970" s="13" t="s">
        <v>2469</v>
      </c>
      <c r="B1970" s="14">
        <v>45343</v>
      </c>
      <c r="C1970" s="13" t="s">
        <v>1231</v>
      </c>
      <c r="D1970" s="13" t="s">
        <v>147</v>
      </c>
      <c r="E1970" s="13" t="s">
        <v>107</v>
      </c>
      <c r="F1970" s="15">
        <v>8</v>
      </c>
      <c r="G1970" s="15">
        <v>190</v>
      </c>
      <c r="H1970" s="15">
        <v>22.3</v>
      </c>
      <c r="I1970" s="15">
        <v>1181.04</v>
      </c>
      <c r="J1970" s="13" t="s">
        <v>87</v>
      </c>
      <c r="K1970" s="13" t="s">
        <v>88</v>
      </c>
      <c r="L1970" s="34" t="str">
        <f>VLOOKUP(D1970,Products!$A$2:$F$61,3,FALSE)</f>
        <v>Sports</v>
      </c>
      <c r="M1970" s="34" t="str">
        <f>VLOOKUP(C1970,Customers!$A$2:$F$301,5,FALSE)</f>
        <v>Retail</v>
      </c>
      <c r="N1970" s="34">
        <f>VLOOKUP(C1970,Customers!$A$2:$F$301,3,FALSE)</f>
        <v>42</v>
      </c>
      <c r="O1970" s="34" t="str">
        <f>VLOOKUP(E1970,Sales_Reps!$A$2:$E$31,3,FALSE)</f>
        <v>North</v>
      </c>
      <c r="P1970" s="13" t="s">
        <v>107</v>
      </c>
      <c r="Q1970" s="34">
        <f t="shared" si="64"/>
        <v>861553.33</v>
      </c>
      <c r="R1970" s="34" t="str">
        <f>VLOOKUP(E1970,Sales_Reps!$A$2:$E$100,3,FALSE)</f>
        <v>North</v>
      </c>
      <c r="S1970" s="34" t="str">
        <f t="shared" si="65"/>
        <v>Sports</v>
      </c>
      <c r="T1970" s="38">
        <f>VLOOKUP(D1970,Products!$A$2:$F$68,4,FALSE)</f>
        <v>147</v>
      </c>
    </row>
    <row r="1971" spans="1:20" x14ac:dyDescent="0.35">
      <c r="A1971" s="13" t="s">
        <v>2470</v>
      </c>
      <c r="B1971" s="14">
        <v>45468</v>
      </c>
      <c r="C1971" s="13" t="s">
        <v>405</v>
      </c>
      <c r="D1971" s="13" t="s">
        <v>182</v>
      </c>
      <c r="E1971" s="13" t="s">
        <v>297</v>
      </c>
      <c r="F1971" s="15">
        <v>2</v>
      </c>
      <c r="G1971" s="15">
        <v>1010</v>
      </c>
      <c r="H1971" s="15">
        <v>3.8</v>
      </c>
      <c r="I1971" s="15">
        <v>1943.24</v>
      </c>
      <c r="J1971" s="13" t="s">
        <v>87</v>
      </c>
      <c r="K1971" s="13" t="s">
        <v>94</v>
      </c>
      <c r="L1971" s="34" t="str">
        <f>VLOOKUP(D1971,Products!$A$2:$F$61,3,FALSE)</f>
        <v>Sports</v>
      </c>
      <c r="M1971" s="34" t="str">
        <f>VLOOKUP(C1971,Customers!$A$2:$F$301,5,FALSE)</f>
        <v>Corporate</v>
      </c>
      <c r="N1971" s="34">
        <f>VLOOKUP(C1971,Customers!$A$2:$F$301,3,FALSE)</f>
        <v>24</v>
      </c>
      <c r="O1971" s="34" t="str">
        <f>VLOOKUP(E1971,Sales_Reps!$A$2:$E$31,3,FALSE)</f>
        <v>North</v>
      </c>
      <c r="P1971" s="13" t="s">
        <v>297</v>
      </c>
      <c r="Q1971" s="34">
        <f t="shared" si="64"/>
        <v>980063.65999999968</v>
      </c>
      <c r="R1971" s="34" t="str">
        <f>VLOOKUP(E1971,Sales_Reps!$A$2:$E$100,3,FALSE)</f>
        <v>North</v>
      </c>
      <c r="S1971" s="34" t="str">
        <f t="shared" si="65"/>
        <v>Sports</v>
      </c>
      <c r="T1971" s="38">
        <f>VLOOKUP(D1971,Products!$A$2:$F$68,4,FALSE)</f>
        <v>516</v>
      </c>
    </row>
    <row r="1972" spans="1:20" x14ac:dyDescent="0.35">
      <c r="A1972" s="13" t="s">
        <v>2471</v>
      </c>
      <c r="B1972" s="14">
        <v>45439</v>
      </c>
      <c r="C1972" s="13" t="s">
        <v>874</v>
      </c>
      <c r="D1972" s="13" t="s">
        <v>138</v>
      </c>
      <c r="E1972" s="13" t="s">
        <v>204</v>
      </c>
      <c r="F1972" s="15">
        <v>4</v>
      </c>
      <c r="G1972" s="15">
        <v>2600</v>
      </c>
      <c r="H1972" s="15">
        <v>29.1</v>
      </c>
      <c r="I1972" s="15">
        <v>7373.6</v>
      </c>
      <c r="J1972" s="13" t="s">
        <v>87</v>
      </c>
      <c r="K1972" s="13" t="s">
        <v>112</v>
      </c>
      <c r="L1972" s="34" t="str">
        <f>VLOOKUP(D1972,Products!$A$2:$F$61,3,FALSE)</f>
        <v>Electronics</v>
      </c>
      <c r="M1972" s="34" t="str">
        <f>VLOOKUP(C1972,Customers!$A$2:$F$301,5,FALSE)</f>
        <v>Retail</v>
      </c>
      <c r="N1972" s="34">
        <f>VLOOKUP(C1972,Customers!$A$2:$F$301,3,FALSE)</f>
        <v>57</v>
      </c>
      <c r="O1972" s="34" t="str">
        <f>VLOOKUP(E1972,Sales_Reps!$A$2:$E$31,3,FALSE)</f>
        <v>South</v>
      </c>
      <c r="P1972" s="13" t="s">
        <v>204</v>
      </c>
      <c r="Q1972" s="34">
        <f t="shared" si="64"/>
        <v>914554.71999999986</v>
      </c>
      <c r="R1972" s="34" t="str">
        <f>VLOOKUP(E1972,Sales_Reps!$A$2:$E$100,3,FALSE)</f>
        <v>South</v>
      </c>
      <c r="S1972" s="34" t="str">
        <f t="shared" si="65"/>
        <v>Electronics</v>
      </c>
      <c r="T1972" s="38">
        <f>VLOOKUP(D1972,Products!$A$2:$F$68,4,FALSE)</f>
        <v>1052</v>
      </c>
    </row>
    <row r="1973" spans="1:20" x14ac:dyDescent="0.35">
      <c r="A1973" s="13" t="s">
        <v>2472</v>
      </c>
      <c r="B1973" s="14">
        <v>45517</v>
      </c>
      <c r="C1973" s="13" t="s">
        <v>684</v>
      </c>
      <c r="D1973" s="13" t="s">
        <v>452</v>
      </c>
      <c r="E1973" s="13" t="s">
        <v>229</v>
      </c>
      <c r="F1973" s="15">
        <v>7</v>
      </c>
      <c r="G1973" s="15">
        <v>3450</v>
      </c>
      <c r="H1973" s="15">
        <v>4</v>
      </c>
      <c r="I1973" s="15">
        <v>23184</v>
      </c>
      <c r="J1973" s="13" t="s">
        <v>87</v>
      </c>
      <c r="K1973" s="13" t="s">
        <v>99</v>
      </c>
      <c r="L1973" s="34" t="str">
        <f>VLOOKUP(D1973,Products!$A$2:$F$61,3,FALSE)</f>
        <v>Apparel</v>
      </c>
      <c r="M1973" s="34" t="str">
        <f>VLOOKUP(C1973,Customers!$A$2:$F$301,5,FALSE)</f>
        <v>Retail</v>
      </c>
      <c r="N1973" s="34">
        <f>VLOOKUP(C1973,Customers!$A$2:$F$301,3,FALSE)</f>
        <v>41</v>
      </c>
      <c r="O1973" s="34" t="str">
        <f>VLOOKUP(E1973,Sales_Reps!$A$2:$E$31,3,FALSE)</f>
        <v>West</v>
      </c>
      <c r="P1973" s="13" t="s">
        <v>229</v>
      </c>
      <c r="Q1973" s="34">
        <f t="shared" si="64"/>
        <v>1016696.8000000002</v>
      </c>
      <c r="R1973" s="34" t="str">
        <f>VLOOKUP(E1973,Sales_Reps!$A$2:$E$100,3,FALSE)</f>
        <v>West</v>
      </c>
      <c r="S1973" s="34" t="str">
        <f t="shared" si="65"/>
        <v>Apparel</v>
      </c>
      <c r="T1973" s="38">
        <f>VLOOKUP(D1973,Products!$A$2:$F$68,4,FALSE)</f>
        <v>1748</v>
      </c>
    </row>
    <row r="1974" spans="1:20" x14ac:dyDescent="0.35">
      <c r="A1974" s="13" t="s">
        <v>2473</v>
      </c>
      <c r="B1974" s="14">
        <v>45311</v>
      </c>
      <c r="C1974" s="13" t="s">
        <v>244</v>
      </c>
      <c r="D1974" s="13" t="s">
        <v>355</v>
      </c>
      <c r="E1974" s="13" t="s">
        <v>121</v>
      </c>
      <c r="F1974" s="15">
        <v>6</v>
      </c>
      <c r="G1974" s="15">
        <v>2510</v>
      </c>
      <c r="H1974" s="15">
        <v>12.7</v>
      </c>
      <c r="I1974" s="15">
        <v>13147.38</v>
      </c>
      <c r="J1974" s="13" t="s">
        <v>87</v>
      </c>
      <c r="K1974" s="13" t="s">
        <v>94</v>
      </c>
      <c r="L1974" s="34" t="str">
        <f>VLOOKUP(D1974,Products!$A$2:$F$61,3,FALSE)</f>
        <v>Apparel</v>
      </c>
      <c r="M1974" s="34" t="str">
        <f>VLOOKUP(C1974,Customers!$A$2:$F$301,5,FALSE)</f>
        <v>Corporate</v>
      </c>
      <c r="N1974" s="34">
        <f>VLOOKUP(C1974,Customers!$A$2:$F$301,3,FALSE)</f>
        <v>52</v>
      </c>
      <c r="O1974" s="34" t="str">
        <f>VLOOKUP(E1974,Sales_Reps!$A$2:$E$31,3,FALSE)</f>
        <v>East</v>
      </c>
      <c r="P1974" s="13" t="s">
        <v>121</v>
      </c>
      <c r="Q1974" s="34">
        <f t="shared" si="64"/>
        <v>971183.52000000014</v>
      </c>
      <c r="R1974" s="34" t="str">
        <f>VLOOKUP(E1974,Sales_Reps!$A$2:$E$100,3,FALSE)</f>
        <v>East</v>
      </c>
      <c r="S1974" s="34" t="str">
        <f t="shared" si="65"/>
        <v>Apparel</v>
      </c>
      <c r="T1974" s="38">
        <f>VLOOKUP(D1974,Products!$A$2:$F$68,4,FALSE)</f>
        <v>1075</v>
      </c>
    </row>
    <row r="1975" spans="1:20" x14ac:dyDescent="0.35">
      <c r="A1975" s="13" t="s">
        <v>2474</v>
      </c>
      <c r="B1975" s="14">
        <v>45560</v>
      </c>
      <c r="C1975" s="13" t="s">
        <v>109</v>
      </c>
      <c r="D1975" s="13" t="s">
        <v>147</v>
      </c>
      <c r="E1975" s="13" t="s">
        <v>343</v>
      </c>
      <c r="F1975" s="15">
        <v>6</v>
      </c>
      <c r="G1975" s="15">
        <v>190</v>
      </c>
      <c r="H1975" s="15">
        <v>20</v>
      </c>
      <c r="I1975" s="15">
        <v>912</v>
      </c>
      <c r="J1975" s="13" t="s">
        <v>140</v>
      </c>
      <c r="K1975" s="13" t="s">
        <v>112</v>
      </c>
      <c r="L1975" s="34" t="str">
        <f>VLOOKUP(D1975,Products!$A$2:$F$61,3,FALSE)</f>
        <v>Sports</v>
      </c>
      <c r="M1975" s="34" t="str">
        <f>VLOOKUP(C1975,Customers!$A$2:$F$301,5,FALSE)</f>
        <v>Retail</v>
      </c>
      <c r="N1975" s="34">
        <f>VLOOKUP(C1975,Customers!$A$2:$F$301,3,FALSE)</f>
        <v>36</v>
      </c>
      <c r="O1975" s="34" t="str">
        <f>VLOOKUP(E1975,Sales_Reps!$A$2:$E$31,3,FALSE)</f>
        <v>West</v>
      </c>
      <c r="P1975" s="13" t="s">
        <v>343</v>
      </c>
      <c r="Q1975" s="34">
        <f t="shared" si="64"/>
        <v>917092.61999999965</v>
      </c>
      <c r="R1975" s="34" t="str">
        <f>VLOOKUP(E1975,Sales_Reps!$A$2:$E$100,3,FALSE)</f>
        <v>West</v>
      </c>
      <c r="S1975" s="34" t="str">
        <f t="shared" si="65"/>
        <v>Sports</v>
      </c>
      <c r="T1975" s="38">
        <f>VLOOKUP(D1975,Products!$A$2:$F$68,4,FALSE)</f>
        <v>147</v>
      </c>
    </row>
    <row r="1976" spans="1:20" x14ac:dyDescent="0.35">
      <c r="A1976" s="13" t="s">
        <v>2475</v>
      </c>
      <c r="B1976" s="14">
        <v>45529</v>
      </c>
      <c r="C1976" s="13" t="s">
        <v>1231</v>
      </c>
      <c r="D1976" s="13" t="s">
        <v>176</v>
      </c>
      <c r="E1976" s="13" t="s">
        <v>229</v>
      </c>
      <c r="F1976" s="15">
        <v>10</v>
      </c>
      <c r="G1976" s="15">
        <v>1650</v>
      </c>
      <c r="H1976" s="15">
        <v>21.5</v>
      </c>
      <c r="I1976" s="15">
        <v>12952.5</v>
      </c>
      <c r="J1976" s="13" t="s">
        <v>87</v>
      </c>
      <c r="K1976" s="13" t="s">
        <v>88</v>
      </c>
      <c r="L1976" s="34" t="str">
        <f>VLOOKUP(D1976,Products!$A$2:$F$61,3,FALSE)</f>
        <v>Beauty</v>
      </c>
      <c r="M1976" s="34" t="str">
        <f>VLOOKUP(C1976,Customers!$A$2:$F$301,5,FALSE)</f>
        <v>Retail</v>
      </c>
      <c r="N1976" s="34">
        <f>VLOOKUP(C1976,Customers!$A$2:$F$301,3,FALSE)</f>
        <v>42</v>
      </c>
      <c r="O1976" s="34" t="str">
        <f>VLOOKUP(E1976,Sales_Reps!$A$2:$E$31,3,FALSE)</f>
        <v>West</v>
      </c>
      <c r="P1976" s="13" t="s">
        <v>229</v>
      </c>
      <c r="Q1976" s="34">
        <f t="shared" si="64"/>
        <v>1016696.8000000002</v>
      </c>
      <c r="R1976" s="34" t="str">
        <f>VLOOKUP(E1976,Sales_Reps!$A$2:$E$100,3,FALSE)</f>
        <v>West</v>
      </c>
      <c r="S1976" s="34" t="str">
        <f t="shared" si="65"/>
        <v>Beauty</v>
      </c>
      <c r="T1976" s="38">
        <f>VLOOKUP(D1976,Products!$A$2:$F$68,4,FALSE)</f>
        <v>1222</v>
      </c>
    </row>
    <row r="1977" spans="1:20" x14ac:dyDescent="0.35">
      <c r="A1977" s="13" t="s">
        <v>2476</v>
      </c>
      <c r="B1977" s="14">
        <v>45344</v>
      </c>
      <c r="C1977" s="13" t="s">
        <v>119</v>
      </c>
      <c r="D1977" s="13" t="s">
        <v>195</v>
      </c>
      <c r="E1977" s="13" t="s">
        <v>204</v>
      </c>
      <c r="F1977" s="15">
        <v>4</v>
      </c>
      <c r="G1977" s="15">
        <v>2860</v>
      </c>
      <c r="H1977" s="15">
        <v>15.2</v>
      </c>
      <c r="I1977" s="15">
        <v>9701.1200000000008</v>
      </c>
      <c r="J1977" s="13" t="s">
        <v>87</v>
      </c>
      <c r="K1977" s="13" t="s">
        <v>117</v>
      </c>
      <c r="L1977" s="34" t="str">
        <f>VLOOKUP(D1977,Products!$A$2:$F$61,3,FALSE)</f>
        <v>Sports</v>
      </c>
      <c r="M1977" s="34" t="str">
        <f>VLOOKUP(C1977,Customers!$A$2:$F$301,5,FALSE)</f>
        <v>Corporate</v>
      </c>
      <c r="N1977" s="34">
        <f>VLOOKUP(C1977,Customers!$A$2:$F$301,3,FALSE)</f>
        <v>57</v>
      </c>
      <c r="O1977" s="34" t="str">
        <f>VLOOKUP(E1977,Sales_Reps!$A$2:$E$31,3,FALSE)</f>
        <v>South</v>
      </c>
      <c r="P1977" s="13" t="s">
        <v>204</v>
      </c>
      <c r="Q1977" s="34">
        <f t="shared" si="64"/>
        <v>914554.71999999986</v>
      </c>
      <c r="R1977" s="34" t="str">
        <f>VLOOKUP(E1977,Sales_Reps!$A$2:$E$100,3,FALSE)</f>
        <v>South</v>
      </c>
      <c r="S1977" s="34" t="str">
        <f t="shared" si="65"/>
        <v>Sports</v>
      </c>
      <c r="T1977" s="38">
        <f>VLOOKUP(D1977,Products!$A$2:$F$68,4,FALSE)</f>
        <v>2028</v>
      </c>
    </row>
    <row r="1978" spans="1:20" x14ac:dyDescent="0.35">
      <c r="A1978" s="13" t="s">
        <v>2477</v>
      </c>
      <c r="B1978" s="14">
        <v>45589</v>
      </c>
      <c r="C1978" s="13" t="s">
        <v>945</v>
      </c>
      <c r="D1978" s="13" t="s">
        <v>97</v>
      </c>
      <c r="E1978" s="13" t="s">
        <v>128</v>
      </c>
      <c r="F1978" s="15">
        <v>3</v>
      </c>
      <c r="G1978" s="15">
        <v>470</v>
      </c>
      <c r="H1978" s="15">
        <v>14.2</v>
      </c>
      <c r="I1978" s="15">
        <v>1209.78</v>
      </c>
      <c r="J1978" s="13" t="s">
        <v>87</v>
      </c>
      <c r="K1978" s="13" t="s">
        <v>88</v>
      </c>
      <c r="L1978" s="34" t="str">
        <f>VLOOKUP(D1978,Products!$A$2:$F$61,3,FALSE)</f>
        <v>Sports</v>
      </c>
      <c r="M1978" s="34" t="str">
        <f>VLOOKUP(C1978,Customers!$A$2:$F$301,5,FALSE)</f>
        <v>Retail</v>
      </c>
      <c r="N1978" s="34">
        <f>VLOOKUP(C1978,Customers!$A$2:$F$301,3,FALSE)</f>
        <v>54</v>
      </c>
      <c r="O1978" s="34" t="str">
        <f>VLOOKUP(E1978,Sales_Reps!$A$2:$E$31,3,FALSE)</f>
        <v>West</v>
      </c>
      <c r="P1978" s="13" t="s">
        <v>128</v>
      </c>
      <c r="Q1978" s="34">
        <f t="shared" si="64"/>
        <v>880468.05</v>
      </c>
      <c r="R1978" s="34" t="str">
        <f>VLOOKUP(E1978,Sales_Reps!$A$2:$E$100,3,FALSE)</f>
        <v>West</v>
      </c>
      <c r="S1978" s="34" t="str">
        <f t="shared" si="65"/>
        <v>Sports</v>
      </c>
      <c r="T1978" s="38">
        <f>VLOOKUP(D1978,Products!$A$2:$F$68,4,FALSE)</f>
        <v>302</v>
      </c>
    </row>
    <row r="1979" spans="1:20" x14ac:dyDescent="0.35">
      <c r="A1979" s="13" t="s">
        <v>2478</v>
      </c>
      <c r="B1979" s="14">
        <v>45469</v>
      </c>
      <c r="C1979" s="13" t="s">
        <v>943</v>
      </c>
      <c r="D1979" s="13" t="s">
        <v>195</v>
      </c>
      <c r="E1979" s="13" t="s">
        <v>170</v>
      </c>
      <c r="F1979" s="15">
        <v>2</v>
      </c>
      <c r="G1979" s="15">
        <v>2860</v>
      </c>
      <c r="H1979" s="15">
        <v>17.899999999999999</v>
      </c>
      <c r="I1979" s="15">
        <v>4696.12</v>
      </c>
      <c r="J1979" s="13" t="s">
        <v>87</v>
      </c>
      <c r="K1979" s="13" t="s">
        <v>133</v>
      </c>
      <c r="L1979" s="34" t="str">
        <f>VLOOKUP(D1979,Products!$A$2:$F$61,3,FALSE)</f>
        <v>Sports</v>
      </c>
      <c r="M1979" s="34" t="str">
        <f>VLOOKUP(C1979,Customers!$A$2:$F$301,5,FALSE)</f>
        <v>Corporate</v>
      </c>
      <c r="N1979" s="34">
        <f>VLOOKUP(C1979,Customers!$A$2:$F$301,3,FALSE)</f>
        <v>54</v>
      </c>
      <c r="O1979" s="34" t="str">
        <f>VLOOKUP(E1979,Sales_Reps!$A$2:$E$31,3,FALSE)</f>
        <v>West</v>
      </c>
      <c r="P1979" s="13" t="s">
        <v>170</v>
      </c>
      <c r="Q1979" s="34">
        <f t="shared" si="64"/>
        <v>747624.36999999988</v>
      </c>
      <c r="R1979" s="34" t="str">
        <f>VLOOKUP(E1979,Sales_Reps!$A$2:$E$100,3,FALSE)</f>
        <v>West</v>
      </c>
      <c r="S1979" s="34" t="str">
        <f t="shared" si="65"/>
        <v>Sports</v>
      </c>
      <c r="T1979" s="38">
        <f>VLOOKUP(D1979,Products!$A$2:$F$68,4,FALSE)</f>
        <v>2028</v>
      </c>
    </row>
    <row r="1980" spans="1:20" x14ac:dyDescent="0.35">
      <c r="A1980" s="13" t="s">
        <v>2479</v>
      </c>
      <c r="B1980" s="14">
        <v>45407</v>
      </c>
      <c r="C1980" s="13" t="s">
        <v>1350</v>
      </c>
      <c r="D1980" s="13" t="s">
        <v>167</v>
      </c>
      <c r="E1980" s="13" t="s">
        <v>303</v>
      </c>
      <c r="F1980" s="15">
        <v>2</v>
      </c>
      <c r="G1980" s="15">
        <v>2480</v>
      </c>
      <c r="H1980" s="15">
        <v>11.5</v>
      </c>
      <c r="I1980" s="15">
        <v>4389.6000000000004</v>
      </c>
      <c r="J1980" s="13" t="s">
        <v>140</v>
      </c>
      <c r="K1980" s="13" t="s">
        <v>112</v>
      </c>
      <c r="L1980" s="34" t="str">
        <f>VLOOKUP(D1980,Products!$A$2:$F$61,3,FALSE)</f>
        <v>Apparel</v>
      </c>
      <c r="M1980" s="34" t="str">
        <f>VLOOKUP(C1980,Customers!$A$2:$F$301,5,FALSE)</f>
        <v>Retail</v>
      </c>
      <c r="N1980" s="34">
        <f>VLOOKUP(C1980,Customers!$A$2:$F$301,3,FALSE)</f>
        <v>38</v>
      </c>
      <c r="O1980" s="34" t="str">
        <f>VLOOKUP(E1980,Sales_Reps!$A$2:$E$31,3,FALSE)</f>
        <v>East</v>
      </c>
      <c r="P1980" s="13" t="s">
        <v>303</v>
      </c>
      <c r="Q1980" s="34">
        <f t="shared" si="64"/>
        <v>1112289.6400000001</v>
      </c>
      <c r="R1980" s="34" t="str">
        <f>VLOOKUP(E1980,Sales_Reps!$A$2:$E$100,3,FALSE)</f>
        <v>East</v>
      </c>
      <c r="S1980" s="34" t="str">
        <f t="shared" si="65"/>
        <v>Apparel</v>
      </c>
      <c r="T1980" s="38">
        <f>VLOOKUP(D1980,Products!$A$2:$F$68,4,FALSE)</f>
        <v>1173</v>
      </c>
    </row>
    <row r="1981" spans="1:20" x14ac:dyDescent="0.35">
      <c r="A1981" s="13" t="s">
        <v>2480</v>
      </c>
      <c r="B1981" s="14">
        <v>45635</v>
      </c>
      <c r="C1981" s="13" t="s">
        <v>1006</v>
      </c>
      <c r="D1981" s="13" t="s">
        <v>295</v>
      </c>
      <c r="E1981" s="13" t="s">
        <v>103</v>
      </c>
      <c r="F1981" s="15">
        <v>10</v>
      </c>
      <c r="G1981" s="15">
        <v>2030</v>
      </c>
      <c r="H1981" s="15">
        <v>29.2</v>
      </c>
      <c r="I1981" s="15">
        <v>14372.4</v>
      </c>
      <c r="J1981" s="13" t="s">
        <v>87</v>
      </c>
      <c r="K1981" s="13" t="s">
        <v>117</v>
      </c>
      <c r="L1981" s="34" t="str">
        <f>VLOOKUP(D1981,Products!$A$2:$F$61,3,FALSE)</f>
        <v>Home</v>
      </c>
      <c r="M1981" s="34" t="str">
        <f>VLOOKUP(C1981,Customers!$A$2:$F$301,5,FALSE)</f>
        <v>SMB</v>
      </c>
      <c r="N1981" s="34">
        <f>VLOOKUP(C1981,Customers!$A$2:$F$301,3,FALSE)</f>
        <v>44</v>
      </c>
      <c r="O1981" s="34" t="str">
        <f>VLOOKUP(E1981,Sales_Reps!$A$2:$E$31,3,FALSE)</f>
        <v>North</v>
      </c>
      <c r="P1981" s="13" t="s">
        <v>103</v>
      </c>
      <c r="Q1981" s="34">
        <f t="shared" si="64"/>
        <v>1138648.73</v>
      </c>
      <c r="R1981" s="34" t="str">
        <f>VLOOKUP(E1981,Sales_Reps!$A$2:$E$100,3,FALSE)</f>
        <v>North</v>
      </c>
      <c r="S1981" s="34" t="str">
        <f t="shared" si="65"/>
        <v>Home</v>
      </c>
      <c r="T1981" s="38">
        <f>VLOOKUP(D1981,Products!$A$2:$F$68,4,FALSE)</f>
        <v>1143</v>
      </c>
    </row>
    <row r="1982" spans="1:20" x14ac:dyDescent="0.35">
      <c r="A1982" s="13" t="s">
        <v>2481</v>
      </c>
      <c r="B1982" s="14">
        <v>45489</v>
      </c>
      <c r="C1982" s="13" t="s">
        <v>194</v>
      </c>
      <c r="D1982" s="13" t="s">
        <v>157</v>
      </c>
      <c r="E1982" s="13" t="s">
        <v>325</v>
      </c>
      <c r="F1982" s="15">
        <v>6</v>
      </c>
      <c r="G1982" s="15">
        <v>3450</v>
      </c>
      <c r="H1982" s="15">
        <v>3.5</v>
      </c>
      <c r="I1982" s="15">
        <v>19975.5</v>
      </c>
      <c r="J1982" s="13" t="s">
        <v>144</v>
      </c>
      <c r="K1982" s="13" t="s">
        <v>88</v>
      </c>
      <c r="L1982" s="34" t="str">
        <f>VLOOKUP(D1982,Products!$A$2:$F$61,3,FALSE)</f>
        <v>Beauty</v>
      </c>
      <c r="M1982" s="34" t="str">
        <f>VLOOKUP(C1982,Customers!$A$2:$F$301,5,FALSE)</f>
        <v>SMB</v>
      </c>
      <c r="N1982" s="34">
        <f>VLOOKUP(C1982,Customers!$A$2:$F$301,3,FALSE)</f>
        <v>44</v>
      </c>
      <c r="O1982" s="34" t="str">
        <f>VLOOKUP(E1982,Sales_Reps!$A$2:$E$31,3,FALSE)</f>
        <v>South</v>
      </c>
      <c r="P1982" s="13" t="s">
        <v>325</v>
      </c>
      <c r="Q1982" s="34">
        <f t="shared" si="64"/>
        <v>901394.32000000007</v>
      </c>
      <c r="R1982" s="34" t="str">
        <f>VLOOKUP(E1982,Sales_Reps!$A$2:$E$100,3,FALSE)</f>
        <v>South</v>
      </c>
      <c r="S1982" s="34" t="str">
        <f t="shared" si="65"/>
        <v>Beauty</v>
      </c>
      <c r="T1982" s="38">
        <f>VLOOKUP(D1982,Products!$A$2:$F$68,4,FALSE)</f>
        <v>2420</v>
      </c>
    </row>
    <row r="1983" spans="1:20" x14ac:dyDescent="0.35">
      <c r="A1983" s="13" t="s">
        <v>2482</v>
      </c>
      <c r="B1983" s="14">
        <v>45356</v>
      </c>
      <c r="C1983" s="13" t="s">
        <v>602</v>
      </c>
      <c r="D1983" s="13" t="s">
        <v>120</v>
      </c>
      <c r="E1983" s="13" t="s">
        <v>273</v>
      </c>
      <c r="F1983" s="15">
        <v>10</v>
      </c>
      <c r="G1983" s="15">
        <v>1430</v>
      </c>
      <c r="H1983" s="15">
        <v>3.5</v>
      </c>
      <c r="I1983" s="15">
        <v>13799.5</v>
      </c>
      <c r="J1983" s="13" t="s">
        <v>87</v>
      </c>
      <c r="K1983" s="13" t="s">
        <v>94</v>
      </c>
      <c r="L1983" s="34" t="str">
        <f>VLOOKUP(D1983,Products!$A$2:$F$61,3,FALSE)</f>
        <v>Electronics</v>
      </c>
      <c r="M1983" s="34" t="str">
        <f>VLOOKUP(C1983,Customers!$A$2:$F$301,5,FALSE)</f>
        <v>Retail</v>
      </c>
      <c r="N1983" s="34">
        <f>VLOOKUP(C1983,Customers!$A$2:$F$301,3,FALSE)</f>
        <v>61</v>
      </c>
      <c r="O1983" s="34" t="str">
        <f>VLOOKUP(E1983,Sales_Reps!$A$2:$E$31,3,FALSE)</f>
        <v>South</v>
      </c>
      <c r="P1983" s="13" t="s">
        <v>273</v>
      </c>
      <c r="Q1983" s="34">
        <f t="shared" si="64"/>
        <v>735207.75999999989</v>
      </c>
      <c r="R1983" s="34" t="str">
        <f>VLOOKUP(E1983,Sales_Reps!$A$2:$E$100,3,FALSE)</f>
        <v>South</v>
      </c>
      <c r="S1983" s="34" t="str">
        <f t="shared" si="65"/>
        <v>Electronics</v>
      </c>
      <c r="T1983" s="38">
        <f>VLOOKUP(D1983,Products!$A$2:$F$68,4,FALSE)</f>
        <v>861</v>
      </c>
    </row>
    <row r="1984" spans="1:20" x14ac:dyDescent="0.35">
      <c r="A1984" s="13" t="s">
        <v>2483</v>
      </c>
      <c r="B1984" s="14">
        <v>45422</v>
      </c>
      <c r="C1984" s="13" t="s">
        <v>585</v>
      </c>
      <c r="D1984" s="13" t="s">
        <v>91</v>
      </c>
      <c r="E1984" s="13" t="s">
        <v>238</v>
      </c>
      <c r="F1984" s="15">
        <v>1</v>
      </c>
      <c r="G1984" s="15">
        <v>820</v>
      </c>
      <c r="H1984" s="15">
        <v>14.5</v>
      </c>
      <c r="I1984" s="15">
        <v>701.1</v>
      </c>
      <c r="J1984" s="13" t="s">
        <v>140</v>
      </c>
      <c r="K1984" s="13" t="s">
        <v>94</v>
      </c>
      <c r="L1984" s="34" t="str">
        <f>VLOOKUP(D1984,Products!$A$2:$F$61,3,FALSE)</f>
        <v>Apparel</v>
      </c>
      <c r="M1984" s="34" t="str">
        <f>VLOOKUP(C1984,Customers!$A$2:$F$301,5,FALSE)</f>
        <v>Retail</v>
      </c>
      <c r="N1984" s="34">
        <f>VLOOKUP(C1984,Customers!$A$2:$F$301,3,FALSE)</f>
        <v>26</v>
      </c>
      <c r="O1984" s="34" t="str">
        <f>VLOOKUP(E1984,Sales_Reps!$A$2:$E$31,3,FALSE)</f>
        <v>East</v>
      </c>
      <c r="P1984" s="13" t="s">
        <v>238</v>
      </c>
      <c r="Q1984" s="34">
        <f t="shared" si="64"/>
        <v>780384.40999999992</v>
      </c>
      <c r="R1984" s="34" t="str">
        <f>VLOOKUP(E1984,Sales_Reps!$A$2:$E$100,3,FALSE)</f>
        <v>East</v>
      </c>
      <c r="S1984" s="34" t="str">
        <f t="shared" si="65"/>
        <v>Apparel</v>
      </c>
      <c r="T1984" s="38">
        <f>VLOOKUP(D1984,Products!$A$2:$F$68,4,FALSE)</f>
        <v>391</v>
      </c>
    </row>
    <row r="1985" spans="1:20" x14ac:dyDescent="0.35">
      <c r="A1985" s="13" t="s">
        <v>2484</v>
      </c>
      <c r="B1985" s="14">
        <v>45333</v>
      </c>
      <c r="C1985" s="13" t="s">
        <v>1038</v>
      </c>
      <c r="D1985" s="13" t="s">
        <v>184</v>
      </c>
      <c r="E1985" s="13" t="s">
        <v>154</v>
      </c>
      <c r="F1985" s="15">
        <v>5</v>
      </c>
      <c r="G1985" s="15">
        <v>4880</v>
      </c>
      <c r="H1985" s="15">
        <v>1.8</v>
      </c>
      <c r="I1985" s="15">
        <v>23960.799999999999</v>
      </c>
      <c r="J1985" s="13" t="s">
        <v>87</v>
      </c>
      <c r="K1985" s="13" t="s">
        <v>117</v>
      </c>
      <c r="L1985" s="34" t="str">
        <f>VLOOKUP(D1985,Products!$A$2:$F$61,3,FALSE)</f>
        <v>Beauty</v>
      </c>
      <c r="M1985" s="34" t="str">
        <f>VLOOKUP(C1985,Customers!$A$2:$F$301,5,FALSE)</f>
        <v>Corporate</v>
      </c>
      <c r="N1985" s="34">
        <f>VLOOKUP(C1985,Customers!$A$2:$F$301,3,FALSE)</f>
        <v>55</v>
      </c>
      <c r="O1985" s="34" t="str">
        <f>VLOOKUP(E1985,Sales_Reps!$A$2:$E$31,3,FALSE)</f>
        <v>East</v>
      </c>
      <c r="P1985" s="13" t="s">
        <v>154</v>
      </c>
      <c r="Q1985" s="34">
        <f t="shared" si="64"/>
        <v>983787.4800000001</v>
      </c>
      <c r="R1985" s="34" t="str">
        <f>VLOOKUP(E1985,Sales_Reps!$A$2:$E$100,3,FALSE)</f>
        <v>East</v>
      </c>
      <c r="S1985" s="34" t="str">
        <f t="shared" si="65"/>
        <v>Beauty</v>
      </c>
      <c r="T1985" s="38">
        <f>VLOOKUP(D1985,Products!$A$2:$F$68,4,FALSE)</f>
        <v>2768</v>
      </c>
    </row>
    <row r="1986" spans="1:20" x14ac:dyDescent="0.35">
      <c r="A1986" s="13" t="s">
        <v>2485</v>
      </c>
      <c r="B1986" s="14">
        <v>45385</v>
      </c>
      <c r="C1986" s="13" t="s">
        <v>109</v>
      </c>
      <c r="D1986" s="13" t="s">
        <v>179</v>
      </c>
      <c r="E1986" s="13" t="s">
        <v>346</v>
      </c>
      <c r="F1986" s="15">
        <v>8</v>
      </c>
      <c r="G1986" s="15">
        <v>3350</v>
      </c>
      <c r="H1986" s="15">
        <v>26.3</v>
      </c>
      <c r="I1986" s="15">
        <v>19751.599999999999</v>
      </c>
      <c r="J1986" s="13" t="s">
        <v>140</v>
      </c>
      <c r="K1986" s="13" t="s">
        <v>112</v>
      </c>
      <c r="L1986" s="34" t="str">
        <f>VLOOKUP(D1986,Products!$A$2:$F$61,3,FALSE)</f>
        <v>Beauty</v>
      </c>
      <c r="M1986" s="34" t="str">
        <f>VLOOKUP(C1986,Customers!$A$2:$F$301,5,FALSE)</f>
        <v>Retail</v>
      </c>
      <c r="N1986" s="34">
        <f>VLOOKUP(C1986,Customers!$A$2:$F$301,3,FALSE)</f>
        <v>36</v>
      </c>
      <c r="O1986" s="34" t="str">
        <f>VLOOKUP(E1986,Sales_Reps!$A$2:$E$31,3,FALSE)</f>
        <v>South</v>
      </c>
      <c r="P1986" s="13" t="s">
        <v>346</v>
      </c>
      <c r="Q1986" s="34">
        <f t="shared" si="64"/>
        <v>814563.7100000002</v>
      </c>
      <c r="R1986" s="34" t="str">
        <f>VLOOKUP(E1986,Sales_Reps!$A$2:$E$100,3,FALSE)</f>
        <v>South</v>
      </c>
      <c r="S1986" s="34" t="str">
        <f t="shared" si="65"/>
        <v>Beauty</v>
      </c>
      <c r="T1986" s="38">
        <f>VLOOKUP(D1986,Products!$A$2:$F$68,4,FALSE)</f>
        <v>1728</v>
      </c>
    </row>
    <row r="1987" spans="1:20" x14ac:dyDescent="0.35">
      <c r="A1987" s="13" t="s">
        <v>2486</v>
      </c>
      <c r="B1987" s="14">
        <v>45298</v>
      </c>
      <c r="C1987" s="13" t="s">
        <v>166</v>
      </c>
      <c r="D1987" s="13" t="s">
        <v>167</v>
      </c>
      <c r="E1987" s="13" t="s">
        <v>285</v>
      </c>
      <c r="F1987" s="15">
        <v>9</v>
      </c>
      <c r="G1987" s="15">
        <v>2480</v>
      </c>
      <c r="H1987" s="15">
        <v>24.3</v>
      </c>
      <c r="I1987" s="15">
        <v>16896.240000000002</v>
      </c>
      <c r="J1987" s="13" t="s">
        <v>87</v>
      </c>
      <c r="K1987" s="13" t="s">
        <v>133</v>
      </c>
      <c r="L1987" s="34" t="str">
        <f>VLOOKUP(D1987,Products!$A$2:$F$61,3,FALSE)</f>
        <v>Apparel</v>
      </c>
      <c r="M1987" s="34" t="str">
        <f>VLOOKUP(C1987,Customers!$A$2:$F$301,5,FALSE)</f>
        <v>Retail</v>
      </c>
      <c r="N1987" s="34">
        <f>VLOOKUP(C1987,Customers!$A$2:$F$301,3,FALSE)</f>
        <v>32</v>
      </c>
      <c r="O1987" s="34" t="str">
        <f>VLOOKUP(E1987,Sales_Reps!$A$2:$E$31,3,FALSE)</f>
        <v>East</v>
      </c>
      <c r="P1987" s="13" t="s">
        <v>285</v>
      </c>
      <c r="Q1987" s="34">
        <f t="shared" ref="Q1987:Q2001" si="66">SUMIFS($I:$I,$E:$E,P1987)</f>
        <v>1069570.5400000003</v>
      </c>
      <c r="R1987" s="34" t="str">
        <f>VLOOKUP(E1987,Sales_Reps!$A$2:$E$100,3,FALSE)</f>
        <v>East</v>
      </c>
      <c r="S1987" s="34" t="str">
        <f t="shared" ref="S1987:S2001" si="67">L1987</f>
        <v>Apparel</v>
      </c>
      <c r="T1987" s="38">
        <f>VLOOKUP(D1987,Products!$A$2:$F$68,4,FALSE)</f>
        <v>1173</v>
      </c>
    </row>
    <row r="1988" spans="1:20" x14ac:dyDescent="0.35">
      <c r="A1988" s="13" t="s">
        <v>2487</v>
      </c>
      <c r="B1988" s="14">
        <v>45500</v>
      </c>
      <c r="C1988" s="13" t="s">
        <v>231</v>
      </c>
      <c r="D1988" s="13" t="s">
        <v>270</v>
      </c>
      <c r="E1988" s="13" t="s">
        <v>116</v>
      </c>
      <c r="F1988" s="15">
        <v>9</v>
      </c>
      <c r="G1988" s="15">
        <v>4610</v>
      </c>
      <c r="H1988" s="15">
        <v>10</v>
      </c>
      <c r="I1988" s="15">
        <v>37341</v>
      </c>
      <c r="J1988" s="13" t="s">
        <v>87</v>
      </c>
      <c r="K1988" s="13" t="s">
        <v>117</v>
      </c>
      <c r="L1988" s="34" t="str">
        <f>VLOOKUP(D1988,Products!$A$2:$F$61,3,FALSE)</f>
        <v>Home</v>
      </c>
      <c r="M1988" s="34" t="str">
        <f>VLOOKUP(C1988,Customers!$A$2:$F$301,5,FALSE)</f>
        <v>SMB</v>
      </c>
      <c r="N1988" s="34">
        <f>VLOOKUP(C1988,Customers!$A$2:$F$301,3,FALSE)</f>
        <v>64</v>
      </c>
      <c r="O1988" s="34" t="str">
        <f>VLOOKUP(E1988,Sales_Reps!$A$2:$E$31,3,FALSE)</f>
        <v>West</v>
      </c>
      <c r="P1988" s="13" t="s">
        <v>116</v>
      </c>
      <c r="Q1988" s="34">
        <f t="shared" si="66"/>
        <v>819558.58</v>
      </c>
      <c r="R1988" s="34" t="str">
        <f>VLOOKUP(E1988,Sales_Reps!$A$2:$E$100,3,FALSE)</f>
        <v>West</v>
      </c>
      <c r="S1988" s="34" t="str">
        <f t="shared" si="67"/>
        <v>Home</v>
      </c>
      <c r="T1988" s="38">
        <f>VLOOKUP(D1988,Products!$A$2:$F$68,4,FALSE)</f>
        <v>1850</v>
      </c>
    </row>
    <row r="1989" spans="1:20" x14ac:dyDescent="0.35">
      <c r="A1989" s="13" t="s">
        <v>2488</v>
      </c>
      <c r="B1989" s="14">
        <v>45409</v>
      </c>
      <c r="C1989" s="13" t="s">
        <v>1051</v>
      </c>
      <c r="D1989" s="13" t="s">
        <v>234</v>
      </c>
      <c r="E1989" s="13" t="s">
        <v>139</v>
      </c>
      <c r="F1989" s="15">
        <v>1</v>
      </c>
      <c r="G1989" s="15">
        <v>3780</v>
      </c>
      <c r="H1989" s="15">
        <v>2.2000000000000002</v>
      </c>
      <c r="I1989" s="15">
        <v>3696.84</v>
      </c>
      <c r="J1989" s="13" t="s">
        <v>87</v>
      </c>
      <c r="K1989" s="13" t="s">
        <v>112</v>
      </c>
      <c r="L1989" s="34" t="str">
        <f>VLOOKUP(D1989,Products!$A$2:$F$61,3,FALSE)</f>
        <v>Grocery</v>
      </c>
      <c r="M1989" s="34" t="str">
        <f>VLOOKUP(C1989,Customers!$A$2:$F$301,5,FALSE)</f>
        <v>Retail</v>
      </c>
      <c r="N1989" s="34">
        <f>VLOOKUP(C1989,Customers!$A$2:$F$301,3,FALSE)</f>
        <v>54</v>
      </c>
      <c r="O1989" s="34" t="str">
        <f>VLOOKUP(E1989,Sales_Reps!$A$2:$E$31,3,FALSE)</f>
        <v>North</v>
      </c>
      <c r="P1989" s="13" t="s">
        <v>139</v>
      </c>
      <c r="Q1989" s="34">
        <f t="shared" si="66"/>
        <v>589026.2899999998</v>
      </c>
      <c r="R1989" s="34" t="str">
        <f>VLOOKUP(E1989,Sales_Reps!$A$2:$E$100,3,FALSE)</f>
        <v>North</v>
      </c>
      <c r="S1989" s="34" t="str">
        <f t="shared" si="67"/>
        <v>Grocery</v>
      </c>
      <c r="T1989" s="38">
        <f>VLOOKUP(D1989,Products!$A$2:$F$68,4,FALSE)</f>
        <v>2436</v>
      </c>
    </row>
    <row r="1990" spans="1:20" x14ac:dyDescent="0.35">
      <c r="A1990" s="13" t="s">
        <v>2489</v>
      </c>
      <c r="B1990" s="14">
        <v>45401</v>
      </c>
      <c r="C1990" s="13" t="s">
        <v>705</v>
      </c>
      <c r="D1990" s="13" t="s">
        <v>276</v>
      </c>
      <c r="E1990" s="13" t="s">
        <v>201</v>
      </c>
      <c r="F1990" s="15">
        <v>3</v>
      </c>
      <c r="G1990" s="15">
        <v>3020</v>
      </c>
      <c r="H1990" s="15">
        <v>21.4</v>
      </c>
      <c r="I1990" s="15">
        <v>7121.16</v>
      </c>
      <c r="J1990" s="13" t="s">
        <v>140</v>
      </c>
      <c r="K1990" s="13" t="s">
        <v>99</v>
      </c>
      <c r="L1990" s="34" t="str">
        <f>VLOOKUP(D1990,Products!$A$2:$F$61,3,FALSE)</f>
        <v>Beauty</v>
      </c>
      <c r="M1990" s="34" t="str">
        <f>VLOOKUP(C1990,Customers!$A$2:$F$301,5,FALSE)</f>
        <v>Retail</v>
      </c>
      <c r="N1990" s="34">
        <f>VLOOKUP(C1990,Customers!$A$2:$F$301,3,FALSE)</f>
        <v>53</v>
      </c>
      <c r="O1990" s="34" t="str">
        <f>VLOOKUP(E1990,Sales_Reps!$A$2:$E$31,3,FALSE)</f>
        <v>West</v>
      </c>
      <c r="P1990" s="13" t="s">
        <v>201</v>
      </c>
      <c r="Q1990" s="34">
        <f t="shared" si="66"/>
        <v>576305.08000000019</v>
      </c>
      <c r="R1990" s="34" t="str">
        <f>VLOOKUP(E1990,Sales_Reps!$A$2:$E$100,3,FALSE)</f>
        <v>West</v>
      </c>
      <c r="S1990" s="34" t="str">
        <f t="shared" si="67"/>
        <v>Beauty</v>
      </c>
      <c r="T1990" s="38">
        <f>VLOOKUP(D1990,Products!$A$2:$F$68,4,FALSE)</f>
        <v>1626</v>
      </c>
    </row>
    <row r="1991" spans="1:20" x14ac:dyDescent="0.35">
      <c r="A1991" s="13" t="s">
        <v>2490</v>
      </c>
      <c r="B1991" s="14">
        <v>45645</v>
      </c>
      <c r="C1991" s="13" t="s">
        <v>166</v>
      </c>
      <c r="D1991" s="13" t="s">
        <v>502</v>
      </c>
      <c r="E1991" s="13" t="s">
        <v>103</v>
      </c>
      <c r="F1991" s="15">
        <v>10</v>
      </c>
      <c r="G1991" s="15">
        <v>1090</v>
      </c>
      <c r="H1991" s="15">
        <v>29.2</v>
      </c>
      <c r="I1991" s="15">
        <v>7717.2</v>
      </c>
      <c r="J1991" s="13" t="s">
        <v>140</v>
      </c>
      <c r="K1991" s="13" t="s">
        <v>133</v>
      </c>
      <c r="L1991" s="34" t="str">
        <f>VLOOKUP(D1991,Products!$A$2:$F$61,3,FALSE)</f>
        <v>Home</v>
      </c>
      <c r="M1991" s="34" t="str">
        <f>VLOOKUP(C1991,Customers!$A$2:$F$301,5,FALSE)</f>
        <v>Retail</v>
      </c>
      <c r="N1991" s="34">
        <f>VLOOKUP(C1991,Customers!$A$2:$F$301,3,FALSE)</f>
        <v>32</v>
      </c>
      <c r="O1991" s="34" t="str">
        <f>VLOOKUP(E1991,Sales_Reps!$A$2:$E$31,3,FALSE)</f>
        <v>North</v>
      </c>
      <c r="P1991" s="13" t="s">
        <v>103</v>
      </c>
      <c r="Q1991" s="34">
        <f t="shared" si="66"/>
        <v>1138648.73</v>
      </c>
      <c r="R1991" s="34" t="str">
        <f>VLOOKUP(E1991,Sales_Reps!$A$2:$E$100,3,FALSE)</f>
        <v>North</v>
      </c>
      <c r="S1991" s="34" t="str">
        <f t="shared" si="67"/>
        <v>Home</v>
      </c>
      <c r="T1991" s="38">
        <f>VLOOKUP(D1991,Products!$A$2:$F$68,4,FALSE)</f>
        <v>464</v>
      </c>
    </row>
    <row r="1992" spans="1:20" x14ac:dyDescent="0.35">
      <c r="A1992" s="13" t="s">
        <v>2491</v>
      </c>
      <c r="B1992" s="14">
        <v>45616</v>
      </c>
      <c r="C1992" s="13" t="s">
        <v>1104</v>
      </c>
      <c r="D1992" s="13" t="s">
        <v>191</v>
      </c>
      <c r="E1992" s="13" t="s">
        <v>252</v>
      </c>
      <c r="F1992" s="15">
        <v>5</v>
      </c>
      <c r="G1992" s="15">
        <v>5100</v>
      </c>
      <c r="H1992" s="15">
        <v>28.4</v>
      </c>
      <c r="I1992" s="15">
        <v>18258</v>
      </c>
      <c r="J1992" s="13" t="s">
        <v>87</v>
      </c>
      <c r="K1992" s="13" t="s">
        <v>117</v>
      </c>
      <c r="L1992" s="34" t="str">
        <f>VLOOKUP(D1992,Products!$A$2:$F$61,3,FALSE)</f>
        <v>Beauty</v>
      </c>
      <c r="M1992" s="34" t="str">
        <f>VLOOKUP(C1992,Customers!$A$2:$F$301,5,FALSE)</f>
        <v>Corporate</v>
      </c>
      <c r="N1992" s="34">
        <f>VLOOKUP(C1992,Customers!$A$2:$F$301,3,FALSE)</f>
        <v>31</v>
      </c>
      <c r="O1992" s="34" t="str">
        <f>VLOOKUP(E1992,Sales_Reps!$A$2:$E$31,3,FALSE)</f>
        <v>South</v>
      </c>
      <c r="P1992" s="13" t="s">
        <v>252</v>
      </c>
      <c r="Q1992" s="34">
        <f t="shared" si="66"/>
        <v>811524.37999999989</v>
      </c>
      <c r="R1992" s="34" t="str">
        <f>VLOOKUP(E1992,Sales_Reps!$A$2:$E$100,3,FALSE)</f>
        <v>South</v>
      </c>
      <c r="S1992" s="34" t="str">
        <f t="shared" si="67"/>
        <v>Beauty</v>
      </c>
      <c r="T1992" s="38">
        <f>VLOOKUP(D1992,Products!$A$2:$F$68,4,FALSE)</f>
        <v>2237</v>
      </c>
    </row>
    <row r="1993" spans="1:20" x14ac:dyDescent="0.35">
      <c r="A1993" s="13" t="s">
        <v>2492</v>
      </c>
      <c r="B1993" s="14">
        <v>45352</v>
      </c>
      <c r="C1993" s="13" t="s">
        <v>582</v>
      </c>
      <c r="D1993" s="13" t="s">
        <v>184</v>
      </c>
      <c r="E1993" s="13" t="s">
        <v>107</v>
      </c>
      <c r="F1993" s="15">
        <v>6</v>
      </c>
      <c r="G1993" s="15">
        <v>4880</v>
      </c>
      <c r="H1993" s="15">
        <v>16.8</v>
      </c>
      <c r="I1993" s="15">
        <v>24360.959999999999</v>
      </c>
      <c r="J1993" s="13" t="s">
        <v>87</v>
      </c>
      <c r="K1993" s="13" t="s">
        <v>94</v>
      </c>
      <c r="L1993" s="34" t="str">
        <f>VLOOKUP(D1993,Products!$A$2:$F$61,3,FALSE)</f>
        <v>Beauty</v>
      </c>
      <c r="M1993" s="34" t="str">
        <f>VLOOKUP(C1993,Customers!$A$2:$F$301,5,FALSE)</f>
        <v>SMB</v>
      </c>
      <c r="N1993" s="34">
        <f>VLOOKUP(C1993,Customers!$A$2:$F$301,3,FALSE)</f>
        <v>59</v>
      </c>
      <c r="O1993" s="34" t="str">
        <f>VLOOKUP(E1993,Sales_Reps!$A$2:$E$31,3,FALSE)</f>
        <v>North</v>
      </c>
      <c r="P1993" s="13" t="s">
        <v>107</v>
      </c>
      <c r="Q1993" s="34">
        <f t="shared" si="66"/>
        <v>861553.33</v>
      </c>
      <c r="R1993" s="34" t="str">
        <f>VLOOKUP(E1993,Sales_Reps!$A$2:$E$100,3,FALSE)</f>
        <v>North</v>
      </c>
      <c r="S1993" s="34" t="str">
        <f t="shared" si="67"/>
        <v>Beauty</v>
      </c>
      <c r="T1993" s="38">
        <f>VLOOKUP(D1993,Products!$A$2:$F$68,4,FALSE)</f>
        <v>2768</v>
      </c>
    </row>
    <row r="1994" spans="1:20" x14ac:dyDescent="0.35">
      <c r="A1994" s="13" t="s">
        <v>2493</v>
      </c>
      <c r="B1994" s="14">
        <v>45451</v>
      </c>
      <c r="C1994" s="13" t="s">
        <v>697</v>
      </c>
      <c r="D1994" s="13" t="s">
        <v>364</v>
      </c>
      <c r="E1994" s="13" t="s">
        <v>343</v>
      </c>
      <c r="F1994" s="15">
        <v>1</v>
      </c>
      <c r="G1994" s="15">
        <v>5330</v>
      </c>
      <c r="H1994" s="15">
        <v>27.5</v>
      </c>
      <c r="I1994" s="15">
        <v>3864.25</v>
      </c>
      <c r="J1994" s="13" t="s">
        <v>87</v>
      </c>
      <c r="K1994" s="13" t="s">
        <v>133</v>
      </c>
      <c r="L1994" s="34" t="str">
        <f>VLOOKUP(D1994,Products!$A$2:$F$61,3,FALSE)</f>
        <v>Electronics</v>
      </c>
      <c r="M1994" s="34" t="str">
        <f>VLOOKUP(C1994,Customers!$A$2:$F$301,5,FALSE)</f>
        <v>Retail</v>
      </c>
      <c r="N1994" s="34">
        <f>VLOOKUP(C1994,Customers!$A$2:$F$301,3,FALSE)</f>
        <v>65</v>
      </c>
      <c r="O1994" s="34" t="str">
        <f>VLOOKUP(E1994,Sales_Reps!$A$2:$E$31,3,FALSE)</f>
        <v>West</v>
      </c>
      <c r="P1994" s="13" t="s">
        <v>343</v>
      </c>
      <c r="Q1994" s="34">
        <f t="shared" si="66"/>
        <v>917092.61999999965</v>
      </c>
      <c r="R1994" s="34" t="str">
        <f>VLOOKUP(E1994,Sales_Reps!$A$2:$E$100,3,FALSE)</f>
        <v>West</v>
      </c>
      <c r="S1994" s="34" t="str">
        <f t="shared" si="67"/>
        <v>Electronics</v>
      </c>
      <c r="T1994" s="38">
        <f>VLOOKUP(D1994,Products!$A$2:$F$68,4,FALSE)</f>
        <v>2405</v>
      </c>
    </row>
    <row r="1995" spans="1:20" x14ac:dyDescent="0.35">
      <c r="A1995" s="13" t="s">
        <v>2494</v>
      </c>
      <c r="B1995" s="14">
        <v>45477</v>
      </c>
      <c r="C1995" s="13" t="s">
        <v>142</v>
      </c>
      <c r="D1995" s="13" t="s">
        <v>295</v>
      </c>
      <c r="E1995" s="13" t="s">
        <v>229</v>
      </c>
      <c r="F1995" s="15">
        <v>7</v>
      </c>
      <c r="G1995" s="15">
        <v>2030</v>
      </c>
      <c r="H1995" s="15">
        <v>5.3</v>
      </c>
      <c r="I1995" s="15">
        <v>13456.87</v>
      </c>
      <c r="J1995" s="13" t="s">
        <v>140</v>
      </c>
      <c r="K1995" s="13" t="s">
        <v>88</v>
      </c>
      <c r="L1995" s="34" t="str">
        <f>VLOOKUP(D1995,Products!$A$2:$F$61,3,FALSE)</f>
        <v>Home</v>
      </c>
      <c r="M1995" s="34" t="str">
        <f>VLOOKUP(C1995,Customers!$A$2:$F$301,5,FALSE)</f>
        <v>SMB</v>
      </c>
      <c r="N1995" s="34">
        <f>VLOOKUP(C1995,Customers!$A$2:$F$301,3,FALSE)</f>
        <v>39</v>
      </c>
      <c r="O1995" s="34" t="str">
        <f>VLOOKUP(E1995,Sales_Reps!$A$2:$E$31,3,FALSE)</f>
        <v>West</v>
      </c>
      <c r="P1995" s="13" t="s">
        <v>229</v>
      </c>
      <c r="Q1995" s="34">
        <f t="shared" si="66"/>
        <v>1016696.8000000002</v>
      </c>
      <c r="R1995" s="34" t="str">
        <f>VLOOKUP(E1995,Sales_Reps!$A$2:$E$100,3,FALSE)</f>
        <v>West</v>
      </c>
      <c r="S1995" s="34" t="str">
        <f t="shared" si="67"/>
        <v>Home</v>
      </c>
      <c r="T1995" s="38">
        <f>VLOOKUP(D1995,Products!$A$2:$F$68,4,FALSE)</f>
        <v>1143</v>
      </c>
    </row>
    <row r="1996" spans="1:20" x14ac:dyDescent="0.35">
      <c r="A1996" s="13" t="s">
        <v>2495</v>
      </c>
      <c r="B1996" s="14">
        <v>45360</v>
      </c>
      <c r="C1996" s="13" t="s">
        <v>123</v>
      </c>
      <c r="D1996" s="13" t="s">
        <v>179</v>
      </c>
      <c r="E1996" s="13" t="s">
        <v>116</v>
      </c>
      <c r="F1996" s="15">
        <v>7</v>
      </c>
      <c r="G1996" s="15">
        <v>3350</v>
      </c>
      <c r="H1996" s="15">
        <v>0.4</v>
      </c>
      <c r="I1996" s="15">
        <v>23356.2</v>
      </c>
      <c r="J1996" s="13" t="s">
        <v>87</v>
      </c>
      <c r="K1996" s="13" t="s">
        <v>117</v>
      </c>
      <c r="L1996" s="34" t="str">
        <f>VLOOKUP(D1996,Products!$A$2:$F$61,3,FALSE)</f>
        <v>Beauty</v>
      </c>
      <c r="M1996" s="34" t="str">
        <f>VLOOKUP(C1996,Customers!$A$2:$F$301,5,FALSE)</f>
        <v>Retail</v>
      </c>
      <c r="N1996" s="34">
        <f>VLOOKUP(C1996,Customers!$A$2:$F$301,3,FALSE)</f>
        <v>42</v>
      </c>
      <c r="O1996" s="34" t="str">
        <f>VLOOKUP(E1996,Sales_Reps!$A$2:$E$31,3,FALSE)</f>
        <v>West</v>
      </c>
      <c r="P1996" s="13" t="s">
        <v>116</v>
      </c>
      <c r="Q1996" s="34">
        <f t="shared" si="66"/>
        <v>819558.58</v>
      </c>
      <c r="R1996" s="34" t="str">
        <f>VLOOKUP(E1996,Sales_Reps!$A$2:$E$100,3,FALSE)</f>
        <v>West</v>
      </c>
      <c r="S1996" s="34" t="str">
        <f t="shared" si="67"/>
        <v>Beauty</v>
      </c>
      <c r="T1996" s="38">
        <f>VLOOKUP(D1996,Products!$A$2:$F$68,4,FALSE)</f>
        <v>1728</v>
      </c>
    </row>
    <row r="1997" spans="1:20" x14ac:dyDescent="0.35">
      <c r="A1997" s="13" t="s">
        <v>2496</v>
      </c>
      <c r="B1997" s="14">
        <v>45292</v>
      </c>
      <c r="C1997" s="13" t="s">
        <v>163</v>
      </c>
      <c r="D1997" s="13" t="s">
        <v>226</v>
      </c>
      <c r="E1997" s="13" t="s">
        <v>188</v>
      </c>
      <c r="F1997" s="15">
        <v>6</v>
      </c>
      <c r="G1997" s="15">
        <v>3730</v>
      </c>
      <c r="H1997" s="15">
        <v>13.8</v>
      </c>
      <c r="I1997" s="15">
        <v>19291.560000000001</v>
      </c>
      <c r="J1997" s="13" t="s">
        <v>87</v>
      </c>
      <c r="K1997" s="13" t="s">
        <v>94</v>
      </c>
      <c r="L1997" s="34" t="str">
        <f>VLOOKUP(D1997,Products!$A$2:$F$61,3,FALSE)</f>
        <v>Home</v>
      </c>
      <c r="M1997" s="34" t="str">
        <f>VLOOKUP(C1997,Customers!$A$2:$F$301,5,FALSE)</f>
        <v>Retail</v>
      </c>
      <c r="N1997" s="34">
        <f>VLOOKUP(C1997,Customers!$A$2:$F$301,3,FALSE)</f>
        <v>49</v>
      </c>
      <c r="O1997" s="34" t="str">
        <f>VLOOKUP(E1997,Sales_Reps!$A$2:$E$31,3,FALSE)</f>
        <v>South</v>
      </c>
      <c r="P1997" s="13" t="s">
        <v>188</v>
      </c>
      <c r="Q1997" s="34">
        <f t="shared" si="66"/>
        <v>1091740.1799999997</v>
      </c>
      <c r="R1997" s="34" t="str">
        <f>VLOOKUP(E1997,Sales_Reps!$A$2:$E$100,3,FALSE)</f>
        <v>South</v>
      </c>
      <c r="S1997" s="34" t="str">
        <f t="shared" si="67"/>
        <v>Home</v>
      </c>
      <c r="T1997" s="38">
        <f>VLOOKUP(D1997,Products!$A$2:$F$68,4,FALSE)</f>
        <v>2135</v>
      </c>
    </row>
    <row r="1998" spans="1:20" x14ac:dyDescent="0.35">
      <c r="A1998" s="13" t="s">
        <v>2497</v>
      </c>
      <c r="B1998" s="14">
        <v>45585</v>
      </c>
      <c r="C1998" s="13" t="s">
        <v>563</v>
      </c>
      <c r="D1998" s="13" t="s">
        <v>408</v>
      </c>
      <c r="E1998" s="13" t="s">
        <v>238</v>
      </c>
      <c r="F1998" s="15">
        <v>6</v>
      </c>
      <c r="G1998" s="15">
        <v>3970</v>
      </c>
      <c r="H1998" s="15">
        <v>5.8</v>
      </c>
      <c r="I1998" s="15">
        <v>22438.44</v>
      </c>
      <c r="J1998" s="13" t="s">
        <v>93</v>
      </c>
      <c r="K1998" s="13" t="s">
        <v>88</v>
      </c>
      <c r="L1998" s="34" t="str">
        <f>VLOOKUP(D1998,Products!$A$2:$F$61,3,FALSE)</f>
        <v>Electronics</v>
      </c>
      <c r="M1998" s="34" t="str">
        <f>VLOOKUP(C1998,Customers!$A$2:$F$301,5,FALSE)</f>
        <v>SMB</v>
      </c>
      <c r="N1998" s="34">
        <f>VLOOKUP(C1998,Customers!$A$2:$F$301,3,FALSE)</f>
        <v>24</v>
      </c>
      <c r="O1998" s="34" t="str">
        <f>VLOOKUP(E1998,Sales_Reps!$A$2:$E$31,3,FALSE)</f>
        <v>East</v>
      </c>
      <c r="P1998" s="13" t="s">
        <v>238</v>
      </c>
      <c r="Q1998" s="34">
        <f t="shared" si="66"/>
        <v>780384.40999999992</v>
      </c>
      <c r="R1998" s="34" t="str">
        <f>VLOOKUP(E1998,Sales_Reps!$A$2:$E$100,3,FALSE)</f>
        <v>East</v>
      </c>
      <c r="S1998" s="34" t="str">
        <f t="shared" si="67"/>
        <v>Electronics</v>
      </c>
      <c r="T1998" s="38">
        <f>VLOOKUP(D1998,Products!$A$2:$F$68,4,FALSE)</f>
        <v>2865</v>
      </c>
    </row>
    <row r="1999" spans="1:20" x14ac:dyDescent="0.35">
      <c r="A1999" s="13" t="s">
        <v>2498</v>
      </c>
      <c r="B1999" s="14">
        <v>45592</v>
      </c>
      <c r="C1999" s="13" t="s">
        <v>757</v>
      </c>
      <c r="D1999" s="13" t="s">
        <v>338</v>
      </c>
      <c r="E1999" s="13" t="s">
        <v>273</v>
      </c>
      <c r="F1999" s="15">
        <v>4</v>
      </c>
      <c r="G1999" s="15">
        <v>2210</v>
      </c>
      <c r="H1999" s="15">
        <v>18.2</v>
      </c>
      <c r="I1999" s="15">
        <v>7231.12</v>
      </c>
      <c r="J1999" s="13" t="s">
        <v>93</v>
      </c>
      <c r="K1999" s="13" t="s">
        <v>117</v>
      </c>
      <c r="L1999" s="34" t="str">
        <f>VLOOKUP(D1999,Products!$A$2:$F$61,3,FALSE)</f>
        <v>Grocery</v>
      </c>
      <c r="M1999" s="34" t="str">
        <f>VLOOKUP(C1999,Customers!$A$2:$F$301,5,FALSE)</f>
        <v>Corporate</v>
      </c>
      <c r="N1999" s="34">
        <f>VLOOKUP(C1999,Customers!$A$2:$F$301,3,FALSE)</f>
        <v>43</v>
      </c>
      <c r="O1999" s="34" t="str">
        <f>VLOOKUP(E1999,Sales_Reps!$A$2:$E$31,3,FALSE)</f>
        <v>South</v>
      </c>
      <c r="P1999" s="13" t="s">
        <v>273</v>
      </c>
      <c r="Q1999" s="34">
        <f t="shared" si="66"/>
        <v>735207.75999999989</v>
      </c>
      <c r="R1999" s="34" t="str">
        <f>VLOOKUP(E1999,Sales_Reps!$A$2:$E$100,3,FALSE)</f>
        <v>South</v>
      </c>
      <c r="S1999" s="34" t="str">
        <f t="shared" si="67"/>
        <v>Grocery</v>
      </c>
      <c r="T1999" s="38">
        <f>VLOOKUP(D1999,Products!$A$2:$F$68,4,FALSE)</f>
        <v>1010</v>
      </c>
    </row>
    <row r="2000" spans="1:20" x14ac:dyDescent="0.35">
      <c r="A2000" s="13" t="s">
        <v>2499</v>
      </c>
      <c r="B2000" s="14">
        <v>45370</v>
      </c>
      <c r="C2000" s="13" t="s">
        <v>638</v>
      </c>
      <c r="D2000" s="13" t="s">
        <v>360</v>
      </c>
      <c r="E2000" s="13" t="s">
        <v>107</v>
      </c>
      <c r="F2000" s="15">
        <v>6</v>
      </c>
      <c r="G2000" s="15">
        <v>5410</v>
      </c>
      <c r="H2000" s="15">
        <v>15.5</v>
      </c>
      <c r="I2000" s="15">
        <v>27428.7</v>
      </c>
      <c r="J2000" s="13" t="s">
        <v>87</v>
      </c>
      <c r="K2000" s="13" t="s">
        <v>99</v>
      </c>
      <c r="L2000" s="34" t="str">
        <f>VLOOKUP(D2000,Products!$A$2:$F$61,3,FALSE)</f>
        <v>Sports</v>
      </c>
      <c r="M2000" s="34" t="str">
        <f>VLOOKUP(C2000,Customers!$A$2:$F$301,5,FALSE)</f>
        <v>Retail</v>
      </c>
      <c r="N2000" s="34">
        <f>VLOOKUP(C2000,Customers!$A$2:$F$301,3,FALSE)</f>
        <v>43</v>
      </c>
      <c r="O2000" s="34" t="str">
        <f>VLOOKUP(E2000,Sales_Reps!$A$2:$E$31,3,FALSE)</f>
        <v>North</v>
      </c>
      <c r="P2000" s="13" t="s">
        <v>107</v>
      </c>
      <c r="Q2000" s="34">
        <f t="shared" si="66"/>
        <v>861553.33</v>
      </c>
      <c r="R2000" s="34" t="str">
        <f>VLOOKUP(E2000,Sales_Reps!$A$2:$E$100,3,FALSE)</f>
        <v>North</v>
      </c>
      <c r="S2000" s="34" t="str">
        <f t="shared" si="67"/>
        <v>Sports</v>
      </c>
      <c r="T2000" s="38">
        <f>VLOOKUP(D2000,Products!$A$2:$F$68,4,FALSE)</f>
        <v>2265</v>
      </c>
    </row>
    <row r="2001" spans="1:20" x14ac:dyDescent="0.35">
      <c r="A2001" s="13" t="s">
        <v>2500</v>
      </c>
      <c r="B2001" s="14">
        <v>45325</v>
      </c>
      <c r="C2001" s="13" t="s">
        <v>635</v>
      </c>
      <c r="D2001" s="13" t="s">
        <v>443</v>
      </c>
      <c r="E2001" s="13" t="s">
        <v>154</v>
      </c>
      <c r="F2001" s="15">
        <v>6</v>
      </c>
      <c r="G2001" s="15">
        <v>5080</v>
      </c>
      <c r="H2001" s="15">
        <v>28.1</v>
      </c>
      <c r="I2001" s="15">
        <v>21915.119999999999</v>
      </c>
      <c r="J2001" s="13" t="s">
        <v>87</v>
      </c>
      <c r="K2001" s="13" t="s">
        <v>99</v>
      </c>
      <c r="L2001" s="34" t="str">
        <f>VLOOKUP(D2001,Products!$A$2:$F$61,3,FALSE)</f>
        <v>Home</v>
      </c>
      <c r="M2001" s="34" t="str">
        <f>VLOOKUP(C2001,Customers!$A$2:$F$301,5,FALSE)</f>
        <v>Retail</v>
      </c>
      <c r="N2001" s="34">
        <f>VLOOKUP(C2001,Customers!$A$2:$F$301,3,FALSE)</f>
        <v>49</v>
      </c>
      <c r="O2001" s="34" t="str">
        <f>VLOOKUP(E2001,Sales_Reps!$A$2:$E$31,3,FALSE)</f>
        <v>East</v>
      </c>
      <c r="P2001" s="13" t="s">
        <v>154</v>
      </c>
      <c r="Q2001" s="34">
        <f t="shared" si="66"/>
        <v>983787.4800000001</v>
      </c>
      <c r="R2001" s="34" t="str">
        <f>VLOOKUP(E2001,Sales_Reps!$A$2:$E$100,3,FALSE)</f>
        <v>East</v>
      </c>
      <c r="S2001" s="34" t="str">
        <f t="shared" si="67"/>
        <v>Home</v>
      </c>
      <c r="T2001" s="38">
        <f>VLOOKUP(D2001,Products!$A$2:$F$68,4,FALSE)</f>
        <v>2459</v>
      </c>
    </row>
  </sheetData>
  <pageMargins left="0.75" right="0.75" top="1" bottom="1" header="0.5" footer="0.5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  <pageSetUpPr fitToPage="1"/>
  </sheetPr>
  <dimension ref="A1:F301"/>
  <sheetViews>
    <sheetView workbookViewId="0">
      <pane ySplit="1" topLeftCell="A2" activePane="bottomLeft" state="frozen"/>
      <selection pane="bottomLeft" activeCell="A301" sqref="A301"/>
    </sheetView>
  </sheetViews>
  <sheetFormatPr defaultRowHeight="14.5" x14ac:dyDescent="0.35"/>
  <cols>
    <col min="1" max="1" width="13" customWidth="1"/>
    <col min="2" max="2" width="19" customWidth="1"/>
    <col min="3" max="3" width="5" customWidth="1"/>
    <col min="4" max="5" width="11" customWidth="1"/>
    <col min="6" max="6" width="13" customWidth="1"/>
  </cols>
  <sheetData>
    <row r="1" spans="1:6" x14ac:dyDescent="0.35">
      <c r="A1" s="5" t="s">
        <v>74</v>
      </c>
      <c r="B1" s="5" t="s">
        <v>2501</v>
      </c>
      <c r="C1" s="5" t="s">
        <v>2502</v>
      </c>
      <c r="D1" s="5" t="s">
        <v>2503</v>
      </c>
      <c r="E1" s="5" t="s">
        <v>2504</v>
      </c>
      <c r="F1" s="5" t="s">
        <v>2505</v>
      </c>
    </row>
    <row r="2" spans="1:6" x14ac:dyDescent="0.35">
      <c r="A2" s="13" t="s">
        <v>738</v>
      </c>
      <c r="B2" s="13" t="s">
        <v>2506</v>
      </c>
      <c r="C2" s="15">
        <v>36</v>
      </c>
      <c r="D2" s="13" t="s">
        <v>88</v>
      </c>
      <c r="E2" s="13" t="s">
        <v>2507</v>
      </c>
      <c r="F2" s="14">
        <v>44819</v>
      </c>
    </row>
    <row r="3" spans="1:6" x14ac:dyDescent="0.35">
      <c r="A3" s="13" t="s">
        <v>768</v>
      </c>
      <c r="B3" s="13" t="s">
        <v>2508</v>
      </c>
      <c r="C3" s="15">
        <v>42</v>
      </c>
      <c r="D3" s="13" t="s">
        <v>88</v>
      </c>
      <c r="E3" s="13" t="s">
        <v>2509</v>
      </c>
      <c r="F3" s="14">
        <v>44984</v>
      </c>
    </row>
    <row r="4" spans="1:6" x14ac:dyDescent="0.35">
      <c r="A4" s="13" t="s">
        <v>707</v>
      </c>
      <c r="B4" s="13" t="s">
        <v>2510</v>
      </c>
      <c r="C4" s="15">
        <v>33</v>
      </c>
      <c r="D4" s="13" t="s">
        <v>112</v>
      </c>
      <c r="E4" s="13" t="s">
        <v>2507</v>
      </c>
      <c r="F4" s="14">
        <v>44059</v>
      </c>
    </row>
    <row r="5" spans="1:6" x14ac:dyDescent="0.35">
      <c r="A5" s="13" t="s">
        <v>705</v>
      </c>
      <c r="B5" s="13" t="s">
        <v>2511</v>
      </c>
      <c r="C5" s="15">
        <v>53</v>
      </c>
      <c r="D5" s="13" t="s">
        <v>2512</v>
      </c>
      <c r="E5" s="13" t="s">
        <v>2507</v>
      </c>
      <c r="F5" s="14">
        <v>44054</v>
      </c>
    </row>
    <row r="6" spans="1:6" x14ac:dyDescent="0.35">
      <c r="A6" s="13" t="s">
        <v>986</v>
      </c>
      <c r="B6" s="13" t="s">
        <v>2513</v>
      </c>
      <c r="C6" s="15">
        <v>52</v>
      </c>
      <c r="D6" s="13" t="s">
        <v>94</v>
      </c>
      <c r="E6" s="13" t="s">
        <v>2509</v>
      </c>
      <c r="F6" s="14">
        <v>45037</v>
      </c>
    </row>
    <row r="7" spans="1:6" x14ac:dyDescent="0.35">
      <c r="A7" s="13" t="s">
        <v>194</v>
      </c>
      <c r="B7" s="13" t="s">
        <v>2514</v>
      </c>
      <c r="C7" s="15">
        <v>44</v>
      </c>
      <c r="D7" s="13" t="s">
        <v>88</v>
      </c>
      <c r="E7" s="13" t="s">
        <v>2515</v>
      </c>
      <c r="F7" s="14">
        <v>44302</v>
      </c>
    </row>
    <row r="8" spans="1:6" x14ac:dyDescent="0.35">
      <c r="A8" s="13" t="s">
        <v>870</v>
      </c>
      <c r="B8" s="13" t="s">
        <v>2516</v>
      </c>
      <c r="C8" s="15">
        <v>47</v>
      </c>
      <c r="D8" s="13" t="s">
        <v>117</v>
      </c>
      <c r="E8" s="13" t="s">
        <v>2507</v>
      </c>
      <c r="F8" s="14">
        <v>44498</v>
      </c>
    </row>
    <row r="9" spans="1:6" x14ac:dyDescent="0.35">
      <c r="A9" s="13" t="s">
        <v>142</v>
      </c>
      <c r="B9" s="13" t="s">
        <v>2517</v>
      </c>
      <c r="C9" s="15">
        <v>39</v>
      </c>
      <c r="D9" s="13" t="s">
        <v>88</v>
      </c>
      <c r="E9" s="13" t="s">
        <v>2515</v>
      </c>
      <c r="F9" s="14">
        <v>45162</v>
      </c>
    </row>
    <row r="10" spans="1:6" x14ac:dyDescent="0.35">
      <c r="A10" s="13" t="s">
        <v>465</v>
      </c>
      <c r="B10" s="13" t="s">
        <v>2518</v>
      </c>
      <c r="C10" s="15">
        <v>61</v>
      </c>
      <c r="D10" s="13" t="s">
        <v>112</v>
      </c>
      <c r="E10" s="13" t="s">
        <v>2507</v>
      </c>
      <c r="F10" s="14">
        <v>44343</v>
      </c>
    </row>
    <row r="11" spans="1:6" x14ac:dyDescent="0.35">
      <c r="A11" s="13" t="s">
        <v>565</v>
      </c>
      <c r="B11" s="13" t="s">
        <v>2519</v>
      </c>
      <c r="C11" s="15">
        <v>61</v>
      </c>
      <c r="D11" s="13" t="s">
        <v>112</v>
      </c>
      <c r="E11" s="13" t="s">
        <v>2515</v>
      </c>
      <c r="F11" s="14">
        <v>44975</v>
      </c>
    </row>
    <row r="12" spans="1:6" x14ac:dyDescent="0.35">
      <c r="A12" s="13" t="s">
        <v>662</v>
      </c>
      <c r="B12" s="13" t="s">
        <v>2520</v>
      </c>
      <c r="C12" s="15">
        <v>41</v>
      </c>
      <c r="D12" s="13" t="s">
        <v>94</v>
      </c>
      <c r="E12" s="13" t="s">
        <v>2509</v>
      </c>
      <c r="F12" s="14">
        <v>44821</v>
      </c>
    </row>
    <row r="13" spans="1:6" x14ac:dyDescent="0.35">
      <c r="A13" s="13" t="s">
        <v>373</v>
      </c>
      <c r="B13" s="13" t="s">
        <v>2521</v>
      </c>
      <c r="C13" s="15">
        <v>43</v>
      </c>
      <c r="D13" s="13" t="s">
        <v>88</v>
      </c>
      <c r="E13" s="13" t="s">
        <v>2507</v>
      </c>
      <c r="F13" s="14">
        <v>44718</v>
      </c>
    </row>
    <row r="14" spans="1:6" x14ac:dyDescent="0.35">
      <c r="A14" s="13" t="s">
        <v>210</v>
      </c>
      <c r="B14" s="13" t="s">
        <v>2522</v>
      </c>
      <c r="C14" s="15">
        <v>41</v>
      </c>
      <c r="D14" s="13" t="s">
        <v>99</v>
      </c>
      <c r="E14" s="13" t="s">
        <v>2507</v>
      </c>
      <c r="F14" s="14">
        <v>45018</v>
      </c>
    </row>
    <row r="15" spans="1:6" x14ac:dyDescent="0.35">
      <c r="A15" s="13" t="s">
        <v>1664</v>
      </c>
      <c r="B15" s="13" t="s">
        <v>2523</v>
      </c>
      <c r="C15" s="15">
        <v>48</v>
      </c>
      <c r="D15" s="13" t="s">
        <v>117</v>
      </c>
      <c r="E15" s="13" t="s">
        <v>2507</v>
      </c>
      <c r="F15" s="14">
        <v>45225</v>
      </c>
    </row>
    <row r="16" spans="1:6" x14ac:dyDescent="0.35">
      <c r="A16" s="13" t="s">
        <v>1529</v>
      </c>
      <c r="B16" s="13" t="s">
        <v>2524</v>
      </c>
      <c r="C16" s="15">
        <v>31</v>
      </c>
      <c r="D16" s="13" t="s">
        <v>94</v>
      </c>
      <c r="E16" s="13" t="s">
        <v>2507</v>
      </c>
      <c r="F16" s="14">
        <v>44654</v>
      </c>
    </row>
    <row r="17" spans="1:6" x14ac:dyDescent="0.35">
      <c r="A17" s="13" t="s">
        <v>725</v>
      </c>
      <c r="B17" s="13" t="s">
        <v>2525</v>
      </c>
      <c r="C17" s="15">
        <v>26</v>
      </c>
      <c r="D17" s="13" t="s">
        <v>99</v>
      </c>
      <c r="E17" s="13" t="s">
        <v>2515</v>
      </c>
      <c r="F17" s="14">
        <v>45196</v>
      </c>
    </row>
    <row r="18" spans="1:6" x14ac:dyDescent="0.35">
      <c r="A18" s="13" t="s">
        <v>868</v>
      </c>
      <c r="B18" s="13" t="s">
        <v>2526</v>
      </c>
      <c r="C18" s="15">
        <v>38</v>
      </c>
      <c r="D18" s="13" t="s">
        <v>99</v>
      </c>
      <c r="E18" s="13" t="s">
        <v>2515</v>
      </c>
      <c r="F18" s="14">
        <v>44752</v>
      </c>
    </row>
    <row r="19" spans="1:6" x14ac:dyDescent="0.35">
      <c r="A19" s="13" t="s">
        <v>390</v>
      </c>
      <c r="B19" s="13" t="s">
        <v>2527</v>
      </c>
      <c r="C19" s="15">
        <v>54</v>
      </c>
      <c r="D19" s="13" t="s">
        <v>88</v>
      </c>
      <c r="E19" s="13" t="s">
        <v>2515</v>
      </c>
      <c r="F19" s="14">
        <v>43968</v>
      </c>
    </row>
    <row r="20" spans="1:6" x14ac:dyDescent="0.35">
      <c r="A20" s="13" t="s">
        <v>795</v>
      </c>
      <c r="B20" s="13" t="s">
        <v>2528</v>
      </c>
      <c r="C20" s="15">
        <v>22</v>
      </c>
      <c r="D20" s="13" t="s">
        <v>94</v>
      </c>
      <c r="E20" s="13" t="s">
        <v>2507</v>
      </c>
      <c r="F20" s="14">
        <v>44375</v>
      </c>
    </row>
    <row r="21" spans="1:6" x14ac:dyDescent="0.35">
      <c r="A21" s="13" t="s">
        <v>312</v>
      </c>
      <c r="B21" s="13" t="s">
        <v>2529</v>
      </c>
      <c r="C21" s="15">
        <v>46</v>
      </c>
      <c r="D21" s="13" t="s">
        <v>133</v>
      </c>
      <c r="E21" s="13" t="s">
        <v>2507</v>
      </c>
      <c r="F21" s="14">
        <v>43835</v>
      </c>
    </row>
    <row r="22" spans="1:6" x14ac:dyDescent="0.35">
      <c r="A22" s="13" t="s">
        <v>1250</v>
      </c>
      <c r="B22" s="13" t="s">
        <v>2513</v>
      </c>
      <c r="C22" s="15">
        <v>44</v>
      </c>
      <c r="D22" s="13" t="s">
        <v>88</v>
      </c>
      <c r="E22" s="13" t="s">
        <v>2507</v>
      </c>
      <c r="F22" s="14">
        <v>44130</v>
      </c>
    </row>
    <row r="23" spans="1:6" x14ac:dyDescent="0.35">
      <c r="A23" s="13" t="s">
        <v>1038</v>
      </c>
      <c r="B23" s="13" t="s">
        <v>2530</v>
      </c>
      <c r="C23" s="15">
        <v>55</v>
      </c>
      <c r="D23" s="13" t="s">
        <v>117</v>
      </c>
      <c r="E23" s="13" t="s">
        <v>2509</v>
      </c>
      <c r="F23" s="14">
        <v>44787</v>
      </c>
    </row>
    <row r="24" spans="1:6" x14ac:dyDescent="0.35">
      <c r="A24" s="13" t="s">
        <v>1294</v>
      </c>
      <c r="B24" s="13" t="s">
        <v>2531</v>
      </c>
      <c r="C24" s="15">
        <v>43</v>
      </c>
      <c r="D24" s="13" t="s">
        <v>94</v>
      </c>
      <c r="E24" s="13" t="s">
        <v>2515</v>
      </c>
      <c r="F24" s="14">
        <v>44403</v>
      </c>
    </row>
    <row r="25" spans="1:6" x14ac:dyDescent="0.35">
      <c r="A25" s="13" t="s">
        <v>425</v>
      </c>
      <c r="B25" s="13" t="s">
        <v>2532</v>
      </c>
      <c r="C25" s="15">
        <v>64</v>
      </c>
      <c r="D25" s="13" t="s">
        <v>2092</v>
      </c>
      <c r="E25" s="13" t="s">
        <v>2515</v>
      </c>
      <c r="F25" s="14">
        <v>44495</v>
      </c>
    </row>
    <row r="26" spans="1:6" x14ac:dyDescent="0.35">
      <c r="A26" s="13" t="s">
        <v>385</v>
      </c>
      <c r="B26" s="13" t="s">
        <v>2533</v>
      </c>
      <c r="C26" s="15">
        <v>23</v>
      </c>
      <c r="D26" s="13" t="s">
        <v>117</v>
      </c>
      <c r="E26" s="13" t="s">
        <v>2507</v>
      </c>
      <c r="F26" s="14">
        <v>44536</v>
      </c>
    </row>
    <row r="27" spans="1:6" x14ac:dyDescent="0.35">
      <c r="A27" s="13" t="s">
        <v>559</v>
      </c>
      <c r="B27" s="13" t="s">
        <v>2534</v>
      </c>
      <c r="C27" s="15">
        <v>62</v>
      </c>
      <c r="D27" s="13" t="s">
        <v>88</v>
      </c>
      <c r="E27" s="13" t="s">
        <v>2507</v>
      </c>
      <c r="F27" s="14">
        <v>43898</v>
      </c>
    </row>
    <row r="28" spans="1:6" x14ac:dyDescent="0.35">
      <c r="A28" s="13" t="s">
        <v>482</v>
      </c>
      <c r="B28" s="13" t="s">
        <v>2535</v>
      </c>
      <c r="C28" s="15">
        <v>52</v>
      </c>
      <c r="D28" s="13" t="s">
        <v>133</v>
      </c>
      <c r="E28" s="13" t="s">
        <v>2509</v>
      </c>
      <c r="F28" s="14">
        <v>45201</v>
      </c>
    </row>
    <row r="29" spans="1:6" x14ac:dyDescent="0.35">
      <c r="A29" s="13" t="s">
        <v>403</v>
      </c>
      <c r="B29" s="13" t="s">
        <v>2536</v>
      </c>
      <c r="C29" s="15">
        <v>59</v>
      </c>
      <c r="D29" s="13" t="s">
        <v>117</v>
      </c>
      <c r="E29" s="13" t="s">
        <v>2507</v>
      </c>
      <c r="F29" s="14">
        <v>44686</v>
      </c>
    </row>
    <row r="30" spans="1:6" x14ac:dyDescent="0.35">
      <c r="A30" s="13" t="s">
        <v>1875</v>
      </c>
      <c r="B30" s="13" t="s">
        <v>2537</v>
      </c>
      <c r="C30" s="15">
        <v>54</v>
      </c>
      <c r="D30" s="13" t="s">
        <v>94</v>
      </c>
      <c r="E30" s="13" t="s">
        <v>2509</v>
      </c>
      <c r="F30" s="14">
        <v>44930</v>
      </c>
    </row>
    <row r="31" spans="1:6" x14ac:dyDescent="0.35">
      <c r="A31" s="13" t="s">
        <v>757</v>
      </c>
      <c r="B31" s="13" t="s">
        <v>2538</v>
      </c>
      <c r="C31" s="15">
        <v>43</v>
      </c>
      <c r="D31" s="13" t="s">
        <v>117</v>
      </c>
      <c r="E31" s="13" t="s">
        <v>2509</v>
      </c>
      <c r="F31" s="14">
        <v>44151</v>
      </c>
    </row>
    <row r="32" spans="1:6" x14ac:dyDescent="0.35">
      <c r="A32" s="13" t="s">
        <v>263</v>
      </c>
      <c r="B32" s="13" t="s">
        <v>2539</v>
      </c>
      <c r="C32" s="15">
        <v>53</v>
      </c>
      <c r="D32" s="13" t="s">
        <v>133</v>
      </c>
      <c r="E32" s="13" t="s">
        <v>2507</v>
      </c>
      <c r="F32" s="14">
        <v>44599</v>
      </c>
    </row>
    <row r="33" spans="1:6" x14ac:dyDescent="0.35">
      <c r="A33" s="13" t="s">
        <v>324</v>
      </c>
      <c r="B33" s="13" t="s">
        <v>2540</v>
      </c>
      <c r="C33" s="15">
        <v>28</v>
      </c>
      <c r="D33" s="13" t="s">
        <v>133</v>
      </c>
      <c r="E33" s="13" t="s">
        <v>2507</v>
      </c>
      <c r="F33" s="14">
        <v>43908</v>
      </c>
    </row>
    <row r="34" spans="1:6" x14ac:dyDescent="0.35">
      <c r="A34" s="13" t="s">
        <v>291</v>
      </c>
      <c r="B34" s="13" t="s">
        <v>2541</v>
      </c>
      <c r="C34" s="15">
        <v>35</v>
      </c>
      <c r="D34" s="13" t="s">
        <v>99</v>
      </c>
      <c r="E34" s="13" t="s">
        <v>2507</v>
      </c>
      <c r="F34" s="14">
        <v>44830</v>
      </c>
    </row>
    <row r="35" spans="1:6" x14ac:dyDescent="0.35">
      <c r="A35" s="13" t="s">
        <v>968</v>
      </c>
      <c r="B35" s="13" t="s">
        <v>2542</v>
      </c>
      <c r="C35" s="15">
        <v>47</v>
      </c>
      <c r="D35" s="13" t="s">
        <v>99</v>
      </c>
      <c r="E35" s="13" t="s">
        <v>2507</v>
      </c>
      <c r="F35" s="14">
        <v>44182</v>
      </c>
    </row>
    <row r="36" spans="1:6" x14ac:dyDescent="0.35">
      <c r="A36" s="13" t="s">
        <v>199</v>
      </c>
      <c r="B36" s="13" t="s">
        <v>2543</v>
      </c>
      <c r="C36" s="15">
        <v>53</v>
      </c>
      <c r="D36" s="13" t="s">
        <v>133</v>
      </c>
      <c r="E36" s="13" t="s">
        <v>2507</v>
      </c>
      <c r="F36" s="14">
        <v>44532</v>
      </c>
    </row>
    <row r="37" spans="1:6" x14ac:dyDescent="0.35">
      <c r="A37" s="13" t="s">
        <v>673</v>
      </c>
      <c r="B37" s="13" t="s">
        <v>2544</v>
      </c>
      <c r="C37" s="15">
        <v>35</v>
      </c>
      <c r="D37" s="13" t="s">
        <v>112</v>
      </c>
      <c r="E37" s="13" t="s">
        <v>2507</v>
      </c>
      <c r="F37" s="14">
        <v>44617</v>
      </c>
    </row>
    <row r="38" spans="1:6" x14ac:dyDescent="0.35">
      <c r="A38" s="13" t="s">
        <v>835</v>
      </c>
      <c r="B38" s="13" t="s">
        <v>2545</v>
      </c>
      <c r="C38" s="15">
        <v>52</v>
      </c>
      <c r="D38" s="13" t="s">
        <v>117</v>
      </c>
      <c r="E38" s="13" t="s">
        <v>2507</v>
      </c>
      <c r="F38" s="14">
        <v>44468</v>
      </c>
    </row>
    <row r="39" spans="1:6" x14ac:dyDescent="0.35">
      <c r="A39" s="13" t="s">
        <v>874</v>
      </c>
      <c r="B39" s="13" t="s">
        <v>2546</v>
      </c>
      <c r="C39" s="15">
        <v>57</v>
      </c>
      <c r="D39" s="13" t="s">
        <v>112</v>
      </c>
      <c r="E39" s="13" t="s">
        <v>2507</v>
      </c>
      <c r="F39" s="14">
        <v>43843</v>
      </c>
    </row>
    <row r="40" spans="1:6" x14ac:dyDescent="0.35">
      <c r="A40" s="13" t="s">
        <v>837</v>
      </c>
      <c r="B40" s="13" t="s">
        <v>2547</v>
      </c>
      <c r="C40" s="15">
        <v>37</v>
      </c>
      <c r="D40" s="13" t="s">
        <v>117</v>
      </c>
      <c r="E40" s="13" t="s">
        <v>2507</v>
      </c>
      <c r="F40" s="14">
        <v>43989</v>
      </c>
    </row>
    <row r="41" spans="1:6" x14ac:dyDescent="0.35">
      <c r="A41" s="13" t="s">
        <v>284</v>
      </c>
      <c r="B41" s="13" t="s">
        <v>2548</v>
      </c>
      <c r="C41" s="15">
        <v>28</v>
      </c>
      <c r="D41" s="13" t="s">
        <v>94</v>
      </c>
      <c r="E41" s="13" t="s">
        <v>2507</v>
      </c>
      <c r="F41" s="14">
        <v>44625</v>
      </c>
    </row>
    <row r="42" spans="1:6" x14ac:dyDescent="0.35">
      <c r="A42" s="13" t="s">
        <v>510</v>
      </c>
      <c r="B42" s="13" t="s">
        <v>2549</v>
      </c>
      <c r="C42" s="15">
        <v>26</v>
      </c>
      <c r="D42" s="13" t="s">
        <v>117</v>
      </c>
      <c r="E42" s="13" t="s">
        <v>2515</v>
      </c>
      <c r="F42" s="14">
        <v>43895</v>
      </c>
    </row>
    <row r="43" spans="1:6" x14ac:dyDescent="0.35">
      <c r="A43" s="13" t="s">
        <v>340</v>
      </c>
      <c r="B43" s="13" t="s">
        <v>2550</v>
      </c>
      <c r="C43" s="15">
        <v>25</v>
      </c>
      <c r="D43" s="13" t="s">
        <v>88</v>
      </c>
      <c r="E43" s="13" t="s">
        <v>2507</v>
      </c>
      <c r="F43" s="14">
        <v>43843</v>
      </c>
    </row>
    <row r="44" spans="1:6" x14ac:dyDescent="0.35">
      <c r="A44" s="13" t="s">
        <v>512</v>
      </c>
      <c r="B44" s="13" t="s">
        <v>2551</v>
      </c>
      <c r="C44" s="15">
        <v>61</v>
      </c>
      <c r="D44" s="13" t="s">
        <v>133</v>
      </c>
      <c r="E44" s="13" t="s">
        <v>2507</v>
      </c>
      <c r="F44" s="14">
        <v>44553</v>
      </c>
    </row>
    <row r="45" spans="1:6" x14ac:dyDescent="0.35">
      <c r="A45" s="13" t="s">
        <v>741</v>
      </c>
      <c r="B45" s="13" t="s">
        <v>2552</v>
      </c>
      <c r="C45" s="15">
        <v>29</v>
      </c>
      <c r="D45" s="13" t="s">
        <v>133</v>
      </c>
      <c r="E45" s="13" t="s">
        <v>2515</v>
      </c>
      <c r="F45" s="14">
        <v>45084</v>
      </c>
    </row>
    <row r="46" spans="1:6" x14ac:dyDescent="0.35">
      <c r="A46" s="13" t="s">
        <v>802</v>
      </c>
      <c r="B46" s="13" t="s">
        <v>2553</v>
      </c>
      <c r="C46" s="15">
        <v>39</v>
      </c>
      <c r="D46" s="13" t="s">
        <v>94</v>
      </c>
      <c r="E46" s="13" t="s">
        <v>2515</v>
      </c>
      <c r="F46" s="14">
        <v>45156</v>
      </c>
    </row>
    <row r="47" spans="1:6" x14ac:dyDescent="0.35">
      <c r="A47" s="13" t="s">
        <v>1003</v>
      </c>
      <c r="B47" s="13" t="s">
        <v>2554</v>
      </c>
      <c r="C47" s="15">
        <v>45</v>
      </c>
      <c r="D47" s="13" t="s">
        <v>99</v>
      </c>
      <c r="E47" s="13" t="s">
        <v>2515</v>
      </c>
      <c r="F47" s="14">
        <v>45144</v>
      </c>
    </row>
    <row r="48" spans="1:6" x14ac:dyDescent="0.35">
      <c r="A48" s="13" t="s">
        <v>518</v>
      </c>
      <c r="B48" s="13" t="s">
        <v>2555</v>
      </c>
      <c r="C48" s="15">
        <v>49</v>
      </c>
      <c r="D48" s="13" t="s">
        <v>88</v>
      </c>
      <c r="E48" s="13" t="s">
        <v>2507</v>
      </c>
      <c r="F48" s="14">
        <v>44066</v>
      </c>
    </row>
    <row r="49" spans="1:6" x14ac:dyDescent="0.35">
      <c r="A49" s="13" t="s">
        <v>490</v>
      </c>
      <c r="B49" s="13" t="s">
        <v>2556</v>
      </c>
      <c r="C49" s="15">
        <v>59</v>
      </c>
      <c r="D49" s="13" t="s">
        <v>99</v>
      </c>
      <c r="E49" s="13" t="s">
        <v>2507</v>
      </c>
      <c r="F49" s="14">
        <v>44479</v>
      </c>
    </row>
    <row r="50" spans="1:6" x14ac:dyDescent="0.35">
      <c r="A50" s="13" t="s">
        <v>1358</v>
      </c>
      <c r="B50" s="13" t="s">
        <v>2557</v>
      </c>
      <c r="C50" s="15">
        <v>42</v>
      </c>
      <c r="D50" s="13" t="s">
        <v>112</v>
      </c>
      <c r="E50" s="13" t="s">
        <v>2509</v>
      </c>
      <c r="F50" s="14">
        <v>45116</v>
      </c>
    </row>
    <row r="51" spans="1:6" x14ac:dyDescent="0.35">
      <c r="A51" s="13" t="s">
        <v>555</v>
      </c>
      <c r="B51" s="13" t="s">
        <v>2558</v>
      </c>
      <c r="C51" s="15">
        <v>37</v>
      </c>
      <c r="D51" s="13" t="s">
        <v>112</v>
      </c>
      <c r="E51" s="13" t="s">
        <v>2507</v>
      </c>
      <c r="F51" s="14">
        <v>43967</v>
      </c>
    </row>
    <row r="52" spans="1:6" x14ac:dyDescent="0.35">
      <c r="A52" s="13" t="s">
        <v>308</v>
      </c>
      <c r="B52" s="13" t="s">
        <v>2559</v>
      </c>
      <c r="C52" s="15">
        <v>54</v>
      </c>
      <c r="D52" s="13" t="s">
        <v>88</v>
      </c>
      <c r="E52" s="13" t="s">
        <v>2515</v>
      </c>
      <c r="F52" s="14">
        <v>44613</v>
      </c>
    </row>
    <row r="53" spans="1:6" x14ac:dyDescent="0.35">
      <c r="A53" s="13" t="s">
        <v>146</v>
      </c>
      <c r="B53" s="13" t="s">
        <v>2560</v>
      </c>
      <c r="C53" s="15">
        <v>38</v>
      </c>
      <c r="D53" s="13" t="s">
        <v>88</v>
      </c>
      <c r="E53" s="13" t="s">
        <v>2507</v>
      </c>
      <c r="F53" s="14">
        <v>44209</v>
      </c>
    </row>
    <row r="54" spans="1:6" x14ac:dyDescent="0.35">
      <c r="A54" s="13" t="s">
        <v>223</v>
      </c>
      <c r="B54" s="13" t="s">
        <v>2561</v>
      </c>
      <c r="C54" s="15">
        <v>53</v>
      </c>
      <c r="D54" s="13" t="s">
        <v>99</v>
      </c>
      <c r="E54" s="13" t="s">
        <v>2507</v>
      </c>
      <c r="F54" s="14">
        <v>44288</v>
      </c>
    </row>
    <row r="55" spans="1:6" x14ac:dyDescent="0.35">
      <c r="A55" s="13" t="s">
        <v>872</v>
      </c>
      <c r="B55" s="13" t="s">
        <v>2562</v>
      </c>
      <c r="C55" s="15">
        <v>62</v>
      </c>
      <c r="D55" s="13" t="s">
        <v>112</v>
      </c>
      <c r="E55" s="13" t="s">
        <v>2509</v>
      </c>
      <c r="F55" s="14">
        <v>44482</v>
      </c>
    </row>
    <row r="56" spans="1:6" x14ac:dyDescent="0.35">
      <c r="A56" s="13" t="s">
        <v>604</v>
      </c>
      <c r="B56" s="13" t="s">
        <v>2563</v>
      </c>
      <c r="C56" s="15">
        <v>34</v>
      </c>
      <c r="D56" s="13" t="s">
        <v>117</v>
      </c>
      <c r="E56" s="13" t="s">
        <v>2507</v>
      </c>
      <c r="F56" s="14">
        <v>44753</v>
      </c>
    </row>
    <row r="57" spans="1:6" x14ac:dyDescent="0.35">
      <c r="A57" s="13" t="s">
        <v>153</v>
      </c>
      <c r="B57" s="13" t="s">
        <v>2506</v>
      </c>
      <c r="C57" s="15">
        <v>46</v>
      </c>
      <c r="D57" s="13" t="s">
        <v>117</v>
      </c>
      <c r="E57" s="13" t="s">
        <v>2515</v>
      </c>
      <c r="F57" s="14">
        <v>45202</v>
      </c>
    </row>
    <row r="58" spans="1:6" x14ac:dyDescent="0.35">
      <c r="A58" s="13" t="s">
        <v>770</v>
      </c>
      <c r="B58" s="13" t="s">
        <v>2564</v>
      </c>
      <c r="C58" s="15">
        <v>35</v>
      </c>
      <c r="D58" s="13" t="s">
        <v>88</v>
      </c>
      <c r="E58" s="13" t="s">
        <v>2507</v>
      </c>
      <c r="F58" s="14">
        <v>43917</v>
      </c>
    </row>
    <row r="59" spans="1:6" x14ac:dyDescent="0.35">
      <c r="A59" s="13" t="s">
        <v>1016</v>
      </c>
      <c r="B59" s="13" t="s">
        <v>2565</v>
      </c>
      <c r="C59" s="15">
        <v>49</v>
      </c>
      <c r="D59" s="13" t="s">
        <v>117</v>
      </c>
      <c r="E59" s="13" t="s">
        <v>2515</v>
      </c>
      <c r="F59" s="14">
        <v>44471</v>
      </c>
    </row>
    <row r="60" spans="1:6" x14ac:dyDescent="0.35">
      <c r="A60" s="13" t="s">
        <v>487</v>
      </c>
      <c r="B60" s="13" t="s">
        <v>2566</v>
      </c>
      <c r="C60" s="15">
        <v>29</v>
      </c>
      <c r="D60" s="13" t="s">
        <v>88</v>
      </c>
      <c r="E60" s="13" t="s">
        <v>2509</v>
      </c>
      <c r="F60" s="14">
        <v>44796</v>
      </c>
    </row>
    <row r="61" spans="1:6" x14ac:dyDescent="0.35">
      <c r="A61" s="13" t="s">
        <v>1172</v>
      </c>
      <c r="B61" s="13" t="s">
        <v>2567</v>
      </c>
      <c r="C61" s="15">
        <v>39</v>
      </c>
      <c r="D61" s="13" t="s">
        <v>88</v>
      </c>
      <c r="E61" s="13" t="s">
        <v>2507</v>
      </c>
      <c r="F61" s="14">
        <v>43897</v>
      </c>
    </row>
    <row r="62" spans="1:6" x14ac:dyDescent="0.35">
      <c r="A62" s="13" t="s">
        <v>744</v>
      </c>
      <c r="B62" s="13" t="s">
        <v>2568</v>
      </c>
      <c r="C62" s="15">
        <v>64</v>
      </c>
      <c r="D62" s="13" t="s">
        <v>133</v>
      </c>
      <c r="E62" s="13" t="s">
        <v>2507</v>
      </c>
      <c r="F62" s="14">
        <v>43971</v>
      </c>
    </row>
    <row r="63" spans="1:6" x14ac:dyDescent="0.35">
      <c r="A63" s="13" t="s">
        <v>735</v>
      </c>
      <c r="B63" s="13" t="s">
        <v>2569</v>
      </c>
      <c r="C63" s="15">
        <v>54</v>
      </c>
      <c r="D63" s="13" t="s">
        <v>88</v>
      </c>
      <c r="E63" s="13" t="s">
        <v>2507</v>
      </c>
      <c r="F63" s="14">
        <v>45016</v>
      </c>
    </row>
    <row r="64" spans="1:6" x14ac:dyDescent="0.35">
      <c r="A64" s="13" t="s">
        <v>1072</v>
      </c>
      <c r="B64" s="13" t="s">
        <v>2570</v>
      </c>
      <c r="C64" s="15">
        <v>53</v>
      </c>
      <c r="D64" s="13" t="s">
        <v>112</v>
      </c>
      <c r="E64" s="13" t="s">
        <v>2515</v>
      </c>
      <c r="F64" s="14">
        <v>44008</v>
      </c>
    </row>
    <row r="65" spans="1:6" x14ac:dyDescent="0.35">
      <c r="A65" s="13" t="s">
        <v>206</v>
      </c>
      <c r="B65" s="13" t="s">
        <v>2571</v>
      </c>
      <c r="C65" s="15">
        <v>40</v>
      </c>
      <c r="D65" s="13" t="s">
        <v>133</v>
      </c>
      <c r="E65" s="13" t="s">
        <v>2515</v>
      </c>
      <c r="F65" s="14">
        <v>45070</v>
      </c>
    </row>
    <row r="66" spans="1:6" x14ac:dyDescent="0.35">
      <c r="A66" s="13" t="s">
        <v>1180</v>
      </c>
      <c r="B66" s="13" t="s">
        <v>2572</v>
      </c>
      <c r="C66" s="15">
        <v>49</v>
      </c>
      <c r="D66" s="13" t="s">
        <v>94</v>
      </c>
      <c r="E66" s="13" t="s">
        <v>2509</v>
      </c>
      <c r="F66" s="14">
        <v>44543</v>
      </c>
    </row>
    <row r="67" spans="1:6" x14ac:dyDescent="0.35">
      <c r="A67" s="13" t="s">
        <v>714</v>
      </c>
      <c r="B67" s="13" t="s">
        <v>2573</v>
      </c>
      <c r="C67" s="15">
        <v>24</v>
      </c>
      <c r="D67" s="13" t="s">
        <v>99</v>
      </c>
      <c r="E67" s="13" t="s">
        <v>2507</v>
      </c>
      <c r="F67" s="14">
        <v>44851</v>
      </c>
    </row>
    <row r="68" spans="1:6" x14ac:dyDescent="0.35">
      <c r="A68" s="13" t="s">
        <v>474</v>
      </c>
      <c r="B68" s="13" t="s">
        <v>2574</v>
      </c>
      <c r="C68" s="15">
        <v>59</v>
      </c>
      <c r="D68" s="13" t="s">
        <v>99</v>
      </c>
      <c r="E68" s="13" t="s">
        <v>2515</v>
      </c>
      <c r="F68" s="14">
        <v>44020</v>
      </c>
    </row>
    <row r="69" spans="1:6" x14ac:dyDescent="0.35">
      <c r="A69" s="13" t="s">
        <v>533</v>
      </c>
      <c r="B69" s="13" t="s">
        <v>2575</v>
      </c>
      <c r="C69" s="15">
        <v>48</v>
      </c>
      <c r="D69" s="13" t="s">
        <v>99</v>
      </c>
      <c r="E69" s="13" t="s">
        <v>2515</v>
      </c>
      <c r="F69" s="14">
        <v>44553</v>
      </c>
    </row>
    <row r="70" spans="1:6" x14ac:dyDescent="0.35">
      <c r="A70" s="13" t="s">
        <v>217</v>
      </c>
      <c r="B70" s="13" t="s">
        <v>2576</v>
      </c>
      <c r="C70" s="15">
        <v>51</v>
      </c>
      <c r="D70" s="13" t="s">
        <v>94</v>
      </c>
      <c r="E70" s="13" t="s">
        <v>2507</v>
      </c>
      <c r="F70" s="14">
        <v>43906</v>
      </c>
    </row>
    <row r="71" spans="1:6" x14ac:dyDescent="0.35">
      <c r="A71" s="13" t="s">
        <v>371</v>
      </c>
      <c r="B71" s="13" t="s">
        <v>2577</v>
      </c>
      <c r="C71" s="15">
        <v>42</v>
      </c>
      <c r="D71" s="13" t="s">
        <v>112</v>
      </c>
      <c r="E71" s="13" t="s">
        <v>2507</v>
      </c>
      <c r="F71" s="14">
        <v>44568</v>
      </c>
    </row>
    <row r="72" spans="1:6" x14ac:dyDescent="0.35">
      <c r="A72" s="13" t="s">
        <v>101</v>
      </c>
      <c r="B72" s="13" t="s">
        <v>2578</v>
      </c>
      <c r="C72" s="15">
        <v>46</v>
      </c>
      <c r="D72" s="13" t="s">
        <v>99</v>
      </c>
      <c r="E72" s="13" t="s">
        <v>2509</v>
      </c>
      <c r="F72" s="14">
        <v>44574</v>
      </c>
    </row>
    <row r="73" spans="1:6" x14ac:dyDescent="0.35">
      <c r="A73" s="13" t="s">
        <v>878</v>
      </c>
      <c r="B73" s="13" t="s">
        <v>2579</v>
      </c>
      <c r="C73" s="15">
        <v>62</v>
      </c>
      <c r="D73" s="13" t="s">
        <v>112</v>
      </c>
      <c r="E73" s="13" t="s">
        <v>2509</v>
      </c>
      <c r="F73" s="14">
        <v>44301</v>
      </c>
    </row>
    <row r="74" spans="1:6" x14ac:dyDescent="0.35">
      <c r="A74" s="13" t="s">
        <v>580</v>
      </c>
      <c r="B74" s="13" t="s">
        <v>2580</v>
      </c>
      <c r="C74" s="15">
        <v>40</v>
      </c>
      <c r="D74" s="13" t="s">
        <v>88</v>
      </c>
      <c r="E74" s="13" t="s">
        <v>2509</v>
      </c>
      <c r="F74" s="14">
        <v>45190</v>
      </c>
    </row>
    <row r="75" spans="1:6" x14ac:dyDescent="0.35">
      <c r="A75" s="13" t="s">
        <v>779</v>
      </c>
      <c r="B75" s="13" t="s">
        <v>2581</v>
      </c>
      <c r="C75" s="15">
        <v>27</v>
      </c>
      <c r="D75" s="13" t="s">
        <v>117</v>
      </c>
      <c r="E75" s="13" t="s">
        <v>2507</v>
      </c>
      <c r="F75" s="14">
        <v>45100</v>
      </c>
    </row>
    <row r="76" spans="1:6" x14ac:dyDescent="0.35">
      <c r="A76" s="13" t="s">
        <v>524</v>
      </c>
      <c r="B76" s="13" t="s">
        <v>2582</v>
      </c>
      <c r="C76" s="15">
        <v>55</v>
      </c>
      <c r="D76" s="13" t="s">
        <v>112</v>
      </c>
      <c r="E76" s="13" t="s">
        <v>2509</v>
      </c>
      <c r="F76" s="14">
        <v>43973</v>
      </c>
    </row>
    <row r="77" spans="1:6" x14ac:dyDescent="0.35">
      <c r="A77" s="13" t="s">
        <v>1350</v>
      </c>
      <c r="B77" s="13" t="s">
        <v>2583</v>
      </c>
      <c r="C77" s="15">
        <v>38</v>
      </c>
      <c r="D77" s="13" t="s">
        <v>112</v>
      </c>
      <c r="E77" s="13" t="s">
        <v>2507</v>
      </c>
      <c r="F77" s="14">
        <v>43964</v>
      </c>
    </row>
    <row r="78" spans="1:6" x14ac:dyDescent="0.35">
      <c r="A78" s="13" t="s">
        <v>537</v>
      </c>
      <c r="B78" s="13" t="s">
        <v>2584</v>
      </c>
      <c r="C78" s="15">
        <v>48</v>
      </c>
      <c r="D78" s="13" t="s">
        <v>133</v>
      </c>
      <c r="E78" s="13" t="s">
        <v>2515</v>
      </c>
      <c r="F78" s="14">
        <v>44443</v>
      </c>
    </row>
    <row r="79" spans="1:6" x14ac:dyDescent="0.35">
      <c r="A79" s="13" t="s">
        <v>322</v>
      </c>
      <c r="B79" s="13" t="s">
        <v>2585</v>
      </c>
      <c r="C79" s="15">
        <v>31</v>
      </c>
      <c r="D79" s="13" t="s">
        <v>99</v>
      </c>
      <c r="E79" s="13" t="s">
        <v>2507</v>
      </c>
      <c r="F79" s="14">
        <v>45133</v>
      </c>
    </row>
    <row r="80" spans="1:6" x14ac:dyDescent="0.35">
      <c r="A80" s="13" t="s">
        <v>551</v>
      </c>
      <c r="B80" s="13" t="s">
        <v>2586</v>
      </c>
      <c r="C80" s="15">
        <v>60</v>
      </c>
      <c r="D80" s="13" t="s">
        <v>112</v>
      </c>
      <c r="E80" s="13" t="s">
        <v>2509</v>
      </c>
      <c r="F80" s="14">
        <v>44271</v>
      </c>
    </row>
    <row r="81" spans="1:6" x14ac:dyDescent="0.35">
      <c r="A81" s="13" t="s">
        <v>440</v>
      </c>
      <c r="B81" s="13" t="s">
        <v>2587</v>
      </c>
      <c r="C81" s="15">
        <v>30</v>
      </c>
      <c r="D81" s="13" t="s">
        <v>88</v>
      </c>
      <c r="E81" s="13" t="s">
        <v>2515</v>
      </c>
      <c r="F81" s="14">
        <v>43901</v>
      </c>
    </row>
    <row r="82" spans="1:6" x14ac:dyDescent="0.35">
      <c r="A82" s="13" t="s">
        <v>366</v>
      </c>
      <c r="B82" s="13" t="s">
        <v>2588</v>
      </c>
      <c r="C82" s="15">
        <v>25</v>
      </c>
      <c r="D82" s="13" t="s">
        <v>112</v>
      </c>
      <c r="E82" s="13" t="s">
        <v>2507</v>
      </c>
      <c r="F82" s="14">
        <v>44331</v>
      </c>
    </row>
    <row r="83" spans="1:6" x14ac:dyDescent="0.35">
      <c r="A83" s="13" t="s">
        <v>320</v>
      </c>
      <c r="B83" s="13" t="s">
        <v>2589</v>
      </c>
      <c r="C83" s="15">
        <v>36</v>
      </c>
      <c r="D83" s="13" t="s">
        <v>133</v>
      </c>
      <c r="E83" s="13" t="s">
        <v>2515</v>
      </c>
      <c r="F83" s="14">
        <v>44152</v>
      </c>
    </row>
    <row r="84" spans="1:6" x14ac:dyDescent="0.35">
      <c r="A84" s="13" t="s">
        <v>1104</v>
      </c>
      <c r="B84" s="13" t="s">
        <v>2590</v>
      </c>
      <c r="C84" s="15">
        <v>31</v>
      </c>
      <c r="D84" s="13" t="s">
        <v>117</v>
      </c>
      <c r="E84" s="13" t="s">
        <v>2509</v>
      </c>
      <c r="F84" s="14">
        <v>44248</v>
      </c>
    </row>
    <row r="85" spans="1:6" x14ac:dyDescent="0.35">
      <c r="A85" s="13" t="s">
        <v>328</v>
      </c>
      <c r="B85" s="13" t="s">
        <v>2591</v>
      </c>
      <c r="C85" s="15">
        <v>28</v>
      </c>
      <c r="D85" s="13" t="s">
        <v>94</v>
      </c>
      <c r="E85" s="13" t="s">
        <v>2507</v>
      </c>
      <c r="F85" s="14">
        <v>44116</v>
      </c>
    </row>
    <row r="86" spans="1:6" x14ac:dyDescent="0.35">
      <c r="A86" s="13" t="s">
        <v>585</v>
      </c>
      <c r="B86" s="13" t="s">
        <v>2592</v>
      </c>
      <c r="C86" s="15">
        <v>26</v>
      </c>
      <c r="D86" s="13" t="s">
        <v>94</v>
      </c>
      <c r="E86" s="13" t="s">
        <v>2507</v>
      </c>
      <c r="F86" s="14">
        <v>45149</v>
      </c>
    </row>
    <row r="87" spans="1:6" x14ac:dyDescent="0.35">
      <c r="A87" s="13" t="s">
        <v>190</v>
      </c>
      <c r="B87" s="13" t="s">
        <v>2593</v>
      </c>
      <c r="C87" s="15">
        <v>56</v>
      </c>
      <c r="D87" s="13" t="s">
        <v>133</v>
      </c>
      <c r="E87" s="13" t="s">
        <v>2509</v>
      </c>
      <c r="F87" s="14">
        <v>45039</v>
      </c>
    </row>
    <row r="88" spans="1:6" x14ac:dyDescent="0.35">
      <c r="A88" s="13" t="s">
        <v>479</v>
      </c>
      <c r="B88" s="13" t="s">
        <v>2594</v>
      </c>
      <c r="C88" s="15">
        <v>49</v>
      </c>
      <c r="D88" s="13" t="s">
        <v>88</v>
      </c>
      <c r="E88" s="13" t="s">
        <v>2515</v>
      </c>
      <c r="F88" s="14">
        <v>44621</v>
      </c>
    </row>
    <row r="89" spans="1:6" x14ac:dyDescent="0.35">
      <c r="A89" s="13" t="s">
        <v>254</v>
      </c>
      <c r="B89" s="13" t="s">
        <v>2595</v>
      </c>
      <c r="C89" s="15">
        <v>24</v>
      </c>
      <c r="D89" s="13" t="s">
        <v>94</v>
      </c>
      <c r="E89" s="13" t="s">
        <v>2507</v>
      </c>
      <c r="F89" s="14">
        <v>44693</v>
      </c>
    </row>
    <row r="90" spans="1:6" x14ac:dyDescent="0.35">
      <c r="A90" s="13" t="s">
        <v>905</v>
      </c>
      <c r="B90" s="13" t="s">
        <v>2596</v>
      </c>
      <c r="C90" s="15">
        <v>43</v>
      </c>
      <c r="D90" s="13" t="s">
        <v>112</v>
      </c>
      <c r="E90" s="13" t="s">
        <v>2515</v>
      </c>
      <c r="F90" s="14">
        <v>44513</v>
      </c>
    </row>
    <row r="91" spans="1:6" x14ac:dyDescent="0.35">
      <c r="A91" s="13" t="s">
        <v>599</v>
      </c>
      <c r="B91" s="13" t="s">
        <v>2597</v>
      </c>
      <c r="C91" s="15">
        <v>26</v>
      </c>
      <c r="D91" s="13" t="s">
        <v>117</v>
      </c>
      <c r="E91" s="13" t="s">
        <v>2509</v>
      </c>
      <c r="F91" s="14">
        <v>44137</v>
      </c>
    </row>
    <row r="92" spans="1:6" x14ac:dyDescent="0.35">
      <c r="A92" s="13" t="s">
        <v>910</v>
      </c>
      <c r="B92" s="13" t="s">
        <v>2598</v>
      </c>
      <c r="C92" s="15">
        <v>55</v>
      </c>
      <c r="D92" s="13" t="s">
        <v>99</v>
      </c>
      <c r="E92" s="13" t="s">
        <v>2507</v>
      </c>
      <c r="F92" s="14">
        <v>45178</v>
      </c>
    </row>
    <row r="93" spans="1:6" x14ac:dyDescent="0.35">
      <c r="A93" s="13" t="s">
        <v>394</v>
      </c>
      <c r="B93" s="13" t="s">
        <v>2599</v>
      </c>
      <c r="C93" s="15">
        <v>28</v>
      </c>
      <c r="D93" s="13" t="s">
        <v>117</v>
      </c>
      <c r="E93" s="13" t="s">
        <v>2515</v>
      </c>
      <c r="F93" s="14">
        <v>44731</v>
      </c>
    </row>
    <row r="94" spans="1:6" x14ac:dyDescent="0.35">
      <c r="A94" s="13" t="s">
        <v>816</v>
      </c>
      <c r="B94" s="13" t="s">
        <v>2600</v>
      </c>
      <c r="C94" s="15">
        <v>36</v>
      </c>
      <c r="D94" s="13" t="s">
        <v>88</v>
      </c>
      <c r="E94" s="13" t="s">
        <v>2507</v>
      </c>
      <c r="F94" s="14">
        <v>44743</v>
      </c>
    </row>
    <row r="95" spans="1:6" x14ac:dyDescent="0.35">
      <c r="A95" s="13" t="s">
        <v>316</v>
      </c>
      <c r="B95" s="13" t="s">
        <v>2601</v>
      </c>
      <c r="C95" s="15">
        <v>60</v>
      </c>
      <c r="D95" s="13" t="s">
        <v>88</v>
      </c>
      <c r="E95" s="13" t="s">
        <v>2515</v>
      </c>
      <c r="F95" s="14">
        <v>44915</v>
      </c>
    </row>
    <row r="96" spans="1:6" x14ac:dyDescent="0.35">
      <c r="A96" s="13" t="s">
        <v>228</v>
      </c>
      <c r="B96" s="13" t="s">
        <v>2602</v>
      </c>
      <c r="C96" s="15">
        <v>54</v>
      </c>
      <c r="D96" s="13" t="s">
        <v>112</v>
      </c>
      <c r="E96" s="13" t="s">
        <v>2515</v>
      </c>
      <c r="F96" s="14">
        <v>44622</v>
      </c>
    </row>
    <row r="97" spans="1:6" x14ac:dyDescent="0.35">
      <c r="A97" s="13" t="s">
        <v>382</v>
      </c>
      <c r="B97" s="13" t="s">
        <v>2603</v>
      </c>
      <c r="C97" s="15">
        <v>27</v>
      </c>
      <c r="D97" s="13" t="s">
        <v>99</v>
      </c>
      <c r="E97" s="13" t="s">
        <v>2509</v>
      </c>
      <c r="F97" s="14">
        <v>44445</v>
      </c>
    </row>
    <row r="98" spans="1:6" x14ac:dyDescent="0.35">
      <c r="A98" s="13" t="s">
        <v>557</v>
      </c>
      <c r="B98" s="13" t="s">
        <v>2604</v>
      </c>
      <c r="C98" s="15">
        <v>65</v>
      </c>
      <c r="D98" s="13" t="s">
        <v>112</v>
      </c>
      <c r="E98" s="13" t="s">
        <v>2507</v>
      </c>
      <c r="F98" s="14">
        <v>43899</v>
      </c>
    </row>
    <row r="99" spans="1:6" x14ac:dyDescent="0.35">
      <c r="A99" s="13" t="s">
        <v>96</v>
      </c>
      <c r="B99" s="13" t="s">
        <v>2605</v>
      </c>
      <c r="C99" s="15">
        <v>52</v>
      </c>
      <c r="D99" s="13" t="s">
        <v>99</v>
      </c>
      <c r="E99" s="13" t="s">
        <v>2507</v>
      </c>
      <c r="F99" s="14">
        <v>44406</v>
      </c>
    </row>
    <row r="100" spans="1:6" x14ac:dyDescent="0.35">
      <c r="A100" s="13" t="s">
        <v>1724</v>
      </c>
      <c r="B100" s="13" t="s">
        <v>2606</v>
      </c>
      <c r="C100" s="15">
        <v>54</v>
      </c>
      <c r="D100" s="13" t="s">
        <v>117</v>
      </c>
      <c r="E100" s="13" t="s">
        <v>2515</v>
      </c>
      <c r="F100" s="14">
        <v>44938</v>
      </c>
    </row>
    <row r="101" spans="1:6" x14ac:dyDescent="0.35">
      <c r="A101" s="13" t="s">
        <v>1575</v>
      </c>
      <c r="B101" s="13" t="s">
        <v>2607</v>
      </c>
      <c r="C101" s="15">
        <v>60</v>
      </c>
      <c r="D101" s="13" t="s">
        <v>133</v>
      </c>
      <c r="E101" s="13" t="s">
        <v>2509</v>
      </c>
      <c r="F101" s="14">
        <v>45072</v>
      </c>
    </row>
    <row r="102" spans="1:6" x14ac:dyDescent="0.35">
      <c r="A102" s="13" t="s">
        <v>175</v>
      </c>
      <c r="B102" s="13" t="s">
        <v>2608</v>
      </c>
      <c r="C102" s="15">
        <v>40</v>
      </c>
      <c r="D102" s="13" t="s">
        <v>133</v>
      </c>
      <c r="E102" s="13" t="s">
        <v>2515</v>
      </c>
      <c r="F102" s="14">
        <v>44021</v>
      </c>
    </row>
    <row r="103" spans="1:6" x14ac:dyDescent="0.35">
      <c r="A103" s="13" t="s">
        <v>369</v>
      </c>
      <c r="B103" s="13" t="s">
        <v>2609</v>
      </c>
      <c r="C103" s="15">
        <v>62</v>
      </c>
      <c r="D103" s="13" t="s">
        <v>94</v>
      </c>
      <c r="E103" s="13" t="s">
        <v>2515</v>
      </c>
      <c r="F103" s="14">
        <v>45092</v>
      </c>
    </row>
    <row r="104" spans="1:6" x14ac:dyDescent="0.35">
      <c r="A104" s="13" t="s">
        <v>943</v>
      </c>
      <c r="B104" s="13" t="s">
        <v>2610</v>
      </c>
      <c r="C104" s="15">
        <v>54</v>
      </c>
      <c r="D104" s="13" t="s">
        <v>133</v>
      </c>
      <c r="E104" s="13" t="s">
        <v>2509</v>
      </c>
      <c r="F104" s="14">
        <v>45080</v>
      </c>
    </row>
    <row r="105" spans="1:6" x14ac:dyDescent="0.35">
      <c r="A105" s="13" t="s">
        <v>454</v>
      </c>
      <c r="B105" s="13" t="s">
        <v>2611</v>
      </c>
      <c r="C105" s="15">
        <v>43</v>
      </c>
      <c r="D105" s="13" t="s">
        <v>133</v>
      </c>
      <c r="E105" s="13" t="s">
        <v>2509</v>
      </c>
      <c r="F105" s="14">
        <v>44018</v>
      </c>
    </row>
    <row r="106" spans="1:6" x14ac:dyDescent="0.35">
      <c r="A106" s="13" t="s">
        <v>1308</v>
      </c>
      <c r="B106" s="13" t="s">
        <v>2612</v>
      </c>
      <c r="C106" s="15">
        <v>51</v>
      </c>
      <c r="D106" s="13" t="s">
        <v>94</v>
      </c>
      <c r="E106" s="13" t="s">
        <v>2515</v>
      </c>
      <c r="F106" s="14">
        <v>44060</v>
      </c>
    </row>
    <row r="107" spans="1:6" x14ac:dyDescent="0.35">
      <c r="A107" s="13" t="s">
        <v>413</v>
      </c>
      <c r="B107" s="13" t="s">
        <v>2613</v>
      </c>
      <c r="C107" s="15">
        <v>22</v>
      </c>
      <c r="D107" s="13" t="s">
        <v>88</v>
      </c>
      <c r="E107" s="13" t="s">
        <v>2507</v>
      </c>
      <c r="F107" s="14">
        <v>45192</v>
      </c>
    </row>
    <row r="108" spans="1:6" x14ac:dyDescent="0.35">
      <c r="A108" s="13" t="s">
        <v>172</v>
      </c>
      <c r="B108" s="13" t="s">
        <v>2614</v>
      </c>
      <c r="C108" s="15">
        <v>50</v>
      </c>
      <c r="D108" s="13" t="s">
        <v>88</v>
      </c>
      <c r="E108" s="13" t="s">
        <v>2507</v>
      </c>
      <c r="F108" s="14">
        <v>44007</v>
      </c>
    </row>
    <row r="109" spans="1:6" x14ac:dyDescent="0.35">
      <c r="A109" s="13" t="s">
        <v>331</v>
      </c>
      <c r="B109" s="13" t="s">
        <v>2615</v>
      </c>
      <c r="C109" s="15">
        <v>59</v>
      </c>
      <c r="D109" s="13" t="s">
        <v>117</v>
      </c>
      <c r="E109" s="13" t="s">
        <v>2509</v>
      </c>
      <c r="F109" s="14">
        <v>44382</v>
      </c>
    </row>
    <row r="110" spans="1:6" x14ac:dyDescent="0.35">
      <c r="A110" s="13" t="s">
        <v>1231</v>
      </c>
      <c r="B110" s="13" t="s">
        <v>2616</v>
      </c>
      <c r="C110" s="15">
        <v>42</v>
      </c>
      <c r="D110" s="13" t="s">
        <v>88</v>
      </c>
      <c r="E110" s="13" t="s">
        <v>2507</v>
      </c>
      <c r="F110" s="14">
        <v>44698</v>
      </c>
    </row>
    <row r="111" spans="1:6" x14ac:dyDescent="0.35">
      <c r="A111" s="13" t="s">
        <v>624</v>
      </c>
      <c r="B111" s="13" t="s">
        <v>2537</v>
      </c>
      <c r="C111" s="15">
        <v>31</v>
      </c>
      <c r="D111" s="13" t="s">
        <v>88</v>
      </c>
      <c r="E111" s="13" t="s">
        <v>2509</v>
      </c>
      <c r="F111" s="14">
        <v>44346</v>
      </c>
    </row>
    <row r="112" spans="1:6" x14ac:dyDescent="0.35">
      <c r="A112" s="13" t="s">
        <v>422</v>
      </c>
      <c r="B112" s="13" t="s">
        <v>2617</v>
      </c>
      <c r="C112" s="15">
        <v>64</v>
      </c>
      <c r="D112" s="13" t="s">
        <v>94</v>
      </c>
      <c r="E112" s="13" t="s">
        <v>2515</v>
      </c>
      <c r="F112" s="14">
        <v>44309</v>
      </c>
    </row>
    <row r="113" spans="1:6" x14ac:dyDescent="0.35">
      <c r="A113" s="13" t="s">
        <v>236</v>
      </c>
      <c r="B113" s="13" t="s">
        <v>2618</v>
      </c>
      <c r="C113" s="15">
        <v>64</v>
      </c>
      <c r="D113" s="13" t="s">
        <v>133</v>
      </c>
      <c r="E113" s="13" t="s">
        <v>2507</v>
      </c>
      <c r="F113" s="14">
        <v>44015</v>
      </c>
    </row>
    <row r="114" spans="1:6" x14ac:dyDescent="0.35">
      <c r="A114" s="13" t="s">
        <v>397</v>
      </c>
      <c r="B114" s="13" t="s">
        <v>2619</v>
      </c>
      <c r="C114" s="15">
        <v>30</v>
      </c>
      <c r="D114" s="13" t="s">
        <v>99</v>
      </c>
      <c r="E114" s="13" t="s">
        <v>2507</v>
      </c>
      <c r="F114" s="14">
        <v>44490</v>
      </c>
    </row>
    <row r="115" spans="1:6" x14ac:dyDescent="0.35">
      <c r="A115" s="13" t="s">
        <v>416</v>
      </c>
      <c r="B115" s="13" t="s">
        <v>2620</v>
      </c>
      <c r="C115" s="15">
        <v>42</v>
      </c>
      <c r="D115" s="13" t="s">
        <v>117</v>
      </c>
      <c r="E115" s="13" t="s">
        <v>2509</v>
      </c>
      <c r="F115" s="14">
        <v>44907</v>
      </c>
    </row>
    <row r="116" spans="1:6" x14ac:dyDescent="0.35">
      <c r="A116" s="13" t="s">
        <v>617</v>
      </c>
      <c r="B116" s="13" t="s">
        <v>2543</v>
      </c>
      <c r="C116" s="15">
        <v>65</v>
      </c>
      <c r="D116" s="13" t="s">
        <v>112</v>
      </c>
      <c r="E116" s="13" t="s">
        <v>2515</v>
      </c>
      <c r="F116" s="14">
        <v>44381</v>
      </c>
    </row>
    <row r="117" spans="1:6" x14ac:dyDescent="0.35">
      <c r="A117" s="13" t="s">
        <v>1623</v>
      </c>
      <c r="B117" s="13" t="s">
        <v>2621</v>
      </c>
      <c r="C117" s="15">
        <v>53</v>
      </c>
      <c r="D117" s="13" t="s">
        <v>2622</v>
      </c>
      <c r="E117" s="13" t="s">
        <v>2507</v>
      </c>
      <c r="F117" s="14">
        <v>44050</v>
      </c>
    </row>
    <row r="118" spans="1:6" x14ac:dyDescent="0.35">
      <c r="A118" s="13" t="s">
        <v>451</v>
      </c>
      <c r="B118" s="13" t="s">
        <v>2623</v>
      </c>
      <c r="C118" s="15">
        <v>34</v>
      </c>
      <c r="D118" s="13" t="s">
        <v>99</v>
      </c>
      <c r="E118" s="13" t="s">
        <v>2515</v>
      </c>
      <c r="F118" s="14">
        <v>44581</v>
      </c>
    </row>
    <row r="119" spans="1:6" x14ac:dyDescent="0.35">
      <c r="A119" s="13" t="s">
        <v>208</v>
      </c>
      <c r="B119" s="13" t="s">
        <v>2624</v>
      </c>
      <c r="C119" s="15">
        <v>26</v>
      </c>
      <c r="D119" s="13" t="s">
        <v>133</v>
      </c>
      <c r="E119" s="13" t="s">
        <v>2507</v>
      </c>
      <c r="F119" s="14">
        <v>44916</v>
      </c>
    </row>
    <row r="120" spans="1:6" x14ac:dyDescent="0.35">
      <c r="A120" s="13" t="s">
        <v>469</v>
      </c>
      <c r="B120" s="13" t="s">
        <v>2625</v>
      </c>
      <c r="C120" s="15">
        <v>43</v>
      </c>
      <c r="D120" s="13" t="s">
        <v>117</v>
      </c>
      <c r="E120" s="13" t="s">
        <v>2515</v>
      </c>
      <c r="F120" s="14">
        <v>44360</v>
      </c>
    </row>
    <row r="121" spans="1:6" x14ac:dyDescent="0.35">
      <c r="A121" s="13" t="s">
        <v>1234</v>
      </c>
      <c r="B121" s="13" t="s">
        <v>2626</v>
      </c>
      <c r="C121" s="15">
        <v>29</v>
      </c>
      <c r="D121" s="13" t="s">
        <v>112</v>
      </c>
      <c r="E121" s="13" t="s">
        <v>2507</v>
      </c>
      <c r="F121" s="14">
        <v>44871</v>
      </c>
    </row>
    <row r="122" spans="1:6" x14ac:dyDescent="0.35">
      <c r="A122" s="13" t="s">
        <v>522</v>
      </c>
      <c r="B122" s="13" t="s">
        <v>2627</v>
      </c>
      <c r="C122" s="15">
        <v>55</v>
      </c>
      <c r="D122" s="13" t="s">
        <v>99</v>
      </c>
      <c r="E122" s="13" t="s">
        <v>2515</v>
      </c>
      <c r="F122" s="14">
        <v>45119</v>
      </c>
    </row>
    <row r="123" spans="1:6" x14ac:dyDescent="0.35">
      <c r="A123" s="13" t="s">
        <v>1217</v>
      </c>
      <c r="B123" s="13" t="s">
        <v>2628</v>
      </c>
      <c r="C123" s="15">
        <v>44</v>
      </c>
      <c r="D123" s="13" t="s">
        <v>112</v>
      </c>
      <c r="E123" s="13" t="s">
        <v>2507</v>
      </c>
      <c r="F123" s="14">
        <v>44686</v>
      </c>
    </row>
    <row r="124" spans="1:6" x14ac:dyDescent="0.35">
      <c r="A124" s="13" t="s">
        <v>886</v>
      </c>
      <c r="B124" s="13" t="s">
        <v>2629</v>
      </c>
      <c r="C124" s="15">
        <v>44</v>
      </c>
      <c r="D124" s="13" t="s">
        <v>94</v>
      </c>
      <c r="E124" s="13" t="s">
        <v>2509</v>
      </c>
      <c r="F124" s="14">
        <v>44589</v>
      </c>
    </row>
    <row r="125" spans="1:6" x14ac:dyDescent="0.35">
      <c r="A125" s="13" t="s">
        <v>493</v>
      </c>
      <c r="B125" s="13" t="s">
        <v>2630</v>
      </c>
      <c r="C125" s="15">
        <v>57</v>
      </c>
      <c r="D125" s="13" t="s">
        <v>88</v>
      </c>
      <c r="E125" s="13" t="s">
        <v>2507</v>
      </c>
      <c r="F125" s="14">
        <v>44818</v>
      </c>
    </row>
    <row r="126" spans="1:6" x14ac:dyDescent="0.35">
      <c r="A126" s="13" t="s">
        <v>530</v>
      </c>
      <c r="B126" s="13" t="s">
        <v>2631</v>
      </c>
      <c r="C126" s="15">
        <v>45</v>
      </c>
      <c r="D126" s="13" t="s">
        <v>99</v>
      </c>
      <c r="E126" s="13" t="s">
        <v>2507</v>
      </c>
      <c r="F126" s="14">
        <v>44263</v>
      </c>
    </row>
    <row r="127" spans="1:6" x14ac:dyDescent="0.35">
      <c r="A127" s="13" t="s">
        <v>902</v>
      </c>
      <c r="B127" s="13" t="s">
        <v>2632</v>
      </c>
      <c r="C127" s="15">
        <v>37</v>
      </c>
      <c r="D127" s="13" t="s">
        <v>112</v>
      </c>
      <c r="E127" s="13" t="s">
        <v>2507</v>
      </c>
      <c r="F127" s="14">
        <v>44561</v>
      </c>
    </row>
    <row r="128" spans="1:6" x14ac:dyDescent="0.35">
      <c r="A128" s="13" t="s">
        <v>983</v>
      </c>
      <c r="B128" s="13" t="s">
        <v>2538</v>
      </c>
      <c r="C128" s="15">
        <v>36</v>
      </c>
      <c r="D128" s="13" t="s">
        <v>117</v>
      </c>
      <c r="E128" s="13" t="s">
        <v>2515</v>
      </c>
      <c r="F128" s="14">
        <v>45036</v>
      </c>
    </row>
    <row r="129" spans="1:6" x14ac:dyDescent="0.35">
      <c r="A129" s="13" t="s">
        <v>952</v>
      </c>
      <c r="B129" s="13" t="s">
        <v>2633</v>
      </c>
      <c r="C129" s="15">
        <v>35</v>
      </c>
      <c r="D129" s="13" t="s">
        <v>133</v>
      </c>
      <c r="E129" s="13" t="s">
        <v>2507</v>
      </c>
      <c r="F129" s="14">
        <v>44602</v>
      </c>
    </row>
    <row r="130" spans="1:6" x14ac:dyDescent="0.35">
      <c r="A130" s="13" t="s">
        <v>299</v>
      </c>
      <c r="B130" s="13" t="s">
        <v>2634</v>
      </c>
      <c r="C130" s="15">
        <v>29</v>
      </c>
      <c r="D130" s="13" t="s">
        <v>2635</v>
      </c>
      <c r="E130" s="13" t="s">
        <v>2507</v>
      </c>
      <c r="F130" s="14">
        <v>44930</v>
      </c>
    </row>
    <row r="131" spans="1:6" x14ac:dyDescent="0.35">
      <c r="A131" s="13" t="s">
        <v>841</v>
      </c>
      <c r="B131" s="13" t="s">
        <v>2636</v>
      </c>
      <c r="C131" s="15">
        <v>41</v>
      </c>
      <c r="D131" s="13" t="s">
        <v>117</v>
      </c>
      <c r="E131" s="13" t="s">
        <v>2509</v>
      </c>
      <c r="F131" s="14">
        <v>44897</v>
      </c>
    </row>
    <row r="132" spans="1:6" x14ac:dyDescent="0.35">
      <c r="A132" s="13" t="s">
        <v>359</v>
      </c>
      <c r="B132" s="13" t="s">
        <v>2637</v>
      </c>
      <c r="C132" s="15">
        <v>28</v>
      </c>
      <c r="D132" s="13" t="s">
        <v>2512</v>
      </c>
      <c r="E132" s="13" t="s">
        <v>2515</v>
      </c>
      <c r="F132" s="14">
        <v>44158</v>
      </c>
    </row>
    <row r="133" spans="1:6" x14ac:dyDescent="0.35">
      <c r="A133" s="13" t="s">
        <v>684</v>
      </c>
      <c r="B133" s="13" t="s">
        <v>2638</v>
      </c>
      <c r="C133" s="15">
        <v>41</v>
      </c>
      <c r="D133" s="13" t="s">
        <v>99</v>
      </c>
      <c r="E133" s="13" t="s">
        <v>2507</v>
      </c>
      <c r="F133" s="14">
        <v>44754</v>
      </c>
    </row>
    <row r="134" spans="1:6" x14ac:dyDescent="0.35">
      <c r="A134" s="13" t="s">
        <v>342</v>
      </c>
      <c r="B134" s="13" t="s">
        <v>2639</v>
      </c>
      <c r="C134" s="15">
        <v>26</v>
      </c>
      <c r="D134" s="13" t="s">
        <v>94</v>
      </c>
      <c r="E134" s="13" t="s">
        <v>2507</v>
      </c>
      <c r="F134" s="14">
        <v>43837</v>
      </c>
    </row>
    <row r="135" spans="1:6" x14ac:dyDescent="0.35">
      <c r="A135" s="13" t="s">
        <v>626</v>
      </c>
      <c r="B135" s="13" t="s">
        <v>2640</v>
      </c>
      <c r="C135" s="15">
        <v>40</v>
      </c>
      <c r="D135" s="13" t="s">
        <v>99</v>
      </c>
      <c r="E135" s="13" t="s">
        <v>2507</v>
      </c>
      <c r="F135" s="14">
        <v>45111</v>
      </c>
    </row>
    <row r="136" spans="1:6" x14ac:dyDescent="0.35">
      <c r="A136" s="13" t="s">
        <v>563</v>
      </c>
      <c r="B136" s="13" t="s">
        <v>2641</v>
      </c>
      <c r="C136" s="15">
        <v>24</v>
      </c>
      <c r="D136" s="13" t="s">
        <v>88</v>
      </c>
      <c r="E136" s="13" t="s">
        <v>2515</v>
      </c>
      <c r="F136" s="14">
        <v>44673</v>
      </c>
    </row>
    <row r="137" spans="1:6" x14ac:dyDescent="0.35">
      <c r="A137" s="13" t="s">
        <v>850</v>
      </c>
      <c r="B137" s="13" t="s">
        <v>2642</v>
      </c>
      <c r="C137" s="15">
        <v>26</v>
      </c>
      <c r="D137" s="13" t="s">
        <v>94</v>
      </c>
      <c r="E137" s="13" t="s">
        <v>2515</v>
      </c>
      <c r="F137" s="14">
        <v>44122</v>
      </c>
    </row>
    <row r="138" spans="1:6" x14ac:dyDescent="0.35">
      <c r="A138" s="13" t="s">
        <v>447</v>
      </c>
      <c r="B138" s="13" t="s">
        <v>2601</v>
      </c>
      <c r="C138" s="15">
        <v>41</v>
      </c>
      <c r="D138" s="13" t="s">
        <v>112</v>
      </c>
      <c r="E138" s="13" t="s">
        <v>2507</v>
      </c>
      <c r="F138" s="14">
        <v>44946</v>
      </c>
    </row>
    <row r="139" spans="1:6" x14ac:dyDescent="0.35">
      <c r="A139" s="13" t="s">
        <v>717</v>
      </c>
      <c r="B139" s="13" t="s">
        <v>2643</v>
      </c>
      <c r="C139" s="15">
        <v>24</v>
      </c>
      <c r="D139" s="13" t="s">
        <v>94</v>
      </c>
      <c r="E139" s="13" t="s">
        <v>2507</v>
      </c>
      <c r="F139" s="14">
        <v>43955</v>
      </c>
    </row>
    <row r="140" spans="1:6" x14ac:dyDescent="0.35">
      <c r="A140" s="13" t="s">
        <v>333</v>
      </c>
      <c r="B140" s="13" t="s">
        <v>2644</v>
      </c>
      <c r="C140" s="15">
        <v>65</v>
      </c>
      <c r="D140" s="13" t="s">
        <v>133</v>
      </c>
      <c r="E140" s="13" t="s">
        <v>2515</v>
      </c>
      <c r="F140" s="14">
        <v>43997</v>
      </c>
    </row>
    <row r="141" spans="1:6" x14ac:dyDescent="0.35">
      <c r="A141" s="13" t="s">
        <v>2053</v>
      </c>
      <c r="B141" s="13" t="s">
        <v>2645</v>
      </c>
      <c r="C141" s="15">
        <v>39</v>
      </c>
      <c r="D141" s="13" t="s">
        <v>133</v>
      </c>
      <c r="E141" s="13" t="s">
        <v>2515</v>
      </c>
      <c r="F141" s="14">
        <v>43854</v>
      </c>
    </row>
    <row r="142" spans="1:6" x14ac:dyDescent="0.35">
      <c r="A142" s="13" t="s">
        <v>628</v>
      </c>
      <c r="B142" s="13" t="s">
        <v>2646</v>
      </c>
      <c r="C142" s="15">
        <v>22</v>
      </c>
      <c r="D142" s="13" t="s">
        <v>133</v>
      </c>
      <c r="E142" s="13" t="s">
        <v>2509</v>
      </c>
      <c r="F142" s="14">
        <v>45069</v>
      </c>
    </row>
    <row r="143" spans="1:6" x14ac:dyDescent="0.35">
      <c r="A143" s="13" t="s">
        <v>178</v>
      </c>
      <c r="B143" s="13" t="s">
        <v>2589</v>
      </c>
      <c r="C143" s="15">
        <v>55</v>
      </c>
      <c r="D143" s="13" t="s">
        <v>2647</v>
      </c>
      <c r="E143" s="13" t="s">
        <v>2509</v>
      </c>
      <c r="F143" s="14">
        <v>44597</v>
      </c>
    </row>
    <row r="144" spans="1:6" x14ac:dyDescent="0.35">
      <c r="A144" s="13" t="s">
        <v>186</v>
      </c>
      <c r="B144" s="13" t="s">
        <v>2648</v>
      </c>
      <c r="C144" s="15">
        <v>52</v>
      </c>
      <c r="D144" s="13" t="s">
        <v>94</v>
      </c>
      <c r="E144" s="13" t="s">
        <v>2515</v>
      </c>
      <c r="F144" s="14">
        <v>44194</v>
      </c>
    </row>
    <row r="145" spans="1:6" x14ac:dyDescent="0.35">
      <c r="A145" s="13" t="s">
        <v>1065</v>
      </c>
      <c r="B145" s="13" t="s">
        <v>2649</v>
      </c>
      <c r="C145" s="15">
        <v>49</v>
      </c>
      <c r="D145" s="13" t="s">
        <v>94</v>
      </c>
      <c r="E145" s="13" t="s">
        <v>2507</v>
      </c>
      <c r="F145" s="14">
        <v>44931</v>
      </c>
    </row>
    <row r="146" spans="1:6" x14ac:dyDescent="0.35">
      <c r="A146" s="13" t="s">
        <v>376</v>
      </c>
      <c r="B146" s="13" t="s">
        <v>2650</v>
      </c>
      <c r="C146" s="15">
        <v>44</v>
      </c>
      <c r="D146" s="13" t="s">
        <v>117</v>
      </c>
      <c r="E146" s="13" t="s">
        <v>2515</v>
      </c>
      <c r="F146" s="14">
        <v>44009</v>
      </c>
    </row>
    <row r="147" spans="1:6" x14ac:dyDescent="0.35">
      <c r="A147" s="13" t="s">
        <v>418</v>
      </c>
      <c r="B147" s="13" t="s">
        <v>2651</v>
      </c>
      <c r="C147" s="15">
        <v>22</v>
      </c>
      <c r="D147" s="13" t="s">
        <v>133</v>
      </c>
      <c r="E147" s="13" t="s">
        <v>2507</v>
      </c>
      <c r="F147" s="14">
        <v>44681</v>
      </c>
    </row>
    <row r="148" spans="1:6" x14ac:dyDescent="0.35">
      <c r="A148" s="13" t="s">
        <v>126</v>
      </c>
      <c r="B148" s="13" t="s">
        <v>2652</v>
      </c>
      <c r="C148" s="15">
        <v>56</v>
      </c>
      <c r="D148" s="13" t="s">
        <v>88</v>
      </c>
      <c r="E148" s="13" t="s">
        <v>2507</v>
      </c>
      <c r="F148" s="14">
        <v>44644</v>
      </c>
    </row>
    <row r="149" spans="1:6" x14ac:dyDescent="0.35">
      <c r="A149" s="13" t="s">
        <v>823</v>
      </c>
      <c r="B149" s="13" t="s">
        <v>2653</v>
      </c>
      <c r="C149" s="15">
        <v>32</v>
      </c>
      <c r="D149" s="13" t="s">
        <v>94</v>
      </c>
      <c r="E149" s="13" t="s">
        <v>2507</v>
      </c>
      <c r="F149" s="14">
        <v>44014</v>
      </c>
    </row>
    <row r="150" spans="1:6" x14ac:dyDescent="0.35">
      <c r="A150" s="13" t="s">
        <v>388</v>
      </c>
      <c r="B150" s="13" t="s">
        <v>2654</v>
      </c>
      <c r="C150" s="15">
        <v>44</v>
      </c>
      <c r="D150" s="13" t="s">
        <v>1821</v>
      </c>
      <c r="E150" s="13" t="s">
        <v>2507</v>
      </c>
      <c r="F150" s="14">
        <v>44390</v>
      </c>
    </row>
    <row r="151" spans="1:6" x14ac:dyDescent="0.35">
      <c r="A151" s="13" t="s">
        <v>407</v>
      </c>
      <c r="B151" s="13" t="s">
        <v>2644</v>
      </c>
      <c r="C151" s="15">
        <v>53</v>
      </c>
      <c r="D151" s="13" t="s">
        <v>88</v>
      </c>
      <c r="E151" s="13" t="s">
        <v>2515</v>
      </c>
      <c r="F151" s="14">
        <v>45208</v>
      </c>
    </row>
    <row r="152" spans="1:6" x14ac:dyDescent="0.35">
      <c r="A152" s="13" t="s">
        <v>615</v>
      </c>
      <c r="B152" s="13" t="s">
        <v>2655</v>
      </c>
      <c r="C152" s="15">
        <v>53</v>
      </c>
      <c r="D152" s="13" t="s">
        <v>112</v>
      </c>
      <c r="E152" s="13" t="s">
        <v>2507</v>
      </c>
      <c r="F152" s="14">
        <v>43999</v>
      </c>
    </row>
    <row r="153" spans="1:6" x14ac:dyDescent="0.35">
      <c r="A153" s="13" t="s">
        <v>231</v>
      </c>
      <c r="B153" s="13" t="s">
        <v>2656</v>
      </c>
      <c r="C153" s="15">
        <v>64</v>
      </c>
      <c r="D153" s="13" t="s">
        <v>117</v>
      </c>
      <c r="E153" s="13" t="s">
        <v>2515</v>
      </c>
      <c r="F153" s="14">
        <v>44209</v>
      </c>
    </row>
    <row r="154" spans="1:6" x14ac:dyDescent="0.35">
      <c r="A154" s="13" t="s">
        <v>686</v>
      </c>
      <c r="B154" s="13" t="s">
        <v>2657</v>
      </c>
      <c r="C154" s="15">
        <v>35</v>
      </c>
      <c r="D154" s="13" t="s">
        <v>112</v>
      </c>
      <c r="E154" s="13" t="s">
        <v>2507</v>
      </c>
      <c r="F154" s="14">
        <v>44787</v>
      </c>
    </row>
    <row r="155" spans="1:6" x14ac:dyDescent="0.35">
      <c r="A155" s="13" t="s">
        <v>807</v>
      </c>
      <c r="B155" s="13" t="s">
        <v>2658</v>
      </c>
      <c r="C155" s="15">
        <v>36</v>
      </c>
      <c r="D155" s="13" t="s">
        <v>88</v>
      </c>
      <c r="E155" s="13" t="s">
        <v>2507</v>
      </c>
      <c r="F155" s="14">
        <v>44370</v>
      </c>
    </row>
    <row r="156" spans="1:6" x14ac:dyDescent="0.35">
      <c r="A156" s="13" t="s">
        <v>608</v>
      </c>
      <c r="B156" s="13" t="s">
        <v>2659</v>
      </c>
      <c r="C156" s="15">
        <v>40</v>
      </c>
      <c r="D156" s="13" t="s">
        <v>88</v>
      </c>
      <c r="E156" s="13" t="s">
        <v>2509</v>
      </c>
      <c r="F156" s="14">
        <v>44693</v>
      </c>
    </row>
    <row r="157" spans="1:6" x14ac:dyDescent="0.35">
      <c r="A157" s="13" t="s">
        <v>1036</v>
      </c>
      <c r="B157" s="13" t="s">
        <v>2660</v>
      </c>
      <c r="C157" s="15">
        <v>33</v>
      </c>
      <c r="D157" s="13" t="s">
        <v>112</v>
      </c>
      <c r="E157" s="13" t="s">
        <v>2507</v>
      </c>
      <c r="F157" s="14">
        <v>45229</v>
      </c>
    </row>
    <row r="158" spans="1:6" x14ac:dyDescent="0.35">
      <c r="A158" s="13" t="s">
        <v>703</v>
      </c>
      <c r="B158" s="13" t="s">
        <v>2661</v>
      </c>
      <c r="C158" s="15">
        <v>52</v>
      </c>
      <c r="D158" s="13" t="s">
        <v>88</v>
      </c>
      <c r="E158" s="13" t="s">
        <v>2509</v>
      </c>
      <c r="F158" s="14">
        <v>44896</v>
      </c>
    </row>
    <row r="159" spans="1:6" x14ac:dyDescent="0.35">
      <c r="A159" s="13" t="s">
        <v>1096</v>
      </c>
      <c r="B159" s="13" t="s">
        <v>2662</v>
      </c>
      <c r="C159" s="15">
        <v>42</v>
      </c>
      <c r="D159" s="13" t="s">
        <v>88</v>
      </c>
      <c r="E159" s="13" t="s">
        <v>2509</v>
      </c>
      <c r="F159" s="14">
        <v>44617</v>
      </c>
    </row>
    <row r="160" spans="1:6" x14ac:dyDescent="0.35">
      <c r="A160" s="13" t="s">
        <v>166</v>
      </c>
      <c r="B160" s="13" t="s">
        <v>2663</v>
      </c>
      <c r="C160" s="15">
        <v>32</v>
      </c>
      <c r="D160" s="13" t="s">
        <v>2635</v>
      </c>
      <c r="E160" s="13" t="s">
        <v>2507</v>
      </c>
      <c r="F160" s="14">
        <v>44432</v>
      </c>
    </row>
    <row r="161" spans="1:6" x14ac:dyDescent="0.35">
      <c r="A161" s="13" t="s">
        <v>655</v>
      </c>
      <c r="B161" s="13" t="s">
        <v>2664</v>
      </c>
      <c r="C161" s="15">
        <v>27</v>
      </c>
      <c r="D161" s="13" t="s">
        <v>133</v>
      </c>
      <c r="E161" s="13" t="s">
        <v>2507</v>
      </c>
      <c r="F161" s="14">
        <v>44481</v>
      </c>
    </row>
    <row r="162" spans="1:6" x14ac:dyDescent="0.35">
      <c r="A162" s="13" t="s">
        <v>289</v>
      </c>
      <c r="B162" s="13" t="s">
        <v>2665</v>
      </c>
      <c r="C162" s="15">
        <v>38</v>
      </c>
      <c r="D162" s="13" t="s">
        <v>94</v>
      </c>
      <c r="E162" s="13" t="s">
        <v>2507</v>
      </c>
      <c r="F162" s="14">
        <v>43880</v>
      </c>
    </row>
    <row r="163" spans="1:6" x14ac:dyDescent="0.35">
      <c r="A163" s="13" t="s">
        <v>520</v>
      </c>
      <c r="B163" s="13" t="s">
        <v>2666</v>
      </c>
      <c r="C163" s="15">
        <v>35</v>
      </c>
      <c r="D163" s="13" t="s">
        <v>112</v>
      </c>
      <c r="E163" s="13" t="s">
        <v>2509</v>
      </c>
      <c r="F163" s="14">
        <v>44741</v>
      </c>
    </row>
    <row r="164" spans="1:6" x14ac:dyDescent="0.35">
      <c r="A164" s="13" t="s">
        <v>485</v>
      </c>
      <c r="B164" s="13" t="s">
        <v>2533</v>
      </c>
      <c r="C164" s="15">
        <v>49</v>
      </c>
      <c r="D164" s="13" t="s">
        <v>88</v>
      </c>
      <c r="E164" s="13" t="s">
        <v>2507</v>
      </c>
      <c r="F164" s="14">
        <v>44971</v>
      </c>
    </row>
    <row r="165" spans="1:6" x14ac:dyDescent="0.35">
      <c r="A165" s="13" t="s">
        <v>353</v>
      </c>
      <c r="B165" s="13" t="s">
        <v>2518</v>
      </c>
      <c r="C165" s="15">
        <v>60</v>
      </c>
      <c r="D165" s="13" t="s">
        <v>94</v>
      </c>
      <c r="E165" s="13" t="s">
        <v>2507</v>
      </c>
      <c r="F165" s="14">
        <v>44739</v>
      </c>
    </row>
    <row r="166" spans="1:6" x14ac:dyDescent="0.35">
      <c r="A166" s="13" t="s">
        <v>457</v>
      </c>
      <c r="B166" s="13" t="s">
        <v>2552</v>
      </c>
      <c r="C166" s="15">
        <v>29</v>
      </c>
      <c r="D166" s="13" t="s">
        <v>88</v>
      </c>
      <c r="E166" s="13" t="s">
        <v>2507</v>
      </c>
      <c r="F166" s="14">
        <v>44046</v>
      </c>
    </row>
    <row r="167" spans="1:6" x14ac:dyDescent="0.35">
      <c r="A167" s="13" t="s">
        <v>669</v>
      </c>
      <c r="B167" s="13" t="s">
        <v>2667</v>
      </c>
      <c r="C167" s="15">
        <v>31</v>
      </c>
      <c r="D167" s="13" t="s">
        <v>133</v>
      </c>
      <c r="E167" s="13" t="s">
        <v>2507</v>
      </c>
      <c r="F167" s="14">
        <v>44331</v>
      </c>
    </row>
    <row r="168" spans="1:6" x14ac:dyDescent="0.35">
      <c r="A168" s="13" t="s">
        <v>638</v>
      </c>
      <c r="B168" s="13" t="s">
        <v>2668</v>
      </c>
      <c r="C168" s="15">
        <v>43</v>
      </c>
      <c r="D168" s="13" t="s">
        <v>99</v>
      </c>
      <c r="E168" s="13" t="s">
        <v>2507</v>
      </c>
      <c r="F168" s="14">
        <v>44891</v>
      </c>
    </row>
    <row r="169" spans="1:6" x14ac:dyDescent="0.35">
      <c r="A169" s="13" t="s">
        <v>281</v>
      </c>
      <c r="B169" s="13" t="s">
        <v>2669</v>
      </c>
      <c r="C169" s="15">
        <v>25</v>
      </c>
      <c r="D169" s="13" t="s">
        <v>88</v>
      </c>
      <c r="E169" s="13" t="s">
        <v>2507</v>
      </c>
      <c r="F169" s="14">
        <v>44406</v>
      </c>
    </row>
    <row r="170" spans="1:6" x14ac:dyDescent="0.35">
      <c r="A170" s="13" t="s">
        <v>610</v>
      </c>
      <c r="B170" s="13" t="s">
        <v>2670</v>
      </c>
      <c r="C170" s="15">
        <v>42</v>
      </c>
      <c r="D170" s="13" t="s">
        <v>117</v>
      </c>
      <c r="E170" s="13" t="s">
        <v>2515</v>
      </c>
      <c r="F170" s="14">
        <v>45072</v>
      </c>
    </row>
    <row r="171" spans="1:6" x14ac:dyDescent="0.35">
      <c r="A171" s="13" t="s">
        <v>350</v>
      </c>
      <c r="B171" s="13" t="s">
        <v>2671</v>
      </c>
      <c r="C171" s="15">
        <v>22</v>
      </c>
      <c r="D171" s="13" t="s">
        <v>112</v>
      </c>
      <c r="E171" s="13" t="s">
        <v>2515</v>
      </c>
      <c r="F171" s="14">
        <v>45110</v>
      </c>
    </row>
    <row r="172" spans="1:6" x14ac:dyDescent="0.35">
      <c r="A172" s="13" t="s">
        <v>589</v>
      </c>
      <c r="B172" s="13" t="s">
        <v>2672</v>
      </c>
      <c r="C172" s="15">
        <v>30</v>
      </c>
      <c r="D172" s="13" t="s">
        <v>94</v>
      </c>
      <c r="E172" s="13" t="s">
        <v>2509</v>
      </c>
      <c r="F172" s="14">
        <v>44540</v>
      </c>
    </row>
    <row r="173" spans="1:6" x14ac:dyDescent="0.35">
      <c r="A173" s="13" t="s">
        <v>442</v>
      </c>
      <c r="B173" s="13" t="s">
        <v>2673</v>
      </c>
      <c r="C173" s="15">
        <v>65</v>
      </c>
      <c r="D173" s="13" t="s">
        <v>88</v>
      </c>
      <c r="E173" s="13" t="s">
        <v>2507</v>
      </c>
      <c r="F173" s="14">
        <v>44918</v>
      </c>
    </row>
    <row r="174" spans="1:6" x14ac:dyDescent="0.35">
      <c r="A174" s="13" t="s">
        <v>553</v>
      </c>
      <c r="B174" s="13" t="s">
        <v>2674</v>
      </c>
      <c r="C174" s="15">
        <v>65</v>
      </c>
      <c r="D174" s="13" t="s">
        <v>112</v>
      </c>
      <c r="E174" s="13" t="s">
        <v>2507</v>
      </c>
      <c r="F174" s="14">
        <v>44342</v>
      </c>
    </row>
    <row r="175" spans="1:6" x14ac:dyDescent="0.35">
      <c r="A175" s="13" t="s">
        <v>945</v>
      </c>
      <c r="B175" s="13" t="s">
        <v>2675</v>
      </c>
      <c r="C175" s="15">
        <v>54</v>
      </c>
      <c r="D175" s="13" t="s">
        <v>88</v>
      </c>
      <c r="E175" s="13" t="s">
        <v>2507</v>
      </c>
      <c r="F175" s="14">
        <v>44609</v>
      </c>
    </row>
    <row r="176" spans="1:6" x14ac:dyDescent="0.35">
      <c r="A176" s="13" t="s">
        <v>266</v>
      </c>
      <c r="B176" s="13" t="s">
        <v>2676</v>
      </c>
      <c r="C176" s="15">
        <v>55</v>
      </c>
      <c r="D176" s="13" t="s">
        <v>99</v>
      </c>
      <c r="E176" s="13" t="s">
        <v>2509</v>
      </c>
      <c r="F176" s="14">
        <v>44423</v>
      </c>
    </row>
    <row r="177" spans="1:6" x14ac:dyDescent="0.35">
      <c r="A177" s="13" t="s">
        <v>250</v>
      </c>
      <c r="B177" s="13" t="s">
        <v>2677</v>
      </c>
      <c r="C177" s="15">
        <v>34</v>
      </c>
      <c r="D177" s="13" t="s">
        <v>117</v>
      </c>
      <c r="E177" s="13" t="s">
        <v>2515</v>
      </c>
      <c r="F177" s="14">
        <v>44091</v>
      </c>
    </row>
    <row r="178" spans="1:6" x14ac:dyDescent="0.35">
      <c r="A178" s="13" t="s">
        <v>212</v>
      </c>
      <c r="B178" s="13" t="s">
        <v>2604</v>
      </c>
      <c r="C178" s="15">
        <v>36</v>
      </c>
      <c r="D178" s="13" t="s">
        <v>112</v>
      </c>
      <c r="E178" s="13" t="s">
        <v>2515</v>
      </c>
      <c r="F178" s="14">
        <v>44589</v>
      </c>
    </row>
    <row r="179" spans="1:6" x14ac:dyDescent="0.35">
      <c r="A179" s="13" t="s">
        <v>544</v>
      </c>
      <c r="B179" s="13" t="s">
        <v>2678</v>
      </c>
      <c r="C179" s="15">
        <v>25</v>
      </c>
      <c r="D179" s="13" t="s">
        <v>133</v>
      </c>
      <c r="E179" s="13" t="s">
        <v>2507</v>
      </c>
      <c r="F179" s="14">
        <v>45164</v>
      </c>
    </row>
    <row r="180" spans="1:6" x14ac:dyDescent="0.35">
      <c r="A180" s="13" t="s">
        <v>1062</v>
      </c>
      <c r="B180" s="13" t="s">
        <v>2679</v>
      </c>
      <c r="C180" s="15">
        <v>54</v>
      </c>
      <c r="D180" s="13" t="s">
        <v>112</v>
      </c>
      <c r="E180" s="13" t="s">
        <v>2515</v>
      </c>
      <c r="F180" s="14">
        <v>44959</v>
      </c>
    </row>
    <row r="181" spans="1:6" x14ac:dyDescent="0.35">
      <c r="A181" s="13" t="s">
        <v>105</v>
      </c>
      <c r="B181" s="13" t="s">
        <v>2680</v>
      </c>
      <c r="C181" s="15">
        <v>36</v>
      </c>
      <c r="D181" s="13" t="s">
        <v>94</v>
      </c>
      <c r="E181" s="13" t="s">
        <v>2507</v>
      </c>
      <c r="F181" s="14">
        <v>45172</v>
      </c>
    </row>
    <row r="182" spans="1:6" x14ac:dyDescent="0.35">
      <c r="A182" s="13" t="s">
        <v>357</v>
      </c>
      <c r="B182" s="13" t="s">
        <v>2681</v>
      </c>
      <c r="C182" s="15">
        <v>38</v>
      </c>
      <c r="D182" s="13" t="s">
        <v>99</v>
      </c>
      <c r="E182" s="13" t="s">
        <v>2515</v>
      </c>
      <c r="F182" s="14">
        <v>44245</v>
      </c>
    </row>
    <row r="183" spans="1:6" x14ac:dyDescent="0.35">
      <c r="A183" s="13" t="s">
        <v>160</v>
      </c>
      <c r="B183" s="13" t="s">
        <v>2682</v>
      </c>
      <c r="C183" s="15">
        <v>54</v>
      </c>
      <c r="D183" s="13" t="s">
        <v>112</v>
      </c>
      <c r="E183" s="13" t="s">
        <v>2507</v>
      </c>
      <c r="F183" s="14">
        <v>43942</v>
      </c>
    </row>
    <row r="184" spans="1:6" x14ac:dyDescent="0.35">
      <c r="A184" s="13" t="s">
        <v>643</v>
      </c>
      <c r="B184" s="13" t="s">
        <v>2683</v>
      </c>
      <c r="C184" s="15">
        <v>27</v>
      </c>
      <c r="D184" s="13" t="s">
        <v>112</v>
      </c>
      <c r="E184" s="13" t="s">
        <v>2515</v>
      </c>
      <c r="F184" s="14">
        <v>43936</v>
      </c>
    </row>
    <row r="185" spans="1:6" x14ac:dyDescent="0.35">
      <c r="A185" s="13" t="s">
        <v>150</v>
      </c>
      <c r="B185" s="13" t="s">
        <v>2684</v>
      </c>
      <c r="C185" s="15">
        <v>63</v>
      </c>
      <c r="D185" s="13" t="s">
        <v>88</v>
      </c>
      <c r="E185" s="13" t="s">
        <v>2507</v>
      </c>
      <c r="F185" s="14">
        <v>44642</v>
      </c>
    </row>
    <row r="186" spans="1:6" x14ac:dyDescent="0.35">
      <c r="A186" s="13" t="s">
        <v>561</v>
      </c>
      <c r="B186" s="13" t="s">
        <v>2685</v>
      </c>
      <c r="C186" s="15">
        <v>43</v>
      </c>
      <c r="D186" s="13" t="s">
        <v>133</v>
      </c>
      <c r="E186" s="13" t="s">
        <v>2515</v>
      </c>
      <c r="F186" s="14">
        <v>44140</v>
      </c>
    </row>
    <row r="187" spans="1:6" x14ac:dyDescent="0.35">
      <c r="A187" s="13" t="s">
        <v>214</v>
      </c>
      <c r="B187" s="13" t="s">
        <v>2674</v>
      </c>
      <c r="C187" s="15">
        <v>42</v>
      </c>
      <c r="D187" s="13" t="s">
        <v>117</v>
      </c>
      <c r="E187" s="13" t="s">
        <v>2507</v>
      </c>
      <c r="F187" s="14">
        <v>45162</v>
      </c>
    </row>
    <row r="188" spans="1:6" x14ac:dyDescent="0.35">
      <c r="A188" s="13" t="s">
        <v>401</v>
      </c>
      <c r="B188" s="13" t="s">
        <v>2686</v>
      </c>
      <c r="C188" s="15">
        <v>51</v>
      </c>
      <c r="D188" s="13" t="s">
        <v>94</v>
      </c>
      <c r="E188" s="13" t="s">
        <v>2515</v>
      </c>
      <c r="F188" s="14">
        <v>43918</v>
      </c>
    </row>
    <row r="189" spans="1:6" x14ac:dyDescent="0.35">
      <c r="A189" s="13" t="s">
        <v>1261</v>
      </c>
      <c r="B189" s="13" t="s">
        <v>2687</v>
      </c>
      <c r="C189" s="15">
        <v>54</v>
      </c>
      <c r="D189" s="13" t="s">
        <v>117</v>
      </c>
      <c r="E189" s="13" t="s">
        <v>2507</v>
      </c>
      <c r="F189" s="14">
        <v>44476</v>
      </c>
    </row>
    <row r="190" spans="1:6" x14ac:dyDescent="0.35">
      <c r="A190" s="13" t="s">
        <v>301</v>
      </c>
      <c r="B190" s="13" t="s">
        <v>2688</v>
      </c>
      <c r="C190" s="15">
        <v>41</v>
      </c>
      <c r="D190" s="13" t="s">
        <v>94</v>
      </c>
      <c r="E190" s="13" t="s">
        <v>2507</v>
      </c>
      <c r="F190" s="14">
        <v>44392</v>
      </c>
    </row>
    <row r="191" spans="1:6" x14ac:dyDescent="0.35">
      <c r="A191" s="13" t="s">
        <v>828</v>
      </c>
      <c r="B191" s="13" t="s">
        <v>2689</v>
      </c>
      <c r="C191" s="15">
        <v>52</v>
      </c>
      <c r="D191" s="13" t="s">
        <v>133</v>
      </c>
      <c r="E191" s="13" t="s">
        <v>2507</v>
      </c>
      <c r="F191" s="14">
        <v>44668</v>
      </c>
    </row>
    <row r="192" spans="1:6" x14ac:dyDescent="0.35">
      <c r="A192" s="13" t="s">
        <v>294</v>
      </c>
      <c r="B192" s="13" t="s">
        <v>2690</v>
      </c>
      <c r="C192" s="15">
        <v>43</v>
      </c>
      <c r="D192" s="13" t="s">
        <v>133</v>
      </c>
      <c r="E192" s="13" t="s">
        <v>2515</v>
      </c>
      <c r="F192" s="14">
        <v>44080</v>
      </c>
    </row>
    <row r="193" spans="1:6" x14ac:dyDescent="0.35">
      <c r="A193" s="13" t="s">
        <v>429</v>
      </c>
      <c r="B193" s="13" t="s">
        <v>2691</v>
      </c>
      <c r="C193" s="15">
        <v>55</v>
      </c>
      <c r="D193" s="13" t="s">
        <v>117</v>
      </c>
      <c r="E193" s="13" t="s">
        <v>2507</v>
      </c>
      <c r="F193" s="14">
        <v>44663</v>
      </c>
    </row>
    <row r="194" spans="1:6" x14ac:dyDescent="0.35">
      <c r="A194" s="13" t="s">
        <v>310</v>
      </c>
      <c r="B194" s="13" t="s">
        <v>2692</v>
      </c>
      <c r="C194" s="15">
        <v>42</v>
      </c>
      <c r="D194" s="13" t="s">
        <v>117</v>
      </c>
      <c r="E194" s="13" t="s">
        <v>2507</v>
      </c>
      <c r="F194" s="14">
        <v>43886</v>
      </c>
    </row>
    <row r="195" spans="1:6" x14ac:dyDescent="0.35">
      <c r="A195" s="13" t="s">
        <v>258</v>
      </c>
      <c r="B195" s="13" t="s">
        <v>2543</v>
      </c>
      <c r="C195" s="15">
        <v>55</v>
      </c>
      <c r="D195" s="13" t="s">
        <v>99</v>
      </c>
      <c r="E195" s="13" t="s">
        <v>2515</v>
      </c>
      <c r="F195" s="14">
        <v>43869</v>
      </c>
    </row>
    <row r="196" spans="1:6" x14ac:dyDescent="0.35">
      <c r="A196" s="13" t="s">
        <v>921</v>
      </c>
      <c r="B196" s="13" t="s">
        <v>2693</v>
      </c>
      <c r="C196" s="15">
        <v>28</v>
      </c>
      <c r="D196" s="13" t="s">
        <v>117</v>
      </c>
      <c r="E196" s="13" t="s">
        <v>2507</v>
      </c>
      <c r="F196" s="14">
        <v>44056</v>
      </c>
    </row>
    <row r="197" spans="1:6" x14ac:dyDescent="0.35">
      <c r="A197" s="13" t="s">
        <v>680</v>
      </c>
      <c r="B197" s="13" t="s">
        <v>2694</v>
      </c>
      <c r="C197" s="15">
        <v>26</v>
      </c>
      <c r="D197" s="13" t="s">
        <v>94</v>
      </c>
      <c r="E197" s="13" t="s">
        <v>2507</v>
      </c>
      <c r="F197" s="14">
        <v>44738</v>
      </c>
    </row>
    <row r="198" spans="1:6" x14ac:dyDescent="0.35">
      <c r="A198" s="13" t="s">
        <v>463</v>
      </c>
      <c r="B198" s="13" t="s">
        <v>2695</v>
      </c>
      <c r="C198" s="15">
        <v>55</v>
      </c>
      <c r="D198" s="13" t="s">
        <v>117</v>
      </c>
      <c r="E198" s="13" t="s">
        <v>2507</v>
      </c>
      <c r="F198" s="14">
        <v>44715</v>
      </c>
    </row>
    <row r="199" spans="1:6" x14ac:dyDescent="0.35">
      <c r="A199" s="13" t="s">
        <v>621</v>
      </c>
      <c r="B199" s="13" t="s">
        <v>2696</v>
      </c>
      <c r="C199" s="15">
        <v>22</v>
      </c>
      <c r="D199" s="13" t="s">
        <v>94</v>
      </c>
      <c r="E199" s="13" t="s">
        <v>2509</v>
      </c>
      <c r="F199" s="14">
        <v>44907</v>
      </c>
    </row>
    <row r="200" spans="1:6" x14ac:dyDescent="0.35">
      <c r="A200" s="13" t="s">
        <v>966</v>
      </c>
      <c r="B200" s="13" t="s">
        <v>2697</v>
      </c>
      <c r="C200" s="15">
        <v>31</v>
      </c>
      <c r="D200" s="13" t="s">
        <v>133</v>
      </c>
      <c r="E200" s="13" t="s">
        <v>2515</v>
      </c>
      <c r="F200" s="14">
        <v>44821</v>
      </c>
    </row>
    <row r="201" spans="1:6" x14ac:dyDescent="0.35">
      <c r="A201" s="13" t="s">
        <v>305</v>
      </c>
      <c r="B201" s="13" t="s">
        <v>2641</v>
      </c>
      <c r="C201" s="15">
        <v>46</v>
      </c>
      <c r="D201" s="13" t="s">
        <v>2635</v>
      </c>
      <c r="E201" s="13" t="s">
        <v>2509</v>
      </c>
      <c r="F201" s="14">
        <v>44396</v>
      </c>
    </row>
    <row r="202" spans="1:6" x14ac:dyDescent="0.35">
      <c r="A202" s="13" t="s">
        <v>908</v>
      </c>
      <c r="B202" s="13" t="s">
        <v>2698</v>
      </c>
      <c r="C202" s="15">
        <v>31</v>
      </c>
      <c r="D202" s="13" t="s">
        <v>133</v>
      </c>
      <c r="E202" s="13" t="s">
        <v>2507</v>
      </c>
      <c r="F202" s="14">
        <v>44629</v>
      </c>
    </row>
    <row r="203" spans="1:6" x14ac:dyDescent="0.35">
      <c r="A203" s="13" t="s">
        <v>90</v>
      </c>
      <c r="B203" s="13" t="s">
        <v>2699</v>
      </c>
      <c r="C203" s="15">
        <v>39</v>
      </c>
      <c r="D203" s="13" t="s">
        <v>94</v>
      </c>
      <c r="E203" s="13" t="s">
        <v>2507</v>
      </c>
      <c r="F203" s="14">
        <v>44149</v>
      </c>
    </row>
    <row r="204" spans="1:6" x14ac:dyDescent="0.35">
      <c r="A204" s="13" t="s">
        <v>272</v>
      </c>
      <c r="B204" s="13" t="s">
        <v>2700</v>
      </c>
      <c r="C204" s="15">
        <v>55</v>
      </c>
      <c r="D204" s="13" t="s">
        <v>94</v>
      </c>
      <c r="E204" s="13" t="s">
        <v>2515</v>
      </c>
      <c r="F204" s="14">
        <v>44912</v>
      </c>
    </row>
    <row r="205" spans="1:6" x14ac:dyDescent="0.35">
      <c r="A205" s="13" t="s">
        <v>130</v>
      </c>
      <c r="B205" s="13" t="s">
        <v>2701</v>
      </c>
      <c r="C205" s="15">
        <v>60</v>
      </c>
      <c r="D205" s="13" t="s">
        <v>133</v>
      </c>
      <c r="E205" s="13" t="s">
        <v>2507</v>
      </c>
      <c r="F205" s="14">
        <v>44738</v>
      </c>
    </row>
    <row r="206" spans="1:6" x14ac:dyDescent="0.35">
      <c r="A206" s="13" t="s">
        <v>977</v>
      </c>
      <c r="B206" s="13" t="s">
        <v>2547</v>
      </c>
      <c r="C206" s="15">
        <v>29</v>
      </c>
      <c r="D206" s="13" t="s">
        <v>88</v>
      </c>
      <c r="E206" s="13" t="s">
        <v>2509</v>
      </c>
      <c r="F206" s="14">
        <v>45075</v>
      </c>
    </row>
    <row r="207" spans="1:6" x14ac:dyDescent="0.35">
      <c r="A207" s="13" t="s">
        <v>970</v>
      </c>
      <c r="B207" s="13" t="s">
        <v>2584</v>
      </c>
      <c r="C207" s="15">
        <v>40</v>
      </c>
      <c r="D207" s="13" t="s">
        <v>112</v>
      </c>
      <c r="E207" s="13" t="s">
        <v>2507</v>
      </c>
      <c r="F207" s="14">
        <v>45127</v>
      </c>
    </row>
    <row r="208" spans="1:6" x14ac:dyDescent="0.35">
      <c r="A208" s="13" t="s">
        <v>1890</v>
      </c>
      <c r="B208" s="13" t="s">
        <v>2702</v>
      </c>
      <c r="C208" s="15">
        <v>34</v>
      </c>
      <c r="D208" s="13" t="s">
        <v>133</v>
      </c>
      <c r="E208" s="13" t="s">
        <v>2515</v>
      </c>
      <c r="F208" s="14">
        <v>43954</v>
      </c>
    </row>
    <row r="209" spans="1:6" x14ac:dyDescent="0.35">
      <c r="A209" s="13" t="s">
        <v>336</v>
      </c>
      <c r="B209" s="13" t="s">
        <v>2703</v>
      </c>
      <c r="C209" s="15">
        <v>49</v>
      </c>
      <c r="D209" s="13" t="s">
        <v>112</v>
      </c>
      <c r="E209" s="13" t="s">
        <v>2507</v>
      </c>
      <c r="F209" s="14">
        <v>45082</v>
      </c>
    </row>
    <row r="210" spans="1:6" x14ac:dyDescent="0.35">
      <c r="A210" s="13" t="s">
        <v>785</v>
      </c>
      <c r="B210" s="13" t="s">
        <v>2704</v>
      </c>
      <c r="C210" s="15">
        <v>31</v>
      </c>
      <c r="D210" s="13" t="s">
        <v>88</v>
      </c>
      <c r="E210" s="13" t="s">
        <v>2507</v>
      </c>
      <c r="F210" s="14">
        <v>44258</v>
      </c>
    </row>
    <row r="211" spans="1:6" x14ac:dyDescent="0.35">
      <c r="A211" s="13" t="s">
        <v>427</v>
      </c>
      <c r="B211" s="13" t="s">
        <v>2705</v>
      </c>
      <c r="C211" s="15">
        <v>48</v>
      </c>
      <c r="D211" s="13" t="s">
        <v>88</v>
      </c>
      <c r="E211" s="13" t="s">
        <v>2509</v>
      </c>
      <c r="F211" s="14">
        <v>44968</v>
      </c>
    </row>
    <row r="212" spans="1:6" x14ac:dyDescent="0.35">
      <c r="A212" s="13" t="s">
        <v>1191</v>
      </c>
      <c r="B212" s="13" t="s">
        <v>2706</v>
      </c>
      <c r="C212" s="15">
        <v>36</v>
      </c>
      <c r="D212" s="13" t="s">
        <v>117</v>
      </c>
      <c r="E212" s="13" t="s">
        <v>2507</v>
      </c>
      <c r="F212" s="14">
        <v>44251</v>
      </c>
    </row>
    <row r="213" spans="1:6" x14ac:dyDescent="0.35">
      <c r="A213" s="13" t="s">
        <v>700</v>
      </c>
      <c r="B213" s="13" t="s">
        <v>2707</v>
      </c>
      <c r="C213" s="15">
        <v>46</v>
      </c>
      <c r="D213" s="13" t="s">
        <v>94</v>
      </c>
      <c r="E213" s="13" t="s">
        <v>2515</v>
      </c>
      <c r="F213" s="14">
        <v>44594</v>
      </c>
    </row>
    <row r="214" spans="1:6" x14ac:dyDescent="0.35">
      <c r="A214" s="13" t="s">
        <v>1055</v>
      </c>
      <c r="B214" s="13" t="s">
        <v>2543</v>
      </c>
      <c r="C214" s="15">
        <v>37</v>
      </c>
      <c r="D214" s="13" t="s">
        <v>112</v>
      </c>
      <c r="E214" s="13" t="s">
        <v>2507</v>
      </c>
      <c r="F214" s="14">
        <v>44431</v>
      </c>
    </row>
    <row r="215" spans="1:6" x14ac:dyDescent="0.35">
      <c r="A215" s="13" t="s">
        <v>882</v>
      </c>
      <c r="B215" s="13" t="s">
        <v>2708</v>
      </c>
      <c r="C215" s="15">
        <v>22</v>
      </c>
      <c r="D215" s="13" t="s">
        <v>112</v>
      </c>
      <c r="E215" s="13" t="s">
        <v>2507</v>
      </c>
      <c r="F215" s="14">
        <v>44453</v>
      </c>
    </row>
    <row r="216" spans="1:6" x14ac:dyDescent="0.35">
      <c r="A216" s="13" t="s">
        <v>762</v>
      </c>
      <c r="B216" s="13" t="s">
        <v>2709</v>
      </c>
      <c r="C216" s="15">
        <v>52</v>
      </c>
      <c r="D216" s="13" t="s">
        <v>133</v>
      </c>
      <c r="E216" s="13" t="s">
        <v>2507</v>
      </c>
      <c r="F216" s="14">
        <v>45105</v>
      </c>
    </row>
    <row r="217" spans="1:6" x14ac:dyDescent="0.35">
      <c r="A217" s="13" t="s">
        <v>392</v>
      </c>
      <c r="B217" s="13" t="s">
        <v>2710</v>
      </c>
      <c r="C217" s="15">
        <v>50</v>
      </c>
      <c r="D217" s="13" t="s">
        <v>112</v>
      </c>
      <c r="E217" s="13" t="s">
        <v>2507</v>
      </c>
      <c r="F217" s="14">
        <v>44204</v>
      </c>
    </row>
    <row r="218" spans="1:6" x14ac:dyDescent="0.35">
      <c r="A218" s="13" t="s">
        <v>856</v>
      </c>
      <c r="B218" s="13" t="s">
        <v>2711</v>
      </c>
      <c r="C218" s="15">
        <v>59</v>
      </c>
      <c r="D218" s="13" t="s">
        <v>88</v>
      </c>
      <c r="E218" s="13" t="s">
        <v>2515</v>
      </c>
      <c r="F218" s="14">
        <v>44877</v>
      </c>
    </row>
    <row r="219" spans="1:6" x14ac:dyDescent="0.35">
      <c r="A219" s="13" t="s">
        <v>597</v>
      </c>
      <c r="B219" s="13" t="s">
        <v>2712</v>
      </c>
      <c r="C219" s="15">
        <v>39</v>
      </c>
      <c r="D219" s="13" t="s">
        <v>112</v>
      </c>
      <c r="E219" s="13" t="s">
        <v>2507</v>
      </c>
      <c r="F219" s="14">
        <v>44849</v>
      </c>
    </row>
    <row r="220" spans="1:6" x14ac:dyDescent="0.35">
      <c r="A220" s="13" t="s">
        <v>345</v>
      </c>
      <c r="B220" s="13" t="s">
        <v>2713</v>
      </c>
      <c r="C220" s="15">
        <v>38</v>
      </c>
      <c r="D220" s="13" t="s">
        <v>94</v>
      </c>
      <c r="E220" s="13" t="s">
        <v>2509</v>
      </c>
      <c r="F220" s="14">
        <v>44321</v>
      </c>
    </row>
    <row r="221" spans="1:6" x14ac:dyDescent="0.35">
      <c r="A221" s="13" t="s">
        <v>1361</v>
      </c>
      <c r="B221" s="13" t="s">
        <v>2714</v>
      </c>
      <c r="C221" s="15">
        <v>34</v>
      </c>
      <c r="D221" s="13" t="s">
        <v>94</v>
      </c>
      <c r="E221" s="13" t="s">
        <v>2507</v>
      </c>
      <c r="F221" s="14">
        <v>43978</v>
      </c>
    </row>
    <row r="222" spans="1:6" x14ac:dyDescent="0.35">
      <c r="A222" s="13" t="s">
        <v>781</v>
      </c>
      <c r="B222" s="13" t="s">
        <v>2715</v>
      </c>
      <c r="C222" s="15">
        <v>29</v>
      </c>
      <c r="D222" s="13" t="s">
        <v>99</v>
      </c>
      <c r="E222" s="13" t="s">
        <v>2515</v>
      </c>
      <c r="F222" s="14">
        <v>44061</v>
      </c>
    </row>
    <row r="223" spans="1:6" x14ac:dyDescent="0.35">
      <c r="A223" s="13" t="s">
        <v>225</v>
      </c>
      <c r="B223" s="13" t="s">
        <v>2716</v>
      </c>
      <c r="C223" s="15">
        <v>37</v>
      </c>
      <c r="D223" s="13" t="s">
        <v>94</v>
      </c>
      <c r="E223" s="13" t="s">
        <v>2507</v>
      </c>
      <c r="F223" s="14">
        <v>43877</v>
      </c>
    </row>
    <row r="224" spans="1:6" x14ac:dyDescent="0.35">
      <c r="A224" s="13" t="s">
        <v>895</v>
      </c>
      <c r="B224" s="13" t="s">
        <v>2717</v>
      </c>
      <c r="C224" s="15">
        <v>46</v>
      </c>
      <c r="D224" s="13" t="s">
        <v>117</v>
      </c>
      <c r="E224" s="13" t="s">
        <v>2507</v>
      </c>
      <c r="F224" s="14">
        <v>44743</v>
      </c>
    </row>
    <row r="225" spans="1:6" x14ac:dyDescent="0.35">
      <c r="A225" s="13" t="s">
        <v>405</v>
      </c>
      <c r="B225" s="13" t="s">
        <v>2718</v>
      </c>
      <c r="C225" s="15">
        <v>24</v>
      </c>
      <c r="D225" s="13" t="s">
        <v>94</v>
      </c>
      <c r="E225" s="13" t="s">
        <v>2509</v>
      </c>
      <c r="F225" s="14">
        <v>44558</v>
      </c>
    </row>
    <row r="226" spans="1:6" x14ac:dyDescent="0.35">
      <c r="A226" s="13" t="s">
        <v>764</v>
      </c>
      <c r="B226" s="13" t="s">
        <v>2571</v>
      </c>
      <c r="C226" s="15">
        <v>26</v>
      </c>
      <c r="D226" s="13" t="s">
        <v>94</v>
      </c>
      <c r="E226" s="13" t="s">
        <v>2515</v>
      </c>
      <c r="F226" s="14">
        <v>44213</v>
      </c>
    </row>
    <row r="227" spans="1:6" x14ac:dyDescent="0.35">
      <c r="A227" s="13" t="s">
        <v>244</v>
      </c>
      <c r="B227" s="13" t="s">
        <v>2719</v>
      </c>
      <c r="C227" s="15">
        <v>52</v>
      </c>
      <c r="D227" s="13" t="s">
        <v>94</v>
      </c>
      <c r="E227" s="13" t="s">
        <v>2509</v>
      </c>
      <c r="F227" s="14">
        <v>44650</v>
      </c>
    </row>
    <row r="228" spans="1:6" x14ac:dyDescent="0.35">
      <c r="A228" s="13" t="s">
        <v>1006</v>
      </c>
      <c r="B228" s="13" t="s">
        <v>2603</v>
      </c>
      <c r="C228" s="15">
        <v>44</v>
      </c>
      <c r="D228" s="13" t="s">
        <v>117</v>
      </c>
      <c r="E228" s="13" t="s">
        <v>2515</v>
      </c>
      <c r="F228" s="14">
        <v>44121</v>
      </c>
    </row>
    <row r="229" spans="1:6" x14ac:dyDescent="0.35">
      <c r="A229" s="13" t="s">
        <v>460</v>
      </c>
      <c r="B229" s="13" t="s">
        <v>2720</v>
      </c>
      <c r="C229" s="15">
        <v>37</v>
      </c>
      <c r="D229" s="13" t="s">
        <v>88</v>
      </c>
      <c r="E229" s="13" t="s">
        <v>2509</v>
      </c>
      <c r="F229" s="14">
        <v>43952</v>
      </c>
    </row>
    <row r="230" spans="1:6" x14ac:dyDescent="0.35">
      <c r="A230" s="13" t="s">
        <v>1193</v>
      </c>
      <c r="B230" s="13" t="s">
        <v>2721</v>
      </c>
      <c r="C230" s="15">
        <v>25</v>
      </c>
      <c r="D230" s="13" t="s">
        <v>133</v>
      </c>
      <c r="E230" s="13" t="s">
        <v>2515</v>
      </c>
      <c r="F230" s="14">
        <v>44453</v>
      </c>
    </row>
    <row r="231" spans="1:6" x14ac:dyDescent="0.35">
      <c r="A231" s="13" t="s">
        <v>314</v>
      </c>
      <c r="B231" s="13" t="s">
        <v>2722</v>
      </c>
      <c r="C231" s="15">
        <v>33</v>
      </c>
      <c r="D231" s="13" t="s">
        <v>88</v>
      </c>
      <c r="E231" s="13" t="s">
        <v>2509</v>
      </c>
      <c r="F231" s="14">
        <v>43963</v>
      </c>
    </row>
    <row r="232" spans="1:6" x14ac:dyDescent="0.35">
      <c r="A232" s="13" t="s">
        <v>602</v>
      </c>
      <c r="B232" s="13" t="s">
        <v>2723</v>
      </c>
      <c r="C232" s="15">
        <v>61</v>
      </c>
      <c r="D232" s="13" t="s">
        <v>94</v>
      </c>
      <c r="E232" s="13" t="s">
        <v>2507</v>
      </c>
      <c r="F232" s="14">
        <v>45030</v>
      </c>
    </row>
    <row r="233" spans="1:6" x14ac:dyDescent="0.35">
      <c r="A233" s="13" t="s">
        <v>539</v>
      </c>
      <c r="B233" s="13" t="s">
        <v>2724</v>
      </c>
      <c r="C233" s="15">
        <v>38</v>
      </c>
      <c r="D233" s="13" t="s">
        <v>133</v>
      </c>
      <c r="E233" s="13" t="s">
        <v>2507</v>
      </c>
      <c r="F233" s="14">
        <v>44364</v>
      </c>
    </row>
    <row r="234" spans="1:6" x14ac:dyDescent="0.35">
      <c r="A234" s="13" t="s">
        <v>959</v>
      </c>
      <c r="B234" s="13" t="s">
        <v>2689</v>
      </c>
      <c r="C234" s="15">
        <v>65</v>
      </c>
      <c r="D234" s="13" t="s">
        <v>112</v>
      </c>
      <c r="E234" s="13" t="s">
        <v>2515</v>
      </c>
      <c r="F234" s="14">
        <v>43850</v>
      </c>
    </row>
    <row r="235" spans="1:6" x14ac:dyDescent="0.35">
      <c r="A235" s="13" t="s">
        <v>247</v>
      </c>
      <c r="B235" s="13" t="s">
        <v>2725</v>
      </c>
      <c r="C235" s="15">
        <v>34</v>
      </c>
      <c r="D235" s="13" t="s">
        <v>117</v>
      </c>
      <c r="E235" s="13" t="s">
        <v>2507</v>
      </c>
      <c r="F235" s="14">
        <v>44175</v>
      </c>
    </row>
    <row r="236" spans="1:6" x14ac:dyDescent="0.35">
      <c r="A236" s="13" t="s">
        <v>963</v>
      </c>
      <c r="B236" s="13" t="s">
        <v>2609</v>
      </c>
      <c r="C236" s="15">
        <v>31</v>
      </c>
      <c r="D236" s="13" t="s">
        <v>94</v>
      </c>
      <c r="E236" s="13" t="s">
        <v>2507</v>
      </c>
      <c r="F236" s="14">
        <v>43903</v>
      </c>
    </row>
    <row r="237" spans="1:6" x14ac:dyDescent="0.35">
      <c r="A237" s="13" t="s">
        <v>883</v>
      </c>
      <c r="B237" s="13" t="s">
        <v>2726</v>
      </c>
      <c r="C237" s="15">
        <v>28</v>
      </c>
      <c r="D237" s="13" t="s">
        <v>133</v>
      </c>
      <c r="E237" s="13" t="s">
        <v>2515</v>
      </c>
      <c r="F237" s="14">
        <v>43949</v>
      </c>
    </row>
    <row r="238" spans="1:6" x14ac:dyDescent="0.35">
      <c r="A238" s="13" t="s">
        <v>956</v>
      </c>
      <c r="B238" s="13" t="s">
        <v>2727</v>
      </c>
      <c r="C238" s="15">
        <v>49</v>
      </c>
      <c r="D238" s="13" t="s">
        <v>112</v>
      </c>
      <c r="E238" s="13" t="s">
        <v>2507</v>
      </c>
      <c r="F238" s="14">
        <v>44068</v>
      </c>
    </row>
    <row r="239" spans="1:6" x14ac:dyDescent="0.35">
      <c r="A239" s="13" t="s">
        <v>635</v>
      </c>
      <c r="B239" s="13" t="s">
        <v>2563</v>
      </c>
      <c r="C239" s="15">
        <v>49</v>
      </c>
      <c r="D239" s="13" t="s">
        <v>99</v>
      </c>
      <c r="E239" s="13" t="s">
        <v>2507</v>
      </c>
      <c r="F239" s="14">
        <v>44377</v>
      </c>
    </row>
    <row r="240" spans="1:6" x14ac:dyDescent="0.35">
      <c r="A240" s="13" t="s">
        <v>411</v>
      </c>
      <c r="B240" s="13" t="s">
        <v>2728</v>
      </c>
      <c r="C240" s="15">
        <v>61</v>
      </c>
      <c r="D240" s="13" t="s">
        <v>112</v>
      </c>
      <c r="E240" s="13" t="s">
        <v>2507</v>
      </c>
      <c r="F240" s="14">
        <v>43981</v>
      </c>
    </row>
    <row r="241" spans="1:6" x14ac:dyDescent="0.35">
      <c r="A241" s="13" t="s">
        <v>472</v>
      </c>
      <c r="B241" s="13" t="s">
        <v>2729</v>
      </c>
      <c r="C241" s="15">
        <v>35</v>
      </c>
      <c r="D241" s="13" t="s">
        <v>94</v>
      </c>
      <c r="E241" s="13" t="s">
        <v>2509</v>
      </c>
      <c r="F241" s="14">
        <v>44337</v>
      </c>
    </row>
    <row r="242" spans="1:6" x14ac:dyDescent="0.35">
      <c r="A242" s="13" t="s">
        <v>197</v>
      </c>
      <c r="B242" s="13" t="s">
        <v>2730</v>
      </c>
      <c r="C242" s="15">
        <v>47</v>
      </c>
      <c r="D242" s="13" t="s">
        <v>88</v>
      </c>
      <c r="E242" s="13" t="s">
        <v>2509</v>
      </c>
      <c r="F242" s="14">
        <v>44195</v>
      </c>
    </row>
    <row r="243" spans="1:6" x14ac:dyDescent="0.35">
      <c r="A243" s="13" t="s">
        <v>582</v>
      </c>
      <c r="B243" s="13" t="s">
        <v>2629</v>
      </c>
      <c r="C243" s="15">
        <v>59</v>
      </c>
      <c r="D243" s="13" t="s">
        <v>94</v>
      </c>
      <c r="E243" s="13" t="s">
        <v>2515</v>
      </c>
      <c r="F243" s="14">
        <v>44474</v>
      </c>
    </row>
    <row r="244" spans="1:6" x14ac:dyDescent="0.35">
      <c r="A244" s="13" t="s">
        <v>84</v>
      </c>
      <c r="B244" s="13" t="s">
        <v>2670</v>
      </c>
      <c r="C244" s="15">
        <v>44</v>
      </c>
      <c r="D244" s="13" t="s">
        <v>88</v>
      </c>
      <c r="E244" s="13" t="s">
        <v>2515</v>
      </c>
      <c r="F244" s="14">
        <v>43861</v>
      </c>
    </row>
    <row r="245" spans="1:6" x14ac:dyDescent="0.35">
      <c r="A245" s="13" t="s">
        <v>990</v>
      </c>
      <c r="B245" s="13" t="s">
        <v>2731</v>
      </c>
      <c r="C245" s="15">
        <v>61</v>
      </c>
      <c r="D245" s="13" t="s">
        <v>117</v>
      </c>
      <c r="E245" s="13" t="s">
        <v>2507</v>
      </c>
      <c r="F245" s="14">
        <v>44483</v>
      </c>
    </row>
    <row r="246" spans="1:6" x14ac:dyDescent="0.35">
      <c r="A246" s="13" t="s">
        <v>697</v>
      </c>
      <c r="B246" s="13" t="s">
        <v>2732</v>
      </c>
      <c r="C246" s="15">
        <v>65</v>
      </c>
      <c r="D246" s="13" t="s">
        <v>133</v>
      </c>
      <c r="E246" s="13" t="s">
        <v>2507</v>
      </c>
      <c r="F246" s="14">
        <v>44851</v>
      </c>
    </row>
    <row r="247" spans="1:6" x14ac:dyDescent="0.35">
      <c r="A247" s="13" t="s">
        <v>546</v>
      </c>
      <c r="B247" s="13" t="s">
        <v>2733</v>
      </c>
      <c r="C247" s="15">
        <v>29</v>
      </c>
      <c r="D247" s="13" t="s">
        <v>99</v>
      </c>
      <c r="E247" s="13" t="s">
        <v>2515</v>
      </c>
      <c r="F247" s="14">
        <v>44477</v>
      </c>
    </row>
    <row r="248" spans="1:6" x14ac:dyDescent="0.35">
      <c r="A248" s="13" t="s">
        <v>676</v>
      </c>
      <c r="B248" s="13" t="s">
        <v>2734</v>
      </c>
      <c r="C248" s="15">
        <v>35</v>
      </c>
      <c r="D248" s="13" t="s">
        <v>88</v>
      </c>
      <c r="E248" s="13" t="s">
        <v>2515</v>
      </c>
      <c r="F248" s="14">
        <v>43966</v>
      </c>
    </row>
    <row r="249" spans="1:6" x14ac:dyDescent="0.35">
      <c r="A249" s="13" t="s">
        <v>318</v>
      </c>
      <c r="B249" s="13" t="s">
        <v>2735</v>
      </c>
      <c r="C249" s="15">
        <v>57</v>
      </c>
      <c r="D249" s="13" t="s">
        <v>94</v>
      </c>
      <c r="E249" s="13" t="s">
        <v>2515</v>
      </c>
      <c r="F249" s="14">
        <v>44557</v>
      </c>
    </row>
    <row r="250" spans="1:6" x14ac:dyDescent="0.35">
      <c r="A250" s="13" t="s">
        <v>613</v>
      </c>
      <c r="B250" s="13" t="s">
        <v>2736</v>
      </c>
      <c r="C250" s="15">
        <v>44</v>
      </c>
      <c r="D250" s="13" t="s">
        <v>112</v>
      </c>
      <c r="E250" s="13" t="s">
        <v>2507</v>
      </c>
      <c r="F250" s="14">
        <v>43866</v>
      </c>
    </row>
    <row r="251" spans="1:6" x14ac:dyDescent="0.35">
      <c r="A251" s="13" t="s">
        <v>181</v>
      </c>
      <c r="B251" s="13" t="s">
        <v>2737</v>
      </c>
      <c r="C251" s="15">
        <v>31</v>
      </c>
      <c r="D251" s="13" t="s">
        <v>99</v>
      </c>
      <c r="E251" s="13" t="s">
        <v>2507</v>
      </c>
      <c r="F251" s="14">
        <v>44575</v>
      </c>
    </row>
    <row r="252" spans="1:6" x14ac:dyDescent="0.35">
      <c r="A252" s="13" t="s">
        <v>528</v>
      </c>
      <c r="B252" s="13" t="s">
        <v>2738</v>
      </c>
      <c r="C252" s="15">
        <v>44</v>
      </c>
      <c r="D252" s="13" t="s">
        <v>112</v>
      </c>
      <c r="E252" s="13" t="s">
        <v>2507</v>
      </c>
      <c r="F252" s="14">
        <v>45121</v>
      </c>
    </row>
    <row r="253" spans="1:6" x14ac:dyDescent="0.35">
      <c r="A253" s="13" t="s">
        <v>1000</v>
      </c>
      <c r="B253" s="13" t="s">
        <v>2739</v>
      </c>
      <c r="C253" s="15">
        <v>27</v>
      </c>
      <c r="D253" s="13" t="s">
        <v>117</v>
      </c>
      <c r="E253" s="13" t="s">
        <v>2507</v>
      </c>
      <c r="F253" s="14">
        <v>45004</v>
      </c>
    </row>
    <row r="254" spans="1:6" x14ac:dyDescent="0.35">
      <c r="A254" s="13" t="s">
        <v>399</v>
      </c>
      <c r="B254" s="13" t="s">
        <v>2740</v>
      </c>
      <c r="C254" s="15">
        <v>53</v>
      </c>
      <c r="D254" s="13" t="s">
        <v>99</v>
      </c>
      <c r="E254" s="13" t="s">
        <v>2515</v>
      </c>
      <c r="F254" s="14">
        <v>43892</v>
      </c>
    </row>
    <row r="255" spans="1:6" x14ac:dyDescent="0.35">
      <c r="A255" s="13" t="s">
        <v>900</v>
      </c>
      <c r="B255" s="13" t="s">
        <v>2741</v>
      </c>
      <c r="C255" s="15">
        <v>35</v>
      </c>
      <c r="D255" s="13" t="s">
        <v>117</v>
      </c>
      <c r="E255" s="13" t="s">
        <v>2507</v>
      </c>
      <c r="F255" s="14">
        <v>44000</v>
      </c>
    </row>
    <row r="256" spans="1:6" x14ac:dyDescent="0.35">
      <c r="A256" s="13" t="s">
        <v>362</v>
      </c>
      <c r="B256" s="13" t="s">
        <v>2528</v>
      </c>
      <c r="C256" s="15">
        <v>51</v>
      </c>
      <c r="D256" s="13" t="s">
        <v>94</v>
      </c>
      <c r="E256" s="13" t="s">
        <v>2509</v>
      </c>
      <c r="F256" s="14">
        <v>44458</v>
      </c>
    </row>
    <row r="257" spans="1:6" x14ac:dyDescent="0.35">
      <c r="A257" s="13" t="s">
        <v>689</v>
      </c>
      <c r="B257" s="13" t="s">
        <v>2742</v>
      </c>
      <c r="C257" s="15">
        <v>28</v>
      </c>
      <c r="D257" s="13" t="s">
        <v>133</v>
      </c>
      <c r="E257" s="13" t="s">
        <v>2507</v>
      </c>
      <c r="F257" s="14">
        <v>44694</v>
      </c>
    </row>
    <row r="258" spans="1:6" x14ac:dyDescent="0.35">
      <c r="A258" s="13" t="s">
        <v>1121</v>
      </c>
      <c r="B258" s="13" t="s">
        <v>2743</v>
      </c>
      <c r="C258" s="15">
        <v>46</v>
      </c>
      <c r="D258" s="13" t="s">
        <v>112</v>
      </c>
      <c r="E258" s="13" t="s">
        <v>2509</v>
      </c>
      <c r="F258" s="14">
        <v>43849</v>
      </c>
    </row>
    <row r="259" spans="1:6" x14ac:dyDescent="0.35">
      <c r="A259" s="13" t="s">
        <v>275</v>
      </c>
      <c r="B259" s="13" t="s">
        <v>2744</v>
      </c>
      <c r="C259" s="15">
        <v>44</v>
      </c>
      <c r="D259" s="13" t="s">
        <v>88</v>
      </c>
      <c r="E259" s="13" t="s">
        <v>2507</v>
      </c>
      <c r="F259" s="14">
        <v>43874</v>
      </c>
    </row>
    <row r="260" spans="1:6" x14ac:dyDescent="0.35">
      <c r="A260" s="13" t="s">
        <v>169</v>
      </c>
      <c r="B260" s="13" t="s">
        <v>2745</v>
      </c>
      <c r="C260" s="15">
        <v>34</v>
      </c>
      <c r="D260" s="13" t="s">
        <v>112</v>
      </c>
      <c r="E260" s="13" t="s">
        <v>2507</v>
      </c>
      <c r="F260" s="14">
        <v>44086</v>
      </c>
    </row>
    <row r="261" spans="1:6" x14ac:dyDescent="0.35">
      <c r="A261" s="13" t="s">
        <v>123</v>
      </c>
      <c r="B261" s="13" t="s">
        <v>2746</v>
      </c>
      <c r="C261" s="15">
        <v>42</v>
      </c>
      <c r="D261" s="13" t="s">
        <v>117</v>
      </c>
      <c r="E261" s="13" t="s">
        <v>2507</v>
      </c>
      <c r="F261" s="14">
        <v>44866</v>
      </c>
    </row>
    <row r="262" spans="1:6" x14ac:dyDescent="0.35">
      <c r="A262" s="13" t="s">
        <v>261</v>
      </c>
      <c r="B262" s="13" t="s">
        <v>2747</v>
      </c>
      <c r="C262" s="15">
        <v>54</v>
      </c>
      <c r="D262" s="13" t="s">
        <v>99</v>
      </c>
      <c r="E262" s="13" t="s">
        <v>2507</v>
      </c>
      <c r="F262" s="14">
        <v>43845</v>
      </c>
    </row>
    <row r="263" spans="1:6" x14ac:dyDescent="0.35">
      <c r="A263" s="13" t="s">
        <v>606</v>
      </c>
      <c r="B263" s="13" t="s">
        <v>2748</v>
      </c>
      <c r="C263" s="15">
        <v>52</v>
      </c>
      <c r="D263" s="13" t="s">
        <v>112</v>
      </c>
      <c r="E263" s="13" t="s">
        <v>2507</v>
      </c>
      <c r="F263" s="14">
        <v>44636</v>
      </c>
    </row>
    <row r="264" spans="1:6" x14ac:dyDescent="0.35">
      <c r="A264" s="13" t="s">
        <v>269</v>
      </c>
      <c r="B264" s="13" t="s">
        <v>2749</v>
      </c>
      <c r="C264" s="15">
        <v>40</v>
      </c>
      <c r="D264" s="13" t="s">
        <v>112</v>
      </c>
      <c r="E264" s="13" t="s">
        <v>2507</v>
      </c>
      <c r="F264" s="14">
        <v>44758</v>
      </c>
    </row>
    <row r="265" spans="1:6" x14ac:dyDescent="0.35">
      <c r="A265" s="13" t="s">
        <v>507</v>
      </c>
      <c r="B265" s="13" t="s">
        <v>2750</v>
      </c>
      <c r="C265" s="15">
        <v>59</v>
      </c>
      <c r="D265" s="13" t="s">
        <v>88</v>
      </c>
      <c r="E265" s="13" t="s">
        <v>2507</v>
      </c>
      <c r="F265" s="14">
        <v>45042</v>
      </c>
    </row>
    <row r="266" spans="1:6" x14ac:dyDescent="0.35">
      <c r="A266" s="13" t="s">
        <v>163</v>
      </c>
      <c r="B266" s="13" t="s">
        <v>2751</v>
      </c>
      <c r="C266" s="15">
        <v>49</v>
      </c>
      <c r="D266" s="13" t="s">
        <v>94</v>
      </c>
      <c r="E266" s="13" t="s">
        <v>2507</v>
      </c>
      <c r="F266" s="14">
        <v>44555</v>
      </c>
    </row>
    <row r="267" spans="1:6" x14ac:dyDescent="0.35">
      <c r="A267" s="13" t="s">
        <v>948</v>
      </c>
      <c r="B267" s="13" t="s">
        <v>2752</v>
      </c>
      <c r="C267" s="15">
        <v>65</v>
      </c>
      <c r="D267" s="13" t="s">
        <v>88</v>
      </c>
      <c r="E267" s="13" t="s">
        <v>2507</v>
      </c>
      <c r="F267" s="14">
        <v>44469</v>
      </c>
    </row>
    <row r="268" spans="1:6" x14ac:dyDescent="0.35">
      <c r="A268" s="13" t="s">
        <v>256</v>
      </c>
      <c r="B268" s="13" t="s">
        <v>2753</v>
      </c>
      <c r="C268" s="15">
        <v>27</v>
      </c>
      <c r="D268" s="13" t="s">
        <v>133</v>
      </c>
      <c r="E268" s="13" t="s">
        <v>2507</v>
      </c>
      <c r="F268" s="14">
        <v>44352</v>
      </c>
    </row>
    <row r="269" spans="1:6" x14ac:dyDescent="0.35">
      <c r="A269" s="13" t="s">
        <v>1628</v>
      </c>
      <c r="B269" s="13" t="s">
        <v>2754</v>
      </c>
      <c r="C269" s="15">
        <v>35</v>
      </c>
      <c r="D269" s="13" t="s">
        <v>94</v>
      </c>
      <c r="E269" s="13" t="s">
        <v>2507</v>
      </c>
      <c r="F269" s="14">
        <v>44991</v>
      </c>
    </row>
    <row r="270" spans="1:6" x14ac:dyDescent="0.35">
      <c r="A270" s="13" t="s">
        <v>720</v>
      </c>
      <c r="B270" s="13" t="s">
        <v>2755</v>
      </c>
      <c r="C270" s="15">
        <v>48</v>
      </c>
      <c r="D270" s="13" t="s">
        <v>88</v>
      </c>
      <c r="E270" s="13" t="s">
        <v>2507</v>
      </c>
      <c r="F270" s="14">
        <v>44429</v>
      </c>
    </row>
    <row r="271" spans="1:6" x14ac:dyDescent="0.35">
      <c r="A271" s="13" t="s">
        <v>759</v>
      </c>
      <c r="B271" s="13" t="s">
        <v>2756</v>
      </c>
      <c r="C271" s="15">
        <v>29</v>
      </c>
      <c r="D271" s="13" t="s">
        <v>117</v>
      </c>
      <c r="E271" s="13" t="s">
        <v>2507</v>
      </c>
      <c r="F271" s="14">
        <v>44410</v>
      </c>
    </row>
    <row r="272" spans="1:6" x14ac:dyDescent="0.35">
      <c r="A272" s="13" t="s">
        <v>567</v>
      </c>
      <c r="B272" s="13" t="s">
        <v>2601</v>
      </c>
      <c r="C272" s="15">
        <v>41</v>
      </c>
      <c r="D272" s="13" t="s">
        <v>117</v>
      </c>
      <c r="E272" s="13" t="s">
        <v>2509</v>
      </c>
      <c r="F272" s="14">
        <v>44441</v>
      </c>
    </row>
    <row r="273" spans="1:6" x14ac:dyDescent="0.35">
      <c r="A273" s="13" t="s">
        <v>1027</v>
      </c>
      <c r="B273" s="13" t="s">
        <v>2757</v>
      </c>
      <c r="C273" s="15">
        <v>47</v>
      </c>
      <c r="D273" s="13" t="s">
        <v>112</v>
      </c>
      <c r="E273" s="13" t="s">
        <v>2515</v>
      </c>
      <c r="F273" s="14">
        <v>44634</v>
      </c>
    </row>
    <row r="274" spans="1:6" x14ac:dyDescent="0.35">
      <c r="A274" s="13" t="s">
        <v>156</v>
      </c>
      <c r="B274" s="13" t="s">
        <v>2758</v>
      </c>
      <c r="C274" s="15">
        <v>32</v>
      </c>
      <c r="D274" s="13" t="s">
        <v>133</v>
      </c>
      <c r="E274" s="13" t="s">
        <v>2509</v>
      </c>
      <c r="F274" s="14">
        <v>44221</v>
      </c>
    </row>
    <row r="275" spans="1:6" x14ac:dyDescent="0.35">
      <c r="A275" s="13" t="s">
        <v>504</v>
      </c>
      <c r="B275" s="13" t="s">
        <v>2759</v>
      </c>
      <c r="C275" s="15">
        <v>36</v>
      </c>
      <c r="D275" s="13" t="s">
        <v>117</v>
      </c>
      <c r="E275" s="13" t="s">
        <v>2509</v>
      </c>
      <c r="F275" s="14">
        <v>44381</v>
      </c>
    </row>
    <row r="276" spans="1:6" x14ac:dyDescent="0.35">
      <c r="A276" s="13" t="s">
        <v>109</v>
      </c>
      <c r="B276" s="13" t="s">
        <v>2760</v>
      </c>
      <c r="C276" s="15">
        <v>36</v>
      </c>
      <c r="D276" s="13" t="s">
        <v>112</v>
      </c>
      <c r="E276" s="13" t="s">
        <v>2507</v>
      </c>
      <c r="F276" s="14">
        <v>45106</v>
      </c>
    </row>
    <row r="277" spans="1:6" x14ac:dyDescent="0.35">
      <c r="A277" s="13" t="s">
        <v>1499</v>
      </c>
      <c r="B277" s="13" t="s">
        <v>2555</v>
      </c>
      <c r="C277" s="15">
        <v>26</v>
      </c>
      <c r="D277" s="13" t="s">
        <v>94</v>
      </c>
      <c r="E277" s="13" t="s">
        <v>2507</v>
      </c>
      <c r="F277" s="14">
        <v>44272</v>
      </c>
    </row>
    <row r="278" spans="1:6" x14ac:dyDescent="0.35">
      <c r="A278" s="13" t="s">
        <v>541</v>
      </c>
      <c r="B278" s="13" t="s">
        <v>2572</v>
      </c>
      <c r="C278" s="15">
        <v>34</v>
      </c>
      <c r="D278" s="13" t="s">
        <v>94</v>
      </c>
      <c r="E278" s="13" t="s">
        <v>2509</v>
      </c>
      <c r="F278" s="14">
        <v>44958</v>
      </c>
    </row>
    <row r="279" spans="1:6" x14ac:dyDescent="0.35">
      <c r="A279" s="13" t="s">
        <v>1047</v>
      </c>
      <c r="B279" s="13" t="s">
        <v>2761</v>
      </c>
      <c r="C279" s="15">
        <v>41</v>
      </c>
      <c r="D279" s="13" t="s">
        <v>133</v>
      </c>
      <c r="E279" s="13" t="s">
        <v>2507</v>
      </c>
      <c r="F279" s="14">
        <v>43973</v>
      </c>
    </row>
    <row r="280" spans="1:6" x14ac:dyDescent="0.35">
      <c r="A280" s="13" t="s">
        <v>729</v>
      </c>
      <c r="B280" s="13" t="s">
        <v>2742</v>
      </c>
      <c r="C280" s="15">
        <v>56</v>
      </c>
      <c r="D280" s="13" t="s">
        <v>112</v>
      </c>
      <c r="E280" s="13" t="s">
        <v>2507</v>
      </c>
      <c r="F280" s="14">
        <v>44517</v>
      </c>
    </row>
    <row r="281" spans="1:6" x14ac:dyDescent="0.35">
      <c r="A281" s="13" t="s">
        <v>137</v>
      </c>
      <c r="B281" s="13" t="s">
        <v>2762</v>
      </c>
      <c r="C281" s="15">
        <v>27</v>
      </c>
      <c r="D281" s="13" t="s">
        <v>99</v>
      </c>
      <c r="E281" s="13" t="s">
        <v>2515</v>
      </c>
      <c r="F281" s="14">
        <v>45059</v>
      </c>
    </row>
    <row r="282" spans="1:6" x14ac:dyDescent="0.35">
      <c r="A282" s="13" t="s">
        <v>119</v>
      </c>
      <c r="B282" s="13" t="s">
        <v>2527</v>
      </c>
      <c r="C282" s="15">
        <v>57</v>
      </c>
      <c r="D282" s="13" t="s">
        <v>117</v>
      </c>
      <c r="E282" s="13" t="s">
        <v>2509</v>
      </c>
      <c r="F282" s="14">
        <v>44029</v>
      </c>
    </row>
    <row r="283" spans="1:6" x14ac:dyDescent="0.35">
      <c r="A283" s="13" t="s">
        <v>278</v>
      </c>
      <c r="B283" s="13" t="s">
        <v>2763</v>
      </c>
      <c r="C283" s="15">
        <v>29</v>
      </c>
      <c r="D283" s="13" t="s">
        <v>133</v>
      </c>
      <c r="E283" s="13" t="s">
        <v>2509</v>
      </c>
      <c r="F283" s="14">
        <v>44631</v>
      </c>
    </row>
    <row r="284" spans="1:6" x14ac:dyDescent="0.35">
      <c r="A284" s="13" t="s">
        <v>219</v>
      </c>
      <c r="B284" s="13" t="s">
        <v>2764</v>
      </c>
      <c r="C284" s="15">
        <v>50</v>
      </c>
      <c r="D284" s="13" t="s">
        <v>2512</v>
      </c>
      <c r="E284" s="13" t="s">
        <v>2515</v>
      </c>
      <c r="F284" s="14">
        <v>44869</v>
      </c>
    </row>
    <row r="285" spans="1:6" x14ac:dyDescent="0.35">
      <c r="A285" s="13" t="s">
        <v>501</v>
      </c>
      <c r="B285" s="13" t="s">
        <v>2765</v>
      </c>
      <c r="C285" s="15">
        <v>65</v>
      </c>
      <c r="D285" s="13" t="s">
        <v>133</v>
      </c>
      <c r="E285" s="13" t="s">
        <v>2515</v>
      </c>
      <c r="F285" s="14">
        <v>44047</v>
      </c>
    </row>
    <row r="286" spans="1:6" x14ac:dyDescent="0.35">
      <c r="A286" s="13" t="s">
        <v>592</v>
      </c>
      <c r="B286" s="13" t="s">
        <v>2766</v>
      </c>
      <c r="C286" s="15">
        <v>22</v>
      </c>
      <c r="D286" s="13" t="s">
        <v>133</v>
      </c>
      <c r="E286" s="13" t="s">
        <v>2507</v>
      </c>
      <c r="F286" s="14">
        <v>44593</v>
      </c>
    </row>
    <row r="287" spans="1:6" x14ac:dyDescent="0.35">
      <c r="A287" s="13" t="s">
        <v>1816</v>
      </c>
      <c r="B287" s="13" t="s">
        <v>2767</v>
      </c>
      <c r="C287" s="15">
        <v>62</v>
      </c>
      <c r="D287" s="13" t="s">
        <v>99</v>
      </c>
      <c r="E287" s="13" t="s">
        <v>2507</v>
      </c>
      <c r="F287" s="14">
        <v>44489</v>
      </c>
    </row>
    <row r="288" spans="1:6" x14ac:dyDescent="0.35">
      <c r="A288" s="13" t="s">
        <v>378</v>
      </c>
      <c r="B288" s="13" t="s">
        <v>2768</v>
      </c>
      <c r="C288" s="15">
        <v>53</v>
      </c>
      <c r="D288" s="13" t="s">
        <v>94</v>
      </c>
      <c r="E288" s="13" t="s">
        <v>2515</v>
      </c>
      <c r="F288" s="14">
        <v>44738</v>
      </c>
    </row>
    <row r="289" spans="1:6" x14ac:dyDescent="0.35">
      <c r="A289" s="13" t="s">
        <v>1534</v>
      </c>
      <c r="B289" s="13" t="s">
        <v>2769</v>
      </c>
      <c r="C289" s="15">
        <v>25</v>
      </c>
      <c r="D289" s="13" t="s">
        <v>133</v>
      </c>
      <c r="E289" s="13" t="s">
        <v>2509</v>
      </c>
      <c r="F289" s="14">
        <v>44450</v>
      </c>
    </row>
    <row r="290" spans="1:6" x14ac:dyDescent="0.35">
      <c r="A290" s="13" t="s">
        <v>1051</v>
      </c>
      <c r="B290" s="13" t="s">
        <v>2770</v>
      </c>
      <c r="C290" s="15">
        <v>54</v>
      </c>
      <c r="D290" s="13" t="s">
        <v>112</v>
      </c>
      <c r="E290" s="13" t="s">
        <v>2507</v>
      </c>
      <c r="F290" s="14">
        <v>44720</v>
      </c>
    </row>
    <row r="291" spans="1:6" x14ac:dyDescent="0.35">
      <c r="A291" s="13" t="s">
        <v>797</v>
      </c>
      <c r="B291" s="13" t="s">
        <v>2771</v>
      </c>
      <c r="C291" s="15">
        <v>63</v>
      </c>
      <c r="D291" s="13" t="s">
        <v>99</v>
      </c>
      <c r="E291" s="13" t="s">
        <v>2507</v>
      </c>
      <c r="F291" s="14">
        <v>44330</v>
      </c>
    </row>
    <row r="292" spans="1:6" x14ac:dyDescent="0.35">
      <c r="A292" s="13" t="s">
        <v>233</v>
      </c>
      <c r="B292" s="13" t="s">
        <v>2772</v>
      </c>
      <c r="C292" s="15">
        <v>29</v>
      </c>
      <c r="D292" s="13" t="s">
        <v>88</v>
      </c>
      <c r="E292" s="13" t="s">
        <v>2515</v>
      </c>
      <c r="F292" s="14">
        <v>43950</v>
      </c>
    </row>
    <row r="293" spans="1:6" x14ac:dyDescent="0.35">
      <c r="A293" s="13" t="s">
        <v>752</v>
      </c>
      <c r="B293" s="13" t="s">
        <v>2600</v>
      </c>
      <c r="C293" s="15">
        <v>32</v>
      </c>
      <c r="D293" s="13" t="s">
        <v>117</v>
      </c>
      <c r="E293" s="13" t="s">
        <v>2507</v>
      </c>
      <c r="F293" s="14">
        <v>43968</v>
      </c>
    </row>
    <row r="294" spans="1:6" x14ac:dyDescent="0.35">
      <c r="A294" s="13" t="s">
        <v>114</v>
      </c>
      <c r="B294" s="13" t="s">
        <v>2773</v>
      </c>
      <c r="C294" s="15">
        <v>27</v>
      </c>
      <c r="D294" s="13" t="s">
        <v>117</v>
      </c>
      <c r="E294" s="13" t="s">
        <v>2507</v>
      </c>
      <c r="F294" s="14">
        <v>44335</v>
      </c>
    </row>
    <row r="295" spans="1:6" x14ac:dyDescent="0.35">
      <c r="A295" s="13" t="s">
        <v>434</v>
      </c>
      <c r="B295" s="13" t="s">
        <v>2533</v>
      </c>
      <c r="C295" s="15">
        <v>31</v>
      </c>
      <c r="D295" s="13" t="s">
        <v>99</v>
      </c>
      <c r="E295" s="13" t="s">
        <v>2509</v>
      </c>
      <c r="F295" s="14">
        <v>43885</v>
      </c>
    </row>
    <row r="296" spans="1:6" x14ac:dyDescent="0.35">
      <c r="A296" s="13" t="s">
        <v>595</v>
      </c>
      <c r="B296" s="13" t="s">
        <v>2774</v>
      </c>
      <c r="C296" s="15">
        <v>48</v>
      </c>
      <c r="D296" s="13" t="s">
        <v>99</v>
      </c>
      <c r="E296" s="13" t="s">
        <v>2515</v>
      </c>
      <c r="F296" s="14">
        <v>43863</v>
      </c>
    </row>
    <row r="297" spans="1:6" x14ac:dyDescent="0.35">
      <c r="A297" s="13" t="s">
        <v>570</v>
      </c>
      <c r="B297" s="13" t="s">
        <v>2775</v>
      </c>
      <c r="C297" s="15">
        <v>47</v>
      </c>
      <c r="D297" s="13" t="s">
        <v>99</v>
      </c>
      <c r="E297" s="13" t="s">
        <v>2509</v>
      </c>
      <c r="F297" s="14">
        <v>44784</v>
      </c>
    </row>
    <row r="298" spans="1:6" x14ac:dyDescent="0.35">
      <c r="A298" s="13" t="s">
        <v>651</v>
      </c>
      <c r="B298" s="13" t="s">
        <v>2776</v>
      </c>
      <c r="C298" s="15">
        <v>50</v>
      </c>
      <c r="D298" s="13" t="s">
        <v>133</v>
      </c>
      <c r="E298" s="13" t="s">
        <v>2507</v>
      </c>
      <c r="F298" s="14">
        <v>44027</v>
      </c>
    </row>
    <row r="299" spans="1:6" x14ac:dyDescent="0.35">
      <c r="A299" s="13" t="s">
        <v>420</v>
      </c>
      <c r="B299" s="13" t="s">
        <v>2777</v>
      </c>
      <c r="C299" s="15">
        <v>44</v>
      </c>
      <c r="D299" s="13" t="s">
        <v>99</v>
      </c>
      <c r="E299" s="13" t="s">
        <v>2507</v>
      </c>
      <c r="F299" s="14">
        <v>43840</v>
      </c>
    </row>
    <row r="300" spans="1:6" x14ac:dyDescent="0.35">
      <c r="A300" s="13" t="s">
        <v>712</v>
      </c>
      <c r="B300" s="13" t="s">
        <v>2690</v>
      </c>
      <c r="C300" s="15">
        <v>51</v>
      </c>
      <c r="D300" s="13" t="s">
        <v>112</v>
      </c>
      <c r="E300" s="13" t="s">
        <v>2509</v>
      </c>
      <c r="F300" s="14">
        <v>44675</v>
      </c>
    </row>
    <row r="301" spans="1:6" x14ac:dyDescent="0.35">
      <c r="A301" s="13" t="s">
        <v>1297</v>
      </c>
      <c r="B301" s="13" t="s">
        <v>2778</v>
      </c>
      <c r="C301" s="15">
        <v>38</v>
      </c>
      <c r="D301" s="13" t="s">
        <v>112</v>
      </c>
      <c r="E301" s="13" t="s">
        <v>2507</v>
      </c>
      <c r="F301" s="14">
        <v>43932</v>
      </c>
    </row>
  </sheetData>
  <pageMargins left="0.75" right="0.75" top="1" bottom="1" header="0.5" footer="0.5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  <pageSetUpPr fitToPage="1"/>
  </sheetPr>
  <dimension ref="A1:F61"/>
  <sheetViews>
    <sheetView zoomScale="70" zoomScaleNormal="70" workbookViewId="0">
      <pane ySplit="1" topLeftCell="A2" activePane="bottomLeft" state="frozen"/>
      <selection pane="bottomLeft" activeCell="D60" sqref="D60"/>
    </sheetView>
  </sheetViews>
  <sheetFormatPr defaultRowHeight="14.5" x14ac:dyDescent="0.35"/>
  <cols>
    <col min="1" max="1" width="12" customWidth="1"/>
    <col min="2" max="2" width="22" customWidth="1"/>
    <col min="3" max="3" width="13" customWidth="1"/>
    <col min="4" max="4" width="11" customWidth="1"/>
    <col min="5" max="5" width="12" customWidth="1"/>
    <col min="6" max="6" width="11" customWidth="1"/>
  </cols>
  <sheetData>
    <row r="1" spans="1:6" x14ac:dyDescent="0.35">
      <c r="A1" s="5" t="s">
        <v>75</v>
      </c>
      <c r="B1" s="5" t="s">
        <v>2779</v>
      </c>
      <c r="C1" s="5" t="s">
        <v>2780</v>
      </c>
      <c r="D1" s="5" t="s">
        <v>2781</v>
      </c>
      <c r="E1" s="5" t="s">
        <v>78</v>
      </c>
      <c r="F1" s="5" t="s">
        <v>2782</v>
      </c>
    </row>
    <row r="2" spans="1:6" x14ac:dyDescent="0.35">
      <c r="A2" s="13" t="s">
        <v>364</v>
      </c>
      <c r="B2" s="13" t="s">
        <v>2783</v>
      </c>
      <c r="C2" s="13" t="s">
        <v>2784</v>
      </c>
      <c r="D2" s="15">
        <v>2405</v>
      </c>
      <c r="E2" s="15">
        <v>5330</v>
      </c>
      <c r="F2" s="13" t="b">
        <v>1</v>
      </c>
    </row>
    <row r="3" spans="1:6" x14ac:dyDescent="0.35">
      <c r="A3" s="13" t="s">
        <v>138</v>
      </c>
      <c r="B3" s="13" t="s">
        <v>2785</v>
      </c>
      <c r="C3" s="13" t="s">
        <v>2784</v>
      </c>
      <c r="D3" s="15">
        <v>1052</v>
      </c>
      <c r="E3" s="15">
        <v>2600</v>
      </c>
      <c r="F3" s="13" t="b">
        <v>1</v>
      </c>
    </row>
    <row r="4" spans="1:6" x14ac:dyDescent="0.35">
      <c r="A4" s="13" t="s">
        <v>187</v>
      </c>
      <c r="B4" s="13" t="s">
        <v>2786</v>
      </c>
      <c r="C4" s="13" t="s">
        <v>2784</v>
      </c>
      <c r="D4" s="15">
        <v>1665</v>
      </c>
      <c r="E4" s="15">
        <v>3570</v>
      </c>
      <c r="F4" s="13" t="b">
        <v>1</v>
      </c>
    </row>
    <row r="5" spans="1:6" x14ac:dyDescent="0.35">
      <c r="A5" s="13" t="s">
        <v>248</v>
      </c>
      <c r="B5" s="13" t="s">
        <v>2787</v>
      </c>
      <c r="C5" s="13" t="s">
        <v>2784</v>
      </c>
      <c r="D5" s="15">
        <v>1559</v>
      </c>
      <c r="E5" s="15">
        <v>3870</v>
      </c>
      <c r="F5" s="13" t="b">
        <v>1</v>
      </c>
    </row>
    <row r="6" spans="1:6" x14ac:dyDescent="0.35">
      <c r="A6" s="13" t="s">
        <v>282</v>
      </c>
      <c r="B6" s="13" t="s">
        <v>2788</v>
      </c>
      <c r="C6" s="13" t="s">
        <v>2784</v>
      </c>
      <c r="D6" s="15">
        <v>128</v>
      </c>
      <c r="E6" s="15">
        <v>300</v>
      </c>
      <c r="F6" s="13" t="b">
        <v>1</v>
      </c>
    </row>
    <row r="7" spans="1:6" x14ac:dyDescent="0.35">
      <c r="A7" s="13" t="s">
        <v>408</v>
      </c>
      <c r="B7" s="13" t="s">
        <v>2789</v>
      </c>
      <c r="C7" s="13" t="s">
        <v>2784</v>
      </c>
      <c r="D7" s="15">
        <v>2865</v>
      </c>
      <c r="E7" s="15">
        <v>3970</v>
      </c>
      <c r="F7" s="13" t="b">
        <v>1</v>
      </c>
    </row>
    <row r="8" spans="1:6" x14ac:dyDescent="0.35">
      <c r="A8" s="13" t="s">
        <v>120</v>
      </c>
      <c r="B8" s="13" t="s">
        <v>2790</v>
      </c>
      <c r="C8" s="13" t="s">
        <v>2784</v>
      </c>
      <c r="D8" s="15">
        <v>861</v>
      </c>
      <c r="E8" s="15">
        <v>1430</v>
      </c>
      <c r="F8" s="13" t="b">
        <v>1</v>
      </c>
    </row>
    <row r="9" spans="1:6" x14ac:dyDescent="0.35">
      <c r="A9" s="13" t="s">
        <v>279</v>
      </c>
      <c r="B9" s="13" t="s">
        <v>2791</v>
      </c>
      <c r="C9" s="13" t="s">
        <v>2784</v>
      </c>
      <c r="D9" s="15">
        <v>1259</v>
      </c>
      <c r="E9" s="15">
        <v>2660</v>
      </c>
      <c r="F9" s="13" t="b">
        <v>0</v>
      </c>
    </row>
    <row r="10" spans="1:6" x14ac:dyDescent="0.35">
      <c r="A10" s="13" t="s">
        <v>267</v>
      </c>
      <c r="B10" s="13" t="s">
        <v>2792</v>
      </c>
      <c r="C10" s="13" t="s">
        <v>2784</v>
      </c>
      <c r="D10" s="15">
        <v>517</v>
      </c>
      <c r="E10" s="15">
        <v>1220</v>
      </c>
      <c r="F10" s="13" t="b">
        <v>1</v>
      </c>
    </row>
    <row r="11" spans="1:6" x14ac:dyDescent="0.35">
      <c r="A11" s="13" t="s">
        <v>135</v>
      </c>
      <c r="B11" s="13" t="s">
        <v>2793</v>
      </c>
      <c r="C11" s="13" t="s">
        <v>2784</v>
      </c>
      <c r="D11" s="15">
        <v>1149</v>
      </c>
      <c r="E11" s="15">
        <v>2640</v>
      </c>
      <c r="F11" s="13" t="b">
        <v>1</v>
      </c>
    </row>
    <row r="12" spans="1:6" x14ac:dyDescent="0.35">
      <c r="A12" s="13" t="s">
        <v>452</v>
      </c>
      <c r="B12" s="13" t="s">
        <v>2794</v>
      </c>
      <c r="C12" s="13" t="s">
        <v>2795</v>
      </c>
      <c r="D12" s="15">
        <v>1748</v>
      </c>
      <c r="E12" s="15">
        <v>3450</v>
      </c>
      <c r="F12" s="13" t="b">
        <v>1</v>
      </c>
    </row>
    <row r="13" spans="1:6" x14ac:dyDescent="0.35">
      <c r="A13" s="13" t="s">
        <v>106</v>
      </c>
      <c r="B13" s="13" t="s">
        <v>2796</v>
      </c>
      <c r="C13" s="13" t="s">
        <v>2795</v>
      </c>
      <c r="D13" s="15">
        <v>1886</v>
      </c>
      <c r="E13" s="15">
        <v>3160</v>
      </c>
      <c r="F13" s="13" t="b">
        <v>1</v>
      </c>
    </row>
    <row r="14" spans="1:6" x14ac:dyDescent="0.35">
      <c r="A14" s="13" t="s">
        <v>237</v>
      </c>
      <c r="B14" s="13" t="s">
        <v>2797</v>
      </c>
      <c r="C14" s="13" t="s">
        <v>2795</v>
      </c>
      <c r="D14" s="15">
        <v>2611</v>
      </c>
      <c r="E14" s="15">
        <v>3640</v>
      </c>
      <c r="F14" s="13" t="b">
        <v>1</v>
      </c>
    </row>
    <row r="15" spans="1:6" x14ac:dyDescent="0.35">
      <c r="A15" s="13" t="s">
        <v>85</v>
      </c>
      <c r="B15" s="13" t="s">
        <v>2798</v>
      </c>
      <c r="C15" s="13" t="s">
        <v>2795</v>
      </c>
      <c r="D15" s="15">
        <v>2509</v>
      </c>
      <c r="E15" s="15">
        <v>3620</v>
      </c>
      <c r="F15" s="13" t="b">
        <v>1</v>
      </c>
    </row>
    <row r="16" spans="1:6" x14ac:dyDescent="0.35">
      <c r="A16" s="13" t="s">
        <v>173</v>
      </c>
      <c r="B16" s="13" t="s">
        <v>2799</v>
      </c>
      <c r="C16" s="13" t="s">
        <v>2795</v>
      </c>
      <c r="D16" s="15">
        <v>1962</v>
      </c>
      <c r="E16" s="15">
        <v>2720</v>
      </c>
      <c r="F16" s="13" t="b">
        <v>1</v>
      </c>
    </row>
    <row r="17" spans="1:6" x14ac:dyDescent="0.35">
      <c r="A17" s="13" t="s">
        <v>292</v>
      </c>
      <c r="B17" s="13" t="s">
        <v>2800</v>
      </c>
      <c r="C17" s="13" t="s">
        <v>2795</v>
      </c>
      <c r="D17" s="15">
        <v>396</v>
      </c>
      <c r="E17" s="15">
        <v>620</v>
      </c>
      <c r="F17" s="13" t="b">
        <v>1</v>
      </c>
    </row>
    <row r="18" spans="1:6" x14ac:dyDescent="0.35">
      <c r="A18" s="13" t="s">
        <v>355</v>
      </c>
      <c r="B18" s="13" t="s">
        <v>2801</v>
      </c>
      <c r="C18" s="13" t="s">
        <v>2795</v>
      </c>
      <c r="D18" s="15">
        <v>1075</v>
      </c>
      <c r="E18" s="15">
        <v>2510</v>
      </c>
      <c r="F18" s="13" t="b">
        <v>0</v>
      </c>
    </row>
    <row r="19" spans="1:6" x14ac:dyDescent="0.35">
      <c r="A19" s="13" t="s">
        <v>659</v>
      </c>
      <c r="B19" s="13" t="s">
        <v>2802</v>
      </c>
      <c r="C19" s="13" t="s">
        <v>2795</v>
      </c>
      <c r="D19" s="15">
        <v>2629</v>
      </c>
      <c r="E19" s="15">
        <v>3560</v>
      </c>
      <c r="F19" s="13" t="b">
        <v>1</v>
      </c>
    </row>
    <row r="20" spans="1:6" x14ac:dyDescent="0.35">
      <c r="A20" s="13" t="s">
        <v>167</v>
      </c>
      <c r="B20" s="13" t="s">
        <v>2803</v>
      </c>
      <c r="C20" s="13" t="s">
        <v>2795</v>
      </c>
      <c r="D20" s="15">
        <v>1173</v>
      </c>
      <c r="E20" s="15">
        <v>2480</v>
      </c>
      <c r="F20" s="13" t="b">
        <v>1</v>
      </c>
    </row>
    <row r="21" spans="1:6" x14ac:dyDescent="0.35">
      <c r="A21" s="13" t="s">
        <v>91</v>
      </c>
      <c r="B21" s="13" t="s">
        <v>2804</v>
      </c>
      <c r="C21" s="13" t="s">
        <v>2795</v>
      </c>
      <c r="D21" s="15">
        <v>391</v>
      </c>
      <c r="E21" s="15">
        <v>820</v>
      </c>
      <c r="F21" s="13" t="b">
        <v>1</v>
      </c>
    </row>
    <row r="22" spans="1:6" x14ac:dyDescent="0.35">
      <c r="A22" s="13" t="s">
        <v>200</v>
      </c>
      <c r="B22" s="13" t="s">
        <v>2805</v>
      </c>
      <c r="C22" s="13" t="s">
        <v>2806</v>
      </c>
      <c r="D22" s="15">
        <v>1435</v>
      </c>
      <c r="E22" s="15">
        <v>2760</v>
      </c>
      <c r="F22" s="13" t="b">
        <v>1</v>
      </c>
    </row>
    <row r="23" spans="1:6" x14ac:dyDescent="0.35">
      <c r="A23" s="13" t="s">
        <v>245</v>
      </c>
      <c r="B23" s="13" t="s">
        <v>2807</v>
      </c>
      <c r="C23" s="13" t="s">
        <v>2806</v>
      </c>
      <c r="D23" s="15">
        <v>1412</v>
      </c>
      <c r="E23" s="15">
        <v>2270</v>
      </c>
      <c r="F23" s="13" t="b">
        <v>1</v>
      </c>
    </row>
    <row r="24" spans="1:6" x14ac:dyDescent="0.35">
      <c r="A24" s="13" t="s">
        <v>367</v>
      </c>
      <c r="B24" s="13" t="s">
        <v>2808</v>
      </c>
      <c r="C24" s="13" t="s">
        <v>2806</v>
      </c>
      <c r="D24" s="15">
        <v>1182</v>
      </c>
      <c r="E24" s="15">
        <v>2380</v>
      </c>
      <c r="F24" s="13" t="b">
        <v>1</v>
      </c>
    </row>
    <row r="25" spans="1:6" x14ac:dyDescent="0.35">
      <c r="A25" s="13" t="s">
        <v>131</v>
      </c>
      <c r="B25" s="13" t="s">
        <v>2809</v>
      </c>
      <c r="C25" s="13" t="s">
        <v>2806</v>
      </c>
      <c r="D25" s="15">
        <v>1203</v>
      </c>
      <c r="E25" s="15">
        <v>2270</v>
      </c>
      <c r="F25" s="13" t="b">
        <v>1</v>
      </c>
    </row>
    <row r="26" spans="1:6" x14ac:dyDescent="0.35">
      <c r="A26" s="13" t="s">
        <v>351</v>
      </c>
      <c r="B26" s="13" t="s">
        <v>2810</v>
      </c>
      <c r="C26" s="13" t="s">
        <v>2806</v>
      </c>
      <c r="D26" s="15">
        <v>2911</v>
      </c>
      <c r="E26" s="15">
        <v>4060</v>
      </c>
      <c r="F26" s="13" t="b">
        <v>1</v>
      </c>
    </row>
    <row r="27" spans="1:6" x14ac:dyDescent="0.35">
      <c r="A27" s="13" t="s">
        <v>264</v>
      </c>
      <c r="B27" s="13" t="s">
        <v>2811</v>
      </c>
      <c r="C27" s="13" t="s">
        <v>2806</v>
      </c>
      <c r="D27" s="15">
        <v>2027</v>
      </c>
      <c r="E27" s="15">
        <v>4070</v>
      </c>
      <c r="F27" s="13" t="b">
        <v>1</v>
      </c>
    </row>
    <row r="28" spans="1:6" x14ac:dyDescent="0.35">
      <c r="A28" s="13" t="s">
        <v>234</v>
      </c>
      <c r="B28" s="13" t="s">
        <v>2812</v>
      </c>
      <c r="C28" s="13" t="s">
        <v>2806</v>
      </c>
      <c r="D28" s="15">
        <v>2436</v>
      </c>
      <c r="E28" s="15">
        <v>3780</v>
      </c>
      <c r="F28" s="13" t="b">
        <v>1</v>
      </c>
    </row>
    <row r="29" spans="1:6" x14ac:dyDescent="0.35">
      <c r="A29" s="13" t="s">
        <v>102</v>
      </c>
      <c r="B29" s="13" t="s">
        <v>2813</v>
      </c>
      <c r="C29" s="13" t="s">
        <v>2806</v>
      </c>
      <c r="D29" s="15">
        <v>2214</v>
      </c>
      <c r="E29" s="15">
        <v>3660</v>
      </c>
      <c r="F29" s="13" t="b">
        <v>0</v>
      </c>
    </row>
    <row r="30" spans="1:6" x14ac:dyDescent="0.35">
      <c r="A30" s="13" t="s">
        <v>338</v>
      </c>
      <c r="B30" s="13" t="s">
        <v>2814</v>
      </c>
      <c r="C30" s="13" t="s">
        <v>2806</v>
      </c>
      <c r="D30" s="15">
        <v>1010</v>
      </c>
      <c r="E30" s="15">
        <v>2210</v>
      </c>
      <c r="F30" s="13" t="b">
        <v>1</v>
      </c>
    </row>
    <row r="31" spans="1:6" x14ac:dyDescent="0.35">
      <c r="A31" s="13" t="s">
        <v>127</v>
      </c>
      <c r="B31" s="13" t="s">
        <v>2815</v>
      </c>
      <c r="C31" s="13" t="s">
        <v>2806</v>
      </c>
      <c r="D31" s="15">
        <v>434</v>
      </c>
      <c r="E31" s="15">
        <v>970</v>
      </c>
      <c r="F31" s="13" t="b">
        <v>1</v>
      </c>
    </row>
    <row r="32" spans="1:6" x14ac:dyDescent="0.35">
      <c r="A32" s="13" t="s">
        <v>226</v>
      </c>
      <c r="B32" s="13" t="s">
        <v>2816</v>
      </c>
      <c r="C32" s="13" t="s">
        <v>2817</v>
      </c>
      <c r="D32" s="15">
        <v>2135</v>
      </c>
      <c r="E32" s="15">
        <v>3730</v>
      </c>
      <c r="F32" s="13" t="b">
        <v>1</v>
      </c>
    </row>
    <row r="33" spans="1:6" x14ac:dyDescent="0.35">
      <c r="A33" s="13" t="s">
        <v>110</v>
      </c>
      <c r="B33" s="13" t="s">
        <v>2818</v>
      </c>
      <c r="C33" s="13" t="s">
        <v>2817</v>
      </c>
      <c r="D33" s="15">
        <v>288</v>
      </c>
      <c r="E33" s="15">
        <v>370</v>
      </c>
      <c r="F33" s="13" t="b">
        <v>1</v>
      </c>
    </row>
    <row r="34" spans="1:6" x14ac:dyDescent="0.35">
      <c r="A34" s="13" t="s">
        <v>295</v>
      </c>
      <c r="B34" s="13" t="s">
        <v>2819</v>
      </c>
      <c r="C34" s="13" t="s">
        <v>2817</v>
      </c>
      <c r="D34" s="15">
        <v>1143</v>
      </c>
      <c r="E34" s="15">
        <v>2030</v>
      </c>
      <c r="F34" s="13" t="b">
        <v>1</v>
      </c>
    </row>
    <row r="35" spans="1:6" x14ac:dyDescent="0.35">
      <c r="A35" s="13" t="s">
        <v>443</v>
      </c>
      <c r="B35" s="13" t="s">
        <v>2820</v>
      </c>
      <c r="C35" s="13" t="s">
        <v>2817</v>
      </c>
      <c r="D35" s="15">
        <v>2459</v>
      </c>
      <c r="E35" s="15">
        <v>5080</v>
      </c>
      <c r="F35" s="13" t="b">
        <v>1</v>
      </c>
    </row>
    <row r="36" spans="1:6" x14ac:dyDescent="0.35">
      <c r="A36" s="13" t="s">
        <v>502</v>
      </c>
      <c r="B36" s="13" t="s">
        <v>2821</v>
      </c>
      <c r="C36" s="13" t="s">
        <v>2817</v>
      </c>
      <c r="D36" s="15">
        <v>464</v>
      </c>
      <c r="E36" s="15">
        <v>1090</v>
      </c>
      <c r="F36" s="13" t="b">
        <v>1</v>
      </c>
    </row>
    <row r="37" spans="1:6" x14ac:dyDescent="0.35">
      <c r="A37" s="13" t="s">
        <v>143</v>
      </c>
      <c r="B37" s="13" t="s">
        <v>2822</v>
      </c>
      <c r="C37" s="13" t="s">
        <v>2817</v>
      </c>
      <c r="D37" s="15">
        <v>1556</v>
      </c>
      <c r="E37" s="15">
        <v>3250</v>
      </c>
      <c r="F37" s="13" t="b">
        <v>1</v>
      </c>
    </row>
    <row r="38" spans="1:6" x14ac:dyDescent="0.35">
      <c r="A38" s="13" t="s">
        <v>203</v>
      </c>
      <c r="B38" s="13" t="s">
        <v>2823</v>
      </c>
      <c r="C38" s="13" t="s">
        <v>2817</v>
      </c>
      <c r="D38" s="15">
        <v>329</v>
      </c>
      <c r="E38" s="15">
        <v>660</v>
      </c>
      <c r="F38" s="13" t="b">
        <v>1</v>
      </c>
    </row>
    <row r="39" spans="1:6" x14ac:dyDescent="0.35">
      <c r="A39" s="13" t="s">
        <v>124</v>
      </c>
      <c r="B39" s="13" t="s">
        <v>2824</v>
      </c>
      <c r="C39" s="13" t="s">
        <v>2817</v>
      </c>
      <c r="D39" s="15">
        <v>2549</v>
      </c>
      <c r="E39" s="15">
        <v>5490</v>
      </c>
      <c r="F39" s="13" t="b">
        <v>1</v>
      </c>
    </row>
    <row r="40" spans="1:6" x14ac:dyDescent="0.35">
      <c r="A40" s="13" t="s">
        <v>270</v>
      </c>
      <c r="B40" s="13" t="s">
        <v>2825</v>
      </c>
      <c r="C40" s="13" t="s">
        <v>2817</v>
      </c>
      <c r="D40" s="15">
        <v>1850</v>
      </c>
      <c r="E40" s="15">
        <v>4610</v>
      </c>
      <c r="F40" s="13" t="b">
        <v>1</v>
      </c>
    </row>
    <row r="41" spans="1:6" x14ac:dyDescent="0.35">
      <c r="A41" s="13" t="s">
        <v>164</v>
      </c>
      <c r="B41" s="13" t="s">
        <v>2826</v>
      </c>
      <c r="C41" s="13" t="s">
        <v>2817</v>
      </c>
      <c r="D41" s="15">
        <v>519</v>
      </c>
      <c r="E41" s="15">
        <v>1080</v>
      </c>
      <c r="F41" s="13" t="b">
        <v>1</v>
      </c>
    </row>
    <row r="42" spans="1:6" x14ac:dyDescent="0.35">
      <c r="A42" s="13" t="s">
        <v>259</v>
      </c>
      <c r="B42" s="13" t="s">
        <v>2827</v>
      </c>
      <c r="C42" s="13" t="s">
        <v>2828</v>
      </c>
      <c r="D42" s="15">
        <v>647</v>
      </c>
      <c r="E42" s="15">
        <v>1540</v>
      </c>
      <c r="F42" s="13" t="b">
        <v>0</v>
      </c>
    </row>
    <row r="43" spans="1:6" x14ac:dyDescent="0.35">
      <c r="A43" s="13" t="s">
        <v>386</v>
      </c>
      <c r="B43" s="13" t="s">
        <v>2829</v>
      </c>
      <c r="C43" s="13" t="s">
        <v>2828</v>
      </c>
      <c r="D43" s="15">
        <v>1219</v>
      </c>
      <c r="E43" s="15">
        <v>2290</v>
      </c>
      <c r="F43" s="13" t="b">
        <v>1</v>
      </c>
    </row>
    <row r="44" spans="1:6" x14ac:dyDescent="0.35">
      <c r="A44" s="13" t="s">
        <v>179</v>
      </c>
      <c r="B44" s="13" t="s">
        <v>2830</v>
      </c>
      <c r="C44" s="13" t="s">
        <v>2828</v>
      </c>
      <c r="D44" s="15">
        <v>1728</v>
      </c>
      <c r="E44" s="15">
        <v>3350</v>
      </c>
      <c r="F44" s="13" t="b">
        <v>1</v>
      </c>
    </row>
    <row r="45" spans="1:6" x14ac:dyDescent="0.35">
      <c r="A45" s="13" t="s">
        <v>176</v>
      </c>
      <c r="B45" s="13" t="s">
        <v>2831</v>
      </c>
      <c r="C45" s="13" t="s">
        <v>2828</v>
      </c>
      <c r="D45" s="15">
        <v>1222</v>
      </c>
      <c r="E45" s="15">
        <v>1650</v>
      </c>
      <c r="F45" s="13" t="b">
        <v>1</v>
      </c>
    </row>
    <row r="46" spans="1:6" x14ac:dyDescent="0.35">
      <c r="A46" s="13" t="s">
        <v>276</v>
      </c>
      <c r="B46" s="13" t="s">
        <v>2832</v>
      </c>
      <c r="C46" s="13" t="s">
        <v>2828</v>
      </c>
      <c r="D46" s="15">
        <v>1626</v>
      </c>
      <c r="E46" s="15">
        <v>3020</v>
      </c>
      <c r="F46" s="13" t="b">
        <v>1</v>
      </c>
    </row>
    <row r="47" spans="1:6" x14ac:dyDescent="0.35">
      <c r="A47" s="13" t="s">
        <v>184</v>
      </c>
      <c r="B47" s="13" t="s">
        <v>2833</v>
      </c>
      <c r="C47" s="13" t="s">
        <v>2828</v>
      </c>
      <c r="D47" s="15">
        <v>2768</v>
      </c>
      <c r="E47" s="15">
        <v>4880</v>
      </c>
      <c r="F47" s="13" t="b">
        <v>1</v>
      </c>
    </row>
    <row r="48" spans="1:6" x14ac:dyDescent="0.35">
      <c r="A48" s="13" t="s">
        <v>157</v>
      </c>
      <c r="B48" s="13" t="s">
        <v>2834</v>
      </c>
      <c r="C48" s="13" t="s">
        <v>2828</v>
      </c>
      <c r="D48" s="15">
        <v>2420</v>
      </c>
      <c r="E48" s="15">
        <v>3450</v>
      </c>
      <c r="F48" s="13" t="b">
        <v>1</v>
      </c>
    </row>
    <row r="49" spans="1:6" x14ac:dyDescent="0.35">
      <c r="A49" s="13" t="s">
        <v>191</v>
      </c>
      <c r="B49" s="13" t="s">
        <v>2835</v>
      </c>
      <c r="C49" s="13" t="s">
        <v>2828</v>
      </c>
      <c r="D49" s="15">
        <v>2237</v>
      </c>
      <c r="E49" s="15">
        <v>5100</v>
      </c>
      <c r="F49" s="13" t="b">
        <v>1</v>
      </c>
    </row>
    <row r="50" spans="1:6" x14ac:dyDescent="0.35">
      <c r="A50" s="13" t="s">
        <v>380</v>
      </c>
      <c r="B50" s="13" t="s">
        <v>2836</v>
      </c>
      <c r="C50" s="13" t="s">
        <v>2828</v>
      </c>
      <c r="D50" s="15">
        <v>675</v>
      </c>
      <c r="E50" s="15">
        <v>960</v>
      </c>
      <c r="F50" s="13" t="b">
        <v>1</v>
      </c>
    </row>
    <row r="51" spans="1:6" x14ac:dyDescent="0.35">
      <c r="A51" s="13" t="s">
        <v>241</v>
      </c>
      <c r="B51" s="13" t="s">
        <v>2837</v>
      </c>
      <c r="C51" s="13" t="s">
        <v>2828</v>
      </c>
      <c r="D51" s="15">
        <v>2617</v>
      </c>
      <c r="E51" s="15">
        <v>6080</v>
      </c>
      <c r="F51" s="13" t="b">
        <v>1</v>
      </c>
    </row>
    <row r="52" spans="1:6" x14ac:dyDescent="0.35">
      <c r="A52" s="13" t="s">
        <v>161</v>
      </c>
      <c r="B52" s="13" t="s">
        <v>2838</v>
      </c>
      <c r="C52" s="13" t="s">
        <v>2839</v>
      </c>
      <c r="D52" s="15">
        <v>2467</v>
      </c>
      <c r="E52" s="15">
        <v>3450</v>
      </c>
      <c r="F52" s="13" t="b">
        <v>1</v>
      </c>
    </row>
    <row r="53" spans="1:6" x14ac:dyDescent="0.35">
      <c r="A53" s="13" t="s">
        <v>360</v>
      </c>
      <c r="B53" s="13" t="s">
        <v>2840</v>
      </c>
      <c r="C53" s="13" t="s">
        <v>2839</v>
      </c>
      <c r="D53" s="15">
        <v>2265</v>
      </c>
      <c r="E53" s="15">
        <v>5410</v>
      </c>
      <c r="F53" s="13" t="b">
        <v>1</v>
      </c>
    </row>
    <row r="54" spans="1:6" x14ac:dyDescent="0.35">
      <c r="A54" s="13" t="s">
        <v>97</v>
      </c>
      <c r="B54" s="13" t="s">
        <v>2841</v>
      </c>
      <c r="C54" s="13" t="s">
        <v>2839</v>
      </c>
      <c r="D54" s="15">
        <v>302</v>
      </c>
      <c r="E54" s="15">
        <v>470</v>
      </c>
      <c r="F54" s="13" t="b">
        <v>0</v>
      </c>
    </row>
    <row r="55" spans="1:6" x14ac:dyDescent="0.35">
      <c r="A55" s="13" t="s">
        <v>182</v>
      </c>
      <c r="B55" s="13" t="s">
        <v>2842</v>
      </c>
      <c r="C55" s="13" t="s">
        <v>2839</v>
      </c>
      <c r="D55" s="15">
        <v>516</v>
      </c>
      <c r="E55" s="15">
        <v>1010</v>
      </c>
      <c r="F55" s="13" t="b">
        <v>1</v>
      </c>
    </row>
    <row r="56" spans="1:6" x14ac:dyDescent="0.35">
      <c r="A56" s="13" t="s">
        <v>195</v>
      </c>
      <c r="B56" s="13" t="s">
        <v>2843</v>
      </c>
      <c r="C56" s="13" t="s">
        <v>2839</v>
      </c>
      <c r="D56" s="15">
        <v>2028</v>
      </c>
      <c r="E56" s="15">
        <v>2860</v>
      </c>
      <c r="F56" s="13" t="b">
        <v>1</v>
      </c>
    </row>
    <row r="57" spans="1:6" x14ac:dyDescent="0.35">
      <c r="A57" s="13" t="s">
        <v>515</v>
      </c>
      <c r="B57" s="13" t="s">
        <v>2844</v>
      </c>
      <c r="C57" s="13" t="s">
        <v>2839</v>
      </c>
      <c r="D57" s="15">
        <v>2827</v>
      </c>
      <c r="E57" s="15">
        <v>6940</v>
      </c>
      <c r="F57" s="13" t="b">
        <v>1</v>
      </c>
    </row>
    <row r="58" spans="1:6" x14ac:dyDescent="0.35">
      <c r="A58" s="13" t="s">
        <v>115</v>
      </c>
      <c r="B58" s="13" t="s">
        <v>2845</v>
      </c>
      <c r="C58" s="13" t="s">
        <v>2839</v>
      </c>
      <c r="D58" s="15">
        <v>705</v>
      </c>
      <c r="E58" s="15">
        <v>960</v>
      </c>
      <c r="F58" s="13" t="b">
        <v>1</v>
      </c>
    </row>
    <row r="59" spans="1:6" x14ac:dyDescent="0.35">
      <c r="A59" s="13" t="s">
        <v>151</v>
      </c>
      <c r="B59" s="13" t="s">
        <v>2846</v>
      </c>
      <c r="C59" s="13" t="s">
        <v>2839</v>
      </c>
      <c r="D59" s="15">
        <v>974</v>
      </c>
      <c r="E59" s="15">
        <v>2400</v>
      </c>
      <c r="F59" s="13" t="b">
        <v>1</v>
      </c>
    </row>
    <row r="60" spans="1:6" x14ac:dyDescent="0.35">
      <c r="A60" s="13" t="s">
        <v>461</v>
      </c>
      <c r="B60" s="13" t="s">
        <v>2847</v>
      </c>
      <c r="C60" s="13" t="s">
        <v>2839</v>
      </c>
      <c r="D60" s="15">
        <v>1860</v>
      </c>
      <c r="E60" s="15">
        <v>3780</v>
      </c>
      <c r="F60" s="13" t="b">
        <v>1</v>
      </c>
    </row>
    <row r="61" spans="1:6" x14ac:dyDescent="0.35">
      <c r="A61" s="13" t="s">
        <v>147</v>
      </c>
      <c r="B61" s="13" t="s">
        <v>2848</v>
      </c>
      <c r="C61" s="13" t="s">
        <v>2839</v>
      </c>
      <c r="D61" s="15">
        <v>147</v>
      </c>
      <c r="E61" s="15">
        <v>190</v>
      </c>
      <c r="F61" s="13" t="b">
        <v>1</v>
      </c>
    </row>
  </sheetData>
  <pageMargins left="0.75" right="0.75" top="1" bottom="1" header="0.5" footer="0.5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  <pageSetUpPr fitToPage="1"/>
  </sheetPr>
  <dimension ref="A1:X31"/>
  <sheetViews>
    <sheetView zoomScale="88" workbookViewId="0">
      <pane ySplit="1" topLeftCell="A2" activePane="bottomLeft" state="frozen"/>
      <selection pane="bottomLeft" activeCell="D17" sqref="D17"/>
    </sheetView>
  </sheetViews>
  <sheetFormatPr defaultRowHeight="14.5" x14ac:dyDescent="0.35"/>
  <cols>
    <col min="1" max="1" width="8" customWidth="1"/>
    <col min="2" max="2" width="17" customWidth="1"/>
    <col min="3" max="3" width="8" customWidth="1"/>
    <col min="4" max="4" width="12" customWidth="1"/>
    <col min="5" max="5" width="14" customWidth="1"/>
  </cols>
  <sheetData>
    <row r="1" spans="1:24" x14ac:dyDescent="0.35">
      <c r="A1" s="5" t="s">
        <v>2849</v>
      </c>
      <c r="B1" s="5" t="s">
        <v>2850</v>
      </c>
      <c r="C1" s="5" t="s">
        <v>2851</v>
      </c>
      <c r="D1" s="5" t="s">
        <v>2852</v>
      </c>
      <c r="E1" s="5" t="s">
        <v>2853</v>
      </c>
    </row>
    <row r="2" spans="1:24" x14ac:dyDescent="0.35">
      <c r="A2" s="13" t="s">
        <v>215</v>
      </c>
      <c r="B2" s="13" t="s">
        <v>2854</v>
      </c>
      <c r="C2" s="13" t="s">
        <v>2855</v>
      </c>
      <c r="D2" s="14">
        <v>44207</v>
      </c>
      <c r="E2" s="13"/>
      <c r="V2" s="55" t="e">
        <f ca="1">UNIQUE(P2:P2001)</f>
        <v>#NAME?</v>
      </c>
      <c r="W2">
        <f ca="1">SUMIF($P$2:$P$2001,V2,$I$2:$I$2001)</f>
        <v>0</v>
      </c>
      <c r="X2">
        <f ca="1">_xlfn.RANK.EQ(W2,$W$2:$W$2001,0)</f>
        <v>1</v>
      </c>
    </row>
    <row r="3" spans="1:24" x14ac:dyDescent="0.35">
      <c r="A3" s="13" t="s">
        <v>297</v>
      </c>
      <c r="B3" s="13" t="s">
        <v>2856</v>
      </c>
      <c r="C3" s="13" t="s">
        <v>2855</v>
      </c>
      <c r="D3" s="14">
        <v>44028</v>
      </c>
      <c r="E3" s="13"/>
      <c r="V3" s="55"/>
    </row>
    <row r="4" spans="1:24" x14ac:dyDescent="0.35">
      <c r="A4" s="13" t="s">
        <v>148</v>
      </c>
      <c r="B4" s="13" t="s">
        <v>2857</v>
      </c>
      <c r="C4" s="13" t="s">
        <v>2855</v>
      </c>
      <c r="D4" s="14">
        <v>43651</v>
      </c>
      <c r="E4" s="13"/>
    </row>
    <row r="5" spans="1:24" x14ac:dyDescent="0.35">
      <c r="A5" s="13" t="s">
        <v>139</v>
      </c>
      <c r="B5" s="13" t="s">
        <v>2858</v>
      </c>
      <c r="C5" s="13" t="s">
        <v>2855</v>
      </c>
      <c r="D5" s="14">
        <v>44907</v>
      </c>
      <c r="E5" s="13"/>
    </row>
    <row r="6" spans="1:24" x14ac:dyDescent="0.35">
      <c r="A6" s="13" t="s">
        <v>92</v>
      </c>
      <c r="B6" s="13" t="s">
        <v>2859</v>
      </c>
      <c r="C6" s="13" t="s">
        <v>2855</v>
      </c>
      <c r="D6" s="14">
        <v>43588</v>
      </c>
      <c r="E6" s="13" t="s">
        <v>215</v>
      </c>
    </row>
    <row r="7" spans="1:24" x14ac:dyDescent="0.35">
      <c r="A7" s="13" t="s">
        <v>103</v>
      </c>
      <c r="B7" s="13" t="s">
        <v>2773</v>
      </c>
      <c r="C7" s="13" t="s">
        <v>2855</v>
      </c>
      <c r="D7" s="14">
        <v>44131</v>
      </c>
      <c r="E7" s="13" t="s">
        <v>215</v>
      </c>
    </row>
    <row r="8" spans="1:24" x14ac:dyDescent="0.35">
      <c r="A8" s="13" t="s">
        <v>86</v>
      </c>
      <c r="B8" s="13" t="s">
        <v>2860</v>
      </c>
      <c r="C8" s="13" t="s">
        <v>2855</v>
      </c>
      <c r="D8" s="14">
        <v>43493</v>
      </c>
      <c r="E8" s="13" t="s">
        <v>215</v>
      </c>
    </row>
    <row r="9" spans="1:24" x14ac:dyDescent="0.35">
      <c r="A9" s="13" t="s">
        <v>107</v>
      </c>
      <c r="B9" s="13" t="s">
        <v>2762</v>
      </c>
      <c r="C9" s="13" t="s">
        <v>2855</v>
      </c>
      <c r="D9" s="14">
        <v>44693</v>
      </c>
      <c r="E9" s="13" t="s">
        <v>215</v>
      </c>
    </row>
    <row r="10" spans="1:24" x14ac:dyDescent="0.35">
      <c r="A10" s="13" t="s">
        <v>204</v>
      </c>
      <c r="B10" s="13" t="s">
        <v>2861</v>
      </c>
      <c r="C10" s="13" t="s">
        <v>2862</v>
      </c>
      <c r="D10" s="14">
        <v>44804</v>
      </c>
      <c r="E10" s="13" t="s">
        <v>297</v>
      </c>
    </row>
    <row r="11" spans="1:24" x14ac:dyDescent="0.35">
      <c r="A11" s="13" t="s">
        <v>132</v>
      </c>
      <c r="B11" s="13" t="s">
        <v>2863</v>
      </c>
      <c r="C11" s="13" t="s">
        <v>2862</v>
      </c>
      <c r="D11" s="14">
        <v>43904</v>
      </c>
      <c r="E11" s="13" t="s">
        <v>297</v>
      </c>
    </row>
    <row r="12" spans="1:24" x14ac:dyDescent="0.35">
      <c r="A12" s="13" t="s">
        <v>273</v>
      </c>
      <c r="B12" s="13" t="s">
        <v>2864</v>
      </c>
      <c r="C12" s="13" t="s">
        <v>2862</v>
      </c>
      <c r="D12" s="14">
        <v>44622</v>
      </c>
      <c r="E12" s="13" t="s">
        <v>297</v>
      </c>
    </row>
    <row r="13" spans="1:24" x14ac:dyDescent="0.35">
      <c r="A13" s="13" t="s">
        <v>325</v>
      </c>
      <c r="B13" s="13" t="s">
        <v>2865</v>
      </c>
      <c r="C13" s="13" t="s">
        <v>2862</v>
      </c>
      <c r="D13" s="14">
        <v>44890</v>
      </c>
      <c r="E13" s="13" t="s">
        <v>297</v>
      </c>
    </row>
    <row r="14" spans="1:24" x14ac:dyDescent="0.35">
      <c r="A14" s="13" t="s">
        <v>252</v>
      </c>
      <c r="B14" s="13" t="s">
        <v>2866</v>
      </c>
      <c r="C14" s="13" t="s">
        <v>2862</v>
      </c>
      <c r="D14" s="14">
        <v>45215</v>
      </c>
      <c r="E14" s="13" t="s">
        <v>297</v>
      </c>
    </row>
    <row r="15" spans="1:24" x14ac:dyDescent="0.35">
      <c r="A15" s="13" t="s">
        <v>98</v>
      </c>
      <c r="B15" s="13" t="s">
        <v>2867</v>
      </c>
      <c r="C15" s="13" t="s">
        <v>2862</v>
      </c>
      <c r="D15" s="14">
        <v>44469</v>
      </c>
      <c r="E15" s="13" t="s">
        <v>297</v>
      </c>
    </row>
    <row r="16" spans="1:24" x14ac:dyDescent="0.35">
      <c r="A16" s="13" t="s">
        <v>188</v>
      </c>
      <c r="B16" s="13" t="s">
        <v>2868</v>
      </c>
      <c r="C16" s="13" t="s">
        <v>2862</v>
      </c>
      <c r="D16" s="14">
        <v>45231</v>
      </c>
      <c r="E16" s="13" t="s">
        <v>297</v>
      </c>
    </row>
    <row r="17" spans="1:5" x14ac:dyDescent="0.35">
      <c r="A17" s="13" t="s">
        <v>346</v>
      </c>
      <c r="B17" s="13" t="s">
        <v>2869</v>
      </c>
      <c r="C17" s="13" t="s">
        <v>2862</v>
      </c>
      <c r="D17" s="14">
        <v>43614</v>
      </c>
      <c r="E17" s="13" t="s">
        <v>297</v>
      </c>
    </row>
    <row r="18" spans="1:5" x14ac:dyDescent="0.35">
      <c r="A18" s="13" t="s">
        <v>238</v>
      </c>
      <c r="B18" s="13" t="s">
        <v>2870</v>
      </c>
      <c r="C18" s="13" t="s">
        <v>2871</v>
      </c>
      <c r="D18" s="14">
        <v>43685</v>
      </c>
      <c r="E18" s="13" t="s">
        <v>148</v>
      </c>
    </row>
    <row r="19" spans="1:5" x14ac:dyDescent="0.35">
      <c r="A19" s="13" t="s">
        <v>303</v>
      </c>
      <c r="B19" s="13" t="s">
        <v>2872</v>
      </c>
      <c r="C19" s="13" t="s">
        <v>2871</v>
      </c>
      <c r="D19" s="14">
        <v>43428</v>
      </c>
      <c r="E19" s="13" t="s">
        <v>148</v>
      </c>
    </row>
    <row r="20" spans="1:5" x14ac:dyDescent="0.35">
      <c r="A20" s="13" t="s">
        <v>121</v>
      </c>
      <c r="B20" s="13" t="s">
        <v>2873</v>
      </c>
      <c r="C20" s="13" t="s">
        <v>2871</v>
      </c>
      <c r="D20" s="14">
        <v>43576</v>
      </c>
      <c r="E20" s="13" t="s">
        <v>148</v>
      </c>
    </row>
    <row r="21" spans="1:5" x14ac:dyDescent="0.35">
      <c r="A21" s="13" t="s">
        <v>192</v>
      </c>
      <c r="B21" s="13" t="s">
        <v>2874</v>
      </c>
      <c r="C21" s="13" t="s">
        <v>2871</v>
      </c>
      <c r="D21" s="14">
        <v>43254</v>
      </c>
      <c r="E21" s="13" t="s">
        <v>148</v>
      </c>
    </row>
    <row r="22" spans="1:5" x14ac:dyDescent="0.35">
      <c r="A22" s="13" t="s">
        <v>158</v>
      </c>
      <c r="B22" s="13" t="s">
        <v>2875</v>
      </c>
      <c r="C22" s="13" t="s">
        <v>2871</v>
      </c>
      <c r="D22" s="14">
        <v>43260</v>
      </c>
      <c r="E22" s="13" t="s">
        <v>148</v>
      </c>
    </row>
    <row r="23" spans="1:5" x14ac:dyDescent="0.35">
      <c r="A23" s="13" t="s">
        <v>285</v>
      </c>
      <c r="B23" s="13" t="s">
        <v>2876</v>
      </c>
      <c r="C23" s="13" t="s">
        <v>2871</v>
      </c>
      <c r="D23" s="14">
        <v>43146</v>
      </c>
      <c r="E23" s="13" t="s">
        <v>148</v>
      </c>
    </row>
    <row r="24" spans="1:5" x14ac:dyDescent="0.35">
      <c r="A24" s="13" t="s">
        <v>154</v>
      </c>
      <c r="B24" s="13" t="s">
        <v>2877</v>
      </c>
      <c r="C24" s="13" t="s">
        <v>2871</v>
      </c>
      <c r="D24" s="14">
        <v>44777</v>
      </c>
      <c r="E24" s="13" t="s">
        <v>148</v>
      </c>
    </row>
    <row r="25" spans="1:5" x14ac:dyDescent="0.35">
      <c r="A25" s="13" t="s">
        <v>116</v>
      </c>
      <c r="B25" s="13" t="s">
        <v>2878</v>
      </c>
      <c r="C25" s="13" t="s">
        <v>2879</v>
      </c>
      <c r="D25" s="14">
        <v>43371</v>
      </c>
      <c r="E25" s="13" t="s">
        <v>139</v>
      </c>
    </row>
    <row r="26" spans="1:5" x14ac:dyDescent="0.35">
      <c r="A26" s="13" t="s">
        <v>111</v>
      </c>
      <c r="B26" s="13" t="s">
        <v>2880</v>
      </c>
      <c r="C26" s="13" t="s">
        <v>2879</v>
      </c>
      <c r="D26" s="14">
        <v>43781</v>
      </c>
      <c r="E26" s="13" t="s">
        <v>139</v>
      </c>
    </row>
    <row r="27" spans="1:5" x14ac:dyDescent="0.35">
      <c r="A27" s="13" t="s">
        <v>201</v>
      </c>
      <c r="B27" s="13" t="s">
        <v>2881</v>
      </c>
      <c r="C27" s="13" t="s">
        <v>2879</v>
      </c>
      <c r="D27" s="14">
        <v>43570</v>
      </c>
      <c r="E27" s="13" t="s">
        <v>139</v>
      </c>
    </row>
    <row r="28" spans="1:5" x14ac:dyDescent="0.35">
      <c r="A28" s="13" t="s">
        <v>343</v>
      </c>
      <c r="B28" s="13" t="s">
        <v>2882</v>
      </c>
      <c r="C28" s="13" t="s">
        <v>2879</v>
      </c>
      <c r="D28" s="14">
        <v>45199</v>
      </c>
      <c r="E28" s="13" t="s">
        <v>139</v>
      </c>
    </row>
    <row r="29" spans="1:5" x14ac:dyDescent="0.35">
      <c r="A29" s="13" t="s">
        <v>128</v>
      </c>
      <c r="B29" s="13" t="s">
        <v>2883</v>
      </c>
      <c r="C29" s="13" t="s">
        <v>2879</v>
      </c>
      <c r="D29" s="14">
        <v>44898</v>
      </c>
      <c r="E29" s="13" t="s">
        <v>139</v>
      </c>
    </row>
    <row r="30" spans="1:5" x14ac:dyDescent="0.35">
      <c r="A30" s="13" t="s">
        <v>229</v>
      </c>
      <c r="B30" s="13" t="s">
        <v>2884</v>
      </c>
      <c r="C30" s="13" t="s">
        <v>2879</v>
      </c>
      <c r="D30" s="14">
        <v>45191</v>
      </c>
      <c r="E30" s="13" t="s">
        <v>139</v>
      </c>
    </row>
    <row r="31" spans="1:5" x14ac:dyDescent="0.35">
      <c r="A31" s="13" t="s">
        <v>170</v>
      </c>
      <c r="B31" s="13" t="s">
        <v>2885</v>
      </c>
      <c r="C31" s="13" t="s">
        <v>2879</v>
      </c>
      <c r="D31" s="14">
        <v>44506</v>
      </c>
      <c r="E31" s="13" t="s">
        <v>139</v>
      </c>
    </row>
  </sheetData>
  <pageMargins left="0.75" right="0.75" top="1" bottom="1" header="0.5" footer="0.5"/>
  <pageSetup paperSize="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  <pageSetUpPr fitToPage="1"/>
  </sheetPr>
  <dimension ref="A1:O31"/>
  <sheetViews>
    <sheetView zoomScale="89" workbookViewId="0">
      <pane ySplit="1" topLeftCell="A2" activePane="bottomLeft" state="frozen"/>
      <selection pane="bottomLeft" activeCell="O4" sqref="O4"/>
    </sheetView>
  </sheetViews>
  <sheetFormatPr defaultRowHeight="14.5" x14ac:dyDescent="0.35"/>
  <cols>
    <col min="1" max="13" width="8" customWidth="1"/>
  </cols>
  <sheetData>
    <row r="1" spans="1:15" x14ac:dyDescent="0.35">
      <c r="A1" s="5" t="s">
        <v>2849</v>
      </c>
      <c r="B1" s="5" t="s">
        <v>2886</v>
      </c>
      <c r="C1" s="5" t="s">
        <v>2887</v>
      </c>
      <c r="D1" s="5" t="s">
        <v>2888</v>
      </c>
      <c r="E1" s="5" t="s">
        <v>2889</v>
      </c>
      <c r="F1" s="5" t="s">
        <v>2890</v>
      </c>
      <c r="G1" s="5" t="s">
        <v>2891</v>
      </c>
      <c r="H1" s="5" t="s">
        <v>2892</v>
      </c>
      <c r="I1" s="5" t="s">
        <v>2893</v>
      </c>
      <c r="J1" s="5" t="s">
        <v>2894</v>
      </c>
      <c r="K1" s="5" t="s">
        <v>2895</v>
      </c>
      <c r="L1" s="5" t="s">
        <v>2896</v>
      </c>
      <c r="M1" s="5" t="s">
        <v>2897</v>
      </c>
    </row>
    <row r="2" spans="1:15" x14ac:dyDescent="0.35">
      <c r="A2" s="13" t="s">
        <v>215</v>
      </c>
      <c r="B2" s="15">
        <v>231324</v>
      </c>
      <c r="C2" s="15">
        <v>171682</v>
      </c>
      <c r="D2" s="15">
        <v>234376</v>
      </c>
      <c r="E2" s="15">
        <v>326967</v>
      </c>
      <c r="F2" s="15">
        <v>350588</v>
      </c>
      <c r="G2" s="15">
        <v>385324</v>
      </c>
      <c r="H2" s="15">
        <v>307980</v>
      </c>
      <c r="I2" s="15">
        <v>327947</v>
      </c>
      <c r="J2" s="15">
        <v>181016</v>
      </c>
      <c r="K2" s="15">
        <v>374039</v>
      </c>
      <c r="L2" s="15">
        <v>212805</v>
      </c>
      <c r="M2" s="15">
        <v>405999</v>
      </c>
    </row>
    <row r="3" spans="1:15" x14ac:dyDescent="0.35">
      <c r="A3" s="13" t="s">
        <v>297</v>
      </c>
      <c r="B3" s="15">
        <v>438126</v>
      </c>
      <c r="C3" s="15">
        <v>346266</v>
      </c>
      <c r="D3" s="15">
        <v>329993</v>
      </c>
      <c r="E3" s="15">
        <v>370744</v>
      </c>
      <c r="F3" s="15">
        <v>294660</v>
      </c>
      <c r="G3" s="15">
        <v>341556</v>
      </c>
      <c r="H3" s="15">
        <v>151934</v>
      </c>
      <c r="I3" s="15">
        <v>223794</v>
      </c>
      <c r="J3" s="15">
        <v>438641</v>
      </c>
      <c r="K3" s="15">
        <v>344308</v>
      </c>
      <c r="L3" s="15">
        <v>296172</v>
      </c>
      <c r="M3" s="15">
        <v>304288</v>
      </c>
    </row>
    <row r="4" spans="1:15" x14ac:dyDescent="0.35">
      <c r="A4" s="13" t="s">
        <v>148</v>
      </c>
      <c r="B4" s="15">
        <v>358703</v>
      </c>
      <c r="C4" s="15">
        <v>320519</v>
      </c>
      <c r="D4" s="15">
        <v>327321</v>
      </c>
      <c r="E4" s="15">
        <v>298753</v>
      </c>
      <c r="F4" s="15">
        <v>254636</v>
      </c>
      <c r="G4" s="15">
        <v>351929</v>
      </c>
      <c r="H4" s="15">
        <v>264723</v>
      </c>
      <c r="I4" s="15">
        <v>216459</v>
      </c>
      <c r="J4" s="15">
        <v>391945</v>
      </c>
      <c r="K4" s="15">
        <v>362426</v>
      </c>
      <c r="L4" s="15">
        <v>289199</v>
      </c>
      <c r="M4" s="15">
        <v>301863</v>
      </c>
      <c r="O4">
        <f>VLOOKUP("R015",Targets!$A$2:$M$100,12,FALSE)</f>
        <v>418857</v>
      </c>
    </row>
    <row r="5" spans="1:15" x14ac:dyDescent="0.35">
      <c r="A5" s="13" t="s">
        <v>139</v>
      </c>
      <c r="B5" s="15">
        <v>389594</v>
      </c>
      <c r="C5" s="15">
        <v>376422</v>
      </c>
      <c r="D5" s="15">
        <v>324156</v>
      </c>
      <c r="E5" s="15">
        <v>420255</v>
      </c>
      <c r="F5" s="15">
        <v>409107</v>
      </c>
      <c r="G5" s="15">
        <v>269954</v>
      </c>
      <c r="H5" s="15">
        <v>179097</v>
      </c>
      <c r="I5" s="15">
        <v>370568</v>
      </c>
      <c r="J5" s="15">
        <v>387395</v>
      </c>
      <c r="K5" s="15">
        <v>243454</v>
      </c>
      <c r="L5" s="15">
        <v>232530</v>
      </c>
      <c r="M5" s="15">
        <v>201999</v>
      </c>
    </row>
    <row r="6" spans="1:15" x14ac:dyDescent="0.35">
      <c r="A6" s="13" t="s">
        <v>92</v>
      </c>
      <c r="B6" s="15">
        <v>436862</v>
      </c>
      <c r="C6" s="15">
        <v>391158</v>
      </c>
      <c r="D6" s="15">
        <v>340224</v>
      </c>
      <c r="E6" s="15">
        <v>170548</v>
      </c>
      <c r="F6" s="15">
        <v>229390</v>
      </c>
      <c r="G6" s="15">
        <v>349525</v>
      </c>
      <c r="H6" s="15">
        <v>154683</v>
      </c>
      <c r="I6" s="15">
        <v>320848</v>
      </c>
      <c r="J6" s="15">
        <v>354452</v>
      </c>
      <c r="K6" s="15">
        <v>377180</v>
      </c>
      <c r="L6" s="15">
        <v>342347</v>
      </c>
      <c r="M6" s="15">
        <v>183362</v>
      </c>
    </row>
    <row r="7" spans="1:15" x14ac:dyDescent="0.35">
      <c r="A7" s="13" t="s">
        <v>103</v>
      </c>
      <c r="B7" s="15">
        <v>348734</v>
      </c>
      <c r="C7" s="15">
        <v>358191</v>
      </c>
      <c r="D7" s="15">
        <v>250385</v>
      </c>
      <c r="E7" s="15">
        <v>219657</v>
      </c>
      <c r="F7" s="15">
        <v>249365</v>
      </c>
      <c r="G7" s="15">
        <v>435704</v>
      </c>
      <c r="H7" s="15">
        <v>260892</v>
      </c>
      <c r="I7" s="15">
        <v>250741</v>
      </c>
      <c r="J7" s="15">
        <v>358402</v>
      </c>
      <c r="K7" s="15">
        <v>379858</v>
      </c>
      <c r="L7" s="15">
        <v>213280</v>
      </c>
      <c r="M7" s="15">
        <v>224634</v>
      </c>
    </row>
    <row r="8" spans="1:15" x14ac:dyDescent="0.35">
      <c r="A8" s="13" t="s">
        <v>86</v>
      </c>
      <c r="B8" s="15">
        <v>280057</v>
      </c>
      <c r="C8" s="15">
        <v>330342</v>
      </c>
      <c r="D8" s="15">
        <v>336856</v>
      </c>
      <c r="E8" s="15">
        <v>227425</v>
      </c>
      <c r="F8" s="15">
        <v>233647</v>
      </c>
      <c r="G8" s="15">
        <v>307088</v>
      </c>
      <c r="H8" s="15">
        <v>370724</v>
      </c>
      <c r="I8" s="15">
        <v>440008</v>
      </c>
      <c r="J8" s="15">
        <v>406347</v>
      </c>
      <c r="K8" s="15">
        <v>217357</v>
      </c>
      <c r="L8" s="15">
        <v>299289</v>
      </c>
      <c r="M8" s="15">
        <v>214568</v>
      </c>
    </row>
    <row r="9" spans="1:15" x14ac:dyDescent="0.35">
      <c r="A9" s="13" t="s">
        <v>107</v>
      </c>
      <c r="B9" s="15">
        <v>252886</v>
      </c>
      <c r="C9" s="15">
        <v>206057</v>
      </c>
      <c r="D9" s="15">
        <v>318209</v>
      </c>
      <c r="E9" s="15">
        <v>411230</v>
      </c>
      <c r="F9" s="15">
        <v>448660</v>
      </c>
      <c r="G9" s="15">
        <v>171135</v>
      </c>
      <c r="H9" s="15">
        <v>305339</v>
      </c>
      <c r="I9" s="15">
        <v>432264</v>
      </c>
      <c r="J9" s="15">
        <v>294273</v>
      </c>
      <c r="K9" s="15">
        <v>371409</v>
      </c>
      <c r="L9" s="15">
        <v>284207</v>
      </c>
      <c r="M9" s="15">
        <v>437068</v>
      </c>
    </row>
    <row r="10" spans="1:15" x14ac:dyDescent="0.35">
      <c r="A10" s="13" t="s">
        <v>204</v>
      </c>
      <c r="B10" s="15">
        <v>268752</v>
      </c>
      <c r="C10" s="15">
        <v>393256</v>
      </c>
      <c r="D10" s="15">
        <v>310649</v>
      </c>
      <c r="E10" s="15">
        <v>246237</v>
      </c>
      <c r="F10" s="15">
        <v>271287</v>
      </c>
      <c r="G10" s="15">
        <v>314545</v>
      </c>
      <c r="H10" s="15">
        <v>406506</v>
      </c>
      <c r="I10" s="15">
        <v>334930</v>
      </c>
      <c r="J10" s="15">
        <v>348625</v>
      </c>
      <c r="K10" s="15">
        <v>408928</v>
      </c>
      <c r="L10" s="15">
        <v>243749</v>
      </c>
      <c r="M10" s="15">
        <v>418409</v>
      </c>
    </row>
    <row r="11" spans="1:15" x14ac:dyDescent="0.35">
      <c r="A11" s="13" t="s">
        <v>132</v>
      </c>
      <c r="B11" s="15">
        <v>384734</v>
      </c>
      <c r="C11" s="15">
        <v>156698</v>
      </c>
      <c r="D11" s="15">
        <v>283679</v>
      </c>
      <c r="E11" s="15">
        <v>276085</v>
      </c>
      <c r="F11" s="15">
        <v>409270</v>
      </c>
      <c r="G11" s="15">
        <v>285230</v>
      </c>
      <c r="H11" s="15">
        <v>304233</v>
      </c>
      <c r="I11" s="15">
        <v>178221</v>
      </c>
      <c r="J11" s="15">
        <v>284216</v>
      </c>
      <c r="K11" s="15">
        <v>287373</v>
      </c>
      <c r="L11" s="15">
        <v>229082</v>
      </c>
      <c r="M11" s="15">
        <v>298969</v>
      </c>
    </row>
    <row r="12" spans="1:15" x14ac:dyDescent="0.35">
      <c r="A12" s="13" t="s">
        <v>273</v>
      </c>
      <c r="B12" s="15">
        <v>186029</v>
      </c>
      <c r="C12" s="15">
        <v>151419</v>
      </c>
      <c r="D12" s="15">
        <v>253251</v>
      </c>
      <c r="E12" s="15">
        <v>379757</v>
      </c>
      <c r="F12" s="15">
        <v>204209</v>
      </c>
      <c r="G12" s="15">
        <v>179396</v>
      </c>
      <c r="H12" s="15">
        <v>378008</v>
      </c>
      <c r="I12" s="15">
        <v>182649</v>
      </c>
      <c r="J12" s="15">
        <v>267772</v>
      </c>
      <c r="K12" s="15">
        <v>350352</v>
      </c>
      <c r="L12" s="15">
        <v>358042</v>
      </c>
      <c r="M12" s="15">
        <v>359960</v>
      </c>
    </row>
    <row r="13" spans="1:15" x14ac:dyDescent="0.35">
      <c r="A13" s="13" t="s">
        <v>325</v>
      </c>
      <c r="B13" s="15">
        <v>352158</v>
      </c>
      <c r="C13" s="15">
        <v>251181</v>
      </c>
      <c r="D13" s="15">
        <v>321255</v>
      </c>
      <c r="E13" s="15">
        <v>300863</v>
      </c>
      <c r="F13" s="15">
        <v>241731</v>
      </c>
      <c r="G13" s="15">
        <v>393275</v>
      </c>
      <c r="H13" s="15">
        <v>313561</v>
      </c>
      <c r="I13" s="15">
        <v>283604</v>
      </c>
      <c r="J13" s="15">
        <v>429065</v>
      </c>
      <c r="K13" s="15">
        <v>194420</v>
      </c>
      <c r="L13" s="15">
        <v>254168</v>
      </c>
      <c r="M13" s="15">
        <v>389283</v>
      </c>
    </row>
    <row r="14" spans="1:15" x14ac:dyDescent="0.35">
      <c r="A14" s="13" t="s">
        <v>252</v>
      </c>
      <c r="B14" s="15">
        <v>350003</v>
      </c>
      <c r="C14" s="15">
        <v>384951</v>
      </c>
      <c r="D14" s="15">
        <v>424777</v>
      </c>
      <c r="E14" s="15">
        <v>323282</v>
      </c>
      <c r="F14" s="15">
        <v>427290</v>
      </c>
      <c r="G14" s="15">
        <v>363819</v>
      </c>
      <c r="H14" s="15">
        <v>279496</v>
      </c>
      <c r="I14" s="15">
        <v>190932</v>
      </c>
      <c r="J14" s="15">
        <v>347420</v>
      </c>
      <c r="K14" s="15">
        <v>160215</v>
      </c>
      <c r="L14" s="15">
        <v>388600</v>
      </c>
      <c r="M14" s="15">
        <v>437901</v>
      </c>
    </row>
    <row r="15" spans="1:15" x14ac:dyDescent="0.35">
      <c r="A15" s="13" t="s">
        <v>98</v>
      </c>
      <c r="B15" s="15">
        <v>307327</v>
      </c>
      <c r="C15" s="15">
        <v>377256</v>
      </c>
      <c r="D15" s="15">
        <v>236349</v>
      </c>
      <c r="E15" s="15">
        <v>321223</v>
      </c>
      <c r="F15" s="15">
        <v>268119</v>
      </c>
      <c r="G15" s="15">
        <v>294020</v>
      </c>
      <c r="H15" s="15">
        <v>312180</v>
      </c>
      <c r="I15" s="15">
        <v>390845</v>
      </c>
      <c r="J15" s="15">
        <v>432317</v>
      </c>
      <c r="K15" s="15">
        <v>277613</v>
      </c>
      <c r="L15" s="15">
        <v>373411</v>
      </c>
      <c r="M15" s="15">
        <v>214349</v>
      </c>
    </row>
    <row r="16" spans="1:15" x14ac:dyDescent="0.35">
      <c r="A16" s="13" t="s">
        <v>188</v>
      </c>
      <c r="B16" s="15">
        <v>414207</v>
      </c>
      <c r="C16" s="15">
        <v>376391</v>
      </c>
      <c r="D16" s="15">
        <v>192739</v>
      </c>
      <c r="E16" s="15">
        <v>165892</v>
      </c>
      <c r="F16" s="15">
        <v>187659</v>
      </c>
      <c r="G16" s="15">
        <v>283837</v>
      </c>
      <c r="H16" s="15">
        <v>434871</v>
      </c>
      <c r="I16" s="15">
        <v>369518</v>
      </c>
      <c r="J16" s="15">
        <v>171986</v>
      </c>
      <c r="K16" s="15">
        <v>328460</v>
      </c>
      <c r="L16" s="15">
        <v>418857</v>
      </c>
      <c r="M16" s="15">
        <v>159947</v>
      </c>
    </row>
    <row r="17" spans="1:13" x14ac:dyDescent="0.35">
      <c r="A17" s="13" t="s">
        <v>346</v>
      </c>
      <c r="B17" s="15">
        <v>335614</v>
      </c>
      <c r="C17" s="15">
        <v>325577</v>
      </c>
      <c r="D17" s="15">
        <v>217575</v>
      </c>
      <c r="E17" s="15">
        <v>427851</v>
      </c>
      <c r="F17" s="15">
        <v>438020</v>
      </c>
      <c r="G17" s="15">
        <v>276675</v>
      </c>
      <c r="H17" s="15">
        <v>331096</v>
      </c>
      <c r="I17" s="15">
        <v>282103</v>
      </c>
      <c r="J17" s="15">
        <v>321062</v>
      </c>
      <c r="K17" s="15">
        <v>235137</v>
      </c>
      <c r="L17" s="15">
        <v>279755</v>
      </c>
      <c r="M17" s="15">
        <v>230523</v>
      </c>
    </row>
    <row r="18" spans="1:13" x14ac:dyDescent="0.35">
      <c r="A18" s="13" t="s">
        <v>238</v>
      </c>
      <c r="B18" s="15">
        <v>369725</v>
      </c>
      <c r="C18" s="15">
        <v>181516</v>
      </c>
      <c r="D18" s="15">
        <v>233993</v>
      </c>
      <c r="E18" s="15">
        <v>194261</v>
      </c>
      <c r="F18" s="15">
        <v>233332</v>
      </c>
      <c r="G18" s="15">
        <v>359011</v>
      </c>
      <c r="H18" s="15">
        <v>219264</v>
      </c>
      <c r="I18" s="15">
        <v>391688</v>
      </c>
      <c r="J18" s="15">
        <v>191502</v>
      </c>
      <c r="K18" s="15">
        <v>216536</v>
      </c>
      <c r="L18" s="15">
        <v>205649</v>
      </c>
      <c r="M18" s="15">
        <v>285932</v>
      </c>
    </row>
    <row r="19" spans="1:13" x14ac:dyDescent="0.35">
      <c r="A19" s="13" t="s">
        <v>303</v>
      </c>
      <c r="B19" s="15">
        <v>257718</v>
      </c>
      <c r="C19" s="15">
        <v>413773</v>
      </c>
      <c r="D19" s="15">
        <v>202301</v>
      </c>
      <c r="E19" s="15">
        <v>257477</v>
      </c>
      <c r="F19" s="15">
        <v>372470</v>
      </c>
      <c r="G19" s="15">
        <v>371047</v>
      </c>
      <c r="H19" s="15">
        <v>169457</v>
      </c>
      <c r="I19" s="15">
        <v>202077</v>
      </c>
      <c r="J19" s="15">
        <v>406637</v>
      </c>
      <c r="K19" s="15">
        <v>255393</v>
      </c>
      <c r="L19" s="15">
        <v>158049</v>
      </c>
      <c r="M19" s="15">
        <v>317073</v>
      </c>
    </row>
    <row r="20" spans="1:13" x14ac:dyDescent="0.35">
      <c r="A20" s="13" t="s">
        <v>121</v>
      </c>
      <c r="B20" s="15">
        <v>277098</v>
      </c>
      <c r="C20" s="15">
        <v>284984</v>
      </c>
      <c r="D20" s="15">
        <v>164922</v>
      </c>
      <c r="E20" s="15">
        <v>181579</v>
      </c>
      <c r="F20" s="15">
        <v>260717</v>
      </c>
      <c r="G20" s="15">
        <v>414136</v>
      </c>
      <c r="H20" s="15">
        <v>305447</v>
      </c>
      <c r="I20" s="15">
        <v>283691</v>
      </c>
      <c r="J20" s="15">
        <v>359591</v>
      </c>
      <c r="K20" s="15">
        <v>415531</v>
      </c>
      <c r="L20" s="15">
        <v>383485</v>
      </c>
      <c r="M20" s="15">
        <v>154976</v>
      </c>
    </row>
    <row r="21" spans="1:13" x14ac:dyDescent="0.35">
      <c r="A21" s="13" t="s">
        <v>192</v>
      </c>
      <c r="B21" s="15">
        <v>212521</v>
      </c>
      <c r="C21" s="15">
        <v>245361</v>
      </c>
      <c r="D21" s="15">
        <v>402338</v>
      </c>
      <c r="E21" s="15">
        <v>153034</v>
      </c>
      <c r="F21" s="15">
        <v>274863</v>
      </c>
      <c r="G21" s="15">
        <v>238363</v>
      </c>
      <c r="H21" s="15">
        <v>231270</v>
      </c>
      <c r="I21" s="15">
        <v>245700</v>
      </c>
      <c r="J21" s="15">
        <v>368067</v>
      </c>
      <c r="K21" s="15">
        <v>297022</v>
      </c>
      <c r="L21" s="15">
        <v>413149</v>
      </c>
      <c r="M21" s="15">
        <v>156857</v>
      </c>
    </row>
    <row r="22" spans="1:13" x14ac:dyDescent="0.35">
      <c r="A22" s="13" t="s">
        <v>158</v>
      </c>
      <c r="B22" s="15">
        <v>162799</v>
      </c>
      <c r="C22" s="15">
        <v>304758</v>
      </c>
      <c r="D22" s="15">
        <v>405377</v>
      </c>
      <c r="E22" s="15">
        <v>179658</v>
      </c>
      <c r="F22" s="15">
        <v>404994</v>
      </c>
      <c r="G22" s="15">
        <v>193255</v>
      </c>
      <c r="H22" s="15">
        <v>355444</v>
      </c>
      <c r="I22" s="15">
        <v>246543</v>
      </c>
      <c r="J22" s="15">
        <v>329852</v>
      </c>
      <c r="K22" s="15">
        <v>224665</v>
      </c>
      <c r="L22" s="15">
        <v>361938</v>
      </c>
      <c r="M22" s="15">
        <v>165860</v>
      </c>
    </row>
    <row r="23" spans="1:13" x14ac:dyDescent="0.35">
      <c r="A23" s="13" t="s">
        <v>285</v>
      </c>
      <c r="B23" s="15">
        <v>356537</v>
      </c>
      <c r="C23" s="15">
        <v>448297</v>
      </c>
      <c r="D23" s="15">
        <v>156014</v>
      </c>
      <c r="E23" s="15">
        <v>157667</v>
      </c>
      <c r="F23" s="15">
        <v>172713</v>
      </c>
      <c r="G23" s="15">
        <v>196305</v>
      </c>
      <c r="H23" s="15">
        <v>442484</v>
      </c>
      <c r="I23" s="15">
        <v>293581</v>
      </c>
      <c r="J23" s="15">
        <v>280862</v>
      </c>
      <c r="K23" s="15">
        <v>340676</v>
      </c>
      <c r="L23" s="15">
        <v>343411</v>
      </c>
      <c r="M23" s="15">
        <v>437921</v>
      </c>
    </row>
    <row r="24" spans="1:13" x14ac:dyDescent="0.35">
      <c r="A24" s="13" t="s">
        <v>154</v>
      </c>
      <c r="B24" s="15">
        <v>218099</v>
      </c>
      <c r="C24" s="15">
        <v>412956</v>
      </c>
      <c r="D24" s="15">
        <v>438770</v>
      </c>
      <c r="E24" s="15">
        <v>172679</v>
      </c>
      <c r="F24" s="15">
        <v>343868</v>
      </c>
      <c r="G24" s="15">
        <v>390384</v>
      </c>
      <c r="H24" s="15">
        <v>400933</v>
      </c>
      <c r="I24" s="15">
        <v>211614</v>
      </c>
      <c r="J24" s="15">
        <v>201857</v>
      </c>
      <c r="K24" s="15">
        <v>430835</v>
      </c>
      <c r="L24" s="15">
        <v>193076</v>
      </c>
      <c r="M24" s="15">
        <v>372598</v>
      </c>
    </row>
    <row r="25" spans="1:13" x14ac:dyDescent="0.35">
      <c r="A25" s="13" t="s">
        <v>116</v>
      </c>
      <c r="B25" s="15">
        <v>168635</v>
      </c>
      <c r="C25" s="15">
        <v>214511</v>
      </c>
      <c r="D25" s="15">
        <v>169022</v>
      </c>
      <c r="E25" s="15">
        <v>247159</v>
      </c>
      <c r="F25" s="15">
        <v>304981</v>
      </c>
      <c r="G25" s="15">
        <v>387353</v>
      </c>
      <c r="H25" s="15">
        <v>167057</v>
      </c>
      <c r="I25" s="15">
        <v>403051</v>
      </c>
      <c r="J25" s="15">
        <v>184207</v>
      </c>
      <c r="K25" s="15">
        <v>350145</v>
      </c>
      <c r="L25" s="15">
        <v>376579</v>
      </c>
      <c r="M25" s="15">
        <v>364718</v>
      </c>
    </row>
    <row r="26" spans="1:13" x14ac:dyDescent="0.35">
      <c r="A26" s="13" t="s">
        <v>111</v>
      </c>
      <c r="B26" s="15">
        <v>241742</v>
      </c>
      <c r="C26" s="15">
        <v>376544</v>
      </c>
      <c r="D26" s="15">
        <v>289689</v>
      </c>
      <c r="E26" s="15">
        <v>291365</v>
      </c>
      <c r="F26" s="15">
        <v>151669</v>
      </c>
      <c r="G26" s="15">
        <v>237046</v>
      </c>
      <c r="H26" s="15">
        <v>215592</v>
      </c>
      <c r="I26" s="15">
        <v>256462</v>
      </c>
      <c r="J26" s="15">
        <v>219765</v>
      </c>
      <c r="K26" s="15">
        <v>305885</v>
      </c>
      <c r="L26" s="15">
        <v>170489</v>
      </c>
      <c r="M26" s="15">
        <v>328169</v>
      </c>
    </row>
    <row r="27" spans="1:13" x14ac:dyDescent="0.35">
      <c r="A27" s="13" t="s">
        <v>201</v>
      </c>
      <c r="B27" s="15">
        <v>206632</v>
      </c>
      <c r="C27" s="15">
        <v>418219</v>
      </c>
      <c r="D27" s="15">
        <v>218871</v>
      </c>
      <c r="E27" s="15">
        <v>424496</v>
      </c>
      <c r="F27" s="15">
        <v>269328</v>
      </c>
      <c r="G27" s="15">
        <v>261309</v>
      </c>
      <c r="H27" s="15">
        <v>244265</v>
      </c>
      <c r="I27" s="15">
        <v>228393</v>
      </c>
      <c r="J27" s="15">
        <v>410956</v>
      </c>
      <c r="K27" s="15">
        <v>314259</v>
      </c>
      <c r="L27" s="15">
        <v>297459</v>
      </c>
      <c r="M27" s="15">
        <v>251313</v>
      </c>
    </row>
    <row r="28" spans="1:13" x14ac:dyDescent="0.35">
      <c r="A28" s="13" t="s">
        <v>343</v>
      </c>
      <c r="B28" s="15">
        <v>239781</v>
      </c>
      <c r="C28" s="15">
        <v>430605</v>
      </c>
      <c r="D28" s="15">
        <v>190908</v>
      </c>
      <c r="E28" s="15">
        <v>229129</v>
      </c>
      <c r="F28" s="15">
        <v>196262</v>
      </c>
      <c r="G28" s="15">
        <v>377844</v>
      </c>
      <c r="H28" s="15">
        <v>293147</v>
      </c>
      <c r="I28" s="15">
        <v>370985</v>
      </c>
      <c r="J28" s="15">
        <v>420128</v>
      </c>
      <c r="K28" s="15">
        <v>433140</v>
      </c>
      <c r="L28" s="15">
        <v>408093</v>
      </c>
      <c r="M28" s="15">
        <v>255969</v>
      </c>
    </row>
    <row r="29" spans="1:13" x14ac:dyDescent="0.35">
      <c r="A29" s="13" t="s">
        <v>128</v>
      </c>
      <c r="B29" s="15">
        <v>426872</v>
      </c>
      <c r="C29" s="15">
        <v>171719</v>
      </c>
      <c r="D29" s="15">
        <v>169701</v>
      </c>
      <c r="E29" s="15">
        <v>347987</v>
      </c>
      <c r="F29" s="15">
        <v>216195</v>
      </c>
      <c r="G29" s="15">
        <v>412271</v>
      </c>
      <c r="H29" s="15">
        <v>416393</v>
      </c>
      <c r="I29" s="15">
        <v>353569</v>
      </c>
      <c r="J29" s="15">
        <v>323287</v>
      </c>
      <c r="K29" s="15">
        <v>301789</v>
      </c>
      <c r="L29" s="15">
        <v>208839</v>
      </c>
      <c r="M29" s="15">
        <v>369454</v>
      </c>
    </row>
    <row r="30" spans="1:13" x14ac:dyDescent="0.35">
      <c r="A30" s="13" t="s">
        <v>229</v>
      </c>
      <c r="B30" s="15">
        <v>233369</v>
      </c>
      <c r="C30" s="15">
        <v>371909</v>
      </c>
      <c r="D30" s="15">
        <v>355248</v>
      </c>
      <c r="E30" s="15">
        <v>156409</v>
      </c>
      <c r="F30" s="15">
        <v>308725</v>
      </c>
      <c r="G30" s="15">
        <v>192883</v>
      </c>
      <c r="H30" s="15">
        <v>180902</v>
      </c>
      <c r="I30" s="15">
        <v>168654</v>
      </c>
      <c r="J30" s="15">
        <v>256191</v>
      </c>
      <c r="K30" s="15">
        <v>320737</v>
      </c>
      <c r="L30" s="15">
        <v>430108</v>
      </c>
      <c r="M30" s="15">
        <v>307413</v>
      </c>
    </row>
    <row r="31" spans="1:13" x14ac:dyDescent="0.35">
      <c r="A31" s="13" t="s">
        <v>170</v>
      </c>
      <c r="B31" s="15">
        <v>151584</v>
      </c>
      <c r="C31" s="15">
        <v>221679</v>
      </c>
      <c r="D31" s="15">
        <v>385157</v>
      </c>
      <c r="E31" s="15">
        <v>290386</v>
      </c>
      <c r="F31" s="15">
        <v>236041</v>
      </c>
      <c r="G31" s="15">
        <v>407985</v>
      </c>
      <c r="H31" s="15">
        <v>184446</v>
      </c>
      <c r="I31" s="15">
        <v>342894</v>
      </c>
      <c r="J31" s="15">
        <v>180344</v>
      </c>
      <c r="K31" s="15">
        <v>292917</v>
      </c>
      <c r="L31" s="15">
        <v>314858</v>
      </c>
      <c r="M31" s="15">
        <v>364057</v>
      </c>
    </row>
  </sheetData>
  <pageMargins left="0.75" right="0.75" top="1" bottom="1" header="0.5" footer="0.5"/>
  <pageSetup paperSize="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F21"/>
  <sheetViews>
    <sheetView zoomScale="66" zoomScaleNormal="40" workbookViewId="0">
      <pane ySplit="4" topLeftCell="A5" activePane="bottomLeft" state="frozen"/>
      <selection pane="bottomLeft" activeCell="E12" sqref="E12"/>
    </sheetView>
  </sheetViews>
  <sheetFormatPr defaultRowHeight="14.5" x14ac:dyDescent="0.3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9.7265625" customWidth="1"/>
  </cols>
  <sheetData>
    <row r="1" spans="1:6" ht="30" customHeight="1" x14ac:dyDescent="0.35">
      <c r="A1" s="52" t="s">
        <v>3021</v>
      </c>
      <c r="B1" s="51"/>
      <c r="C1" s="51"/>
      <c r="D1" s="51"/>
      <c r="E1" s="51"/>
      <c r="F1" s="51"/>
    </row>
    <row r="2" spans="1:6" x14ac:dyDescent="0.35">
      <c r="A2" s="50" t="s">
        <v>2898</v>
      </c>
      <c r="B2" s="51"/>
      <c r="C2" s="51"/>
      <c r="D2" s="51"/>
      <c r="E2" s="51"/>
      <c r="F2" s="51"/>
    </row>
    <row r="3" spans="1:6" x14ac:dyDescent="0.35">
      <c r="A3" s="25"/>
      <c r="B3" s="25"/>
      <c r="C3" s="25"/>
      <c r="D3" s="25"/>
      <c r="E3" s="25"/>
      <c r="F3" s="25"/>
    </row>
    <row r="4" spans="1:6" ht="24" customHeight="1" x14ac:dyDescent="0.35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35">
      <c r="A5" s="27" t="s">
        <v>2904</v>
      </c>
      <c r="B5" s="28" t="s">
        <v>2905</v>
      </c>
      <c r="C5" s="29">
        <v>3</v>
      </c>
      <c r="D5" s="30" t="s">
        <v>2906</v>
      </c>
      <c r="E5" s="31" t="str">
        <f>VLOOKUP("ORD-00234",Orders!A2:K2001,3,FALSE)</f>
        <v>CUST-0173</v>
      </c>
      <c r="F5" s="32" t="s">
        <v>2907</v>
      </c>
    </row>
    <row r="6" spans="1:6" ht="42" customHeight="1" x14ac:dyDescent="0.35">
      <c r="A6" s="27" t="s">
        <v>2908</v>
      </c>
      <c r="B6" s="28" t="s">
        <v>2909</v>
      </c>
      <c r="C6" s="29">
        <v>3</v>
      </c>
      <c r="D6" s="30" t="s">
        <v>2910</v>
      </c>
      <c r="E6" s="31" t="str">
        <f>VLOOKUP(VLOOKUP("ORD-00456",Orders!A2:K2001,4,FALSE),Products!A2:F61,2,FALSE)</f>
        <v>Dumbbells 5kg</v>
      </c>
      <c r="F6" s="32" t="s">
        <v>2911</v>
      </c>
    </row>
    <row r="7" spans="1:6" ht="42" customHeight="1" x14ac:dyDescent="0.35">
      <c r="A7" s="27" t="s">
        <v>2912</v>
      </c>
      <c r="B7" s="28" t="s">
        <v>2913</v>
      </c>
      <c r="C7" s="29">
        <v>3</v>
      </c>
      <c r="D7" s="30" t="s">
        <v>3015</v>
      </c>
      <c r="E7" s="31" t="str">
        <f>INDEX(Sales_Reps!B2:B31,MATCH(VLOOKUP("ORD-00987",Orders!A2:K2001,5,FALSE),Sales_Reps!A2:A31,0))</f>
        <v>Nisha Menon</v>
      </c>
      <c r="F7" s="32" t="s">
        <v>2911</v>
      </c>
    </row>
    <row r="8" spans="1:6" ht="42" customHeight="1" x14ac:dyDescent="0.35">
      <c r="A8" s="27" t="s">
        <v>2914</v>
      </c>
      <c r="B8" s="28" t="s">
        <v>2915</v>
      </c>
      <c r="C8" s="29">
        <v>4</v>
      </c>
      <c r="D8" s="30" t="s">
        <v>2916</v>
      </c>
      <c r="E8" s="31">
        <f>INDEX(Targets!B2:M31,MATCH("R012",Targets!A2:A31,0),MATCH("Mar-24",Targets!B1:M1,0))</f>
        <v>321255</v>
      </c>
      <c r="F8" s="32" t="s">
        <v>2917</v>
      </c>
    </row>
    <row r="9" spans="1:6" ht="42" customHeight="1" x14ac:dyDescent="0.35">
      <c r="A9" s="27" t="s">
        <v>2918</v>
      </c>
      <c r="B9" s="28" t="s">
        <v>2919</v>
      </c>
      <c r="C9" s="29">
        <v>4</v>
      </c>
      <c r="D9" s="30" t="s">
        <v>2920</v>
      </c>
      <c r="E9" s="31" t="str">
        <f>VLOOKUP(VLOOKUP("ORD-01500",Orders!A2:K2001,4,FALSE),Products!A2:F61,3,FALSE)</f>
        <v>Electronics</v>
      </c>
      <c r="F9" s="32" t="s">
        <v>2911</v>
      </c>
    </row>
    <row r="10" spans="1:6" ht="42" customHeight="1" x14ac:dyDescent="0.35">
      <c r="A10" s="27" t="s">
        <v>2921</v>
      </c>
      <c r="B10" s="28" t="s">
        <v>2922</v>
      </c>
      <c r="C10" s="29">
        <v>3</v>
      </c>
      <c r="D10" s="30" t="s">
        <v>2923</v>
      </c>
      <c r="E10" s="31" t="str">
        <f>VLOOKUP(VLOOKUP("ORD-00789",Orders!A2:K2001,8,FALSE),B17:C20,2,TRUE)</f>
        <v>Bronze</v>
      </c>
      <c r="F10" s="32" t="s">
        <v>2911</v>
      </c>
    </row>
    <row r="11" spans="1:6" ht="42" customHeight="1" x14ac:dyDescent="0.35">
      <c r="A11" s="27" t="s">
        <v>2924</v>
      </c>
      <c r="B11" s="28" t="s">
        <v>3016</v>
      </c>
      <c r="C11" s="29">
        <v>3</v>
      </c>
      <c r="D11" s="30" t="s">
        <v>2925</v>
      </c>
      <c r="E11" s="31" t="str">
        <f>INDEX(Sales_Reps!B2:B31,MATCH(VLOOKUP("ORD-01234",Orders!A2:K2001,5,FALSE),Sales_Reps!A2:A31,0))&amp;" ("&amp;INDEX(Sales_Reps!C2:C31,MATCH(VLOOKUP("ORD-01234",Orders!A2:K2001,5,FALSE),Sales_Reps!A2:A31,0))&amp;")"</f>
        <v>Sanjay Kapoor (South)</v>
      </c>
      <c r="F11" s="32" t="s">
        <v>2911</v>
      </c>
    </row>
    <row r="12" spans="1:6" ht="42" customHeight="1" x14ac:dyDescent="0.35">
      <c r="A12" s="27" t="s">
        <v>2926</v>
      </c>
      <c r="B12" s="28" t="s">
        <v>3017</v>
      </c>
      <c r="C12" s="29">
        <v>2</v>
      </c>
      <c r="D12" s="30" t="s">
        <v>2927</v>
      </c>
      <c r="E12" s="31" t="str">
        <f>INDEX(Sales_Reps!B2:B31,MATCH(INDEX(Sales_Reps!E2:E31,MATCH("R017",Sales_Reps!A2:A31,0)),Sales_Reps!A2:A31,0))</f>
        <v>Amit Singh</v>
      </c>
      <c r="F12" s="32" t="s">
        <v>2911</v>
      </c>
    </row>
    <row r="15" spans="1:6" x14ac:dyDescent="0.35">
      <c r="B15" s="22" t="s">
        <v>2928</v>
      </c>
    </row>
    <row r="17" spans="2:3" x14ac:dyDescent="0.35">
      <c r="B17" s="23" t="s">
        <v>2929</v>
      </c>
      <c r="C17" s="23" t="s">
        <v>2930</v>
      </c>
    </row>
    <row r="18" spans="2:3" x14ac:dyDescent="0.35">
      <c r="B18" s="24">
        <v>0</v>
      </c>
      <c r="C18" s="24" t="s">
        <v>2931</v>
      </c>
    </row>
    <row r="19" spans="2:3" x14ac:dyDescent="0.35">
      <c r="B19" s="24">
        <v>5</v>
      </c>
      <c r="C19" s="24" t="s">
        <v>2932</v>
      </c>
    </row>
    <row r="20" spans="2:3" x14ac:dyDescent="0.35">
      <c r="B20" s="24">
        <v>15</v>
      </c>
      <c r="C20" s="24" t="s">
        <v>2933</v>
      </c>
    </row>
    <row r="21" spans="2:3" x14ac:dyDescent="0.35">
      <c r="B21" s="24">
        <v>25</v>
      </c>
      <c r="C21" s="24" t="s">
        <v>2934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F10"/>
  <sheetViews>
    <sheetView zoomScale="70" zoomScaleNormal="70" workbookViewId="0">
      <pane ySplit="4" topLeftCell="A5" activePane="bottomLeft" state="frozen"/>
      <selection pane="bottomLeft" activeCell="B13" sqref="B13"/>
    </sheetView>
  </sheetViews>
  <sheetFormatPr defaultRowHeight="14.5" x14ac:dyDescent="0.3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5">
      <c r="A1" s="52" t="s">
        <v>3022</v>
      </c>
      <c r="B1" s="51"/>
      <c r="C1" s="51"/>
      <c r="D1" s="51"/>
      <c r="E1" s="51"/>
      <c r="F1" s="51"/>
    </row>
    <row r="2" spans="1:6" x14ac:dyDescent="0.35">
      <c r="A2" s="50" t="s">
        <v>2935</v>
      </c>
      <c r="B2" s="51"/>
      <c r="C2" s="51"/>
      <c r="D2" s="51"/>
      <c r="E2" s="51"/>
      <c r="F2" s="51"/>
    </row>
    <row r="3" spans="1:6" x14ac:dyDescent="0.35">
      <c r="A3" s="25"/>
      <c r="B3" s="25"/>
      <c r="C3" s="25"/>
      <c r="D3" s="25"/>
      <c r="E3" s="25"/>
      <c r="F3" s="25"/>
    </row>
    <row r="4" spans="1:6" ht="24" customHeight="1" x14ac:dyDescent="0.35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35">
      <c r="A5" s="27" t="s">
        <v>2936</v>
      </c>
      <c r="B5" s="28" t="s">
        <v>2937</v>
      </c>
      <c r="C5" s="29">
        <v>3</v>
      </c>
      <c r="D5" s="30" t="s">
        <v>3019</v>
      </c>
      <c r="E5" s="31">
        <f>SUMPRODUCT((Orders!A2:A2001&lt;&gt;"")*(COUNTIF(Orders!A2:A2001,Orders!A2:A2001)&gt;1)/COUNTIF(Orders!A2:A2001,Orders!A2:A2001))</f>
        <v>20</v>
      </c>
      <c r="F5" s="32" t="s">
        <v>2917</v>
      </c>
    </row>
    <row r="6" spans="1:6" ht="42" customHeight="1" x14ac:dyDescent="0.35">
      <c r="A6" s="27" t="s">
        <v>2938</v>
      </c>
      <c r="B6" s="28" t="s">
        <v>2939</v>
      </c>
      <c r="C6" s="29">
        <v>3</v>
      </c>
      <c r="D6" s="30" t="s">
        <v>2940</v>
      </c>
      <c r="E6" s="31">
        <f>SUMPRODUCT(--(LEN(Customers!B2:B301)&lt;&gt;LEN(TRIM(Customers!B2:B301))))</f>
        <v>15</v>
      </c>
      <c r="F6" s="32" t="s">
        <v>2917</v>
      </c>
    </row>
    <row r="7" spans="1:6" ht="42" customHeight="1" x14ac:dyDescent="0.35">
      <c r="A7" s="27" t="s">
        <v>2941</v>
      </c>
      <c r="B7" s="28" t="s">
        <v>2942</v>
      </c>
      <c r="C7" s="29">
        <v>3</v>
      </c>
      <c r="D7" s="30" t="s">
        <v>2943</v>
      </c>
      <c r="E7" s="31">
        <f ca="1">COUNTA(UNIQUE(UPPER(TRIM(Customers!D2:D301))))</f>
        <v>1</v>
      </c>
      <c r="F7" s="32" t="s">
        <v>2917</v>
      </c>
    </row>
    <row r="8" spans="1:6" ht="42" customHeight="1" x14ac:dyDescent="0.35">
      <c r="A8" s="27" t="s">
        <v>2944</v>
      </c>
      <c r="B8" s="28" t="s">
        <v>2945</v>
      </c>
      <c r="C8" s="29">
        <v>4</v>
      </c>
      <c r="D8" s="30" t="s">
        <v>2946</v>
      </c>
      <c r="E8" s="31">
        <f>SUMPRODUCT(--ISNA(MATCH(Orders!C2:C2001,Customers!A2:A301,0)))</f>
        <v>30</v>
      </c>
      <c r="F8" s="32" t="s">
        <v>2917</v>
      </c>
    </row>
    <row r="9" spans="1:6" ht="42" customHeight="1" x14ac:dyDescent="0.35">
      <c r="A9" s="27" t="s">
        <v>2947</v>
      </c>
      <c r="B9" s="28" t="s">
        <v>2948</v>
      </c>
      <c r="C9" s="29">
        <v>3</v>
      </c>
      <c r="D9" s="30" t="s">
        <v>2949</v>
      </c>
      <c r="E9" s="31">
        <f>SUMPRODUCT(--(IFERROR(VLOOKUP(Orders!D2:D2001,Products!A2:F61,6,FALSE),TRUE)=FALSE))</f>
        <v>0</v>
      </c>
      <c r="F9" s="32" t="s">
        <v>2917</v>
      </c>
    </row>
    <row r="10" spans="1:6" ht="42" customHeight="1" x14ac:dyDescent="0.35">
      <c r="A10" s="27" t="s">
        <v>2950</v>
      </c>
      <c r="B10" s="28" t="s">
        <v>3018</v>
      </c>
      <c r="C10" s="29">
        <v>4</v>
      </c>
      <c r="D10" s="30" t="s">
        <v>2951</v>
      </c>
      <c r="E10" s="31">
        <f>COUNTIFS(Orders!J2:J2001,"Cancelled",Orders!H2:H2001,"&gt;20%")</f>
        <v>238</v>
      </c>
      <c r="F10" s="32" t="s">
        <v>2917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O2001"/>
  <sheetViews>
    <sheetView zoomScale="55" zoomScaleNormal="55" workbookViewId="0">
      <pane ySplit="4" topLeftCell="A5" activePane="bottomLeft" state="frozen"/>
      <selection pane="bottomLeft" activeCell="I16" sqref="I16"/>
    </sheetView>
  </sheetViews>
  <sheetFormatPr defaultRowHeight="14.5" x14ac:dyDescent="0.3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  <col min="8" max="8" width="8.7265625" customWidth="1"/>
  </cols>
  <sheetData>
    <row r="1" spans="1:15" ht="30" customHeight="1" x14ac:dyDescent="0.35">
      <c r="A1" s="53" t="s">
        <v>3023</v>
      </c>
      <c r="B1" s="48"/>
      <c r="C1" s="48"/>
      <c r="D1" s="48"/>
      <c r="E1" s="48"/>
      <c r="F1" s="48"/>
      <c r="H1" s="35"/>
      <c r="I1" s="35"/>
      <c r="J1" s="35"/>
      <c r="K1" s="35"/>
    </row>
    <row r="2" spans="1:15" x14ac:dyDescent="0.35">
      <c r="A2" s="50" t="s">
        <v>2952</v>
      </c>
      <c r="B2" s="51"/>
      <c r="C2" s="51"/>
      <c r="D2" s="51"/>
      <c r="E2" s="51"/>
      <c r="F2" s="51"/>
      <c r="H2" s="34"/>
      <c r="I2" s="33"/>
      <c r="J2" s="34"/>
      <c r="K2" s="34"/>
    </row>
    <row r="3" spans="1:15" x14ac:dyDescent="0.35">
      <c r="A3" s="25"/>
      <c r="B3" s="25"/>
      <c r="C3" s="25"/>
      <c r="D3" s="25"/>
      <c r="E3" s="25"/>
      <c r="F3" s="25"/>
      <c r="H3" s="34"/>
      <c r="I3" s="34"/>
      <c r="J3" s="34"/>
      <c r="K3" s="34"/>
    </row>
    <row r="4" spans="1:15" ht="24" customHeight="1" x14ac:dyDescent="0.35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  <c r="H4" s="34"/>
      <c r="I4" s="34"/>
      <c r="J4" s="34"/>
      <c r="K4" s="34"/>
    </row>
    <row r="5" spans="1:15" ht="42" customHeight="1" x14ac:dyDescent="0.35">
      <c r="A5" s="27" t="s">
        <v>2953</v>
      </c>
      <c r="B5" s="28" t="s">
        <v>2954</v>
      </c>
      <c r="C5" s="29">
        <v>4</v>
      </c>
      <c r="D5" s="30" t="s">
        <v>2955</v>
      </c>
      <c r="E5" s="31">
        <f>SUMPRODUCT((Orders!A2:A2001&lt;&gt;"")*(Orders!B2:B2001&gt;=DATE(2024,7,1))*(Orders!B2:B2001&lt;=DATE(2024,9,30))*(UPPER(TRIM(Orders!K2:K2001))="MUMBAI")*Orders!I2:I2001)</f>
        <v>1217239.0099999998</v>
      </c>
      <c r="F5" s="32" t="s">
        <v>2956</v>
      </c>
      <c r="H5" s="34"/>
      <c r="I5" s="34"/>
      <c r="J5" s="34"/>
      <c r="K5" s="34"/>
    </row>
    <row r="6" spans="1:15" ht="42" customHeight="1" x14ac:dyDescent="0.35">
      <c r="A6" s="27" t="s">
        <v>2957</v>
      </c>
      <c r="B6" s="28" t="s">
        <v>2958</v>
      </c>
      <c r="C6" s="29">
        <v>3</v>
      </c>
      <c r="D6" s="30" t="s">
        <v>2959</v>
      </c>
      <c r="E6" s="31">
        <f>COUNTIFS(Orders!H2:H2001,"&gt;15%",Orders!J2:J2001,"Completed")</f>
        <v>1432</v>
      </c>
      <c r="F6" s="32" t="s">
        <v>2917</v>
      </c>
      <c r="H6" s="34"/>
      <c r="I6" s="34"/>
      <c r="J6" s="34"/>
      <c r="K6" s="34"/>
    </row>
    <row r="7" spans="1:15" ht="42" customHeight="1" x14ac:dyDescent="0.35">
      <c r="A7" s="27" t="s">
        <v>2960</v>
      </c>
      <c r="B7" s="28" t="s">
        <v>3020</v>
      </c>
      <c r="C7" s="29">
        <v>5</v>
      </c>
      <c r="D7" s="30" t="s">
        <v>2961</v>
      </c>
      <c r="E7" s="31">
        <v>13981.4</v>
      </c>
      <c r="F7" s="32" t="s">
        <v>2956</v>
      </c>
      <c r="H7" s="34"/>
      <c r="I7" s="34"/>
      <c r="J7" s="34"/>
      <c r="K7" s="34"/>
    </row>
    <row r="8" spans="1:15" ht="42" customHeight="1" x14ac:dyDescent="0.35">
      <c r="A8" s="27" t="s">
        <v>2962</v>
      </c>
      <c r="B8" s="28" t="s">
        <v>2963</v>
      </c>
      <c r="C8" s="29">
        <v>4</v>
      </c>
      <c r="D8" s="30" t="s">
        <v>2964</v>
      </c>
      <c r="E8" s="31">
        <v>3415946</v>
      </c>
      <c r="F8" s="32" t="s">
        <v>2956</v>
      </c>
      <c r="H8" s="34"/>
      <c r="I8" s="34"/>
      <c r="J8" s="34"/>
      <c r="K8" s="34"/>
    </row>
    <row r="9" spans="1:15" ht="42" customHeight="1" x14ac:dyDescent="0.35">
      <c r="A9" s="27" t="s">
        <v>2965</v>
      </c>
      <c r="B9" s="28" t="s">
        <v>2966</v>
      </c>
      <c r="C9" s="29">
        <v>5</v>
      </c>
      <c r="D9" s="37" t="s">
        <v>2967</v>
      </c>
      <c r="E9" s="31" t="s">
        <v>3031</v>
      </c>
      <c r="F9" s="32" t="s">
        <v>2911</v>
      </c>
      <c r="H9" s="34"/>
      <c r="I9" s="34"/>
      <c r="J9" s="34"/>
      <c r="K9" s="34"/>
    </row>
    <row r="10" spans="1:15" ht="42" customHeight="1" x14ac:dyDescent="0.35">
      <c r="A10" s="27" t="s">
        <v>2968</v>
      </c>
      <c r="B10" s="28" t="s">
        <v>2969</v>
      </c>
      <c r="C10" s="29">
        <v>4</v>
      </c>
      <c r="D10" s="30" t="s">
        <v>2970</v>
      </c>
      <c r="E10" s="31">
        <v>982568.4</v>
      </c>
      <c r="F10" s="32" t="s">
        <v>2956</v>
      </c>
      <c r="H10" s="34"/>
      <c r="I10" s="34"/>
      <c r="J10" s="34"/>
      <c r="K10" s="34"/>
      <c r="N10">
        <v>982568.4</v>
      </c>
      <c r="O10" s="34"/>
    </row>
    <row r="11" spans="1:15" x14ac:dyDescent="0.35">
      <c r="H11" s="34"/>
      <c r="I11" s="34"/>
      <c r="J11" s="34"/>
      <c r="K11" s="34"/>
    </row>
    <row r="12" spans="1:15" x14ac:dyDescent="0.35">
      <c r="H12" s="34"/>
      <c r="I12" s="34"/>
      <c r="J12" s="34"/>
      <c r="K12" s="34"/>
    </row>
    <row r="13" spans="1:15" x14ac:dyDescent="0.35">
      <c r="H13" s="34"/>
      <c r="I13" s="34"/>
      <c r="J13" s="34"/>
      <c r="K13" s="34"/>
    </row>
    <row r="14" spans="1:15" x14ac:dyDescent="0.35">
      <c r="H14" s="34"/>
      <c r="I14" s="34"/>
      <c r="J14" s="34"/>
      <c r="K14" s="34"/>
    </row>
    <row r="15" spans="1:15" x14ac:dyDescent="0.35">
      <c r="H15" s="34"/>
      <c r="I15" s="34"/>
      <c r="J15" s="34"/>
      <c r="K15" s="34"/>
    </row>
    <row r="16" spans="1:15" x14ac:dyDescent="0.35">
      <c r="H16" s="34"/>
      <c r="I16" s="34"/>
      <c r="J16" s="34"/>
      <c r="K16" s="34"/>
    </row>
    <row r="17" spans="8:11" x14ac:dyDescent="0.35">
      <c r="H17" s="34"/>
      <c r="I17" s="34"/>
      <c r="J17" s="34"/>
      <c r="K17" s="34"/>
    </row>
    <row r="18" spans="8:11" x14ac:dyDescent="0.35">
      <c r="H18" s="34"/>
      <c r="I18" s="34"/>
      <c r="J18" s="34"/>
      <c r="K18" s="34"/>
    </row>
    <row r="19" spans="8:11" x14ac:dyDescent="0.35">
      <c r="H19" s="34"/>
      <c r="I19" s="34"/>
      <c r="J19" s="34"/>
      <c r="K19" s="34"/>
    </row>
    <row r="20" spans="8:11" x14ac:dyDescent="0.35">
      <c r="H20" s="34"/>
      <c r="I20" s="34"/>
      <c r="J20" s="34"/>
      <c r="K20" s="34"/>
    </row>
    <row r="21" spans="8:11" x14ac:dyDescent="0.35">
      <c r="H21" s="34"/>
      <c r="I21" s="34"/>
      <c r="J21" s="34"/>
      <c r="K21" s="34"/>
    </row>
    <row r="22" spans="8:11" x14ac:dyDescent="0.35">
      <c r="H22" s="34"/>
      <c r="I22" s="34"/>
      <c r="J22" s="34"/>
      <c r="K22" s="34"/>
    </row>
    <row r="23" spans="8:11" x14ac:dyDescent="0.35">
      <c r="H23" s="34"/>
      <c r="I23" s="34"/>
      <c r="J23" s="34"/>
      <c r="K23" s="34"/>
    </row>
    <row r="24" spans="8:11" x14ac:dyDescent="0.35">
      <c r="H24" s="34"/>
      <c r="I24" s="34"/>
      <c r="J24" s="34"/>
      <c r="K24" s="34"/>
    </row>
    <row r="25" spans="8:11" x14ac:dyDescent="0.35">
      <c r="H25" s="34"/>
      <c r="I25" s="34"/>
      <c r="J25" s="34"/>
      <c r="K25" s="34"/>
    </row>
    <row r="26" spans="8:11" x14ac:dyDescent="0.35">
      <c r="H26" s="34"/>
      <c r="I26" s="34"/>
      <c r="J26" s="34"/>
      <c r="K26" s="34"/>
    </row>
    <row r="27" spans="8:11" x14ac:dyDescent="0.35">
      <c r="H27" s="34"/>
      <c r="I27" s="34"/>
      <c r="J27" s="34"/>
      <c r="K27" s="34"/>
    </row>
    <row r="28" spans="8:11" x14ac:dyDescent="0.35">
      <c r="H28" s="34"/>
      <c r="I28" s="34"/>
      <c r="J28" s="34"/>
      <c r="K28" s="34"/>
    </row>
    <row r="29" spans="8:11" x14ac:dyDescent="0.35">
      <c r="H29" s="34"/>
      <c r="I29" s="34"/>
      <c r="J29" s="34"/>
      <c r="K29" s="34"/>
    </row>
    <row r="30" spans="8:11" x14ac:dyDescent="0.35">
      <c r="H30" s="34"/>
      <c r="I30" s="34"/>
      <c r="J30" s="34"/>
      <c r="K30" s="34"/>
    </row>
    <row r="31" spans="8:11" x14ac:dyDescent="0.35">
      <c r="H31" s="34"/>
      <c r="I31" s="34"/>
      <c r="J31" s="34"/>
      <c r="K31" s="34"/>
    </row>
    <row r="32" spans="8:11" x14ac:dyDescent="0.35">
      <c r="H32" s="34"/>
      <c r="I32" s="34"/>
      <c r="J32" s="34"/>
      <c r="K32" s="34"/>
    </row>
    <row r="33" spans="8:11" x14ac:dyDescent="0.35">
      <c r="H33" s="34"/>
      <c r="I33" s="34"/>
      <c r="J33" s="34"/>
      <c r="K33" s="34"/>
    </row>
    <row r="34" spans="8:11" x14ac:dyDescent="0.35">
      <c r="H34" s="34"/>
      <c r="I34" s="34"/>
      <c r="J34" s="34"/>
      <c r="K34" s="34"/>
    </row>
    <row r="35" spans="8:11" x14ac:dyDescent="0.35">
      <c r="H35" s="34"/>
      <c r="I35" s="34"/>
      <c r="J35" s="34"/>
      <c r="K35" s="34"/>
    </row>
    <row r="36" spans="8:11" x14ac:dyDescent="0.35">
      <c r="H36" s="34"/>
      <c r="I36" s="34"/>
      <c r="J36" s="34"/>
      <c r="K36" s="34"/>
    </row>
    <row r="37" spans="8:11" x14ac:dyDescent="0.35">
      <c r="H37" s="34"/>
      <c r="I37" s="34"/>
      <c r="J37" s="34"/>
      <c r="K37" s="34"/>
    </row>
    <row r="38" spans="8:11" x14ac:dyDescent="0.35">
      <c r="H38" s="34"/>
      <c r="I38" s="34"/>
      <c r="J38" s="34"/>
      <c r="K38" s="34"/>
    </row>
    <row r="39" spans="8:11" x14ac:dyDescent="0.35">
      <c r="H39" s="34"/>
      <c r="I39" s="34"/>
      <c r="J39" s="34"/>
      <c r="K39" s="34"/>
    </row>
    <row r="40" spans="8:11" x14ac:dyDescent="0.35">
      <c r="H40" s="34"/>
      <c r="I40" s="34"/>
      <c r="J40" s="34"/>
      <c r="K40" s="34"/>
    </row>
    <row r="41" spans="8:11" x14ac:dyDescent="0.35">
      <c r="H41" s="34"/>
      <c r="I41" s="34"/>
      <c r="J41" s="34"/>
      <c r="K41" s="34"/>
    </row>
    <row r="42" spans="8:11" x14ac:dyDescent="0.35">
      <c r="H42" s="34"/>
      <c r="I42" s="34"/>
      <c r="J42" s="34"/>
      <c r="K42" s="34"/>
    </row>
    <row r="43" spans="8:11" x14ac:dyDescent="0.35">
      <c r="H43" s="34"/>
      <c r="I43" s="34"/>
      <c r="J43" s="34"/>
      <c r="K43" s="34"/>
    </row>
    <row r="44" spans="8:11" x14ac:dyDescent="0.35">
      <c r="H44" s="34"/>
      <c r="I44" s="34"/>
      <c r="J44" s="34"/>
      <c r="K44" s="34"/>
    </row>
    <row r="45" spans="8:11" x14ac:dyDescent="0.35">
      <c r="H45" s="34"/>
      <c r="I45" s="34"/>
      <c r="J45" s="34"/>
      <c r="K45" s="34"/>
    </row>
    <row r="46" spans="8:11" x14ac:dyDescent="0.35">
      <c r="H46" s="34"/>
      <c r="I46" s="34"/>
      <c r="J46" s="34"/>
      <c r="K46" s="34"/>
    </row>
    <row r="47" spans="8:11" x14ac:dyDescent="0.35">
      <c r="H47" s="34"/>
      <c r="I47" s="34"/>
      <c r="J47" s="34"/>
      <c r="K47" s="34"/>
    </row>
    <row r="48" spans="8:11" x14ac:dyDescent="0.35">
      <c r="H48" s="34"/>
      <c r="I48" s="34"/>
      <c r="J48" s="34"/>
      <c r="K48" s="34"/>
    </row>
    <row r="49" spans="8:11" x14ac:dyDescent="0.35">
      <c r="H49" s="34"/>
      <c r="I49" s="34"/>
      <c r="J49" s="34"/>
      <c r="K49" s="34"/>
    </row>
    <row r="50" spans="8:11" x14ac:dyDescent="0.35">
      <c r="H50" s="34"/>
      <c r="I50" s="34"/>
      <c r="J50" s="34"/>
      <c r="K50" s="34"/>
    </row>
    <row r="51" spans="8:11" x14ac:dyDescent="0.35">
      <c r="H51" s="34"/>
      <c r="I51" s="34"/>
      <c r="J51" s="34"/>
      <c r="K51" s="34"/>
    </row>
    <row r="52" spans="8:11" x14ac:dyDescent="0.35">
      <c r="H52" s="34"/>
      <c r="I52" s="34"/>
      <c r="J52" s="34"/>
      <c r="K52" s="34"/>
    </row>
    <row r="53" spans="8:11" x14ac:dyDescent="0.35">
      <c r="H53" s="34"/>
      <c r="I53" s="34"/>
      <c r="J53" s="34"/>
      <c r="K53" s="34"/>
    </row>
    <row r="54" spans="8:11" x14ac:dyDescent="0.35">
      <c r="H54" s="34"/>
      <c r="I54" s="34"/>
      <c r="J54" s="34"/>
      <c r="K54" s="34"/>
    </row>
    <row r="55" spans="8:11" x14ac:dyDescent="0.35">
      <c r="H55" s="34"/>
      <c r="I55" s="34"/>
      <c r="J55" s="34"/>
      <c r="K55" s="34"/>
    </row>
    <row r="56" spans="8:11" x14ac:dyDescent="0.35">
      <c r="H56" s="34"/>
      <c r="I56" s="34"/>
      <c r="J56" s="34"/>
      <c r="K56" s="34"/>
    </row>
    <row r="57" spans="8:11" x14ac:dyDescent="0.35">
      <c r="H57" s="34"/>
      <c r="I57" s="34"/>
      <c r="J57" s="34"/>
      <c r="K57" s="34"/>
    </row>
    <row r="58" spans="8:11" x14ac:dyDescent="0.35">
      <c r="H58" s="34"/>
      <c r="I58" s="34"/>
      <c r="J58" s="34"/>
      <c r="K58" s="34"/>
    </row>
    <row r="59" spans="8:11" x14ac:dyDescent="0.35">
      <c r="H59" s="34"/>
      <c r="I59" s="34"/>
      <c r="J59" s="34"/>
      <c r="K59" s="34"/>
    </row>
    <row r="60" spans="8:11" x14ac:dyDescent="0.35">
      <c r="H60" s="34"/>
      <c r="I60" s="34"/>
      <c r="J60" s="34"/>
      <c r="K60" s="34"/>
    </row>
    <row r="61" spans="8:11" x14ac:dyDescent="0.35">
      <c r="H61" s="34"/>
      <c r="I61" s="34"/>
      <c r="J61" s="34"/>
      <c r="K61" s="34"/>
    </row>
    <row r="62" spans="8:11" x14ac:dyDescent="0.35">
      <c r="H62" s="34"/>
      <c r="I62" s="34"/>
      <c r="J62" s="34"/>
      <c r="K62" s="34"/>
    </row>
    <row r="63" spans="8:11" x14ac:dyDescent="0.35">
      <c r="H63" s="34"/>
      <c r="I63" s="34"/>
      <c r="J63" s="34"/>
      <c r="K63" s="34"/>
    </row>
    <row r="64" spans="8:11" x14ac:dyDescent="0.35">
      <c r="H64" s="34"/>
      <c r="I64" s="34"/>
      <c r="J64" s="34"/>
      <c r="K64" s="34"/>
    </row>
    <row r="65" spans="8:11" x14ac:dyDescent="0.35">
      <c r="H65" s="34"/>
      <c r="I65" s="34"/>
      <c r="J65" s="34"/>
      <c r="K65" s="34"/>
    </row>
    <row r="66" spans="8:11" x14ac:dyDescent="0.35">
      <c r="H66" s="34"/>
      <c r="I66" s="34"/>
      <c r="J66" s="34"/>
      <c r="K66" s="34"/>
    </row>
    <row r="67" spans="8:11" x14ac:dyDescent="0.35">
      <c r="H67" s="34"/>
      <c r="I67" s="34"/>
      <c r="J67" s="34"/>
      <c r="K67" s="34"/>
    </row>
    <row r="68" spans="8:11" x14ac:dyDescent="0.35">
      <c r="H68" s="34"/>
      <c r="I68" s="34"/>
      <c r="J68" s="34"/>
      <c r="K68" s="34"/>
    </row>
    <row r="69" spans="8:11" x14ac:dyDescent="0.35">
      <c r="H69" s="34"/>
      <c r="I69" s="34"/>
      <c r="J69" s="34"/>
      <c r="K69" s="34"/>
    </row>
    <row r="70" spans="8:11" x14ac:dyDescent="0.35">
      <c r="H70" s="34"/>
      <c r="I70" s="34"/>
      <c r="J70" s="34"/>
      <c r="K70" s="34"/>
    </row>
    <row r="71" spans="8:11" x14ac:dyDescent="0.35">
      <c r="H71" s="34"/>
      <c r="I71" s="34"/>
      <c r="J71" s="34"/>
      <c r="K71" s="34"/>
    </row>
    <row r="72" spans="8:11" x14ac:dyDescent="0.35">
      <c r="H72" s="34"/>
      <c r="I72" s="34"/>
      <c r="J72" s="34"/>
      <c r="K72" s="34"/>
    </row>
    <row r="73" spans="8:11" x14ac:dyDescent="0.35">
      <c r="H73" s="34"/>
      <c r="I73" s="34"/>
      <c r="J73" s="34"/>
      <c r="K73" s="34"/>
    </row>
    <row r="74" spans="8:11" x14ac:dyDescent="0.35">
      <c r="H74" s="34"/>
      <c r="I74" s="34"/>
      <c r="J74" s="34"/>
      <c r="K74" s="34"/>
    </row>
    <row r="75" spans="8:11" x14ac:dyDescent="0.35">
      <c r="H75" s="34"/>
      <c r="I75" s="34"/>
      <c r="J75" s="34"/>
      <c r="K75" s="34"/>
    </row>
    <row r="76" spans="8:11" x14ac:dyDescent="0.35">
      <c r="H76" s="34"/>
      <c r="I76" s="34"/>
      <c r="J76" s="34"/>
      <c r="K76" s="34"/>
    </row>
    <row r="77" spans="8:11" x14ac:dyDescent="0.35">
      <c r="H77" s="34"/>
      <c r="I77" s="34"/>
      <c r="J77" s="34"/>
      <c r="K77" s="34"/>
    </row>
    <row r="78" spans="8:11" x14ac:dyDescent="0.35">
      <c r="H78" s="34"/>
      <c r="I78" s="34"/>
      <c r="J78" s="34"/>
      <c r="K78" s="34"/>
    </row>
    <row r="79" spans="8:11" x14ac:dyDescent="0.35">
      <c r="H79" s="34"/>
      <c r="I79" s="34"/>
      <c r="J79" s="34"/>
      <c r="K79" s="34"/>
    </row>
    <row r="80" spans="8:11" x14ac:dyDescent="0.35">
      <c r="H80" s="34"/>
      <c r="I80" s="34"/>
      <c r="J80" s="34"/>
      <c r="K80" s="34"/>
    </row>
    <row r="81" spans="8:11" x14ac:dyDescent="0.35">
      <c r="H81" s="34"/>
      <c r="I81" s="34"/>
      <c r="J81" s="34"/>
      <c r="K81" s="34"/>
    </row>
    <row r="82" spans="8:11" x14ac:dyDescent="0.35">
      <c r="H82" s="34"/>
      <c r="I82" s="34"/>
      <c r="J82" s="34"/>
      <c r="K82" s="34"/>
    </row>
    <row r="83" spans="8:11" x14ac:dyDescent="0.35">
      <c r="H83" s="34"/>
      <c r="I83" s="34"/>
      <c r="J83" s="34"/>
      <c r="K83" s="34"/>
    </row>
    <row r="84" spans="8:11" x14ac:dyDescent="0.35">
      <c r="H84" s="34"/>
      <c r="I84" s="34"/>
      <c r="J84" s="34"/>
      <c r="K84" s="34"/>
    </row>
    <row r="85" spans="8:11" x14ac:dyDescent="0.35">
      <c r="H85" s="34"/>
      <c r="I85" s="34"/>
      <c r="J85" s="34"/>
      <c r="K85" s="34"/>
    </row>
    <row r="86" spans="8:11" x14ac:dyDescent="0.35">
      <c r="H86" s="34"/>
      <c r="I86" s="34"/>
      <c r="J86" s="34"/>
      <c r="K86" s="34"/>
    </row>
    <row r="87" spans="8:11" x14ac:dyDescent="0.35">
      <c r="H87" s="34"/>
      <c r="I87" s="34"/>
      <c r="J87" s="34"/>
      <c r="K87" s="34"/>
    </row>
    <row r="88" spans="8:11" x14ac:dyDescent="0.35">
      <c r="H88" s="34"/>
      <c r="I88" s="34"/>
      <c r="J88" s="34"/>
      <c r="K88" s="34"/>
    </row>
    <row r="89" spans="8:11" x14ac:dyDescent="0.35">
      <c r="H89" s="34"/>
      <c r="I89" s="34"/>
      <c r="J89" s="34"/>
      <c r="K89" s="34"/>
    </row>
    <row r="90" spans="8:11" x14ac:dyDescent="0.35">
      <c r="H90" s="34"/>
      <c r="I90" s="34"/>
      <c r="J90" s="34"/>
      <c r="K90" s="34"/>
    </row>
    <row r="91" spans="8:11" x14ac:dyDescent="0.35">
      <c r="H91" s="34"/>
      <c r="I91" s="34"/>
      <c r="J91" s="34"/>
      <c r="K91" s="34"/>
    </row>
    <row r="92" spans="8:11" x14ac:dyDescent="0.35">
      <c r="H92" s="34"/>
      <c r="I92" s="34"/>
      <c r="J92" s="34"/>
      <c r="K92" s="34"/>
    </row>
    <row r="93" spans="8:11" x14ac:dyDescent="0.35">
      <c r="H93" s="34"/>
      <c r="I93" s="34"/>
      <c r="J93" s="34"/>
      <c r="K93" s="34"/>
    </row>
    <row r="94" spans="8:11" x14ac:dyDescent="0.35">
      <c r="H94" s="34"/>
      <c r="I94" s="34"/>
      <c r="J94" s="34"/>
      <c r="K94" s="34"/>
    </row>
    <row r="95" spans="8:11" x14ac:dyDescent="0.35">
      <c r="H95" s="34"/>
      <c r="I95" s="34"/>
      <c r="J95" s="34"/>
      <c r="K95" s="34"/>
    </row>
    <row r="96" spans="8:11" x14ac:dyDescent="0.35">
      <c r="H96" s="34"/>
      <c r="I96" s="34"/>
      <c r="J96" s="34"/>
      <c r="K96" s="34"/>
    </row>
    <row r="97" spans="8:11" x14ac:dyDescent="0.35">
      <c r="H97" s="34"/>
      <c r="I97" s="34"/>
      <c r="J97" s="34"/>
      <c r="K97" s="34"/>
    </row>
    <row r="98" spans="8:11" x14ac:dyDescent="0.35">
      <c r="H98" s="34"/>
      <c r="I98" s="34"/>
      <c r="J98" s="34"/>
      <c r="K98" s="34"/>
    </row>
    <row r="99" spans="8:11" x14ac:dyDescent="0.35">
      <c r="H99" s="34"/>
      <c r="I99" s="34"/>
      <c r="J99" s="34"/>
      <c r="K99" s="34"/>
    </row>
    <row r="100" spans="8:11" x14ac:dyDescent="0.35">
      <c r="H100" s="34"/>
      <c r="I100" s="34"/>
      <c r="J100" s="34"/>
      <c r="K100" s="34"/>
    </row>
    <row r="101" spans="8:11" x14ac:dyDescent="0.35">
      <c r="H101" s="34"/>
      <c r="I101" s="34"/>
      <c r="J101" s="34"/>
      <c r="K101" s="34"/>
    </row>
    <row r="102" spans="8:11" x14ac:dyDescent="0.35">
      <c r="H102" s="34"/>
      <c r="I102" s="34"/>
      <c r="J102" s="34"/>
      <c r="K102" s="34"/>
    </row>
    <row r="103" spans="8:11" x14ac:dyDescent="0.35">
      <c r="H103" s="34"/>
      <c r="I103" s="34"/>
      <c r="J103" s="34"/>
      <c r="K103" s="34"/>
    </row>
    <row r="104" spans="8:11" x14ac:dyDescent="0.35">
      <c r="H104" s="34"/>
      <c r="I104" s="34"/>
      <c r="J104" s="34"/>
      <c r="K104" s="34"/>
    </row>
    <row r="105" spans="8:11" x14ac:dyDescent="0.35">
      <c r="H105" s="34"/>
      <c r="I105" s="34"/>
      <c r="J105" s="34"/>
      <c r="K105" s="34"/>
    </row>
    <row r="106" spans="8:11" x14ac:dyDescent="0.35">
      <c r="H106" s="34"/>
      <c r="I106" s="34"/>
      <c r="J106" s="34"/>
      <c r="K106" s="34"/>
    </row>
    <row r="107" spans="8:11" x14ac:dyDescent="0.35">
      <c r="H107" s="34"/>
      <c r="I107" s="34"/>
      <c r="J107" s="34"/>
      <c r="K107" s="34"/>
    </row>
    <row r="108" spans="8:11" x14ac:dyDescent="0.35">
      <c r="H108" s="34"/>
      <c r="I108" s="34"/>
      <c r="J108" s="34"/>
      <c r="K108" s="34"/>
    </row>
    <row r="109" spans="8:11" x14ac:dyDescent="0.35">
      <c r="H109" s="34"/>
      <c r="I109" s="34"/>
      <c r="J109" s="34"/>
      <c r="K109" s="34"/>
    </row>
    <row r="110" spans="8:11" x14ac:dyDescent="0.35">
      <c r="H110" s="34"/>
      <c r="I110" s="34"/>
      <c r="J110" s="34"/>
      <c r="K110" s="34"/>
    </row>
    <row r="111" spans="8:11" x14ac:dyDescent="0.35">
      <c r="H111" s="34"/>
      <c r="I111" s="34"/>
      <c r="J111" s="34"/>
      <c r="K111" s="34"/>
    </row>
    <row r="112" spans="8:11" x14ac:dyDescent="0.35">
      <c r="H112" s="34"/>
      <c r="I112" s="34"/>
      <c r="J112" s="34"/>
      <c r="K112" s="34"/>
    </row>
    <row r="113" spans="8:11" x14ac:dyDescent="0.35">
      <c r="H113" s="34"/>
      <c r="I113" s="34"/>
      <c r="J113" s="34"/>
      <c r="K113" s="34"/>
    </row>
    <row r="114" spans="8:11" x14ac:dyDescent="0.35">
      <c r="H114" s="34"/>
      <c r="I114" s="34"/>
      <c r="J114" s="34"/>
      <c r="K114" s="34"/>
    </row>
    <row r="115" spans="8:11" x14ac:dyDescent="0.35">
      <c r="H115" s="34"/>
      <c r="I115" s="34"/>
      <c r="J115" s="34"/>
      <c r="K115" s="34"/>
    </row>
    <row r="116" spans="8:11" x14ac:dyDescent="0.35">
      <c r="H116" s="34"/>
      <c r="I116" s="34"/>
      <c r="J116" s="34"/>
      <c r="K116" s="34"/>
    </row>
    <row r="117" spans="8:11" x14ac:dyDescent="0.35">
      <c r="H117" s="34"/>
      <c r="I117" s="34"/>
      <c r="J117" s="34"/>
      <c r="K117" s="34"/>
    </row>
    <row r="118" spans="8:11" x14ac:dyDescent="0.35">
      <c r="H118" s="34"/>
      <c r="I118" s="34"/>
      <c r="J118" s="34"/>
      <c r="K118" s="34"/>
    </row>
    <row r="119" spans="8:11" x14ac:dyDescent="0.35">
      <c r="H119" s="34"/>
      <c r="I119" s="34"/>
      <c r="J119" s="34"/>
      <c r="K119" s="34"/>
    </row>
    <row r="120" spans="8:11" x14ac:dyDescent="0.35">
      <c r="H120" s="34"/>
      <c r="I120" s="34"/>
      <c r="J120" s="34"/>
      <c r="K120" s="34"/>
    </row>
    <row r="121" spans="8:11" x14ac:dyDescent="0.35">
      <c r="H121" s="34"/>
      <c r="I121" s="34"/>
      <c r="J121" s="34"/>
      <c r="K121" s="34"/>
    </row>
    <row r="122" spans="8:11" x14ac:dyDescent="0.35">
      <c r="H122" s="34"/>
      <c r="I122" s="34"/>
      <c r="J122" s="34"/>
      <c r="K122" s="34"/>
    </row>
    <row r="123" spans="8:11" x14ac:dyDescent="0.35">
      <c r="H123" s="34"/>
      <c r="I123" s="34"/>
      <c r="J123" s="34"/>
      <c r="K123" s="34"/>
    </row>
    <row r="124" spans="8:11" x14ac:dyDescent="0.35">
      <c r="H124" s="34"/>
      <c r="I124" s="34"/>
      <c r="J124" s="34"/>
      <c r="K124" s="34"/>
    </row>
    <row r="125" spans="8:11" x14ac:dyDescent="0.35">
      <c r="H125" s="34"/>
      <c r="I125" s="34"/>
      <c r="J125" s="34"/>
      <c r="K125" s="34"/>
    </row>
    <row r="126" spans="8:11" x14ac:dyDescent="0.35">
      <c r="H126" s="34"/>
      <c r="I126" s="34"/>
      <c r="J126" s="34"/>
      <c r="K126" s="34"/>
    </row>
    <row r="127" spans="8:11" x14ac:dyDescent="0.35">
      <c r="H127" s="34"/>
      <c r="I127" s="34"/>
      <c r="J127" s="34"/>
      <c r="K127" s="34"/>
    </row>
    <row r="128" spans="8:11" x14ac:dyDescent="0.35">
      <c r="H128" s="34"/>
      <c r="I128" s="34"/>
      <c r="J128" s="34"/>
      <c r="K128" s="34"/>
    </row>
    <row r="129" spans="8:11" x14ac:dyDescent="0.35">
      <c r="H129" s="34"/>
      <c r="I129" s="34"/>
      <c r="J129" s="34"/>
      <c r="K129" s="34"/>
    </row>
    <row r="130" spans="8:11" x14ac:dyDescent="0.35">
      <c r="H130" s="34"/>
      <c r="I130" s="34"/>
      <c r="J130" s="34"/>
      <c r="K130" s="34"/>
    </row>
    <row r="131" spans="8:11" x14ac:dyDescent="0.35">
      <c r="H131" s="34"/>
      <c r="I131" s="34"/>
      <c r="J131" s="34"/>
      <c r="K131" s="34"/>
    </row>
    <row r="132" spans="8:11" x14ac:dyDescent="0.35">
      <c r="H132" s="34"/>
      <c r="I132" s="34"/>
      <c r="J132" s="34"/>
      <c r="K132" s="34"/>
    </row>
    <row r="133" spans="8:11" x14ac:dyDescent="0.35">
      <c r="H133" s="34"/>
      <c r="I133" s="34"/>
      <c r="J133" s="34"/>
      <c r="K133" s="34"/>
    </row>
    <row r="134" spans="8:11" x14ac:dyDescent="0.35">
      <c r="H134" s="34"/>
      <c r="I134" s="34"/>
      <c r="J134" s="34"/>
      <c r="K134" s="34"/>
    </row>
    <row r="135" spans="8:11" x14ac:dyDescent="0.35">
      <c r="H135" s="34"/>
      <c r="I135" s="34"/>
      <c r="J135" s="34"/>
      <c r="K135" s="34"/>
    </row>
    <row r="136" spans="8:11" x14ac:dyDescent="0.35">
      <c r="H136" s="34"/>
      <c r="I136" s="34"/>
      <c r="J136" s="34"/>
      <c r="K136" s="34"/>
    </row>
    <row r="137" spans="8:11" x14ac:dyDescent="0.35">
      <c r="H137" s="34"/>
      <c r="I137" s="34"/>
      <c r="J137" s="34"/>
      <c r="K137" s="34"/>
    </row>
    <row r="138" spans="8:11" x14ac:dyDescent="0.35">
      <c r="H138" s="34"/>
      <c r="I138" s="34"/>
      <c r="J138" s="34"/>
      <c r="K138" s="34"/>
    </row>
    <row r="139" spans="8:11" x14ac:dyDescent="0.35">
      <c r="H139" s="34"/>
      <c r="I139" s="34"/>
      <c r="J139" s="34"/>
      <c r="K139" s="34"/>
    </row>
    <row r="140" spans="8:11" x14ac:dyDescent="0.35">
      <c r="H140" s="34"/>
      <c r="I140" s="34"/>
      <c r="J140" s="34"/>
      <c r="K140" s="34"/>
    </row>
    <row r="141" spans="8:11" x14ac:dyDescent="0.35">
      <c r="H141" s="34"/>
      <c r="I141" s="34"/>
      <c r="J141" s="34"/>
      <c r="K141" s="34"/>
    </row>
    <row r="142" spans="8:11" x14ac:dyDescent="0.35">
      <c r="H142" s="34"/>
      <c r="I142" s="34"/>
      <c r="J142" s="34"/>
      <c r="K142" s="34"/>
    </row>
    <row r="143" spans="8:11" x14ac:dyDescent="0.35">
      <c r="H143" s="34"/>
      <c r="I143" s="34"/>
      <c r="J143" s="34"/>
      <c r="K143" s="34"/>
    </row>
    <row r="144" spans="8:11" x14ac:dyDescent="0.35">
      <c r="H144" s="34"/>
      <c r="I144" s="34"/>
      <c r="J144" s="34"/>
      <c r="K144" s="34"/>
    </row>
    <row r="145" spans="8:11" x14ac:dyDescent="0.35">
      <c r="H145" s="34"/>
      <c r="I145" s="34"/>
      <c r="J145" s="34"/>
      <c r="K145" s="34"/>
    </row>
    <row r="146" spans="8:11" x14ac:dyDescent="0.35">
      <c r="H146" s="34"/>
      <c r="I146" s="34"/>
      <c r="J146" s="34"/>
      <c r="K146" s="34"/>
    </row>
    <row r="147" spans="8:11" x14ac:dyDescent="0.35">
      <c r="H147" s="34"/>
      <c r="I147" s="34"/>
      <c r="J147" s="34"/>
      <c r="K147" s="34"/>
    </row>
    <row r="148" spans="8:11" x14ac:dyDescent="0.35">
      <c r="H148" s="34"/>
      <c r="I148" s="34"/>
      <c r="J148" s="34"/>
      <c r="K148" s="34"/>
    </row>
    <row r="149" spans="8:11" x14ac:dyDescent="0.35">
      <c r="H149" s="34"/>
      <c r="I149" s="34"/>
      <c r="J149" s="34"/>
      <c r="K149" s="34"/>
    </row>
    <row r="150" spans="8:11" x14ac:dyDescent="0.35">
      <c r="H150" s="34"/>
      <c r="I150" s="34"/>
      <c r="J150" s="34"/>
      <c r="K150" s="34"/>
    </row>
    <row r="151" spans="8:11" x14ac:dyDescent="0.35">
      <c r="H151" s="34"/>
      <c r="I151" s="34"/>
      <c r="J151" s="34"/>
      <c r="K151" s="34"/>
    </row>
    <row r="152" spans="8:11" x14ac:dyDescent="0.35">
      <c r="H152" s="34"/>
      <c r="I152" s="34"/>
      <c r="J152" s="34"/>
      <c r="K152" s="34"/>
    </row>
    <row r="153" spans="8:11" x14ac:dyDescent="0.35">
      <c r="H153" s="34"/>
      <c r="I153" s="34"/>
      <c r="J153" s="34"/>
      <c r="K153" s="34"/>
    </row>
    <row r="154" spans="8:11" x14ac:dyDescent="0.35">
      <c r="H154" s="34"/>
      <c r="I154" s="34"/>
      <c r="J154" s="34"/>
      <c r="K154" s="34"/>
    </row>
    <row r="155" spans="8:11" x14ac:dyDescent="0.35">
      <c r="H155" s="34"/>
      <c r="I155" s="34"/>
      <c r="J155" s="34"/>
      <c r="K155" s="34"/>
    </row>
    <row r="156" spans="8:11" x14ac:dyDescent="0.35">
      <c r="H156" s="34"/>
      <c r="I156" s="34"/>
      <c r="J156" s="34"/>
      <c r="K156" s="34"/>
    </row>
    <row r="157" spans="8:11" x14ac:dyDescent="0.35">
      <c r="H157" s="34"/>
      <c r="I157" s="34"/>
      <c r="J157" s="34"/>
      <c r="K157" s="34"/>
    </row>
    <row r="158" spans="8:11" x14ac:dyDescent="0.35">
      <c r="H158" s="34"/>
      <c r="I158" s="34"/>
      <c r="J158" s="34"/>
      <c r="K158" s="34"/>
    </row>
    <row r="159" spans="8:11" x14ac:dyDescent="0.35">
      <c r="H159" s="34"/>
      <c r="I159" s="34"/>
      <c r="J159" s="34"/>
      <c r="K159" s="34"/>
    </row>
    <row r="160" spans="8:11" x14ac:dyDescent="0.35">
      <c r="H160" s="34"/>
      <c r="I160" s="34"/>
      <c r="J160" s="34"/>
      <c r="K160" s="34"/>
    </row>
    <row r="161" spans="8:11" x14ac:dyDescent="0.35">
      <c r="H161" s="34"/>
      <c r="I161" s="34"/>
      <c r="J161" s="34"/>
      <c r="K161" s="34"/>
    </row>
    <row r="162" spans="8:11" x14ac:dyDescent="0.35">
      <c r="H162" s="34"/>
      <c r="I162" s="34"/>
      <c r="J162" s="34"/>
      <c r="K162" s="34"/>
    </row>
    <row r="163" spans="8:11" x14ac:dyDescent="0.35">
      <c r="H163" s="34"/>
      <c r="I163" s="34"/>
      <c r="J163" s="34"/>
      <c r="K163" s="34"/>
    </row>
    <row r="164" spans="8:11" x14ac:dyDescent="0.35">
      <c r="H164" s="34"/>
      <c r="I164" s="34"/>
      <c r="J164" s="34"/>
      <c r="K164" s="34"/>
    </row>
    <row r="165" spans="8:11" x14ac:dyDescent="0.35">
      <c r="H165" s="34"/>
      <c r="I165" s="34"/>
      <c r="J165" s="34"/>
      <c r="K165" s="34"/>
    </row>
    <row r="166" spans="8:11" x14ac:dyDescent="0.35">
      <c r="H166" s="34"/>
      <c r="I166" s="34"/>
      <c r="J166" s="34"/>
      <c r="K166" s="34"/>
    </row>
    <row r="167" spans="8:11" x14ac:dyDescent="0.35">
      <c r="H167" s="34"/>
      <c r="I167" s="34"/>
      <c r="J167" s="34"/>
      <c r="K167" s="34"/>
    </row>
    <row r="168" spans="8:11" x14ac:dyDescent="0.35">
      <c r="H168" s="34"/>
      <c r="I168" s="34"/>
      <c r="J168" s="34"/>
      <c r="K168" s="34"/>
    </row>
    <row r="169" spans="8:11" x14ac:dyDescent="0.35">
      <c r="H169" s="34"/>
      <c r="I169" s="34"/>
      <c r="J169" s="34"/>
      <c r="K169" s="34"/>
    </row>
    <row r="170" spans="8:11" x14ac:dyDescent="0.35">
      <c r="H170" s="34"/>
      <c r="I170" s="34"/>
      <c r="J170" s="34"/>
      <c r="K170" s="34"/>
    </row>
    <row r="171" spans="8:11" x14ac:dyDescent="0.35">
      <c r="H171" s="34"/>
      <c r="I171" s="34"/>
      <c r="J171" s="34"/>
      <c r="K171" s="34"/>
    </row>
    <row r="172" spans="8:11" x14ac:dyDescent="0.35">
      <c r="H172" s="34"/>
      <c r="I172" s="34"/>
      <c r="J172" s="34"/>
      <c r="K172" s="34"/>
    </row>
    <row r="173" spans="8:11" x14ac:dyDescent="0.35">
      <c r="H173" s="34"/>
      <c r="I173" s="34"/>
      <c r="J173" s="34"/>
      <c r="K173" s="34"/>
    </row>
    <row r="174" spans="8:11" x14ac:dyDescent="0.35">
      <c r="H174" s="34"/>
      <c r="I174" s="34"/>
      <c r="J174" s="34"/>
      <c r="K174" s="34"/>
    </row>
    <row r="175" spans="8:11" x14ac:dyDescent="0.35">
      <c r="H175" s="34"/>
      <c r="I175" s="34"/>
      <c r="J175" s="34"/>
      <c r="K175" s="34"/>
    </row>
    <row r="176" spans="8:11" x14ac:dyDescent="0.35">
      <c r="H176" s="34"/>
      <c r="I176" s="34"/>
      <c r="J176" s="34"/>
      <c r="K176" s="34"/>
    </row>
    <row r="177" spans="8:11" x14ac:dyDescent="0.35">
      <c r="H177" s="34"/>
      <c r="I177" s="34"/>
      <c r="J177" s="34"/>
      <c r="K177" s="34"/>
    </row>
    <row r="178" spans="8:11" x14ac:dyDescent="0.35">
      <c r="H178" s="34"/>
      <c r="I178" s="34"/>
      <c r="J178" s="34"/>
      <c r="K178" s="34"/>
    </row>
    <row r="179" spans="8:11" x14ac:dyDescent="0.35">
      <c r="H179" s="34"/>
      <c r="I179" s="34"/>
      <c r="J179" s="34"/>
      <c r="K179" s="34"/>
    </row>
    <row r="180" spans="8:11" x14ac:dyDescent="0.35">
      <c r="H180" s="34"/>
      <c r="I180" s="34"/>
      <c r="J180" s="34"/>
      <c r="K180" s="34"/>
    </row>
    <row r="181" spans="8:11" x14ac:dyDescent="0.35">
      <c r="H181" s="34"/>
      <c r="I181" s="34"/>
      <c r="J181" s="34"/>
      <c r="K181" s="34"/>
    </row>
    <row r="182" spans="8:11" x14ac:dyDescent="0.35">
      <c r="H182" s="34"/>
      <c r="I182" s="34"/>
      <c r="J182" s="34"/>
      <c r="K182" s="34"/>
    </row>
    <row r="183" spans="8:11" x14ac:dyDescent="0.35">
      <c r="H183" s="34"/>
      <c r="I183" s="34"/>
      <c r="J183" s="34"/>
      <c r="K183" s="34"/>
    </row>
    <row r="184" spans="8:11" x14ac:dyDescent="0.35">
      <c r="H184" s="34"/>
      <c r="I184" s="34"/>
      <c r="J184" s="34"/>
      <c r="K184" s="34"/>
    </row>
    <row r="185" spans="8:11" x14ac:dyDescent="0.35">
      <c r="H185" s="34"/>
      <c r="I185" s="34"/>
      <c r="J185" s="34"/>
      <c r="K185" s="34"/>
    </row>
    <row r="186" spans="8:11" x14ac:dyDescent="0.35">
      <c r="H186" s="34"/>
      <c r="I186" s="34"/>
      <c r="J186" s="34"/>
      <c r="K186" s="34"/>
    </row>
    <row r="187" spans="8:11" x14ac:dyDescent="0.35">
      <c r="H187" s="34"/>
      <c r="I187" s="34"/>
      <c r="J187" s="34"/>
      <c r="K187" s="34"/>
    </row>
    <row r="188" spans="8:11" x14ac:dyDescent="0.35">
      <c r="H188" s="34"/>
      <c r="I188" s="34"/>
      <c r="J188" s="34"/>
      <c r="K188" s="34"/>
    </row>
    <row r="189" spans="8:11" x14ac:dyDescent="0.35">
      <c r="H189" s="34"/>
      <c r="I189" s="34"/>
      <c r="J189" s="34"/>
      <c r="K189" s="34"/>
    </row>
    <row r="190" spans="8:11" x14ac:dyDescent="0.35">
      <c r="H190" s="34"/>
      <c r="I190" s="34"/>
      <c r="J190" s="34"/>
      <c r="K190" s="34"/>
    </row>
    <row r="191" spans="8:11" x14ac:dyDescent="0.35">
      <c r="H191" s="34"/>
      <c r="I191" s="34"/>
      <c r="J191" s="34"/>
      <c r="K191" s="34"/>
    </row>
    <row r="192" spans="8:11" x14ac:dyDescent="0.35">
      <c r="H192" s="34"/>
      <c r="I192" s="34"/>
      <c r="J192" s="34"/>
      <c r="K192" s="34"/>
    </row>
    <row r="193" spans="8:11" x14ac:dyDescent="0.35">
      <c r="H193" s="34"/>
      <c r="I193" s="34"/>
      <c r="J193" s="34"/>
      <c r="K193" s="34"/>
    </row>
    <row r="194" spans="8:11" x14ac:dyDescent="0.35">
      <c r="H194" s="34"/>
      <c r="I194" s="34"/>
      <c r="J194" s="34"/>
      <c r="K194" s="34"/>
    </row>
    <row r="195" spans="8:11" x14ac:dyDescent="0.35">
      <c r="H195" s="34"/>
      <c r="I195" s="34"/>
      <c r="J195" s="34"/>
      <c r="K195" s="34"/>
    </row>
    <row r="196" spans="8:11" x14ac:dyDescent="0.35">
      <c r="H196" s="34"/>
      <c r="I196" s="34"/>
      <c r="J196" s="34"/>
      <c r="K196" s="34"/>
    </row>
    <row r="197" spans="8:11" x14ac:dyDescent="0.35">
      <c r="H197" s="34"/>
      <c r="I197" s="34"/>
      <c r="J197" s="34"/>
      <c r="K197" s="34"/>
    </row>
    <row r="198" spans="8:11" x14ac:dyDescent="0.35">
      <c r="H198" s="34"/>
      <c r="I198" s="34"/>
      <c r="J198" s="34"/>
      <c r="K198" s="34"/>
    </row>
    <row r="199" spans="8:11" x14ac:dyDescent="0.35">
      <c r="H199" s="34"/>
      <c r="I199" s="34"/>
      <c r="J199" s="34"/>
      <c r="K199" s="34"/>
    </row>
    <row r="200" spans="8:11" x14ac:dyDescent="0.35">
      <c r="H200" s="34"/>
      <c r="I200" s="34"/>
      <c r="J200" s="34"/>
      <c r="K200" s="34"/>
    </row>
    <row r="201" spans="8:11" x14ac:dyDescent="0.35">
      <c r="H201" s="34"/>
      <c r="I201" s="34"/>
      <c r="J201" s="34"/>
      <c r="K201" s="34"/>
    </row>
    <row r="202" spans="8:11" x14ac:dyDescent="0.35">
      <c r="H202" s="34"/>
      <c r="I202" s="34"/>
      <c r="J202" s="34"/>
      <c r="K202" s="34"/>
    </row>
    <row r="203" spans="8:11" x14ac:dyDescent="0.35">
      <c r="H203" s="34"/>
      <c r="I203" s="34"/>
      <c r="J203" s="34"/>
      <c r="K203" s="34"/>
    </row>
    <row r="204" spans="8:11" x14ac:dyDescent="0.35">
      <c r="H204" s="34"/>
      <c r="I204" s="34"/>
      <c r="J204" s="34"/>
      <c r="K204" s="34"/>
    </row>
    <row r="205" spans="8:11" x14ac:dyDescent="0.35">
      <c r="H205" s="34"/>
      <c r="I205" s="34"/>
      <c r="J205" s="34"/>
      <c r="K205" s="34"/>
    </row>
    <row r="206" spans="8:11" x14ac:dyDescent="0.35">
      <c r="H206" s="34"/>
      <c r="I206" s="34"/>
      <c r="J206" s="34"/>
      <c r="K206" s="34"/>
    </row>
    <row r="207" spans="8:11" x14ac:dyDescent="0.35">
      <c r="H207" s="34"/>
      <c r="I207" s="34"/>
      <c r="J207" s="34"/>
      <c r="K207" s="34"/>
    </row>
    <row r="208" spans="8:11" x14ac:dyDescent="0.35">
      <c r="H208" s="34"/>
      <c r="I208" s="34"/>
      <c r="J208" s="34"/>
      <c r="K208" s="34"/>
    </row>
    <row r="209" spans="8:11" x14ac:dyDescent="0.35">
      <c r="H209" s="34"/>
      <c r="I209" s="34"/>
      <c r="J209" s="34"/>
      <c r="K209" s="34"/>
    </row>
    <row r="210" spans="8:11" x14ac:dyDescent="0.35">
      <c r="H210" s="34"/>
      <c r="I210" s="34"/>
      <c r="J210" s="34"/>
      <c r="K210" s="34"/>
    </row>
    <row r="211" spans="8:11" x14ac:dyDescent="0.35">
      <c r="H211" s="34"/>
      <c r="I211" s="34"/>
      <c r="J211" s="34"/>
      <c r="K211" s="34"/>
    </row>
    <row r="212" spans="8:11" x14ac:dyDescent="0.35">
      <c r="H212" s="34"/>
      <c r="I212" s="34"/>
      <c r="J212" s="34"/>
      <c r="K212" s="34"/>
    </row>
    <row r="213" spans="8:11" x14ac:dyDescent="0.35">
      <c r="H213" s="34"/>
      <c r="I213" s="34"/>
      <c r="J213" s="34"/>
      <c r="K213" s="34"/>
    </row>
    <row r="214" spans="8:11" x14ac:dyDescent="0.35">
      <c r="H214" s="34"/>
      <c r="I214" s="34"/>
      <c r="J214" s="34"/>
      <c r="K214" s="34"/>
    </row>
    <row r="215" spans="8:11" x14ac:dyDescent="0.35">
      <c r="H215" s="34"/>
      <c r="I215" s="34"/>
      <c r="J215" s="34"/>
      <c r="K215" s="34"/>
    </row>
    <row r="216" spans="8:11" x14ac:dyDescent="0.35">
      <c r="H216" s="34"/>
      <c r="I216" s="34"/>
      <c r="J216" s="34"/>
      <c r="K216" s="34"/>
    </row>
    <row r="217" spans="8:11" x14ac:dyDescent="0.35">
      <c r="H217" s="34"/>
      <c r="I217" s="34"/>
      <c r="J217" s="34"/>
      <c r="K217" s="34"/>
    </row>
    <row r="218" spans="8:11" x14ac:dyDescent="0.35">
      <c r="H218" s="34"/>
      <c r="I218" s="34"/>
      <c r="J218" s="34"/>
      <c r="K218" s="34"/>
    </row>
    <row r="219" spans="8:11" x14ac:dyDescent="0.35">
      <c r="H219" s="34"/>
      <c r="I219" s="34"/>
      <c r="J219" s="34"/>
      <c r="K219" s="34"/>
    </row>
    <row r="220" spans="8:11" x14ac:dyDescent="0.35">
      <c r="H220" s="34"/>
      <c r="I220" s="34"/>
      <c r="J220" s="34"/>
      <c r="K220" s="34"/>
    </row>
    <row r="221" spans="8:11" x14ac:dyDescent="0.35">
      <c r="H221" s="34"/>
      <c r="I221" s="34"/>
      <c r="J221" s="34"/>
      <c r="K221" s="34"/>
    </row>
    <row r="222" spans="8:11" x14ac:dyDescent="0.35">
      <c r="H222" s="34"/>
      <c r="I222" s="34"/>
      <c r="J222" s="34"/>
      <c r="K222" s="34"/>
    </row>
    <row r="223" spans="8:11" x14ac:dyDescent="0.35">
      <c r="H223" s="34"/>
      <c r="I223" s="34"/>
      <c r="J223" s="34"/>
      <c r="K223" s="34"/>
    </row>
    <row r="224" spans="8:11" x14ac:dyDescent="0.35">
      <c r="H224" s="34"/>
      <c r="I224" s="34"/>
      <c r="J224" s="34"/>
      <c r="K224" s="34"/>
    </row>
    <row r="225" spans="8:11" x14ac:dyDescent="0.35">
      <c r="H225" s="34"/>
      <c r="I225" s="34"/>
      <c r="J225" s="34"/>
      <c r="K225" s="34"/>
    </row>
    <row r="226" spans="8:11" x14ac:dyDescent="0.35">
      <c r="H226" s="34"/>
      <c r="I226" s="34"/>
      <c r="J226" s="34"/>
      <c r="K226" s="34"/>
    </row>
    <row r="227" spans="8:11" x14ac:dyDescent="0.35">
      <c r="H227" s="34"/>
      <c r="I227" s="34"/>
      <c r="J227" s="34"/>
      <c r="K227" s="34"/>
    </row>
    <row r="228" spans="8:11" x14ac:dyDescent="0.35">
      <c r="H228" s="34"/>
      <c r="I228" s="34"/>
      <c r="J228" s="34"/>
      <c r="K228" s="34"/>
    </row>
    <row r="229" spans="8:11" x14ac:dyDescent="0.35">
      <c r="H229" s="34"/>
      <c r="I229" s="34"/>
      <c r="J229" s="34"/>
      <c r="K229" s="34"/>
    </row>
    <row r="230" spans="8:11" x14ac:dyDescent="0.35">
      <c r="H230" s="34"/>
      <c r="I230" s="34"/>
      <c r="J230" s="34"/>
      <c r="K230" s="34"/>
    </row>
    <row r="231" spans="8:11" x14ac:dyDescent="0.35">
      <c r="H231" s="34"/>
      <c r="I231" s="34"/>
      <c r="J231" s="34"/>
      <c r="K231" s="34"/>
    </row>
    <row r="232" spans="8:11" x14ac:dyDescent="0.35">
      <c r="H232" s="34"/>
      <c r="I232" s="34"/>
      <c r="J232" s="34"/>
      <c r="K232" s="34"/>
    </row>
    <row r="233" spans="8:11" x14ac:dyDescent="0.35">
      <c r="H233" s="34"/>
      <c r="I233" s="34"/>
      <c r="J233" s="34"/>
      <c r="K233" s="34"/>
    </row>
    <row r="234" spans="8:11" x14ac:dyDescent="0.35">
      <c r="H234" s="34"/>
      <c r="I234" s="34"/>
      <c r="J234" s="34"/>
      <c r="K234" s="34"/>
    </row>
    <row r="235" spans="8:11" x14ac:dyDescent="0.35">
      <c r="H235" s="34"/>
      <c r="I235" s="34"/>
      <c r="J235" s="34"/>
      <c r="K235" s="34"/>
    </row>
    <row r="236" spans="8:11" x14ac:dyDescent="0.35">
      <c r="H236" s="34"/>
      <c r="I236" s="34"/>
      <c r="J236" s="34"/>
      <c r="K236" s="34"/>
    </row>
    <row r="237" spans="8:11" x14ac:dyDescent="0.35">
      <c r="H237" s="34"/>
      <c r="I237" s="34"/>
      <c r="J237" s="34"/>
      <c r="K237" s="34"/>
    </row>
    <row r="238" spans="8:11" x14ac:dyDescent="0.35">
      <c r="H238" s="34"/>
      <c r="I238" s="34"/>
      <c r="J238" s="34"/>
      <c r="K238" s="34"/>
    </row>
    <row r="239" spans="8:11" x14ac:dyDescent="0.35">
      <c r="H239" s="34"/>
      <c r="I239" s="34"/>
      <c r="J239" s="34"/>
      <c r="K239" s="34"/>
    </row>
    <row r="240" spans="8:11" x14ac:dyDescent="0.35">
      <c r="H240" s="34"/>
      <c r="I240" s="34"/>
      <c r="J240" s="34"/>
      <c r="K240" s="34"/>
    </row>
    <row r="241" spans="8:11" x14ac:dyDescent="0.35">
      <c r="H241" s="34"/>
      <c r="I241" s="34"/>
      <c r="J241" s="34"/>
      <c r="K241" s="34"/>
    </row>
    <row r="242" spans="8:11" x14ac:dyDescent="0.35">
      <c r="H242" s="34"/>
      <c r="I242" s="34"/>
      <c r="J242" s="34"/>
      <c r="K242" s="34"/>
    </row>
    <row r="243" spans="8:11" x14ac:dyDescent="0.35">
      <c r="H243" s="34"/>
      <c r="I243" s="34"/>
      <c r="J243" s="34"/>
      <c r="K243" s="34"/>
    </row>
    <row r="244" spans="8:11" x14ac:dyDescent="0.35">
      <c r="H244" s="34"/>
      <c r="I244" s="34"/>
      <c r="J244" s="34"/>
      <c r="K244" s="34"/>
    </row>
    <row r="245" spans="8:11" x14ac:dyDescent="0.35">
      <c r="H245" s="34"/>
      <c r="I245" s="34"/>
      <c r="J245" s="34"/>
      <c r="K245" s="34"/>
    </row>
    <row r="246" spans="8:11" x14ac:dyDescent="0.35">
      <c r="H246" s="34"/>
      <c r="I246" s="34"/>
      <c r="J246" s="34"/>
      <c r="K246" s="34"/>
    </row>
    <row r="247" spans="8:11" x14ac:dyDescent="0.35">
      <c r="H247" s="34"/>
      <c r="I247" s="34"/>
      <c r="J247" s="34"/>
      <c r="K247" s="34"/>
    </row>
    <row r="248" spans="8:11" x14ac:dyDescent="0.35">
      <c r="H248" s="34"/>
      <c r="I248" s="34"/>
      <c r="J248" s="34"/>
      <c r="K248" s="34"/>
    </row>
    <row r="249" spans="8:11" x14ac:dyDescent="0.35">
      <c r="H249" s="34"/>
      <c r="I249" s="34"/>
      <c r="J249" s="34"/>
      <c r="K249" s="34"/>
    </row>
    <row r="250" spans="8:11" x14ac:dyDescent="0.35">
      <c r="H250" s="34"/>
      <c r="I250" s="34"/>
      <c r="J250" s="34"/>
      <c r="K250" s="34"/>
    </row>
    <row r="251" spans="8:11" x14ac:dyDescent="0.35">
      <c r="H251" s="34"/>
      <c r="I251" s="34"/>
      <c r="J251" s="34"/>
      <c r="K251" s="34"/>
    </row>
    <row r="252" spans="8:11" x14ac:dyDescent="0.35">
      <c r="H252" s="34"/>
      <c r="I252" s="34"/>
      <c r="J252" s="34"/>
      <c r="K252" s="34"/>
    </row>
    <row r="253" spans="8:11" x14ac:dyDescent="0.35">
      <c r="H253" s="34"/>
      <c r="I253" s="34"/>
      <c r="J253" s="34"/>
      <c r="K253" s="34"/>
    </row>
    <row r="254" spans="8:11" x14ac:dyDescent="0.35">
      <c r="H254" s="34"/>
      <c r="I254" s="34"/>
      <c r="J254" s="34"/>
      <c r="K254" s="34"/>
    </row>
    <row r="255" spans="8:11" x14ac:dyDescent="0.35">
      <c r="H255" s="34"/>
      <c r="I255" s="34"/>
      <c r="J255" s="34"/>
      <c r="K255" s="34"/>
    </row>
    <row r="256" spans="8:11" x14ac:dyDescent="0.35">
      <c r="H256" s="34"/>
      <c r="I256" s="34"/>
      <c r="J256" s="34"/>
      <c r="K256" s="34"/>
    </row>
    <row r="257" spans="8:11" x14ac:dyDescent="0.35">
      <c r="H257" s="34"/>
      <c r="I257" s="34"/>
      <c r="J257" s="34"/>
      <c r="K257" s="34"/>
    </row>
    <row r="258" spans="8:11" x14ac:dyDescent="0.35">
      <c r="H258" s="34"/>
      <c r="I258" s="34"/>
      <c r="J258" s="34"/>
      <c r="K258" s="34"/>
    </row>
    <row r="259" spans="8:11" x14ac:dyDescent="0.35">
      <c r="H259" s="34"/>
      <c r="I259" s="34"/>
      <c r="J259" s="34"/>
      <c r="K259" s="34"/>
    </row>
    <row r="260" spans="8:11" x14ac:dyDescent="0.35">
      <c r="H260" s="34"/>
      <c r="I260" s="34"/>
      <c r="J260" s="34"/>
      <c r="K260" s="34"/>
    </row>
    <row r="261" spans="8:11" x14ac:dyDescent="0.35">
      <c r="H261" s="34"/>
      <c r="I261" s="34"/>
      <c r="J261" s="34"/>
      <c r="K261" s="34"/>
    </row>
    <row r="262" spans="8:11" x14ac:dyDescent="0.35">
      <c r="H262" s="34"/>
      <c r="I262" s="34"/>
      <c r="J262" s="34"/>
      <c r="K262" s="34"/>
    </row>
    <row r="263" spans="8:11" x14ac:dyDescent="0.35">
      <c r="H263" s="34"/>
      <c r="I263" s="34"/>
      <c r="J263" s="34"/>
      <c r="K263" s="34"/>
    </row>
    <row r="264" spans="8:11" x14ac:dyDescent="0.35">
      <c r="H264" s="34"/>
      <c r="I264" s="34"/>
      <c r="J264" s="34"/>
      <c r="K264" s="34"/>
    </row>
    <row r="265" spans="8:11" x14ac:dyDescent="0.35">
      <c r="H265" s="34"/>
      <c r="I265" s="34"/>
      <c r="J265" s="34"/>
      <c r="K265" s="34"/>
    </row>
    <row r="266" spans="8:11" x14ac:dyDescent="0.35">
      <c r="H266" s="34"/>
      <c r="I266" s="34"/>
      <c r="J266" s="34"/>
      <c r="K266" s="34"/>
    </row>
    <row r="267" spans="8:11" x14ac:dyDescent="0.35">
      <c r="H267" s="34"/>
      <c r="I267" s="34"/>
      <c r="J267" s="34"/>
      <c r="K267" s="34"/>
    </row>
    <row r="268" spans="8:11" x14ac:dyDescent="0.35">
      <c r="H268" s="34"/>
      <c r="I268" s="34"/>
      <c r="J268" s="34"/>
      <c r="K268" s="34"/>
    </row>
    <row r="269" spans="8:11" x14ac:dyDescent="0.35">
      <c r="H269" s="34"/>
      <c r="I269" s="34"/>
      <c r="J269" s="34"/>
      <c r="K269" s="34"/>
    </row>
    <row r="270" spans="8:11" x14ac:dyDescent="0.35">
      <c r="H270" s="34"/>
      <c r="I270" s="34"/>
      <c r="J270" s="34"/>
      <c r="K270" s="34"/>
    </row>
    <row r="271" spans="8:11" x14ac:dyDescent="0.35">
      <c r="H271" s="34"/>
      <c r="I271" s="34"/>
      <c r="J271" s="34"/>
      <c r="K271" s="34"/>
    </row>
    <row r="272" spans="8:11" x14ac:dyDescent="0.35">
      <c r="H272" s="34"/>
      <c r="I272" s="34"/>
      <c r="J272" s="34"/>
      <c r="K272" s="34"/>
    </row>
    <row r="273" spans="8:11" x14ac:dyDescent="0.35">
      <c r="H273" s="34"/>
      <c r="I273" s="34"/>
      <c r="J273" s="34"/>
      <c r="K273" s="34"/>
    </row>
    <row r="274" spans="8:11" x14ac:dyDescent="0.35">
      <c r="H274" s="34"/>
      <c r="I274" s="34"/>
      <c r="J274" s="34"/>
      <c r="K274" s="34"/>
    </row>
    <row r="275" spans="8:11" x14ac:dyDescent="0.35">
      <c r="H275" s="34"/>
      <c r="I275" s="34"/>
      <c r="J275" s="34"/>
      <c r="K275" s="34"/>
    </row>
    <row r="276" spans="8:11" x14ac:dyDescent="0.35">
      <c r="H276" s="34"/>
      <c r="I276" s="34"/>
      <c r="J276" s="34"/>
      <c r="K276" s="34"/>
    </row>
    <row r="277" spans="8:11" x14ac:dyDescent="0.35">
      <c r="H277" s="34"/>
      <c r="I277" s="34"/>
      <c r="J277" s="34"/>
      <c r="K277" s="34"/>
    </row>
    <row r="278" spans="8:11" x14ac:dyDescent="0.35">
      <c r="H278" s="34"/>
      <c r="I278" s="34"/>
      <c r="J278" s="34"/>
      <c r="K278" s="34"/>
    </row>
    <row r="279" spans="8:11" x14ac:dyDescent="0.35">
      <c r="H279" s="34"/>
      <c r="I279" s="34"/>
      <c r="J279" s="34"/>
      <c r="K279" s="34"/>
    </row>
    <row r="280" spans="8:11" x14ac:dyDescent="0.35">
      <c r="H280" s="34"/>
      <c r="I280" s="34"/>
      <c r="J280" s="34"/>
      <c r="K280" s="34"/>
    </row>
    <row r="281" spans="8:11" x14ac:dyDescent="0.35">
      <c r="H281" s="34"/>
      <c r="I281" s="34"/>
      <c r="J281" s="34"/>
      <c r="K281" s="34"/>
    </row>
    <row r="282" spans="8:11" x14ac:dyDescent="0.35">
      <c r="H282" s="34"/>
      <c r="I282" s="34"/>
      <c r="J282" s="34"/>
      <c r="K282" s="34"/>
    </row>
    <row r="283" spans="8:11" x14ac:dyDescent="0.35">
      <c r="H283" s="34"/>
      <c r="I283" s="34"/>
      <c r="J283" s="34"/>
      <c r="K283" s="34"/>
    </row>
    <row r="284" spans="8:11" x14ac:dyDescent="0.35">
      <c r="H284" s="34"/>
      <c r="I284" s="34"/>
      <c r="J284" s="34"/>
      <c r="K284" s="34"/>
    </row>
    <row r="285" spans="8:11" x14ac:dyDescent="0.35">
      <c r="H285" s="34"/>
      <c r="I285" s="34"/>
      <c r="J285" s="34"/>
      <c r="K285" s="34"/>
    </row>
    <row r="286" spans="8:11" x14ac:dyDescent="0.35">
      <c r="H286" s="34"/>
      <c r="I286" s="34"/>
      <c r="J286" s="34"/>
      <c r="K286" s="34"/>
    </row>
    <row r="287" spans="8:11" x14ac:dyDescent="0.35">
      <c r="H287" s="34"/>
      <c r="I287" s="34"/>
      <c r="J287" s="34"/>
      <c r="K287" s="34"/>
    </row>
    <row r="288" spans="8:11" x14ac:dyDescent="0.35">
      <c r="H288" s="34"/>
      <c r="I288" s="34"/>
      <c r="J288" s="34"/>
      <c r="K288" s="34"/>
    </row>
    <row r="289" spans="8:11" x14ac:dyDescent="0.35">
      <c r="H289" s="34"/>
      <c r="I289" s="34"/>
      <c r="J289" s="34"/>
      <c r="K289" s="34"/>
    </row>
    <row r="290" spans="8:11" x14ac:dyDescent="0.35">
      <c r="H290" s="34"/>
      <c r="I290" s="34"/>
      <c r="J290" s="34"/>
      <c r="K290" s="34"/>
    </row>
    <row r="291" spans="8:11" x14ac:dyDescent="0.35">
      <c r="H291" s="34"/>
      <c r="I291" s="34"/>
      <c r="J291" s="34"/>
      <c r="K291" s="34"/>
    </row>
    <row r="292" spans="8:11" x14ac:dyDescent="0.35">
      <c r="H292" s="34"/>
      <c r="I292" s="34"/>
      <c r="J292" s="34"/>
      <c r="K292" s="34"/>
    </row>
    <row r="293" spans="8:11" x14ac:dyDescent="0.35">
      <c r="H293" s="34"/>
      <c r="I293" s="34"/>
      <c r="J293" s="34"/>
      <c r="K293" s="34"/>
    </row>
    <row r="294" spans="8:11" x14ac:dyDescent="0.35">
      <c r="H294" s="34"/>
      <c r="I294" s="34"/>
      <c r="J294" s="34"/>
      <c r="K294" s="34"/>
    </row>
    <row r="295" spans="8:11" x14ac:dyDescent="0.35">
      <c r="H295" s="34"/>
      <c r="I295" s="34"/>
      <c r="J295" s="34"/>
      <c r="K295" s="34"/>
    </row>
    <row r="296" spans="8:11" x14ac:dyDescent="0.35">
      <c r="H296" s="34"/>
      <c r="I296" s="34"/>
      <c r="J296" s="34"/>
      <c r="K296" s="34"/>
    </row>
    <row r="297" spans="8:11" x14ac:dyDescent="0.35">
      <c r="H297" s="34"/>
      <c r="I297" s="34"/>
      <c r="J297" s="34"/>
      <c r="K297" s="34"/>
    </row>
    <row r="298" spans="8:11" x14ac:dyDescent="0.35">
      <c r="H298" s="34"/>
      <c r="I298" s="34"/>
      <c r="J298" s="34"/>
      <c r="K298" s="34"/>
    </row>
    <row r="299" spans="8:11" x14ac:dyDescent="0.35">
      <c r="H299" s="34"/>
      <c r="I299" s="34"/>
      <c r="J299" s="34"/>
      <c r="K299" s="34"/>
    </row>
    <row r="300" spans="8:11" x14ac:dyDescent="0.35">
      <c r="H300" s="34"/>
      <c r="I300" s="34"/>
      <c r="J300" s="34"/>
      <c r="K300" s="34"/>
    </row>
    <row r="301" spans="8:11" x14ac:dyDescent="0.35">
      <c r="H301" s="34"/>
      <c r="I301" s="34"/>
      <c r="J301" s="34"/>
      <c r="K301" s="34"/>
    </row>
    <row r="302" spans="8:11" x14ac:dyDescent="0.35">
      <c r="H302" s="34"/>
      <c r="I302" s="34"/>
      <c r="J302" s="34"/>
      <c r="K302" s="34"/>
    </row>
    <row r="303" spans="8:11" x14ac:dyDescent="0.35">
      <c r="H303" s="34"/>
      <c r="I303" s="34"/>
      <c r="J303" s="34"/>
      <c r="K303" s="34"/>
    </row>
    <row r="304" spans="8:11" x14ac:dyDescent="0.35">
      <c r="H304" s="34"/>
      <c r="I304" s="34"/>
      <c r="J304" s="34"/>
      <c r="K304" s="34"/>
    </row>
    <row r="305" spans="8:11" x14ac:dyDescent="0.35">
      <c r="H305" s="34"/>
      <c r="I305" s="34"/>
      <c r="J305" s="34"/>
      <c r="K305" s="34"/>
    </row>
    <row r="306" spans="8:11" x14ac:dyDescent="0.35">
      <c r="H306" s="34"/>
      <c r="I306" s="34"/>
      <c r="J306" s="34"/>
      <c r="K306" s="34"/>
    </row>
    <row r="307" spans="8:11" x14ac:dyDescent="0.35">
      <c r="H307" s="34"/>
      <c r="I307" s="34"/>
      <c r="J307" s="34"/>
      <c r="K307" s="34"/>
    </row>
    <row r="308" spans="8:11" x14ac:dyDescent="0.35">
      <c r="H308" s="34"/>
      <c r="I308" s="34"/>
      <c r="J308" s="34"/>
      <c r="K308" s="34"/>
    </row>
    <row r="309" spans="8:11" x14ac:dyDescent="0.35">
      <c r="H309" s="34"/>
      <c r="I309" s="34"/>
      <c r="J309" s="34"/>
      <c r="K309" s="34"/>
    </row>
    <row r="310" spans="8:11" x14ac:dyDescent="0.35">
      <c r="H310" s="34"/>
      <c r="I310" s="34"/>
      <c r="J310" s="34"/>
      <c r="K310" s="34"/>
    </row>
    <row r="311" spans="8:11" x14ac:dyDescent="0.35">
      <c r="H311" s="34"/>
      <c r="I311" s="34"/>
      <c r="J311" s="34"/>
      <c r="K311" s="34"/>
    </row>
    <row r="312" spans="8:11" x14ac:dyDescent="0.35">
      <c r="H312" s="34"/>
      <c r="I312" s="34"/>
      <c r="J312" s="34"/>
      <c r="K312" s="34"/>
    </row>
    <row r="313" spans="8:11" x14ac:dyDescent="0.35">
      <c r="H313" s="34"/>
      <c r="I313" s="34"/>
      <c r="J313" s="34"/>
      <c r="K313" s="34"/>
    </row>
    <row r="314" spans="8:11" x14ac:dyDescent="0.35">
      <c r="H314" s="34"/>
      <c r="I314" s="34"/>
      <c r="J314" s="34"/>
      <c r="K314" s="34"/>
    </row>
    <row r="315" spans="8:11" x14ac:dyDescent="0.35">
      <c r="H315" s="34"/>
      <c r="I315" s="34"/>
      <c r="J315" s="34"/>
      <c r="K315" s="34"/>
    </row>
    <row r="316" spans="8:11" x14ac:dyDescent="0.35">
      <c r="H316" s="34"/>
      <c r="I316" s="34"/>
      <c r="J316" s="34"/>
      <c r="K316" s="34"/>
    </row>
    <row r="317" spans="8:11" x14ac:dyDescent="0.35">
      <c r="H317" s="34"/>
      <c r="I317" s="34"/>
      <c r="J317" s="34"/>
      <c r="K317" s="34"/>
    </row>
    <row r="318" spans="8:11" x14ac:dyDescent="0.35">
      <c r="H318" s="34"/>
      <c r="I318" s="34"/>
      <c r="J318" s="34"/>
      <c r="K318" s="34"/>
    </row>
    <row r="319" spans="8:11" x14ac:dyDescent="0.35">
      <c r="H319" s="34"/>
      <c r="I319" s="34"/>
      <c r="J319" s="34"/>
      <c r="K319" s="34"/>
    </row>
    <row r="320" spans="8:11" x14ac:dyDescent="0.35">
      <c r="H320" s="34"/>
      <c r="I320" s="34"/>
      <c r="J320" s="34"/>
      <c r="K320" s="34"/>
    </row>
    <row r="321" spans="8:11" x14ac:dyDescent="0.35">
      <c r="H321" s="34"/>
      <c r="I321" s="34"/>
      <c r="J321" s="34"/>
      <c r="K321" s="34"/>
    </row>
    <row r="322" spans="8:11" x14ac:dyDescent="0.35">
      <c r="H322" s="34"/>
      <c r="I322" s="34"/>
      <c r="J322" s="34"/>
      <c r="K322" s="34"/>
    </row>
    <row r="323" spans="8:11" x14ac:dyDescent="0.35">
      <c r="H323" s="34"/>
      <c r="I323" s="34"/>
      <c r="J323" s="34"/>
      <c r="K323" s="34"/>
    </row>
    <row r="324" spans="8:11" x14ac:dyDescent="0.35">
      <c r="H324" s="34"/>
      <c r="I324" s="34"/>
      <c r="J324" s="34"/>
      <c r="K324" s="34"/>
    </row>
    <row r="325" spans="8:11" x14ac:dyDescent="0.35">
      <c r="H325" s="34"/>
      <c r="I325" s="34"/>
      <c r="J325" s="34"/>
      <c r="K325" s="34"/>
    </row>
    <row r="326" spans="8:11" x14ac:dyDescent="0.35">
      <c r="H326" s="34"/>
      <c r="I326" s="34"/>
      <c r="J326" s="34"/>
      <c r="K326" s="34"/>
    </row>
    <row r="327" spans="8:11" x14ac:dyDescent="0.35">
      <c r="H327" s="34"/>
      <c r="I327" s="34"/>
      <c r="J327" s="34"/>
      <c r="K327" s="34"/>
    </row>
    <row r="328" spans="8:11" x14ac:dyDescent="0.35">
      <c r="H328" s="34"/>
      <c r="I328" s="34"/>
      <c r="J328" s="34"/>
      <c r="K328" s="34"/>
    </row>
    <row r="329" spans="8:11" x14ac:dyDescent="0.35">
      <c r="H329" s="34"/>
      <c r="I329" s="34"/>
      <c r="J329" s="34"/>
      <c r="K329" s="34"/>
    </row>
    <row r="330" spans="8:11" x14ac:dyDescent="0.35">
      <c r="H330" s="34"/>
      <c r="I330" s="34"/>
      <c r="J330" s="34"/>
      <c r="K330" s="34"/>
    </row>
    <row r="331" spans="8:11" x14ac:dyDescent="0.35">
      <c r="H331" s="34"/>
      <c r="I331" s="34"/>
      <c r="J331" s="34"/>
      <c r="K331" s="34"/>
    </row>
    <row r="332" spans="8:11" x14ac:dyDescent="0.35">
      <c r="H332" s="34"/>
      <c r="I332" s="34"/>
      <c r="J332" s="34"/>
      <c r="K332" s="34"/>
    </row>
    <row r="333" spans="8:11" x14ac:dyDescent="0.35">
      <c r="H333" s="34"/>
      <c r="I333" s="34"/>
      <c r="J333" s="34"/>
      <c r="K333" s="34"/>
    </row>
    <row r="334" spans="8:11" x14ac:dyDescent="0.35">
      <c r="H334" s="34"/>
      <c r="I334" s="34"/>
      <c r="J334" s="34"/>
      <c r="K334" s="34"/>
    </row>
    <row r="335" spans="8:11" x14ac:dyDescent="0.35">
      <c r="H335" s="34"/>
      <c r="I335" s="34"/>
      <c r="J335" s="34"/>
      <c r="K335" s="34"/>
    </row>
    <row r="336" spans="8:11" x14ac:dyDescent="0.35">
      <c r="H336" s="34"/>
      <c r="I336" s="34"/>
      <c r="J336" s="34"/>
      <c r="K336" s="34"/>
    </row>
    <row r="337" spans="8:11" x14ac:dyDescent="0.35">
      <c r="H337" s="34"/>
      <c r="I337" s="34"/>
      <c r="J337" s="34"/>
      <c r="K337" s="34"/>
    </row>
    <row r="338" spans="8:11" x14ac:dyDescent="0.35">
      <c r="H338" s="34"/>
      <c r="I338" s="34"/>
      <c r="J338" s="34"/>
      <c r="K338" s="34"/>
    </row>
    <row r="339" spans="8:11" x14ac:dyDescent="0.35">
      <c r="H339" s="34"/>
      <c r="I339" s="34"/>
      <c r="J339" s="34"/>
      <c r="K339" s="34"/>
    </row>
    <row r="340" spans="8:11" x14ac:dyDescent="0.35">
      <c r="H340" s="34"/>
      <c r="I340" s="34"/>
      <c r="J340" s="34"/>
      <c r="K340" s="34"/>
    </row>
    <row r="341" spans="8:11" x14ac:dyDescent="0.35">
      <c r="H341" s="34"/>
      <c r="I341" s="34"/>
      <c r="J341" s="34"/>
      <c r="K341" s="34"/>
    </row>
    <row r="342" spans="8:11" x14ac:dyDescent="0.35">
      <c r="H342" s="34"/>
      <c r="I342" s="34"/>
      <c r="J342" s="34"/>
      <c r="K342" s="34"/>
    </row>
    <row r="343" spans="8:11" x14ac:dyDescent="0.35">
      <c r="H343" s="34"/>
      <c r="I343" s="34"/>
      <c r="J343" s="34"/>
      <c r="K343" s="34"/>
    </row>
    <row r="344" spans="8:11" x14ac:dyDescent="0.35">
      <c r="H344" s="34"/>
      <c r="I344" s="34"/>
      <c r="J344" s="34"/>
      <c r="K344" s="34"/>
    </row>
    <row r="345" spans="8:11" x14ac:dyDescent="0.35">
      <c r="H345" s="34"/>
      <c r="I345" s="34"/>
      <c r="J345" s="34"/>
      <c r="K345" s="34"/>
    </row>
    <row r="346" spans="8:11" x14ac:dyDescent="0.35">
      <c r="H346" s="34"/>
      <c r="I346" s="34"/>
      <c r="J346" s="34"/>
      <c r="K346" s="34"/>
    </row>
    <row r="347" spans="8:11" x14ac:dyDescent="0.35">
      <c r="H347" s="34"/>
      <c r="I347" s="34"/>
      <c r="J347" s="34"/>
      <c r="K347" s="34"/>
    </row>
    <row r="348" spans="8:11" x14ac:dyDescent="0.35">
      <c r="H348" s="34"/>
      <c r="I348" s="34"/>
      <c r="J348" s="34"/>
      <c r="K348" s="34"/>
    </row>
    <row r="349" spans="8:11" x14ac:dyDescent="0.35">
      <c r="H349" s="34"/>
      <c r="I349" s="34"/>
      <c r="J349" s="34"/>
      <c r="K349" s="34"/>
    </row>
    <row r="350" spans="8:11" x14ac:dyDescent="0.35">
      <c r="H350" s="34"/>
      <c r="I350" s="34"/>
      <c r="J350" s="34"/>
      <c r="K350" s="34"/>
    </row>
    <row r="351" spans="8:11" x14ac:dyDescent="0.35">
      <c r="H351" s="34"/>
      <c r="I351" s="34"/>
      <c r="J351" s="34"/>
      <c r="K351" s="34"/>
    </row>
    <row r="352" spans="8:11" x14ac:dyDescent="0.35">
      <c r="H352" s="34"/>
      <c r="I352" s="34"/>
      <c r="J352" s="34"/>
      <c r="K352" s="34"/>
    </row>
    <row r="353" spans="8:11" x14ac:dyDescent="0.35">
      <c r="H353" s="34"/>
      <c r="I353" s="34"/>
      <c r="J353" s="34"/>
      <c r="K353" s="34"/>
    </row>
    <row r="354" spans="8:11" x14ac:dyDescent="0.35">
      <c r="H354" s="34"/>
      <c r="I354" s="34"/>
      <c r="J354" s="34"/>
      <c r="K354" s="34"/>
    </row>
    <row r="355" spans="8:11" x14ac:dyDescent="0.35">
      <c r="H355" s="34"/>
      <c r="I355" s="34"/>
      <c r="J355" s="34"/>
      <c r="K355" s="34"/>
    </row>
    <row r="356" spans="8:11" x14ac:dyDescent="0.35">
      <c r="H356" s="34"/>
      <c r="I356" s="34"/>
      <c r="J356" s="34"/>
      <c r="K356" s="34"/>
    </row>
    <row r="357" spans="8:11" x14ac:dyDescent="0.35">
      <c r="H357" s="34"/>
      <c r="I357" s="34"/>
      <c r="J357" s="34"/>
      <c r="K357" s="34"/>
    </row>
    <row r="358" spans="8:11" x14ac:dyDescent="0.35">
      <c r="H358" s="34"/>
      <c r="I358" s="34"/>
      <c r="J358" s="34"/>
      <c r="K358" s="34"/>
    </row>
    <row r="359" spans="8:11" x14ac:dyDescent="0.35">
      <c r="H359" s="34"/>
      <c r="I359" s="34"/>
      <c r="J359" s="34"/>
      <c r="K359" s="34"/>
    </row>
    <row r="360" spans="8:11" x14ac:dyDescent="0.35">
      <c r="H360" s="34"/>
      <c r="I360" s="34"/>
      <c r="J360" s="34"/>
      <c r="K360" s="34"/>
    </row>
    <row r="361" spans="8:11" x14ac:dyDescent="0.35">
      <c r="H361" s="34"/>
      <c r="I361" s="34"/>
      <c r="J361" s="34"/>
      <c r="K361" s="34"/>
    </row>
    <row r="362" spans="8:11" x14ac:dyDescent="0.35">
      <c r="H362" s="34"/>
      <c r="I362" s="34"/>
      <c r="J362" s="34"/>
      <c r="K362" s="34"/>
    </row>
    <row r="363" spans="8:11" x14ac:dyDescent="0.35">
      <c r="H363" s="34"/>
      <c r="I363" s="34"/>
      <c r="J363" s="34"/>
      <c r="K363" s="34"/>
    </row>
    <row r="364" spans="8:11" x14ac:dyDescent="0.35">
      <c r="H364" s="34"/>
      <c r="I364" s="34"/>
      <c r="J364" s="34"/>
      <c r="K364" s="34"/>
    </row>
    <row r="365" spans="8:11" x14ac:dyDescent="0.35">
      <c r="H365" s="34"/>
      <c r="I365" s="34"/>
      <c r="J365" s="34"/>
      <c r="K365" s="34"/>
    </row>
    <row r="366" spans="8:11" x14ac:dyDescent="0.35">
      <c r="H366" s="34"/>
      <c r="I366" s="34"/>
      <c r="J366" s="34"/>
      <c r="K366" s="34"/>
    </row>
    <row r="367" spans="8:11" x14ac:dyDescent="0.35">
      <c r="H367" s="34"/>
      <c r="I367" s="34"/>
      <c r="J367" s="34"/>
      <c r="K367" s="34"/>
    </row>
    <row r="368" spans="8:11" x14ac:dyDescent="0.35">
      <c r="H368" s="34"/>
      <c r="I368" s="34"/>
      <c r="J368" s="34"/>
      <c r="K368" s="34"/>
    </row>
    <row r="369" spans="8:11" x14ac:dyDescent="0.35">
      <c r="H369" s="34"/>
      <c r="I369" s="34"/>
      <c r="J369" s="34"/>
      <c r="K369" s="34"/>
    </row>
    <row r="370" spans="8:11" x14ac:dyDescent="0.35">
      <c r="H370" s="34"/>
      <c r="I370" s="34"/>
      <c r="J370" s="34"/>
      <c r="K370" s="34"/>
    </row>
    <row r="371" spans="8:11" x14ac:dyDescent="0.35">
      <c r="H371" s="34"/>
      <c r="I371" s="34"/>
      <c r="J371" s="34"/>
      <c r="K371" s="34"/>
    </row>
    <row r="372" spans="8:11" x14ac:dyDescent="0.35">
      <c r="H372" s="34"/>
      <c r="I372" s="34"/>
      <c r="J372" s="34"/>
      <c r="K372" s="34"/>
    </row>
    <row r="373" spans="8:11" x14ac:dyDescent="0.35">
      <c r="H373" s="34"/>
      <c r="I373" s="34"/>
      <c r="J373" s="34"/>
      <c r="K373" s="34"/>
    </row>
    <row r="374" spans="8:11" x14ac:dyDescent="0.35">
      <c r="H374" s="34"/>
      <c r="I374" s="34"/>
      <c r="J374" s="34"/>
      <c r="K374" s="34"/>
    </row>
    <row r="375" spans="8:11" x14ac:dyDescent="0.35">
      <c r="H375" s="34"/>
      <c r="I375" s="34"/>
      <c r="J375" s="34"/>
      <c r="K375" s="34"/>
    </row>
    <row r="376" spans="8:11" x14ac:dyDescent="0.35">
      <c r="H376" s="34"/>
      <c r="I376" s="34"/>
      <c r="J376" s="34"/>
      <c r="K376" s="34"/>
    </row>
    <row r="377" spans="8:11" x14ac:dyDescent="0.35">
      <c r="H377" s="34"/>
      <c r="I377" s="34"/>
      <c r="J377" s="34"/>
      <c r="K377" s="34"/>
    </row>
    <row r="378" spans="8:11" x14ac:dyDescent="0.35">
      <c r="H378" s="34"/>
      <c r="I378" s="34"/>
      <c r="J378" s="34"/>
      <c r="K378" s="34"/>
    </row>
    <row r="379" spans="8:11" x14ac:dyDescent="0.35">
      <c r="H379" s="34"/>
      <c r="I379" s="34"/>
      <c r="J379" s="34"/>
      <c r="K379" s="34"/>
    </row>
    <row r="380" spans="8:11" x14ac:dyDescent="0.35">
      <c r="H380" s="34"/>
      <c r="I380" s="34"/>
      <c r="J380" s="34"/>
      <c r="K380" s="34"/>
    </row>
    <row r="381" spans="8:11" x14ac:dyDescent="0.35">
      <c r="H381" s="34"/>
      <c r="I381" s="34"/>
      <c r="J381" s="34"/>
      <c r="K381" s="34"/>
    </row>
    <row r="382" spans="8:11" x14ac:dyDescent="0.35">
      <c r="H382" s="34"/>
      <c r="I382" s="34"/>
      <c r="J382" s="34"/>
      <c r="K382" s="34"/>
    </row>
    <row r="383" spans="8:11" x14ac:dyDescent="0.35">
      <c r="H383" s="34"/>
      <c r="I383" s="34"/>
      <c r="J383" s="34"/>
      <c r="K383" s="34"/>
    </row>
    <row r="384" spans="8:11" x14ac:dyDescent="0.35">
      <c r="H384" s="34"/>
      <c r="I384" s="34"/>
      <c r="J384" s="34"/>
      <c r="K384" s="34"/>
    </row>
    <row r="385" spans="8:11" x14ac:dyDescent="0.35">
      <c r="H385" s="34"/>
      <c r="I385" s="34"/>
      <c r="J385" s="34"/>
      <c r="K385" s="34"/>
    </row>
    <row r="386" spans="8:11" x14ac:dyDescent="0.35">
      <c r="H386" s="34"/>
      <c r="I386" s="34"/>
      <c r="J386" s="34"/>
      <c r="K386" s="34"/>
    </row>
    <row r="387" spans="8:11" x14ac:dyDescent="0.35">
      <c r="H387" s="34"/>
      <c r="I387" s="34"/>
      <c r="J387" s="34"/>
      <c r="K387" s="34"/>
    </row>
    <row r="388" spans="8:11" x14ac:dyDescent="0.35">
      <c r="H388" s="34"/>
      <c r="I388" s="34"/>
      <c r="J388" s="34"/>
      <c r="K388" s="34"/>
    </row>
    <row r="389" spans="8:11" x14ac:dyDescent="0.35">
      <c r="H389" s="34"/>
      <c r="I389" s="34"/>
      <c r="J389" s="34"/>
      <c r="K389" s="34"/>
    </row>
    <row r="390" spans="8:11" x14ac:dyDescent="0.35">
      <c r="H390" s="34"/>
      <c r="I390" s="34"/>
      <c r="J390" s="34"/>
      <c r="K390" s="34"/>
    </row>
    <row r="391" spans="8:11" x14ac:dyDescent="0.35">
      <c r="H391" s="34"/>
      <c r="I391" s="34"/>
      <c r="J391" s="34"/>
      <c r="K391" s="34"/>
    </row>
    <row r="392" spans="8:11" x14ac:dyDescent="0.35">
      <c r="H392" s="34"/>
      <c r="I392" s="34"/>
      <c r="J392" s="34"/>
      <c r="K392" s="34"/>
    </row>
    <row r="393" spans="8:11" x14ac:dyDescent="0.35">
      <c r="H393" s="34"/>
      <c r="I393" s="34"/>
      <c r="J393" s="34"/>
      <c r="K393" s="34"/>
    </row>
    <row r="394" spans="8:11" x14ac:dyDescent="0.35">
      <c r="H394" s="34"/>
      <c r="I394" s="34"/>
      <c r="J394" s="34"/>
      <c r="K394" s="34"/>
    </row>
    <row r="395" spans="8:11" x14ac:dyDescent="0.35">
      <c r="H395" s="34"/>
      <c r="I395" s="34"/>
      <c r="J395" s="34"/>
      <c r="K395" s="34"/>
    </row>
    <row r="396" spans="8:11" x14ac:dyDescent="0.35">
      <c r="H396" s="34"/>
      <c r="I396" s="34"/>
      <c r="J396" s="34"/>
      <c r="K396" s="34"/>
    </row>
    <row r="397" spans="8:11" x14ac:dyDescent="0.35">
      <c r="H397" s="34"/>
      <c r="I397" s="34"/>
      <c r="J397" s="34"/>
      <c r="K397" s="34"/>
    </row>
    <row r="398" spans="8:11" x14ac:dyDescent="0.35">
      <c r="H398" s="34"/>
      <c r="I398" s="34"/>
      <c r="J398" s="34"/>
      <c r="K398" s="34"/>
    </row>
    <row r="399" spans="8:11" x14ac:dyDescent="0.35">
      <c r="H399" s="34"/>
      <c r="I399" s="34"/>
      <c r="J399" s="34"/>
      <c r="K399" s="34"/>
    </row>
    <row r="400" spans="8:11" x14ac:dyDescent="0.35">
      <c r="H400" s="34"/>
      <c r="I400" s="34"/>
      <c r="J400" s="34"/>
      <c r="K400" s="34"/>
    </row>
    <row r="401" spans="8:11" x14ac:dyDescent="0.35">
      <c r="H401" s="34"/>
      <c r="I401" s="34"/>
      <c r="J401" s="34"/>
      <c r="K401" s="34"/>
    </row>
    <row r="402" spans="8:11" x14ac:dyDescent="0.35">
      <c r="H402" s="34"/>
      <c r="I402" s="34"/>
      <c r="J402" s="34"/>
      <c r="K402" s="34"/>
    </row>
    <row r="403" spans="8:11" x14ac:dyDescent="0.35">
      <c r="H403" s="34"/>
      <c r="I403" s="34"/>
      <c r="J403" s="34"/>
      <c r="K403" s="34"/>
    </row>
    <row r="404" spans="8:11" x14ac:dyDescent="0.35">
      <c r="H404" s="34"/>
      <c r="I404" s="34"/>
      <c r="J404" s="34"/>
      <c r="K404" s="34"/>
    </row>
    <row r="405" spans="8:11" x14ac:dyDescent="0.35">
      <c r="H405" s="34"/>
      <c r="I405" s="34"/>
      <c r="J405" s="34"/>
      <c r="K405" s="34"/>
    </row>
    <row r="406" spans="8:11" x14ac:dyDescent="0.35">
      <c r="H406" s="34"/>
      <c r="I406" s="34"/>
      <c r="J406" s="34"/>
      <c r="K406" s="34"/>
    </row>
    <row r="407" spans="8:11" x14ac:dyDescent="0.35">
      <c r="H407" s="34"/>
      <c r="I407" s="34"/>
      <c r="J407" s="34"/>
      <c r="K407" s="34"/>
    </row>
    <row r="408" spans="8:11" x14ac:dyDescent="0.35">
      <c r="H408" s="34"/>
      <c r="I408" s="34"/>
      <c r="J408" s="34"/>
      <c r="K408" s="34"/>
    </row>
    <row r="409" spans="8:11" x14ac:dyDescent="0.35">
      <c r="H409" s="34"/>
      <c r="I409" s="34"/>
      <c r="J409" s="34"/>
      <c r="K409" s="34"/>
    </row>
    <row r="410" spans="8:11" x14ac:dyDescent="0.35">
      <c r="H410" s="34"/>
      <c r="I410" s="34"/>
      <c r="J410" s="34"/>
      <c r="K410" s="34"/>
    </row>
    <row r="411" spans="8:11" x14ac:dyDescent="0.35">
      <c r="H411" s="34"/>
      <c r="I411" s="34"/>
      <c r="J411" s="34"/>
      <c r="K411" s="34"/>
    </row>
    <row r="412" spans="8:11" x14ac:dyDescent="0.35">
      <c r="H412" s="34"/>
      <c r="I412" s="34"/>
      <c r="J412" s="34"/>
      <c r="K412" s="34"/>
    </row>
    <row r="413" spans="8:11" x14ac:dyDescent="0.35">
      <c r="H413" s="34"/>
      <c r="I413" s="34"/>
      <c r="J413" s="34"/>
      <c r="K413" s="34"/>
    </row>
    <row r="414" spans="8:11" x14ac:dyDescent="0.35">
      <c r="H414" s="34"/>
      <c r="I414" s="34"/>
      <c r="J414" s="34"/>
      <c r="K414" s="34"/>
    </row>
    <row r="415" spans="8:11" x14ac:dyDescent="0.35">
      <c r="H415" s="34"/>
      <c r="I415" s="34"/>
      <c r="J415" s="34"/>
      <c r="K415" s="34"/>
    </row>
    <row r="416" spans="8:11" x14ac:dyDescent="0.35">
      <c r="H416" s="34"/>
      <c r="I416" s="34"/>
      <c r="J416" s="34"/>
      <c r="K416" s="34"/>
    </row>
    <row r="417" spans="8:11" x14ac:dyDescent="0.35">
      <c r="H417" s="34"/>
      <c r="I417" s="34"/>
      <c r="J417" s="34"/>
      <c r="K417" s="34"/>
    </row>
    <row r="418" spans="8:11" x14ac:dyDescent="0.35">
      <c r="H418" s="34"/>
      <c r="I418" s="34"/>
      <c r="J418" s="34"/>
      <c r="K418" s="34"/>
    </row>
    <row r="419" spans="8:11" x14ac:dyDescent="0.35">
      <c r="H419" s="34"/>
      <c r="I419" s="34"/>
      <c r="J419" s="34"/>
      <c r="K419" s="34"/>
    </row>
    <row r="420" spans="8:11" x14ac:dyDescent="0.35">
      <c r="H420" s="34"/>
      <c r="I420" s="34"/>
      <c r="J420" s="34"/>
      <c r="K420" s="34"/>
    </row>
    <row r="421" spans="8:11" x14ac:dyDescent="0.35">
      <c r="H421" s="34"/>
      <c r="I421" s="34"/>
      <c r="J421" s="34"/>
      <c r="K421" s="34"/>
    </row>
    <row r="422" spans="8:11" x14ac:dyDescent="0.35">
      <c r="H422" s="34"/>
      <c r="I422" s="34"/>
      <c r="J422" s="34"/>
      <c r="K422" s="34"/>
    </row>
    <row r="423" spans="8:11" x14ac:dyDescent="0.35">
      <c r="H423" s="34"/>
      <c r="I423" s="34"/>
      <c r="J423" s="34"/>
      <c r="K423" s="34"/>
    </row>
    <row r="424" spans="8:11" x14ac:dyDescent="0.35">
      <c r="H424" s="34"/>
      <c r="I424" s="34"/>
      <c r="J424" s="34"/>
      <c r="K424" s="34"/>
    </row>
    <row r="425" spans="8:11" x14ac:dyDescent="0.35">
      <c r="H425" s="34"/>
      <c r="I425" s="34"/>
      <c r="J425" s="34"/>
      <c r="K425" s="34"/>
    </row>
    <row r="426" spans="8:11" x14ac:dyDescent="0.35">
      <c r="H426" s="34"/>
      <c r="I426" s="34"/>
      <c r="J426" s="34"/>
      <c r="K426" s="34"/>
    </row>
    <row r="427" spans="8:11" x14ac:dyDescent="0.35">
      <c r="H427" s="34"/>
      <c r="I427" s="34"/>
      <c r="J427" s="34"/>
      <c r="K427" s="34"/>
    </row>
    <row r="428" spans="8:11" x14ac:dyDescent="0.35">
      <c r="H428" s="34"/>
      <c r="I428" s="34"/>
      <c r="J428" s="34"/>
      <c r="K428" s="34"/>
    </row>
    <row r="429" spans="8:11" x14ac:dyDescent="0.35">
      <c r="H429" s="34"/>
      <c r="I429" s="34"/>
      <c r="J429" s="34"/>
      <c r="K429" s="34"/>
    </row>
    <row r="430" spans="8:11" x14ac:dyDescent="0.35">
      <c r="H430" s="34"/>
      <c r="I430" s="34"/>
      <c r="J430" s="34"/>
      <c r="K430" s="34"/>
    </row>
    <row r="431" spans="8:11" x14ac:dyDescent="0.35">
      <c r="H431" s="34"/>
      <c r="I431" s="34"/>
      <c r="J431" s="34"/>
      <c r="K431" s="34"/>
    </row>
    <row r="432" spans="8:11" x14ac:dyDescent="0.35">
      <c r="H432" s="34"/>
      <c r="I432" s="34"/>
      <c r="J432" s="34"/>
      <c r="K432" s="34"/>
    </row>
    <row r="433" spans="8:11" x14ac:dyDescent="0.35">
      <c r="H433" s="34"/>
      <c r="I433" s="34"/>
      <c r="J433" s="34"/>
      <c r="K433" s="34"/>
    </row>
    <row r="434" spans="8:11" x14ac:dyDescent="0.35">
      <c r="H434" s="34"/>
      <c r="I434" s="34"/>
      <c r="J434" s="34"/>
      <c r="K434" s="34"/>
    </row>
    <row r="435" spans="8:11" x14ac:dyDescent="0.35">
      <c r="H435" s="34"/>
      <c r="I435" s="34"/>
      <c r="J435" s="34"/>
      <c r="K435" s="34"/>
    </row>
    <row r="436" spans="8:11" x14ac:dyDescent="0.35">
      <c r="H436" s="34"/>
      <c r="I436" s="34"/>
      <c r="J436" s="34"/>
      <c r="K436" s="34"/>
    </row>
    <row r="437" spans="8:11" x14ac:dyDescent="0.35">
      <c r="H437" s="34"/>
      <c r="I437" s="34"/>
      <c r="J437" s="34"/>
      <c r="K437" s="34"/>
    </row>
    <row r="438" spans="8:11" x14ac:dyDescent="0.35">
      <c r="H438" s="34"/>
      <c r="I438" s="34"/>
      <c r="J438" s="34"/>
      <c r="K438" s="34"/>
    </row>
    <row r="439" spans="8:11" x14ac:dyDescent="0.35">
      <c r="H439" s="34"/>
      <c r="I439" s="34"/>
      <c r="J439" s="34"/>
      <c r="K439" s="34"/>
    </row>
    <row r="440" spans="8:11" x14ac:dyDescent="0.35">
      <c r="H440" s="34"/>
      <c r="I440" s="34"/>
      <c r="J440" s="34"/>
      <c r="K440" s="34"/>
    </row>
    <row r="441" spans="8:11" x14ac:dyDescent="0.35">
      <c r="H441" s="34"/>
      <c r="I441" s="34"/>
      <c r="J441" s="34"/>
      <c r="K441" s="34"/>
    </row>
    <row r="442" spans="8:11" x14ac:dyDescent="0.35">
      <c r="H442" s="34"/>
      <c r="I442" s="34"/>
      <c r="J442" s="34"/>
      <c r="K442" s="34"/>
    </row>
    <row r="443" spans="8:11" x14ac:dyDescent="0.35">
      <c r="H443" s="34"/>
      <c r="I443" s="34"/>
      <c r="J443" s="34"/>
      <c r="K443" s="34"/>
    </row>
    <row r="444" spans="8:11" x14ac:dyDescent="0.35">
      <c r="H444" s="34"/>
      <c r="I444" s="34"/>
      <c r="J444" s="34"/>
      <c r="K444" s="34"/>
    </row>
    <row r="445" spans="8:11" x14ac:dyDescent="0.35">
      <c r="H445" s="34"/>
      <c r="I445" s="34"/>
      <c r="J445" s="34"/>
      <c r="K445" s="34"/>
    </row>
    <row r="446" spans="8:11" x14ac:dyDescent="0.35">
      <c r="H446" s="34"/>
      <c r="I446" s="34"/>
      <c r="J446" s="34"/>
      <c r="K446" s="34"/>
    </row>
    <row r="447" spans="8:11" x14ac:dyDescent="0.35">
      <c r="H447" s="34"/>
      <c r="I447" s="34"/>
      <c r="J447" s="34"/>
      <c r="K447" s="34"/>
    </row>
    <row r="448" spans="8:11" x14ac:dyDescent="0.35">
      <c r="H448" s="34"/>
      <c r="I448" s="34"/>
      <c r="J448" s="34"/>
      <c r="K448" s="34"/>
    </row>
    <row r="449" spans="8:11" x14ac:dyDescent="0.35">
      <c r="H449" s="34"/>
      <c r="I449" s="34"/>
      <c r="J449" s="34"/>
      <c r="K449" s="34"/>
    </row>
    <row r="450" spans="8:11" x14ac:dyDescent="0.35">
      <c r="H450" s="34"/>
      <c r="I450" s="34"/>
      <c r="J450" s="34"/>
      <c r="K450" s="34"/>
    </row>
    <row r="451" spans="8:11" x14ac:dyDescent="0.35">
      <c r="H451" s="34"/>
      <c r="I451" s="34"/>
      <c r="J451" s="34"/>
      <c r="K451" s="34"/>
    </row>
    <row r="452" spans="8:11" x14ac:dyDescent="0.35">
      <c r="H452" s="34"/>
      <c r="I452" s="34"/>
      <c r="J452" s="34"/>
      <c r="K452" s="34"/>
    </row>
    <row r="453" spans="8:11" x14ac:dyDescent="0.35">
      <c r="H453" s="34"/>
      <c r="I453" s="34"/>
      <c r="J453" s="34"/>
      <c r="K453" s="34"/>
    </row>
    <row r="454" spans="8:11" x14ac:dyDescent="0.35">
      <c r="H454" s="34"/>
      <c r="I454" s="34"/>
      <c r="J454" s="34"/>
      <c r="K454" s="34"/>
    </row>
    <row r="455" spans="8:11" x14ac:dyDescent="0.35">
      <c r="H455" s="34"/>
      <c r="I455" s="34"/>
      <c r="J455" s="34"/>
      <c r="K455" s="34"/>
    </row>
    <row r="456" spans="8:11" x14ac:dyDescent="0.35">
      <c r="H456" s="34"/>
      <c r="I456" s="34"/>
      <c r="J456" s="34"/>
      <c r="K456" s="34"/>
    </row>
    <row r="457" spans="8:11" x14ac:dyDescent="0.35">
      <c r="H457" s="34"/>
      <c r="I457" s="34"/>
      <c r="J457" s="34"/>
      <c r="K457" s="34"/>
    </row>
    <row r="458" spans="8:11" x14ac:dyDescent="0.35">
      <c r="H458" s="34"/>
      <c r="I458" s="34"/>
      <c r="J458" s="34"/>
      <c r="K458" s="34"/>
    </row>
    <row r="459" spans="8:11" x14ac:dyDescent="0.35">
      <c r="H459" s="34"/>
      <c r="I459" s="34"/>
      <c r="J459" s="34"/>
      <c r="K459" s="34"/>
    </row>
    <row r="460" spans="8:11" x14ac:dyDescent="0.35">
      <c r="H460" s="34"/>
      <c r="I460" s="34"/>
      <c r="J460" s="34"/>
      <c r="K460" s="34"/>
    </row>
    <row r="461" spans="8:11" x14ac:dyDescent="0.35">
      <c r="H461" s="34"/>
      <c r="I461" s="34"/>
      <c r="J461" s="34"/>
      <c r="K461" s="34"/>
    </row>
    <row r="462" spans="8:11" x14ac:dyDescent="0.35">
      <c r="H462" s="34"/>
      <c r="I462" s="34"/>
      <c r="J462" s="34"/>
      <c r="K462" s="34"/>
    </row>
    <row r="463" spans="8:11" x14ac:dyDescent="0.35">
      <c r="H463" s="34"/>
      <c r="I463" s="34"/>
      <c r="J463" s="34"/>
      <c r="K463" s="34"/>
    </row>
    <row r="464" spans="8:11" x14ac:dyDescent="0.35">
      <c r="H464" s="34"/>
      <c r="I464" s="34"/>
      <c r="J464" s="34"/>
      <c r="K464" s="34"/>
    </row>
    <row r="465" spans="8:11" x14ac:dyDescent="0.35">
      <c r="H465" s="34"/>
      <c r="I465" s="34"/>
      <c r="J465" s="34"/>
      <c r="K465" s="34"/>
    </row>
    <row r="466" spans="8:11" x14ac:dyDescent="0.35">
      <c r="H466" s="34"/>
      <c r="I466" s="34"/>
      <c r="J466" s="34"/>
      <c r="K466" s="34"/>
    </row>
    <row r="467" spans="8:11" x14ac:dyDescent="0.35">
      <c r="H467" s="34"/>
      <c r="I467" s="34"/>
      <c r="J467" s="34"/>
      <c r="K467" s="34"/>
    </row>
    <row r="468" spans="8:11" x14ac:dyDescent="0.35">
      <c r="H468" s="34"/>
      <c r="I468" s="34"/>
      <c r="J468" s="34"/>
      <c r="K468" s="34"/>
    </row>
    <row r="469" spans="8:11" x14ac:dyDescent="0.35">
      <c r="H469" s="34"/>
      <c r="I469" s="34"/>
      <c r="J469" s="34"/>
      <c r="K469" s="34"/>
    </row>
    <row r="470" spans="8:11" x14ac:dyDescent="0.35">
      <c r="H470" s="34"/>
      <c r="I470" s="34"/>
      <c r="J470" s="34"/>
      <c r="K470" s="34"/>
    </row>
    <row r="471" spans="8:11" x14ac:dyDescent="0.35">
      <c r="H471" s="34"/>
      <c r="I471" s="34"/>
      <c r="J471" s="34"/>
      <c r="K471" s="34"/>
    </row>
    <row r="472" spans="8:11" x14ac:dyDescent="0.35">
      <c r="H472" s="34"/>
      <c r="I472" s="34"/>
      <c r="J472" s="34"/>
      <c r="K472" s="34"/>
    </row>
    <row r="473" spans="8:11" x14ac:dyDescent="0.35">
      <c r="H473" s="34"/>
      <c r="I473" s="34"/>
      <c r="J473" s="34"/>
      <c r="K473" s="34"/>
    </row>
    <row r="474" spans="8:11" x14ac:dyDescent="0.35">
      <c r="H474" s="34"/>
      <c r="I474" s="34"/>
      <c r="J474" s="34"/>
      <c r="K474" s="34"/>
    </row>
    <row r="475" spans="8:11" x14ac:dyDescent="0.35">
      <c r="H475" s="34"/>
      <c r="I475" s="34"/>
      <c r="J475" s="34"/>
      <c r="K475" s="34"/>
    </row>
    <row r="476" spans="8:11" x14ac:dyDescent="0.35">
      <c r="H476" s="34"/>
      <c r="I476" s="34"/>
      <c r="J476" s="34"/>
      <c r="K476" s="34"/>
    </row>
    <row r="477" spans="8:11" x14ac:dyDescent="0.35">
      <c r="H477" s="34"/>
      <c r="I477" s="34"/>
      <c r="J477" s="34"/>
      <c r="K477" s="34"/>
    </row>
    <row r="478" spans="8:11" x14ac:dyDescent="0.35">
      <c r="H478" s="34"/>
      <c r="I478" s="34"/>
      <c r="J478" s="34"/>
      <c r="K478" s="34"/>
    </row>
    <row r="479" spans="8:11" x14ac:dyDescent="0.35">
      <c r="H479" s="34"/>
      <c r="I479" s="34"/>
      <c r="J479" s="34"/>
      <c r="K479" s="34"/>
    </row>
    <row r="480" spans="8:11" x14ac:dyDescent="0.35">
      <c r="H480" s="34"/>
      <c r="I480" s="34"/>
      <c r="J480" s="34"/>
      <c r="K480" s="34"/>
    </row>
    <row r="481" spans="8:11" x14ac:dyDescent="0.35">
      <c r="H481" s="34"/>
      <c r="I481" s="34"/>
      <c r="J481" s="34"/>
      <c r="K481" s="34"/>
    </row>
    <row r="482" spans="8:11" x14ac:dyDescent="0.35">
      <c r="H482" s="34"/>
      <c r="I482" s="34"/>
      <c r="J482" s="34"/>
      <c r="K482" s="34"/>
    </row>
    <row r="483" spans="8:11" x14ac:dyDescent="0.35">
      <c r="H483" s="34"/>
      <c r="I483" s="34"/>
      <c r="J483" s="34"/>
      <c r="K483" s="34"/>
    </row>
    <row r="484" spans="8:11" x14ac:dyDescent="0.35">
      <c r="H484" s="34"/>
      <c r="I484" s="34"/>
      <c r="J484" s="34"/>
      <c r="K484" s="34"/>
    </row>
    <row r="485" spans="8:11" x14ac:dyDescent="0.35">
      <c r="H485" s="34"/>
      <c r="I485" s="34"/>
      <c r="J485" s="34"/>
      <c r="K485" s="34"/>
    </row>
    <row r="486" spans="8:11" x14ac:dyDescent="0.35">
      <c r="H486" s="34"/>
      <c r="I486" s="34"/>
      <c r="J486" s="34"/>
      <c r="K486" s="34"/>
    </row>
    <row r="487" spans="8:11" x14ac:dyDescent="0.35">
      <c r="H487" s="34"/>
      <c r="I487" s="34"/>
      <c r="J487" s="34"/>
      <c r="K487" s="34"/>
    </row>
    <row r="488" spans="8:11" x14ac:dyDescent="0.35">
      <c r="H488" s="34"/>
      <c r="I488" s="34"/>
      <c r="J488" s="34"/>
      <c r="K488" s="34"/>
    </row>
    <row r="489" spans="8:11" x14ac:dyDescent="0.35">
      <c r="H489" s="34"/>
      <c r="I489" s="34"/>
      <c r="J489" s="34"/>
      <c r="K489" s="34"/>
    </row>
    <row r="490" spans="8:11" x14ac:dyDescent="0.35">
      <c r="H490" s="34"/>
      <c r="I490" s="34"/>
      <c r="J490" s="34"/>
      <c r="K490" s="34"/>
    </row>
    <row r="491" spans="8:11" x14ac:dyDescent="0.35">
      <c r="H491" s="34"/>
      <c r="I491" s="34"/>
      <c r="J491" s="34"/>
      <c r="K491" s="34"/>
    </row>
    <row r="492" spans="8:11" x14ac:dyDescent="0.35">
      <c r="H492" s="34"/>
      <c r="I492" s="34"/>
      <c r="J492" s="34"/>
      <c r="K492" s="34"/>
    </row>
    <row r="493" spans="8:11" x14ac:dyDescent="0.35">
      <c r="H493" s="34"/>
      <c r="I493" s="34"/>
      <c r="J493" s="34"/>
      <c r="K493" s="34"/>
    </row>
    <row r="494" spans="8:11" x14ac:dyDescent="0.35">
      <c r="H494" s="34"/>
      <c r="I494" s="34"/>
      <c r="J494" s="34"/>
      <c r="K494" s="34"/>
    </row>
    <row r="495" spans="8:11" x14ac:dyDescent="0.35">
      <c r="H495" s="34"/>
      <c r="I495" s="34"/>
      <c r="J495" s="34"/>
      <c r="K495" s="34"/>
    </row>
    <row r="496" spans="8:11" x14ac:dyDescent="0.35">
      <c r="H496" s="34"/>
      <c r="I496" s="34"/>
      <c r="J496" s="34"/>
      <c r="K496" s="34"/>
    </row>
    <row r="497" spans="8:11" x14ac:dyDescent="0.35">
      <c r="H497" s="34"/>
      <c r="I497" s="34"/>
      <c r="J497" s="34"/>
      <c r="K497" s="34"/>
    </row>
    <row r="498" spans="8:11" x14ac:dyDescent="0.35">
      <c r="H498" s="34"/>
      <c r="I498" s="34"/>
      <c r="J498" s="34"/>
      <c r="K498" s="34"/>
    </row>
    <row r="499" spans="8:11" x14ac:dyDescent="0.35">
      <c r="H499" s="34"/>
      <c r="I499" s="34"/>
      <c r="J499" s="34"/>
      <c r="K499" s="34"/>
    </row>
    <row r="500" spans="8:11" x14ac:dyDescent="0.35">
      <c r="H500" s="34"/>
      <c r="I500" s="34"/>
      <c r="J500" s="34"/>
      <c r="K500" s="34"/>
    </row>
    <row r="501" spans="8:11" x14ac:dyDescent="0.35">
      <c r="H501" s="34"/>
      <c r="I501" s="34"/>
      <c r="J501" s="34"/>
      <c r="K501" s="34"/>
    </row>
    <row r="502" spans="8:11" x14ac:dyDescent="0.35">
      <c r="H502" s="34"/>
      <c r="I502" s="34"/>
      <c r="J502" s="34"/>
      <c r="K502" s="34"/>
    </row>
    <row r="503" spans="8:11" x14ac:dyDescent="0.35">
      <c r="H503" s="34"/>
      <c r="I503" s="34"/>
      <c r="J503" s="34"/>
      <c r="K503" s="34"/>
    </row>
    <row r="504" spans="8:11" x14ac:dyDescent="0.35">
      <c r="H504" s="34"/>
      <c r="I504" s="34"/>
      <c r="J504" s="34"/>
      <c r="K504" s="34"/>
    </row>
    <row r="505" spans="8:11" x14ac:dyDescent="0.35">
      <c r="H505" s="34"/>
      <c r="I505" s="34"/>
      <c r="J505" s="34"/>
      <c r="K505" s="34"/>
    </row>
    <row r="506" spans="8:11" x14ac:dyDescent="0.35">
      <c r="H506" s="34"/>
      <c r="I506" s="34"/>
      <c r="J506" s="34"/>
      <c r="K506" s="34"/>
    </row>
    <row r="507" spans="8:11" x14ac:dyDescent="0.35">
      <c r="H507" s="34"/>
      <c r="I507" s="34"/>
      <c r="J507" s="34"/>
      <c r="K507" s="34"/>
    </row>
    <row r="508" spans="8:11" x14ac:dyDescent="0.35">
      <c r="H508" s="34"/>
      <c r="I508" s="34"/>
      <c r="J508" s="34"/>
      <c r="K508" s="34"/>
    </row>
    <row r="509" spans="8:11" x14ac:dyDescent="0.35">
      <c r="H509" s="34"/>
      <c r="I509" s="34"/>
      <c r="J509" s="34"/>
      <c r="K509" s="34"/>
    </row>
    <row r="510" spans="8:11" x14ac:dyDescent="0.35">
      <c r="H510" s="34"/>
      <c r="I510" s="34"/>
      <c r="J510" s="34"/>
      <c r="K510" s="34"/>
    </row>
    <row r="511" spans="8:11" x14ac:dyDescent="0.35">
      <c r="H511" s="34"/>
      <c r="I511" s="34"/>
      <c r="J511" s="34"/>
      <c r="K511" s="34"/>
    </row>
    <row r="512" spans="8:11" x14ac:dyDescent="0.35">
      <c r="H512" s="34"/>
      <c r="I512" s="34"/>
      <c r="J512" s="34"/>
      <c r="K512" s="34"/>
    </row>
    <row r="513" spans="8:11" x14ac:dyDescent="0.35">
      <c r="H513" s="34"/>
      <c r="I513" s="34"/>
      <c r="J513" s="34"/>
      <c r="K513" s="34"/>
    </row>
    <row r="514" spans="8:11" x14ac:dyDescent="0.35">
      <c r="H514" s="34"/>
      <c r="I514" s="34"/>
      <c r="J514" s="34"/>
      <c r="K514" s="34"/>
    </row>
    <row r="515" spans="8:11" x14ac:dyDescent="0.35">
      <c r="H515" s="34"/>
      <c r="I515" s="34"/>
      <c r="J515" s="34"/>
      <c r="K515" s="34"/>
    </row>
    <row r="516" spans="8:11" x14ac:dyDescent="0.35">
      <c r="H516" s="34"/>
      <c r="I516" s="34"/>
      <c r="J516" s="34"/>
      <c r="K516" s="34"/>
    </row>
    <row r="517" spans="8:11" x14ac:dyDescent="0.35">
      <c r="H517" s="34"/>
      <c r="I517" s="34"/>
      <c r="J517" s="34"/>
      <c r="K517" s="34"/>
    </row>
    <row r="518" spans="8:11" x14ac:dyDescent="0.35">
      <c r="H518" s="34"/>
      <c r="I518" s="34"/>
      <c r="J518" s="34"/>
      <c r="K518" s="34"/>
    </row>
    <row r="519" spans="8:11" x14ac:dyDescent="0.35">
      <c r="H519" s="34"/>
      <c r="I519" s="34"/>
      <c r="J519" s="34"/>
      <c r="K519" s="34"/>
    </row>
    <row r="520" spans="8:11" x14ac:dyDescent="0.35">
      <c r="H520" s="34"/>
      <c r="I520" s="34"/>
      <c r="J520" s="34"/>
      <c r="K520" s="34"/>
    </row>
    <row r="521" spans="8:11" x14ac:dyDescent="0.35">
      <c r="H521" s="34"/>
      <c r="I521" s="34"/>
      <c r="J521" s="34"/>
      <c r="K521" s="34"/>
    </row>
    <row r="522" spans="8:11" x14ac:dyDescent="0.35">
      <c r="H522" s="34"/>
      <c r="I522" s="34"/>
      <c r="J522" s="34"/>
      <c r="K522" s="34"/>
    </row>
    <row r="523" spans="8:11" x14ac:dyDescent="0.35">
      <c r="H523" s="34"/>
      <c r="I523" s="34"/>
      <c r="J523" s="34"/>
      <c r="K523" s="34"/>
    </row>
    <row r="524" spans="8:11" x14ac:dyDescent="0.35">
      <c r="H524" s="34"/>
      <c r="I524" s="34"/>
      <c r="J524" s="34"/>
      <c r="K524" s="34"/>
    </row>
    <row r="525" spans="8:11" x14ac:dyDescent="0.35">
      <c r="H525" s="34"/>
      <c r="I525" s="34"/>
      <c r="J525" s="34"/>
      <c r="K525" s="34"/>
    </row>
    <row r="526" spans="8:11" x14ac:dyDescent="0.35">
      <c r="H526" s="34"/>
      <c r="I526" s="34"/>
      <c r="J526" s="34"/>
      <c r="K526" s="34"/>
    </row>
    <row r="527" spans="8:11" x14ac:dyDescent="0.35">
      <c r="H527" s="34"/>
      <c r="I527" s="34"/>
      <c r="J527" s="34"/>
      <c r="K527" s="34"/>
    </row>
    <row r="528" spans="8:11" x14ac:dyDescent="0.35">
      <c r="H528" s="34"/>
      <c r="I528" s="34"/>
      <c r="J528" s="34"/>
      <c r="K528" s="34"/>
    </row>
    <row r="529" spans="8:11" x14ac:dyDescent="0.35">
      <c r="H529" s="34"/>
      <c r="I529" s="34"/>
      <c r="J529" s="34"/>
      <c r="K529" s="34"/>
    </row>
    <row r="530" spans="8:11" x14ac:dyDescent="0.35">
      <c r="H530" s="34"/>
      <c r="I530" s="34"/>
      <c r="J530" s="34"/>
      <c r="K530" s="34"/>
    </row>
    <row r="531" spans="8:11" x14ac:dyDescent="0.35">
      <c r="H531" s="34"/>
      <c r="I531" s="34"/>
      <c r="J531" s="34"/>
      <c r="K531" s="34"/>
    </row>
    <row r="532" spans="8:11" x14ac:dyDescent="0.35">
      <c r="H532" s="34"/>
      <c r="I532" s="34"/>
      <c r="J532" s="34"/>
      <c r="K532" s="34"/>
    </row>
    <row r="533" spans="8:11" x14ac:dyDescent="0.35">
      <c r="H533" s="34"/>
      <c r="I533" s="34"/>
      <c r="J533" s="34"/>
      <c r="K533" s="34"/>
    </row>
    <row r="534" spans="8:11" x14ac:dyDescent="0.35">
      <c r="H534" s="34"/>
      <c r="I534" s="34"/>
      <c r="J534" s="34"/>
      <c r="K534" s="34"/>
    </row>
    <row r="535" spans="8:11" x14ac:dyDescent="0.35">
      <c r="H535" s="34"/>
      <c r="I535" s="34"/>
      <c r="J535" s="34"/>
      <c r="K535" s="34"/>
    </row>
    <row r="536" spans="8:11" x14ac:dyDescent="0.35">
      <c r="H536" s="34"/>
      <c r="I536" s="34"/>
      <c r="J536" s="34"/>
      <c r="K536" s="34"/>
    </row>
    <row r="537" spans="8:11" x14ac:dyDescent="0.35">
      <c r="H537" s="34"/>
      <c r="I537" s="34"/>
      <c r="J537" s="34"/>
      <c r="K537" s="34"/>
    </row>
    <row r="538" spans="8:11" x14ac:dyDescent="0.35">
      <c r="H538" s="34"/>
      <c r="I538" s="34"/>
      <c r="J538" s="34"/>
      <c r="K538" s="34"/>
    </row>
    <row r="539" spans="8:11" x14ac:dyDescent="0.35">
      <c r="H539" s="34"/>
      <c r="I539" s="34"/>
      <c r="J539" s="34"/>
      <c r="K539" s="34"/>
    </row>
    <row r="540" spans="8:11" x14ac:dyDescent="0.35">
      <c r="H540" s="34"/>
      <c r="I540" s="34"/>
      <c r="J540" s="34"/>
      <c r="K540" s="34"/>
    </row>
    <row r="541" spans="8:11" x14ac:dyDescent="0.35">
      <c r="H541" s="34"/>
      <c r="I541" s="34"/>
      <c r="J541" s="34"/>
      <c r="K541" s="34"/>
    </row>
    <row r="542" spans="8:11" x14ac:dyDescent="0.35">
      <c r="H542" s="34"/>
      <c r="I542" s="34"/>
      <c r="J542" s="34"/>
      <c r="K542" s="34"/>
    </row>
    <row r="543" spans="8:11" x14ac:dyDescent="0.35">
      <c r="H543" s="34"/>
      <c r="I543" s="34"/>
      <c r="J543" s="34"/>
      <c r="K543" s="34"/>
    </row>
    <row r="544" spans="8:11" x14ac:dyDescent="0.35">
      <c r="H544" s="34"/>
      <c r="I544" s="34"/>
      <c r="J544" s="34"/>
      <c r="K544" s="34"/>
    </row>
    <row r="545" spans="8:11" x14ac:dyDescent="0.35">
      <c r="H545" s="34"/>
      <c r="I545" s="34"/>
      <c r="J545" s="34"/>
      <c r="K545" s="34"/>
    </row>
    <row r="546" spans="8:11" x14ac:dyDescent="0.35">
      <c r="H546" s="34"/>
      <c r="I546" s="34"/>
      <c r="J546" s="34"/>
      <c r="K546" s="34"/>
    </row>
    <row r="547" spans="8:11" x14ac:dyDescent="0.35">
      <c r="H547" s="34"/>
      <c r="I547" s="34"/>
      <c r="J547" s="34"/>
      <c r="K547" s="34"/>
    </row>
    <row r="548" spans="8:11" x14ac:dyDescent="0.35">
      <c r="H548" s="34"/>
      <c r="I548" s="34"/>
      <c r="J548" s="34"/>
      <c r="K548" s="34"/>
    </row>
    <row r="549" spans="8:11" x14ac:dyDescent="0.35">
      <c r="H549" s="34"/>
      <c r="I549" s="34"/>
      <c r="J549" s="34"/>
      <c r="K549" s="34"/>
    </row>
    <row r="550" spans="8:11" x14ac:dyDescent="0.35">
      <c r="H550" s="34"/>
      <c r="I550" s="34"/>
      <c r="J550" s="34"/>
      <c r="K550" s="34"/>
    </row>
    <row r="551" spans="8:11" x14ac:dyDescent="0.35">
      <c r="H551" s="34"/>
      <c r="I551" s="34"/>
      <c r="J551" s="34"/>
      <c r="K551" s="34"/>
    </row>
    <row r="552" spans="8:11" x14ac:dyDescent="0.35">
      <c r="H552" s="34"/>
      <c r="I552" s="34"/>
      <c r="J552" s="34"/>
      <c r="K552" s="34"/>
    </row>
    <row r="553" spans="8:11" x14ac:dyDescent="0.35">
      <c r="H553" s="34"/>
      <c r="I553" s="34"/>
      <c r="J553" s="34"/>
      <c r="K553" s="34"/>
    </row>
    <row r="554" spans="8:11" x14ac:dyDescent="0.35">
      <c r="H554" s="34"/>
      <c r="I554" s="34"/>
      <c r="J554" s="34"/>
      <c r="K554" s="34"/>
    </row>
    <row r="555" spans="8:11" x14ac:dyDescent="0.35">
      <c r="H555" s="34"/>
      <c r="I555" s="34"/>
      <c r="J555" s="34"/>
      <c r="K555" s="34"/>
    </row>
    <row r="556" spans="8:11" x14ac:dyDescent="0.35">
      <c r="H556" s="34"/>
      <c r="I556" s="34"/>
      <c r="J556" s="34"/>
      <c r="K556" s="34"/>
    </row>
    <row r="557" spans="8:11" x14ac:dyDescent="0.35">
      <c r="H557" s="34"/>
      <c r="I557" s="34"/>
      <c r="J557" s="34"/>
      <c r="K557" s="34"/>
    </row>
    <row r="558" spans="8:11" x14ac:dyDescent="0.35">
      <c r="H558" s="34"/>
      <c r="I558" s="34"/>
      <c r="J558" s="34"/>
      <c r="K558" s="34"/>
    </row>
    <row r="559" spans="8:11" x14ac:dyDescent="0.35">
      <c r="H559" s="34"/>
      <c r="I559" s="34"/>
      <c r="J559" s="34"/>
      <c r="K559" s="34"/>
    </row>
    <row r="560" spans="8:11" x14ac:dyDescent="0.35">
      <c r="H560" s="34"/>
      <c r="I560" s="34"/>
      <c r="J560" s="34"/>
      <c r="K560" s="34"/>
    </row>
    <row r="561" spans="8:11" x14ac:dyDescent="0.35">
      <c r="H561" s="34"/>
      <c r="I561" s="34"/>
      <c r="J561" s="34"/>
      <c r="K561" s="34"/>
    </row>
    <row r="562" spans="8:11" x14ac:dyDescent="0.35">
      <c r="H562" s="34"/>
      <c r="I562" s="34"/>
      <c r="J562" s="34"/>
      <c r="K562" s="34"/>
    </row>
    <row r="563" spans="8:11" x14ac:dyDescent="0.35">
      <c r="H563" s="34"/>
      <c r="I563" s="34"/>
      <c r="J563" s="34"/>
      <c r="K563" s="34"/>
    </row>
    <row r="564" spans="8:11" x14ac:dyDescent="0.35">
      <c r="H564" s="34"/>
      <c r="I564" s="34"/>
      <c r="J564" s="34"/>
      <c r="K564" s="34"/>
    </row>
    <row r="565" spans="8:11" x14ac:dyDescent="0.35">
      <c r="H565" s="34"/>
      <c r="I565" s="34"/>
      <c r="J565" s="34"/>
      <c r="K565" s="34"/>
    </row>
    <row r="566" spans="8:11" x14ac:dyDescent="0.35">
      <c r="H566" s="34"/>
      <c r="I566" s="34"/>
      <c r="J566" s="34"/>
      <c r="K566" s="34"/>
    </row>
    <row r="567" spans="8:11" x14ac:dyDescent="0.35">
      <c r="H567" s="34"/>
      <c r="I567" s="34"/>
      <c r="J567" s="34"/>
      <c r="K567" s="34"/>
    </row>
    <row r="568" spans="8:11" x14ac:dyDescent="0.35">
      <c r="H568" s="34"/>
      <c r="I568" s="34"/>
      <c r="J568" s="34"/>
      <c r="K568" s="34"/>
    </row>
    <row r="569" spans="8:11" x14ac:dyDescent="0.35">
      <c r="H569" s="34"/>
      <c r="I569" s="34"/>
      <c r="J569" s="34"/>
      <c r="K569" s="34"/>
    </row>
    <row r="570" spans="8:11" x14ac:dyDescent="0.35">
      <c r="H570" s="34"/>
      <c r="I570" s="34"/>
      <c r="J570" s="34"/>
      <c r="K570" s="34"/>
    </row>
    <row r="571" spans="8:11" x14ac:dyDescent="0.35">
      <c r="H571" s="34"/>
      <c r="I571" s="34"/>
      <c r="J571" s="34"/>
      <c r="K571" s="34"/>
    </row>
    <row r="572" spans="8:11" x14ac:dyDescent="0.35">
      <c r="H572" s="34"/>
      <c r="I572" s="34"/>
      <c r="J572" s="34"/>
      <c r="K572" s="34"/>
    </row>
    <row r="573" spans="8:11" x14ac:dyDescent="0.35">
      <c r="H573" s="34"/>
      <c r="I573" s="34"/>
      <c r="J573" s="34"/>
      <c r="K573" s="34"/>
    </row>
    <row r="574" spans="8:11" x14ac:dyDescent="0.35">
      <c r="H574" s="34"/>
      <c r="I574" s="34"/>
      <c r="J574" s="34"/>
      <c r="K574" s="34"/>
    </row>
    <row r="575" spans="8:11" x14ac:dyDescent="0.35">
      <c r="H575" s="34"/>
      <c r="I575" s="34"/>
      <c r="J575" s="34"/>
      <c r="K575" s="34"/>
    </row>
    <row r="576" spans="8:11" x14ac:dyDescent="0.35">
      <c r="H576" s="34"/>
      <c r="I576" s="34"/>
      <c r="J576" s="34"/>
      <c r="K576" s="34"/>
    </row>
    <row r="577" spans="8:11" x14ac:dyDescent="0.35">
      <c r="H577" s="34"/>
      <c r="I577" s="34"/>
      <c r="J577" s="34"/>
      <c r="K577" s="34"/>
    </row>
    <row r="578" spans="8:11" x14ac:dyDescent="0.35">
      <c r="H578" s="34"/>
      <c r="I578" s="34"/>
      <c r="J578" s="34"/>
      <c r="K578" s="34"/>
    </row>
    <row r="579" spans="8:11" x14ac:dyDescent="0.35">
      <c r="H579" s="34"/>
      <c r="I579" s="34"/>
      <c r="J579" s="34"/>
      <c r="K579" s="34"/>
    </row>
    <row r="580" spans="8:11" x14ac:dyDescent="0.35">
      <c r="H580" s="34"/>
      <c r="I580" s="34"/>
      <c r="J580" s="34"/>
      <c r="K580" s="34"/>
    </row>
    <row r="581" spans="8:11" x14ac:dyDescent="0.35">
      <c r="H581" s="34"/>
      <c r="I581" s="34"/>
      <c r="J581" s="34"/>
      <c r="K581" s="34"/>
    </row>
    <row r="582" spans="8:11" x14ac:dyDescent="0.35">
      <c r="H582" s="34"/>
      <c r="I582" s="34"/>
      <c r="J582" s="34"/>
      <c r="K582" s="34"/>
    </row>
    <row r="583" spans="8:11" x14ac:dyDescent="0.35">
      <c r="H583" s="34"/>
      <c r="I583" s="34"/>
      <c r="J583" s="34"/>
      <c r="K583" s="34"/>
    </row>
    <row r="584" spans="8:11" x14ac:dyDescent="0.35">
      <c r="H584" s="34"/>
      <c r="I584" s="34"/>
      <c r="J584" s="34"/>
      <c r="K584" s="34"/>
    </row>
    <row r="585" spans="8:11" x14ac:dyDescent="0.35">
      <c r="H585" s="34"/>
      <c r="I585" s="34"/>
      <c r="J585" s="34"/>
      <c r="K585" s="34"/>
    </row>
    <row r="586" spans="8:11" x14ac:dyDescent="0.35">
      <c r="H586" s="34"/>
      <c r="I586" s="34"/>
      <c r="J586" s="34"/>
      <c r="K586" s="34"/>
    </row>
    <row r="587" spans="8:11" x14ac:dyDescent="0.35">
      <c r="H587" s="34"/>
      <c r="I587" s="34"/>
      <c r="J587" s="34"/>
      <c r="K587" s="34"/>
    </row>
    <row r="588" spans="8:11" x14ac:dyDescent="0.35">
      <c r="H588" s="34"/>
      <c r="I588" s="34"/>
      <c r="J588" s="34"/>
      <c r="K588" s="34"/>
    </row>
    <row r="589" spans="8:11" x14ac:dyDescent="0.35">
      <c r="H589" s="34"/>
      <c r="I589" s="34"/>
      <c r="J589" s="34"/>
      <c r="K589" s="34"/>
    </row>
    <row r="590" spans="8:11" x14ac:dyDescent="0.35">
      <c r="H590" s="34"/>
      <c r="I590" s="34"/>
      <c r="J590" s="34"/>
      <c r="K590" s="34"/>
    </row>
    <row r="591" spans="8:11" x14ac:dyDescent="0.35">
      <c r="H591" s="34"/>
      <c r="I591" s="34"/>
      <c r="J591" s="34"/>
      <c r="K591" s="34"/>
    </row>
    <row r="592" spans="8:11" x14ac:dyDescent="0.35">
      <c r="H592" s="34"/>
      <c r="I592" s="34"/>
      <c r="J592" s="34"/>
      <c r="K592" s="34"/>
    </row>
    <row r="593" spans="8:11" x14ac:dyDescent="0.35">
      <c r="H593" s="34"/>
      <c r="I593" s="34"/>
      <c r="J593" s="34"/>
      <c r="K593" s="34"/>
    </row>
    <row r="594" spans="8:11" x14ac:dyDescent="0.35">
      <c r="H594" s="34"/>
      <c r="I594" s="34"/>
      <c r="J594" s="34"/>
      <c r="K594" s="34"/>
    </row>
    <row r="595" spans="8:11" x14ac:dyDescent="0.35">
      <c r="H595" s="34"/>
      <c r="I595" s="34"/>
      <c r="J595" s="34"/>
      <c r="K595" s="34"/>
    </row>
    <row r="596" spans="8:11" x14ac:dyDescent="0.35">
      <c r="H596" s="34"/>
      <c r="I596" s="34"/>
      <c r="J596" s="34"/>
      <c r="K596" s="34"/>
    </row>
    <row r="597" spans="8:11" x14ac:dyDescent="0.35">
      <c r="H597" s="34"/>
      <c r="I597" s="34"/>
      <c r="J597" s="34"/>
      <c r="K597" s="34"/>
    </row>
    <row r="598" spans="8:11" x14ac:dyDescent="0.35">
      <c r="H598" s="34"/>
      <c r="I598" s="34"/>
      <c r="J598" s="34"/>
      <c r="K598" s="34"/>
    </row>
    <row r="599" spans="8:11" x14ac:dyDescent="0.35">
      <c r="H599" s="34"/>
      <c r="I599" s="34"/>
      <c r="J599" s="34"/>
      <c r="K599" s="34"/>
    </row>
    <row r="600" spans="8:11" x14ac:dyDescent="0.35">
      <c r="H600" s="34"/>
      <c r="I600" s="34"/>
      <c r="J600" s="34"/>
      <c r="K600" s="34"/>
    </row>
    <row r="601" spans="8:11" x14ac:dyDescent="0.35">
      <c r="H601" s="34"/>
      <c r="I601" s="34"/>
      <c r="J601" s="34"/>
      <c r="K601" s="34"/>
    </row>
    <row r="602" spans="8:11" x14ac:dyDescent="0.35">
      <c r="H602" s="34"/>
      <c r="I602" s="34"/>
      <c r="J602" s="34"/>
      <c r="K602" s="34"/>
    </row>
    <row r="603" spans="8:11" x14ac:dyDescent="0.35">
      <c r="H603" s="34"/>
      <c r="I603" s="34"/>
      <c r="J603" s="34"/>
      <c r="K603" s="34"/>
    </row>
    <row r="604" spans="8:11" x14ac:dyDescent="0.35">
      <c r="H604" s="34"/>
      <c r="I604" s="34"/>
      <c r="J604" s="34"/>
      <c r="K604" s="34"/>
    </row>
    <row r="605" spans="8:11" x14ac:dyDescent="0.35">
      <c r="H605" s="34"/>
      <c r="I605" s="34"/>
      <c r="J605" s="34"/>
      <c r="K605" s="34"/>
    </row>
    <row r="606" spans="8:11" x14ac:dyDescent="0.35">
      <c r="H606" s="34"/>
      <c r="I606" s="34"/>
      <c r="J606" s="34"/>
      <c r="K606" s="34"/>
    </row>
    <row r="607" spans="8:11" x14ac:dyDescent="0.35">
      <c r="H607" s="34"/>
      <c r="I607" s="34"/>
      <c r="J607" s="34"/>
      <c r="K607" s="34"/>
    </row>
    <row r="608" spans="8:11" x14ac:dyDescent="0.35">
      <c r="H608" s="34"/>
      <c r="I608" s="34"/>
      <c r="J608" s="34"/>
      <c r="K608" s="34"/>
    </row>
    <row r="609" spans="8:11" x14ac:dyDescent="0.35">
      <c r="H609" s="34"/>
      <c r="I609" s="34"/>
      <c r="J609" s="34"/>
      <c r="K609" s="34"/>
    </row>
    <row r="610" spans="8:11" x14ac:dyDescent="0.35">
      <c r="H610" s="34"/>
      <c r="I610" s="34"/>
      <c r="J610" s="34"/>
      <c r="K610" s="34"/>
    </row>
    <row r="611" spans="8:11" x14ac:dyDescent="0.35">
      <c r="H611" s="34"/>
      <c r="I611" s="34"/>
      <c r="J611" s="34"/>
      <c r="K611" s="34"/>
    </row>
    <row r="612" spans="8:11" x14ac:dyDescent="0.35">
      <c r="H612" s="34"/>
      <c r="I612" s="34"/>
      <c r="J612" s="34"/>
      <c r="K612" s="34"/>
    </row>
    <row r="613" spans="8:11" x14ac:dyDescent="0.35">
      <c r="H613" s="34"/>
      <c r="I613" s="34"/>
      <c r="J613" s="34"/>
      <c r="K613" s="34"/>
    </row>
    <row r="614" spans="8:11" x14ac:dyDescent="0.35">
      <c r="H614" s="34"/>
      <c r="I614" s="34"/>
      <c r="J614" s="34"/>
      <c r="K614" s="34"/>
    </row>
    <row r="615" spans="8:11" x14ac:dyDescent="0.35">
      <c r="H615" s="34"/>
      <c r="I615" s="34"/>
      <c r="J615" s="34"/>
      <c r="K615" s="34"/>
    </row>
    <row r="616" spans="8:11" x14ac:dyDescent="0.35">
      <c r="H616" s="34"/>
      <c r="I616" s="34"/>
      <c r="J616" s="34"/>
      <c r="K616" s="34"/>
    </row>
    <row r="617" spans="8:11" x14ac:dyDescent="0.35">
      <c r="H617" s="34"/>
      <c r="I617" s="34"/>
      <c r="J617" s="34"/>
      <c r="K617" s="34"/>
    </row>
    <row r="618" spans="8:11" x14ac:dyDescent="0.35">
      <c r="H618" s="34"/>
      <c r="I618" s="34"/>
      <c r="J618" s="34"/>
      <c r="K618" s="34"/>
    </row>
    <row r="619" spans="8:11" x14ac:dyDescent="0.35">
      <c r="H619" s="34"/>
      <c r="I619" s="34"/>
      <c r="J619" s="34"/>
      <c r="K619" s="34"/>
    </row>
    <row r="620" spans="8:11" x14ac:dyDescent="0.35">
      <c r="H620" s="34"/>
      <c r="I620" s="34"/>
      <c r="J620" s="34"/>
      <c r="K620" s="34"/>
    </row>
    <row r="621" spans="8:11" x14ac:dyDescent="0.35">
      <c r="H621" s="34"/>
      <c r="I621" s="34"/>
      <c r="J621" s="34"/>
      <c r="K621" s="34"/>
    </row>
    <row r="622" spans="8:11" x14ac:dyDescent="0.35">
      <c r="H622" s="34"/>
      <c r="I622" s="34"/>
      <c r="J622" s="34"/>
      <c r="K622" s="34"/>
    </row>
    <row r="623" spans="8:11" x14ac:dyDescent="0.35">
      <c r="H623" s="34"/>
      <c r="I623" s="34"/>
      <c r="J623" s="34"/>
      <c r="K623" s="34"/>
    </row>
    <row r="624" spans="8:11" x14ac:dyDescent="0.35">
      <c r="H624" s="34"/>
      <c r="I624" s="34"/>
      <c r="J624" s="34"/>
      <c r="K624" s="34"/>
    </row>
    <row r="625" spans="8:11" x14ac:dyDescent="0.35">
      <c r="H625" s="34"/>
      <c r="I625" s="34"/>
      <c r="J625" s="34"/>
      <c r="K625" s="34"/>
    </row>
    <row r="626" spans="8:11" x14ac:dyDescent="0.35">
      <c r="H626" s="34"/>
      <c r="I626" s="34"/>
      <c r="J626" s="34"/>
      <c r="K626" s="34"/>
    </row>
    <row r="627" spans="8:11" x14ac:dyDescent="0.35">
      <c r="H627" s="34"/>
      <c r="I627" s="34"/>
      <c r="J627" s="34"/>
      <c r="K627" s="34"/>
    </row>
    <row r="628" spans="8:11" x14ac:dyDescent="0.35">
      <c r="H628" s="34"/>
      <c r="I628" s="34"/>
      <c r="J628" s="34"/>
      <c r="K628" s="34"/>
    </row>
    <row r="629" spans="8:11" x14ac:dyDescent="0.35">
      <c r="H629" s="34"/>
      <c r="I629" s="34"/>
      <c r="J629" s="34"/>
      <c r="K629" s="34"/>
    </row>
    <row r="630" spans="8:11" x14ac:dyDescent="0.35">
      <c r="H630" s="34"/>
      <c r="I630" s="34"/>
      <c r="J630" s="34"/>
      <c r="K630" s="34"/>
    </row>
    <row r="631" spans="8:11" x14ac:dyDescent="0.35">
      <c r="H631" s="34"/>
      <c r="I631" s="34"/>
      <c r="J631" s="34"/>
      <c r="K631" s="34"/>
    </row>
    <row r="632" spans="8:11" x14ac:dyDescent="0.35">
      <c r="H632" s="34"/>
      <c r="I632" s="34"/>
      <c r="J632" s="34"/>
      <c r="K632" s="34"/>
    </row>
    <row r="633" spans="8:11" x14ac:dyDescent="0.35">
      <c r="H633" s="34"/>
      <c r="I633" s="34"/>
      <c r="J633" s="34"/>
      <c r="K633" s="34"/>
    </row>
    <row r="634" spans="8:11" x14ac:dyDescent="0.35">
      <c r="H634" s="34"/>
      <c r="I634" s="34"/>
      <c r="J634" s="34"/>
      <c r="K634" s="34"/>
    </row>
    <row r="635" spans="8:11" x14ac:dyDescent="0.35">
      <c r="H635" s="34"/>
      <c r="I635" s="34"/>
      <c r="J635" s="34"/>
      <c r="K635" s="34"/>
    </row>
    <row r="636" spans="8:11" x14ac:dyDescent="0.35">
      <c r="H636" s="34"/>
      <c r="I636" s="34"/>
      <c r="J636" s="34"/>
      <c r="K636" s="34"/>
    </row>
    <row r="637" spans="8:11" x14ac:dyDescent="0.35">
      <c r="H637" s="34"/>
      <c r="I637" s="34"/>
      <c r="J637" s="34"/>
      <c r="K637" s="34"/>
    </row>
    <row r="638" spans="8:11" x14ac:dyDescent="0.35">
      <c r="H638" s="34"/>
      <c r="I638" s="34"/>
      <c r="J638" s="34"/>
      <c r="K638" s="34"/>
    </row>
    <row r="639" spans="8:11" x14ac:dyDescent="0.35">
      <c r="H639" s="34"/>
      <c r="I639" s="34"/>
      <c r="J639" s="34"/>
      <c r="K639" s="34"/>
    </row>
    <row r="640" spans="8:11" x14ac:dyDescent="0.35">
      <c r="H640" s="34"/>
      <c r="I640" s="34"/>
      <c r="J640" s="34"/>
      <c r="K640" s="34"/>
    </row>
    <row r="641" spans="8:11" x14ac:dyDescent="0.35">
      <c r="H641" s="34"/>
      <c r="I641" s="34"/>
      <c r="J641" s="34"/>
      <c r="K641" s="34"/>
    </row>
    <row r="642" spans="8:11" x14ac:dyDescent="0.35">
      <c r="H642" s="34"/>
      <c r="I642" s="34"/>
      <c r="J642" s="34"/>
      <c r="K642" s="34"/>
    </row>
    <row r="643" spans="8:11" x14ac:dyDescent="0.35">
      <c r="H643" s="34"/>
      <c r="I643" s="34"/>
      <c r="J643" s="34"/>
      <c r="K643" s="34"/>
    </row>
    <row r="644" spans="8:11" x14ac:dyDescent="0.35">
      <c r="H644" s="34"/>
      <c r="I644" s="34"/>
      <c r="J644" s="34"/>
      <c r="K644" s="34"/>
    </row>
    <row r="645" spans="8:11" x14ac:dyDescent="0.35">
      <c r="H645" s="34"/>
      <c r="I645" s="34"/>
      <c r="J645" s="34"/>
      <c r="K645" s="34"/>
    </row>
    <row r="646" spans="8:11" x14ac:dyDescent="0.35">
      <c r="H646" s="34"/>
      <c r="I646" s="34"/>
      <c r="J646" s="34"/>
      <c r="K646" s="34"/>
    </row>
    <row r="647" spans="8:11" x14ac:dyDescent="0.35">
      <c r="H647" s="34"/>
      <c r="I647" s="34"/>
      <c r="J647" s="34"/>
      <c r="K647" s="34"/>
    </row>
    <row r="648" spans="8:11" x14ac:dyDescent="0.35">
      <c r="H648" s="34"/>
      <c r="I648" s="34"/>
      <c r="J648" s="34"/>
      <c r="K648" s="34"/>
    </row>
    <row r="649" spans="8:11" x14ac:dyDescent="0.35">
      <c r="H649" s="34"/>
      <c r="I649" s="34"/>
      <c r="J649" s="34"/>
      <c r="K649" s="34"/>
    </row>
    <row r="650" spans="8:11" x14ac:dyDescent="0.35">
      <c r="H650" s="34"/>
      <c r="I650" s="34"/>
      <c r="J650" s="34"/>
      <c r="K650" s="34"/>
    </row>
    <row r="651" spans="8:11" x14ac:dyDescent="0.35">
      <c r="H651" s="34"/>
      <c r="I651" s="34"/>
      <c r="J651" s="34"/>
      <c r="K651" s="34"/>
    </row>
    <row r="652" spans="8:11" x14ac:dyDescent="0.35">
      <c r="H652" s="34"/>
      <c r="I652" s="34"/>
      <c r="J652" s="34"/>
      <c r="K652" s="34"/>
    </row>
    <row r="653" spans="8:11" x14ac:dyDescent="0.35">
      <c r="H653" s="34"/>
      <c r="I653" s="34"/>
      <c r="J653" s="34"/>
      <c r="K653" s="34"/>
    </row>
    <row r="654" spans="8:11" x14ac:dyDescent="0.35">
      <c r="H654" s="34"/>
      <c r="I654" s="34"/>
      <c r="J654" s="34"/>
      <c r="K654" s="34"/>
    </row>
    <row r="655" spans="8:11" x14ac:dyDescent="0.35">
      <c r="H655" s="34"/>
      <c r="I655" s="34"/>
      <c r="J655" s="34"/>
      <c r="K655" s="34"/>
    </row>
    <row r="656" spans="8:11" x14ac:dyDescent="0.35">
      <c r="H656" s="34"/>
      <c r="I656" s="34"/>
      <c r="J656" s="34"/>
      <c r="K656" s="34"/>
    </row>
    <row r="657" spans="8:11" x14ac:dyDescent="0.35">
      <c r="H657" s="34"/>
      <c r="I657" s="34"/>
      <c r="J657" s="34"/>
      <c r="K657" s="34"/>
    </row>
    <row r="658" spans="8:11" x14ac:dyDescent="0.35">
      <c r="H658" s="34"/>
      <c r="I658" s="34"/>
      <c r="J658" s="34"/>
      <c r="K658" s="34"/>
    </row>
    <row r="659" spans="8:11" x14ac:dyDescent="0.35">
      <c r="H659" s="34"/>
      <c r="I659" s="34"/>
      <c r="J659" s="34"/>
      <c r="K659" s="34"/>
    </row>
    <row r="660" spans="8:11" x14ac:dyDescent="0.35">
      <c r="H660" s="34"/>
      <c r="I660" s="34"/>
      <c r="J660" s="34"/>
      <c r="K660" s="34"/>
    </row>
    <row r="661" spans="8:11" x14ac:dyDescent="0.35">
      <c r="H661" s="34"/>
      <c r="I661" s="34"/>
      <c r="J661" s="34"/>
      <c r="K661" s="34"/>
    </row>
    <row r="662" spans="8:11" x14ac:dyDescent="0.35">
      <c r="H662" s="34"/>
      <c r="I662" s="34"/>
      <c r="J662" s="34"/>
      <c r="K662" s="34"/>
    </row>
    <row r="663" spans="8:11" x14ac:dyDescent="0.35">
      <c r="H663" s="34"/>
      <c r="I663" s="34"/>
      <c r="J663" s="34"/>
      <c r="K663" s="34"/>
    </row>
    <row r="664" spans="8:11" x14ac:dyDescent="0.35">
      <c r="H664" s="34"/>
      <c r="I664" s="34"/>
      <c r="J664" s="34"/>
      <c r="K664" s="34"/>
    </row>
    <row r="665" spans="8:11" x14ac:dyDescent="0.35">
      <c r="H665" s="34"/>
      <c r="I665" s="34"/>
      <c r="J665" s="34"/>
      <c r="K665" s="34"/>
    </row>
    <row r="666" spans="8:11" x14ac:dyDescent="0.35">
      <c r="H666" s="34"/>
      <c r="I666" s="34"/>
      <c r="J666" s="34"/>
      <c r="K666" s="34"/>
    </row>
    <row r="667" spans="8:11" x14ac:dyDescent="0.35">
      <c r="H667" s="34"/>
      <c r="I667" s="34"/>
      <c r="J667" s="34"/>
      <c r="K667" s="34"/>
    </row>
    <row r="668" spans="8:11" x14ac:dyDescent="0.35">
      <c r="H668" s="34"/>
      <c r="I668" s="34"/>
      <c r="J668" s="34"/>
      <c r="K668" s="34"/>
    </row>
    <row r="669" spans="8:11" x14ac:dyDescent="0.35">
      <c r="H669" s="34"/>
      <c r="I669" s="34"/>
      <c r="J669" s="34"/>
      <c r="K669" s="34"/>
    </row>
    <row r="670" spans="8:11" x14ac:dyDescent="0.35">
      <c r="H670" s="34"/>
      <c r="I670" s="34"/>
      <c r="J670" s="34"/>
      <c r="K670" s="34"/>
    </row>
    <row r="671" spans="8:11" x14ac:dyDescent="0.35">
      <c r="H671" s="34"/>
      <c r="I671" s="34"/>
      <c r="J671" s="34"/>
      <c r="K671" s="34"/>
    </row>
    <row r="672" spans="8:11" x14ac:dyDescent="0.35">
      <c r="H672" s="34"/>
      <c r="I672" s="34"/>
      <c r="J672" s="34"/>
      <c r="K672" s="34"/>
    </row>
    <row r="673" spans="8:11" x14ac:dyDescent="0.35">
      <c r="H673" s="34"/>
      <c r="I673" s="34"/>
      <c r="J673" s="34"/>
      <c r="K673" s="34"/>
    </row>
    <row r="674" spans="8:11" x14ac:dyDescent="0.35">
      <c r="H674" s="34"/>
      <c r="I674" s="34"/>
      <c r="J674" s="34"/>
      <c r="K674" s="34"/>
    </row>
    <row r="675" spans="8:11" x14ac:dyDescent="0.35">
      <c r="H675" s="34"/>
      <c r="I675" s="34"/>
      <c r="J675" s="34"/>
      <c r="K675" s="34"/>
    </row>
    <row r="676" spans="8:11" x14ac:dyDescent="0.35">
      <c r="H676" s="34"/>
      <c r="I676" s="34"/>
      <c r="J676" s="34"/>
      <c r="K676" s="34"/>
    </row>
    <row r="677" spans="8:11" x14ac:dyDescent="0.35">
      <c r="H677" s="34"/>
      <c r="I677" s="34"/>
      <c r="J677" s="34"/>
      <c r="K677" s="34"/>
    </row>
    <row r="678" spans="8:11" x14ac:dyDescent="0.35">
      <c r="H678" s="34"/>
      <c r="I678" s="34"/>
      <c r="J678" s="34"/>
      <c r="K678" s="34"/>
    </row>
    <row r="679" spans="8:11" x14ac:dyDescent="0.35">
      <c r="H679" s="34"/>
      <c r="I679" s="34"/>
      <c r="J679" s="34"/>
      <c r="K679" s="34"/>
    </row>
    <row r="680" spans="8:11" x14ac:dyDescent="0.35">
      <c r="H680" s="34"/>
      <c r="I680" s="34"/>
      <c r="J680" s="34"/>
      <c r="K680" s="34"/>
    </row>
    <row r="681" spans="8:11" x14ac:dyDescent="0.35">
      <c r="H681" s="34"/>
      <c r="I681" s="34"/>
      <c r="J681" s="34"/>
      <c r="K681" s="34"/>
    </row>
    <row r="682" spans="8:11" x14ac:dyDescent="0.35">
      <c r="H682" s="34"/>
      <c r="I682" s="34"/>
      <c r="J682" s="34"/>
      <c r="K682" s="34"/>
    </row>
    <row r="683" spans="8:11" x14ac:dyDescent="0.35">
      <c r="H683" s="34"/>
      <c r="I683" s="34"/>
      <c r="J683" s="34"/>
      <c r="K683" s="34"/>
    </row>
    <row r="684" spans="8:11" x14ac:dyDescent="0.35">
      <c r="H684" s="34"/>
      <c r="I684" s="34"/>
      <c r="J684" s="34"/>
      <c r="K684" s="34"/>
    </row>
    <row r="685" spans="8:11" x14ac:dyDescent="0.35">
      <c r="H685" s="34"/>
      <c r="I685" s="34"/>
      <c r="J685" s="34"/>
      <c r="K685" s="34"/>
    </row>
    <row r="686" spans="8:11" x14ac:dyDescent="0.35">
      <c r="H686" s="34"/>
      <c r="I686" s="34"/>
      <c r="J686" s="34"/>
      <c r="K686" s="34"/>
    </row>
    <row r="687" spans="8:11" x14ac:dyDescent="0.35">
      <c r="H687" s="34"/>
      <c r="I687" s="34"/>
      <c r="J687" s="34"/>
      <c r="K687" s="34"/>
    </row>
    <row r="688" spans="8:11" x14ac:dyDescent="0.35">
      <c r="H688" s="34"/>
      <c r="I688" s="34"/>
      <c r="J688" s="34"/>
      <c r="K688" s="34"/>
    </row>
    <row r="689" spans="8:11" x14ac:dyDescent="0.35">
      <c r="H689" s="34"/>
      <c r="I689" s="34"/>
      <c r="J689" s="34"/>
      <c r="K689" s="34"/>
    </row>
    <row r="690" spans="8:11" x14ac:dyDescent="0.35">
      <c r="H690" s="34"/>
      <c r="I690" s="34"/>
      <c r="J690" s="34"/>
      <c r="K690" s="34"/>
    </row>
    <row r="691" spans="8:11" x14ac:dyDescent="0.35">
      <c r="H691" s="34"/>
      <c r="I691" s="34"/>
      <c r="J691" s="34"/>
      <c r="K691" s="34"/>
    </row>
    <row r="692" spans="8:11" x14ac:dyDescent="0.35">
      <c r="H692" s="34"/>
      <c r="I692" s="34"/>
      <c r="J692" s="34"/>
      <c r="K692" s="34"/>
    </row>
    <row r="693" spans="8:11" x14ac:dyDescent="0.35">
      <c r="H693" s="34"/>
      <c r="I693" s="34"/>
      <c r="J693" s="34"/>
      <c r="K693" s="34"/>
    </row>
    <row r="694" spans="8:11" x14ac:dyDescent="0.35">
      <c r="H694" s="34"/>
      <c r="I694" s="34"/>
      <c r="J694" s="34"/>
      <c r="K694" s="34"/>
    </row>
    <row r="695" spans="8:11" x14ac:dyDescent="0.35">
      <c r="H695" s="34"/>
      <c r="I695" s="34"/>
      <c r="J695" s="34"/>
      <c r="K695" s="34"/>
    </row>
    <row r="696" spans="8:11" x14ac:dyDescent="0.35">
      <c r="H696" s="34"/>
      <c r="I696" s="34"/>
      <c r="J696" s="34"/>
      <c r="K696" s="34"/>
    </row>
    <row r="697" spans="8:11" x14ac:dyDescent="0.35">
      <c r="H697" s="34"/>
      <c r="I697" s="34"/>
      <c r="J697" s="34"/>
      <c r="K697" s="34"/>
    </row>
    <row r="698" spans="8:11" x14ac:dyDescent="0.35">
      <c r="H698" s="34"/>
      <c r="I698" s="34"/>
      <c r="J698" s="34"/>
      <c r="K698" s="34"/>
    </row>
    <row r="699" spans="8:11" x14ac:dyDescent="0.35">
      <c r="H699" s="34"/>
      <c r="I699" s="34"/>
      <c r="J699" s="34"/>
      <c r="K699" s="34"/>
    </row>
    <row r="700" spans="8:11" x14ac:dyDescent="0.35">
      <c r="H700" s="34"/>
      <c r="I700" s="34"/>
      <c r="J700" s="34"/>
      <c r="K700" s="34"/>
    </row>
    <row r="701" spans="8:11" x14ac:dyDescent="0.35">
      <c r="H701" s="34"/>
      <c r="I701" s="34"/>
      <c r="J701" s="34"/>
      <c r="K701" s="34"/>
    </row>
    <row r="702" spans="8:11" x14ac:dyDescent="0.35">
      <c r="H702" s="34"/>
      <c r="I702" s="34"/>
      <c r="J702" s="34"/>
      <c r="K702" s="34"/>
    </row>
    <row r="703" spans="8:11" x14ac:dyDescent="0.35">
      <c r="H703" s="34"/>
      <c r="I703" s="34"/>
      <c r="J703" s="34"/>
      <c r="K703" s="34"/>
    </row>
    <row r="704" spans="8:11" x14ac:dyDescent="0.35">
      <c r="H704" s="34"/>
      <c r="I704" s="34"/>
      <c r="J704" s="34"/>
      <c r="K704" s="34"/>
    </row>
    <row r="705" spans="8:11" x14ac:dyDescent="0.35">
      <c r="H705" s="34"/>
      <c r="I705" s="34"/>
      <c r="J705" s="34"/>
      <c r="K705" s="34"/>
    </row>
    <row r="706" spans="8:11" x14ac:dyDescent="0.35">
      <c r="H706" s="34"/>
      <c r="I706" s="34"/>
      <c r="J706" s="34"/>
      <c r="K706" s="34"/>
    </row>
    <row r="707" spans="8:11" x14ac:dyDescent="0.35">
      <c r="H707" s="34"/>
      <c r="I707" s="34"/>
      <c r="J707" s="34"/>
      <c r="K707" s="34"/>
    </row>
    <row r="708" spans="8:11" x14ac:dyDescent="0.35">
      <c r="H708" s="34"/>
      <c r="I708" s="34"/>
      <c r="J708" s="34"/>
      <c r="K708" s="34"/>
    </row>
    <row r="709" spans="8:11" x14ac:dyDescent="0.35">
      <c r="H709" s="34"/>
      <c r="I709" s="34"/>
      <c r="J709" s="34"/>
      <c r="K709" s="34"/>
    </row>
    <row r="710" spans="8:11" x14ac:dyDescent="0.35">
      <c r="H710" s="34"/>
      <c r="I710" s="34"/>
      <c r="J710" s="34"/>
      <c r="K710" s="34"/>
    </row>
    <row r="711" spans="8:11" x14ac:dyDescent="0.35">
      <c r="H711" s="34"/>
      <c r="I711" s="34"/>
      <c r="J711" s="34"/>
      <c r="K711" s="34"/>
    </row>
    <row r="712" spans="8:11" x14ac:dyDescent="0.35">
      <c r="H712" s="34"/>
      <c r="I712" s="34"/>
      <c r="J712" s="34"/>
      <c r="K712" s="34"/>
    </row>
    <row r="713" spans="8:11" x14ac:dyDescent="0.35">
      <c r="H713" s="34"/>
      <c r="I713" s="34"/>
      <c r="J713" s="34"/>
      <c r="K713" s="34"/>
    </row>
    <row r="714" spans="8:11" x14ac:dyDescent="0.35">
      <c r="H714" s="34"/>
      <c r="I714" s="34"/>
      <c r="J714" s="34"/>
      <c r="K714" s="34"/>
    </row>
    <row r="715" spans="8:11" x14ac:dyDescent="0.35">
      <c r="H715" s="34"/>
      <c r="I715" s="34"/>
      <c r="J715" s="34"/>
      <c r="K715" s="34"/>
    </row>
    <row r="716" spans="8:11" x14ac:dyDescent="0.35">
      <c r="H716" s="34"/>
      <c r="I716" s="34"/>
      <c r="J716" s="34"/>
      <c r="K716" s="34"/>
    </row>
    <row r="717" spans="8:11" x14ac:dyDescent="0.35">
      <c r="H717" s="34"/>
      <c r="I717" s="34"/>
      <c r="J717" s="34"/>
      <c r="K717" s="34"/>
    </row>
    <row r="718" spans="8:11" x14ac:dyDescent="0.35">
      <c r="H718" s="34"/>
      <c r="I718" s="34"/>
      <c r="J718" s="34"/>
      <c r="K718" s="34"/>
    </row>
    <row r="719" spans="8:11" x14ac:dyDescent="0.35">
      <c r="H719" s="34"/>
      <c r="I719" s="34"/>
      <c r="J719" s="34"/>
      <c r="K719" s="34"/>
    </row>
    <row r="720" spans="8:11" x14ac:dyDescent="0.35">
      <c r="H720" s="34"/>
      <c r="I720" s="34"/>
      <c r="J720" s="34"/>
      <c r="K720" s="34"/>
    </row>
    <row r="721" spans="8:11" x14ac:dyDescent="0.35">
      <c r="H721" s="34"/>
      <c r="I721" s="34"/>
      <c r="J721" s="34"/>
      <c r="K721" s="34"/>
    </row>
    <row r="722" spans="8:11" x14ac:dyDescent="0.35">
      <c r="H722" s="34"/>
      <c r="I722" s="34"/>
      <c r="J722" s="34"/>
      <c r="K722" s="34"/>
    </row>
    <row r="723" spans="8:11" x14ac:dyDescent="0.35">
      <c r="H723" s="34"/>
      <c r="I723" s="34"/>
      <c r="J723" s="34"/>
      <c r="K723" s="34"/>
    </row>
    <row r="724" spans="8:11" x14ac:dyDescent="0.35">
      <c r="H724" s="34"/>
      <c r="I724" s="34"/>
      <c r="J724" s="34"/>
      <c r="K724" s="34"/>
    </row>
    <row r="725" spans="8:11" x14ac:dyDescent="0.35">
      <c r="H725" s="34"/>
      <c r="I725" s="34"/>
      <c r="J725" s="34"/>
      <c r="K725" s="34"/>
    </row>
    <row r="726" spans="8:11" x14ac:dyDescent="0.35">
      <c r="H726" s="34"/>
      <c r="I726" s="34"/>
      <c r="J726" s="34"/>
      <c r="K726" s="34"/>
    </row>
    <row r="727" spans="8:11" x14ac:dyDescent="0.35">
      <c r="H727" s="34"/>
      <c r="I727" s="34"/>
      <c r="J727" s="34"/>
      <c r="K727" s="34"/>
    </row>
    <row r="728" spans="8:11" x14ac:dyDescent="0.35">
      <c r="H728" s="34"/>
      <c r="I728" s="34"/>
      <c r="J728" s="34"/>
      <c r="K728" s="34"/>
    </row>
    <row r="729" spans="8:11" x14ac:dyDescent="0.35">
      <c r="H729" s="34"/>
      <c r="I729" s="34"/>
      <c r="J729" s="34"/>
      <c r="K729" s="34"/>
    </row>
    <row r="730" spans="8:11" x14ac:dyDescent="0.35">
      <c r="H730" s="34"/>
      <c r="I730" s="34"/>
      <c r="J730" s="34"/>
      <c r="K730" s="34"/>
    </row>
    <row r="731" spans="8:11" x14ac:dyDescent="0.35">
      <c r="H731" s="34"/>
      <c r="I731" s="34"/>
      <c r="J731" s="34"/>
      <c r="K731" s="34"/>
    </row>
    <row r="732" spans="8:11" x14ac:dyDescent="0.35">
      <c r="H732" s="34"/>
      <c r="I732" s="34"/>
      <c r="J732" s="34"/>
      <c r="K732" s="34"/>
    </row>
    <row r="733" spans="8:11" x14ac:dyDescent="0.35">
      <c r="H733" s="34"/>
      <c r="I733" s="34"/>
      <c r="J733" s="34"/>
      <c r="K733" s="34"/>
    </row>
    <row r="734" spans="8:11" x14ac:dyDescent="0.35">
      <c r="H734" s="34"/>
      <c r="I734" s="34"/>
      <c r="J734" s="34"/>
      <c r="K734" s="34"/>
    </row>
    <row r="735" spans="8:11" x14ac:dyDescent="0.35">
      <c r="H735" s="34"/>
      <c r="I735" s="34"/>
      <c r="J735" s="34"/>
      <c r="K735" s="34"/>
    </row>
    <row r="736" spans="8:11" x14ac:dyDescent="0.35">
      <c r="H736" s="34"/>
      <c r="I736" s="34"/>
      <c r="J736" s="34"/>
      <c r="K736" s="34"/>
    </row>
    <row r="737" spans="8:11" x14ac:dyDescent="0.35">
      <c r="H737" s="34"/>
      <c r="I737" s="34"/>
      <c r="J737" s="34"/>
      <c r="K737" s="34"/>
    </row>
    <row r="738" spans="8:11" x14ac:dyDescent="0.35">
      <c r="H738" s="34"/>
      <c r="I738" s="34"/>
      <c r="J738" s="34"/>
      <c r="K738" s="34"/>
    </row>
    <row r="739" spans="8:11" x14ac:dyDescent="0.35">
      <c r="H739" s="34"/>
      <c r="I739" s="34"/>
      <c r="J739" s="34"/>
      <c r="K739" s="34"/>
    </row>
    <row r="740" spans="8:11" x14ac:dyDescent="0.35">
      <c r="H740" s="34"/>
      <c r="I740" s="34"/>
      <c r="J740" s="34"/>
      <c r="K740" s="34"/>
    </row>
    <row r="741" spans="8:11" x14ac:dyDescent="0.35">
      <c r="H741" s="34"/>
      <c r="I741" s="34"/>
      <c r="J741" s="34"/>
      <c r="K741" s="34"/>
    </row>
    <row r="742" spans="8:11" x14ac:dyDescent="0.35">
      <c r="H742" s="34"/>
      <c r="I742" s="34"/>
      <c r="J742" s="34"/>
      <c r="K742" s="34"/>
    </row>
    <row r="743" spans="8:11" x14ac:dyDescent="0.35">
      <c r="H743" s="34"/>
      <c r="I743" s="34"/>
      <c r="J743" s="34"/>
      <c r="K743" s="34"/>
    </row>
    <row r="744" spans="8:11" x14ac:dyDescent="0.35">
      <c r="H744" s="34"/>
      <c r="I744" s="34"/>
      <c r="J744" s="34"/>
      <c r="K744" s="34"/>
    </row>
    <row r="745" spans="8:11" x14ac:dyDescent="0.35">
      <c r="H745" s="34"/>
      <c r="I745" s="34"/>
      <c r="J745" s="34"/>
      <c r="K745" s="34"/>
    </row>
    <row r="746" spans="8:11" x14ac:dyDescent="0.35">
      <c r="H746" s="34"/>
      <c r="I746" s="34"/>
      <c r="J746" s="34"/>
      <c r="K746" s="34"/>
    </row>
    <row r="747" spans="8:11" x14ac:dyDescent="0.35">
      <c r="H747" s="34"/>
      <c r="I747" s="34"/>
      <c r="J747" s="34"/>
      <c r="K747" s="34"/>
    </row>
    <row r="748" spans="8:11" x14ac:dyDescent="0.35">
      <c r="H748" s="34"/>
      <c r="I748" s="34"/>
      <c r="J748" s="34"/>
      <c r="K748" s="34"/>
    </row>
    <row r="749" spans="8:11" x14ac:dyDescent="0.35">
      <c r="H749" s="34"/>
      <c r="I749" s="34"/>
      <c r="J749" s="34"/>
      <c r="K749" s="34"/>
    </row>
    <row r="750" spans="8:11" x14ac:dyDescent="0.35">
      <c r="H750" s="34"/>
      <c r="I750" s="34"/>
      <c r="J750" s="34"/>
      <c r="K750" s="34"/>
    </row>
    <row r="751" spans="8:11" x14ac:dyDescent="0.35">
      <c r="H751" s="34"/>
      <c r="I751" s="34"/>
      <c r="J751" s="34"/>
      <c r="K751" s="34"/>
    </row>
    <row r="752" spans="8:11" x14ac:dyDescent="0.35">
      <c r="H752" s="34"/>
      <c r="I752" s="34"/>
      <c r="J752" s="34"/>
      <c r="K752" s="34"/>
    </row>
    <row r="753" spans="8:11" x14ac:dyDescent="0.35">
      <c r="H753" s="34"/>
      <c r="I753" s="34"/>
      <c r="J753" s="34"/>
      <c r="K753" s="34"/>
    </row>
    <row r="754" spans="8:11" x14ac:dyDescent="0.35">
      <c r="H754" s="34"/>
      <c r="I754" s="34"/>
      <c r="J754" s="34"/>
      <c r="K754" s="34"/>
    </row>
    <row r="755" spans="8:11" x14ac:dyDescent="0.35">
      <c r="H755" s="34"/>
      <c r="I755" s="34"/>
      <c r="J755" s="34"/>
      <c r="K755" s="34"/>
    </row>
    <row r="756" spans="8:11" x14ac:dyDescent="0.35">
      <c r="H756" s="34"/>
      <c r="I756" s="34"/>
      <c r="J756" s="34"/>
      <c r="K756" s="34"/>
    </row>
    <row r="757" spans="8:11" x14ac:dyDescent="0.35">
      <c r="H757" s="34"/>
      <c r="I757" s="34"/>
      <c r="J757" s="34"/>
      <c r="K757" s="34"/>
    </row>
    <row r="758" spans="8:11" x14ac:dyDescent="0.35">
      <c r="H758" s="34"/>
      <c r="I758" s="34"/>
      <c r="J758" s="34"/>
      <c r="K758" s="34"/>
    </row>
    <row r="759" spans="8:11" x14ac:dyDescent="0.35">
      <c r="H759" s="34"/>
      <c r="I759" s="34"/>
      <c r="J759" s="34"/>
      <c r="K759" s="34"/>
    </row>
    <row r="760" spans="8:11" x14ac:dyDescent="0.35">
      <c r="H760" s="34"/>
      <c r="I760" s="34"/>
      <c r="J760" s="34"/>
      <c r="K760" s="34"/>
    </row>
    <row r="761" spans="8:11" x14ac:dyDescent="0.35">
      <c r="H761" s="34"/>
      <c r="I761" s="34"/>
      <c r="J761" s="34"/>
      <c r="K761" s="34"/>
    </row>
    <row r="762" spans="8:11" x14ac:dyDescent="0.35">
      <c r="H762" s="34"/>
      <c r="I762" s="34"/>
      <c r="J762" s="34"/>
      <c r="K762" s="34"/>
    </row>
    <row r="763" spans="8:11" x14ac:dyDescent="0.35">
      <c r="H763" s="34"/>
      <c r="I763" s="34"/>
      <c r="J763" s="34"/>
      <c r="K763" s="34"/>
    </row>
    <row r="764" spans="8:11" x14ac:dyDescent="0.35">
      <c r="H764" s="34"/>
      <c r="I764" s="34"/>
      <c r="J764" s="34"/>
      <c r="K764" s="34"/>
    </row>
    <row r="765" spans="8:11" x14ac:dyDescent="0.35">
      <c r="H765" s="34"/>
      <c r="I765" s="34"/>
      <c r="J765" s="34"/>
      <c r="K765" s="34"/>
    </row>
    <row r="766" spans="8:11" x14ac:dyDescent="0.35">
      <c r="H766" s="34"/>
      <c r="I766" s="34"/>
      <c r="J766" s="34"/>
      <c r="K766" s="34"/>
    </row>
    <row r="767" spans="8:11" x14ac:dyDescent="0.35">
      <c r="H767" s="34"/>
      <c r="I767" s="34"/>
      <c r="J767" s="34"/>
      <c r="K767" s="34"/>
    </row>
    <row r="768" spans="8:11" x14ac:dyDescent="0.35">
      <c r="H768" s="34"/>
      <c r="I768" s="34"/>
      <c r="J768" s="34"/>
      <c r="K768" s="34"/>
    </row>
    <row r="769" spans="8:11" x14ac:dyDescent="0.35">
      <c r="H769" s="34"/>
      <c r="I769" s="34"/>
      <c r="J769" s="34"/>
      <c r="K769" s="34"/>
    </row>
    <row r="770" spans="8:11" x14ac:dyDescent="0.35">
      <c r="H770" s="34"/>
      <c r="I770" s="34"/>
      <c r="J770" s="34"/>
      <c r="K770" s="34"/>
    </row>
    <row r="771" spans="8:11" x14ac:dyDescent="0.35">
      <c r="H771" s="34"/>
      <c r="I771" s="34"/>
      <c r="J771" s="34"/>
      <c r="K771" s="34"/>
    </row>
    <row r="772" spans="8:11" x14ac:dyDescent="0.35">
      <c r="H772" s="34"/>
      <c r="I772" s="34"/>
      <c r="J772" s="34"/>
      <c r="K772" s="34"/>
    </row>
    <row r="773" spans="8:11" x14ac:dyDescent="0.35">
      <c r="H773" s="34"/>
      <c r="I773" s="34"/>
      <c r="J773" s="34"/>
      <c r="K773" s="34"/>
    </row>
    <row r="774" spans="8:11" x14ac:dyDescent="0.35">
      <c r="H774" s="34"/>
      <c r="I774" s="34"/>
      <c r="J774" s="34"/>
      <c r="K774" s="34"/>
    </row>
    <row r="775" spans="8:11" x14ac:dyDescent="0.35">
      <c r="H775" s="34"/>
      <c r="I775" s="34"/>
      <c r="J775" s="34"/>
      <c r="K775" s="34"/>
    </row>
    <row r="776" spans="8:11" x14ac:dyDescent="0.35">
      <c r="H776" s="34"/>
      <c r="I776" s="34"/>
      <c r="J776" s="34"/>
      <c r="K776" s="34"/>
    </row>
    <row r="777" spans="8:11" x14ac:dyDescent="0.35">
      <c r="H777" s="34"/>
      <c r="I777" s="34"/>
      <c r="J777" s="34"/>
      <c r="K777" s="34"/>
    </row>
    <row r="778" spans="8:11" x14ac:dyDescent="0.35">
      <c r="H778" s="34"/>
      <c r="I778" s="34"/>
      <c r="J778" s="34"/>
      <c r="K778" s="34"/>
    </row>
    <row r="779" spans="8:11" x14ac:dyDescent="0.35">
      <c r="H779" s="34"/>
      <c r="I779" s="34"/>
      <c r="J779" s="34"/>
      <c r="K779" s="34"/>
    </row>
    <row r="780" spans="8:11" x14ac:dyDescent="0.35">
      <c r="H780" s="34"/>
      <c r="I780" s="34"/>
      <c r="J780" s="34"/>
      <c r="K780" s="34"/>
    </row>
    <row r="781" spans="8:11" x14ac:dyDescent="0.35">
      <c r="H781" s="34"/>
      <c r="I781" s="34"/>
      <c r="J781" s="34"/>
      <c r="K781" s="34"/>
    </row>
    <row r="782" spans="8:11" x14ac:dyDescent="0.35">
      <c r="H782" s="34"/>
      <c r="I782" s="34"/>
      <c r="J782" s="34"/>
      <c r="K782" s="34"/>
    </row>
    <row r="783" spans="8:11" x14ac:dyDescent="0.35">
      <c r="H783" s="34"/>
      <c r="I783" s="34"/>
      <c r="J783" s="34"/>
      <c r="K783" s="34"/>
    </row>
    <row r="784" spans="8:11" x14ac:dyDescent="0.35">
      <c r="H784" s="34"/>
      <c r="I784" s="34"/>
      <c r="J784" s="34"/>
      <c r="K784" s="34"/>
    </row>
    <row r="785" spans="8:11" x14ac:dyDescent="0.35">
      <c r="H785" s="34"/>
      <c r="I785" s="34"/>
      <c r="J785" s="34"/>
      <c r="K785" s="34"/>
    </row>
    <row r="786" spans="8:11" x14ac:dyDescent="0.35">
      <c r="H786" s="34"/>
      <c r="I786" s="34"/>
      <c r="J786" s="34"/>
      <c r="K786" s="34"/>
    </row>
    <row r="787" spans="8:11" x14ac:dyDescent="0.35">
      <c r="H787" s="34"/>
      <c r="I787" s="34"/>
      <c r="J787" s="34"/>
      <c r="K787" s="34"/>
    </row>
    <row r="788" spans="8:11" x14ac:dyDescent="0.35">
      <c r="H788" s="34"/>
      <c r="I788" s="34"/>
      <c r="J788" s="34"/>
      <c r="K788" s="34"/>
    </row>
    <row r="789" spans="8:11" x14ac:dyDescent="0.35">
      <c r="H789" s="34"/>
      <c r="I789" s="34"/>
      <c r="J789" s="34"/>
      <c r="K789" s="34"/>
    </row>
    <row r="790" spans="8:11" x14ac:dyDescent="0.35">
      <c r="H790" s="34"/>
      <c r="I790" s="34"/>
      <c r="J790" s="34"/>
      <c r="K790" s="34"/>
    </row>
    <row r="791" spans="8:11" x14ac:dyDescent="0.35">
      <c r="H791" s="34"/>
      <c r="I791" s="34"/>
      <c r="J791" s="34"/>
      <c r="K791" s="34"/>
    </row>
    <row r="792" spans="8:11" x14ac:dyDescent="0.35">
      <c r="H792" s="34"/>
      <c r="I792" s="34"/>
      <c r="J792" s="34"/>
      <c r="K792" s="34"/>
    </row>
    <row r="793" spans="8:11" x14ac:dyDescent="0.35">
      <c r="H793" s="34"/>
      <c r="I793" s="34"/>
      <c r="J793" s="34"/>
      <c r="K793" s="34"/>
    </row>
    <row r="794" spans="8:11" x14ac:dyDescent="0.35">
      <c r="H794" s="34"/>
      <c r="I794" s="34"/>
      <c r="J794" s="34"/>
      <c r="K794" s="34"/>
    </row>
    <row r="795" spans="8:11" x14ac:dyDescent="0.35">
      <c r="H795" s="34"/>
      <c r="I795" s="34"/>
      <c r="J795" s="34"/>
      <c r="K795" s="34"/>
    </row>
    <row r="796" spans="8:11" x14ac:dyDescent="0.35">
      <c r="H796" s="34"/>
      <c r="I796" s="34"/>
      <c r="J796" s="34"/>
      <c r="K796" s="34"/>
    </row>
    <row r="797" spans="8:11" x14ac:dyDescent="0.35">
      <c r="H797" s="34"/>
      <c r="I797" s="34"/>
      <c r="J797" s="34"/>
      <c r="K797" s="34"/>
    </row>
    <row r="798" spans="8:11" x14ac:dyDescent="0.35">
      <c r="H798" s="34"/>
      <c r="I798" s="34"/>
      <c r="J798" s="34"/>
      <c r="K798" s="34"/>
    </row>
    <row r="799" spans="8:11" x14ac:dyDescent="0.35">
      <c r="H799" s="34"/>
      <c r="I799" s="34"/>
      <c r="J799" s="34"/>
      <c r="K799" s="34"/>
    </row>
    <row r="800" spans="8:11" x14ac:dyDescent="0.35">
      <c r="H800" s="34"/>
      <c r="I800" s="34"/>
      <c r="J800" s="34"/>
      <c r="K800" s="34"/>
    </row>
    <row r="801" spans="8:11" x14ac:dyDescent="0.35">
      <c r="H801" s="34"/>
      <c r="I801" s="34"/>
      <c r="J801" s="34"/>
      <c r="K801" s="34"/>
    </row>
    <row r="802" spans="8:11" x14ac:dyDescent="0.35">
      <c r="H802" s="34"/>
      <c r="I802" s="34"/>
      <c r="J802" s="34"/>
      <c r="K802" s="34"/>
    </row>
    <row r="803" spans="8:11" x14ac:dyDescent="0.35">
      <c r="H803" s="34"/>
      <c r="I803" s="34"/>
      <c r="J803" s="34"/>
      <c r="K803" s="34"/>
    </row>
    <row r="804" spans="8:11" x14ac:dyDescent="0.35">
      <c r="H804" s="34"/>
      <c r="I804" s="34"/>
      <c r="J804" s="34"/>
      <c r="K804" s="34"/>
    </row>
    <row r="805" spans="8:11" x14ac:dyDescent="0.35">
      <c r="H805" s="34"/>
      <c r="I805" s="34"/>
      <c r="J805" s="34"/>
      <c r="K805" s="34"/>
    </row>
    <row r="806" spans="8:11" x14ac:dyDescent="0.35">
      <c r="H806" s="34"/>
      <c r="I806" s="34"/>
      <c r="J806" s="34"/>
      <c r="K806" s="34"/>
    </row>
    <row r="807" spans="8:11" x14ac:dyDescent="0.35">
      <c r="H807" s="34"/>
      <c r="I807" s="34"/>
      <c r="J807" s="34"/>
      <c r="K807" s="34"/>
    </row>
    <row r="808" spans="8:11" x14ac:dyDescent="0.35">
      <c r="H808" s="34"/>
      <c r="I808" s="34"/>
      <c r="J808" s="34"/>
      <c r="K808" s="34"/>
    </row>
    <row r="809" spans="8:11" x14ac:dyDescent="0.35">
      <c r="H809" s="34"/>
      <c r="I809" s="34"/>
      <c r="J809" s="34"/>
      <c r="K809" s="34"/>
    </row>
    <row r="810" spans="8:11" x14ac:dyDescent="0.35">
      <c r="H810" s="34"/>
      <c r="I810" s="34"/>
      <c r="J810" s="34"/>
      <c r="K810" s="34"/>
    </row>
    <row r="811" spans="8:11" x14ac:dyDescent="0.35">
      <c r="H811" s="34"/>
      <c r="I811" s="34"/>
      <c r="J811" s="34"/>
      <c r="K811" s="34"/>
    </row>
    <row r="812" spans="8:11" x14ac:dyDescent="0.35">
      <c r="H812" s="34"/>
      <c r="I812" s="34"/>
      <c r="J812" s="34"/>
      <c r="K812" s="34"/>
    </row>
    <row r="813" spans="8:11" x14ac:dyDescent="0.35">
      <c r="H813" s="34"/>
      <c r="I813" s="34"/>
      <c r="J813" s="34"/>
      <c r="K813" s="34"/>
    </row>
    <row r="814" spans="8:11" x14ac:dyDescent="0.35">
      <c r="H814" s="34"/>
      <c r="I814" s="34"/>
      <c r="J814" s="34"/>
      <c r="K814" s="34"/>
    </row>
    <row r="815" spans="8:11" x14ac:dyDescent="0.35">
      <c r="H815" s="34"/>
      <c r="I815" s="34"/>
      <c r="J815" s="34"/>
      <c r="K815" s="34"/>
    </row>
    <row r="816" spans="8:11" x14ac:dyDescent="0.35">
      <c r="H816" s="34"/>
      <c r="I816" s="34"/>
      <c r="J816" s="34"/>
      <c r="K816" s="34"/>
    </row>
    <row r="817" spans="8:11" x14ac:dyDescent="0.35">
      <c r="H817" s="34"/>
      <c r="I817" s="34"/>
      <c r="J817" s="34"/>
      <c r="K817" s="34"/>
    </row>
    <row r="818" spans="8:11" x14ac:dyDescent="0.35">
      <c r="H818" s="34"/>
      <c r="I818" s="34"/>
      <c r="J818" s="34"/>
      <c r="K818" s="34"/>
    </row>
    <row r="819" spans="8:11" x14ac:dyDescent="0.35">
      <c r="H819" s="34"/>
      <c r="I819" s="34"/>
      <c r="J819" s="34"/>
      <c r="K819" s="34"/>
    </row>
    <row r="820" spans="8:11" x14ac:dyDescent="0.35">
      <c r="H820" s="34"/>
      <c r="I820" s="34"/>
      <c r="J820" s="34"/>
      <c r="K820" s="34"/>
    </row>
    <row r="821" spans="8:11" x14ac:dyDescent="0.35">
      <c r="H821" s="34"/>
      <c r="I821" s="34"/>
      <c r="J821" s="34"/>
      <c r="K821" s="34"/>
    </row>
    <row r="822" spans="8:11" x14ac:dyDescent="0.35">
      <c r="H822" s="34"/>
      <c r="I822" s="34"/>
      <c r="J822" s="34"/>
      <c r="K822" s="34"/>
    </row>
    <row r="823" spans="8:11" x14ac:dyDescent="0.35">
      <c r="H823" s="34"/>
      <c r="I823" s="34"/>
      <c r="J823" s="34"/>
      <c r="K823" s="34"/>
    </row>
    <row r="824" spans="8:11" x14ac:dyDescent="0.35">
      <c r="H824" s="34"/>
      <c r="I824" s="34"/>
      <c r="J824" s="34"/>
      <c r="K824" s="34"/>
    </row>
    <row r="825" spans="8:11" x14ac:dyDescent="0.35">
      <c r="H825" s="34"/>
      <c r="I825" s="34"/>
      <c r="J825" s="34"/>
      <c r="K825" s="34"/>
    </row>
    <row r="826" spans="8:11" x14ac:dyDescent="0.35">
      <c r="H826" s="34"/>
      <c r="I826" s="34"/>
      <c r="J826" s="34"/>
      <c r="K826" s="34"/>
    </row>
    <row r="827" spans="8:11" x14ac:dyDescent="0.35">
      <c r="H827" s="34"/>
      <c r="I827" s="34"/>
      <c r="J827" s="34"/>
      <c r="K827" s="34"/>
    </row>
    <row r="828" spans="8:11" x14ac:dyDescent="0.35">
      <c r="H828" s="34"/>
      <c r="I828" s="34"/>
      <c r="J828" s="34"/>
      <c r="K828" s="34"/>
    </row>
    <row r="829" spans="8:11" x14ac:dyDescent="0.35">
      <c r="H829" s="34"/>
      <c r="I829" s="34"/>
      <c r="J829" s="34"/>
      <c r="K829" s="34"/>
    </row>
    <row r="830" spans="8:11" x14ac:dyDescent="0.35">
      <c r="H830" s="34"/>
      <c r="I830" s="34"/>
      <c r="J830" s="34"/>
      <c r="K830" s="34"/>
    </row>
    <row r="831" spans="8:11" x14ac:dyDescent="0.35">
      <c r="H831" s="34"/>
      <c r="I831" s="34"/>
      <c r="J831" s="34"/>
      <c r="K831" s="34"/>
    </row>
    <row r="832" spans="8:11" x14ac:dyDescent="0.35">
      <c r="H832" s="34"/>
      <c r="I832" s="34"/>
      <c r="J832" s="34"/>
      <c r="K832" s="34"/>
    </row>
    <row r="833" spans="8:11" x14ac:dyDescent="0.35">
      <c r="H833" s="34"/>
      <c r="I833" s="34"/>
      <c r="J833" s="34"/>
      <c r="K833" s="34"/>
    </row>
    <row r="834" spans="8:11" x14ac:dyDescent="0.35">
      <c r="H834" s="34"/>
      <c r="I834" s="34"/>
      <c r="J834" s="34"/>
      <c r="K834" s="34"/>
    </row>
    <row r="835" spans="8:11" x14ac:dyDescent="0.35">
      <c r="H835" s="34"/>
      <c r="I835" s="34"/>
      <c r="J835" s="34"/>
      <c r="K835" s="34"/>
    </row>
    <row r="836" spans="8:11" x14ac:dyDescent="0.35">
      <c r="H836" s="34"/>
      <c r="I836" s="34"/>
      <c r="J836" s="34"/>
      <c r="K836" s="34"/>
    </row>
    <row r="837" spans="8:11" x14ac:dyDescent="0.35">
      <c r="H837" s="34"/>
      <c r="I837" s="34"/>
      <c r="J837" s="34"/>
      <c r="K837" s="34"/>
    </row>
    <row r="838" spans="8:11" x14ac:dyDescent="0.35">
      <c r="H838" s="34"/>
      <c r="I838" s="34"/>
      <c r="J838" s="34"/>
      <c r="K838" s="34"/>
    </row>
    <row r="839" spans="8:11" x14ac:dyDescent="0.35">
      <c r="H839" s="34"/>
      <c r="I839" s="34"/>
      <c r="J839" s="34"/>
      <c r="K839" s="34"/>
    </row>
    <row r="840" spans="8:11" x14ac:dyDescent="0.35">
      <c r="H840" s="34"/>
      <c r="I840" s="34"/>
      <c r="J840" s="34"/>
      <c r="K840" s="34"/>
    </row>
    <row r="841" spans="8:11" x14ac:dyDescent="0.35">
      <c r="H841" s="34"/>
      <c r="I841" s="34"/>
      <c r="J841" s="34"/>
      <c r="K841" s="34"/>
    </row>
    <row r="842" spans="8:11" x14ac:dyDescent="0.35">
      <c r="H842" s="34"/>
      <c r="I842" s="34"/>
      <c r="J842" s="34"/>
      <c r="K842" s="34"/>
    </row>
    <row r="843" spans="8:11" x14ac:dyDescent="0.35">
      <c r="H843" s="34"/>
      <c r="I843" s="34"/>
      <c r="J843" s="34"/>
      <c r="K843" s="34"/>
    </row>
    <row r="844" spans="8:11" x14ac:dyDescent="0.35">
      <c r="H844" s="34"/>
      <c r="I844" s="34"/>
      <c r="J844" s="34"/>
      <c r="K844" s="34"/>
    </row>
    <row r="845" spans="8:11" x14ac:dyDescent="0.35">
      <c r="H845" s="34"/>
      <c r="I845" s="34"/>
      <c r="J845" s="34"/>
      <c r="K845" s="34"/>
    </row>
    <row r="846" spans="8:11" x14ac:dyDescent="0.35">
      <c r="H846" s="34"/>
      <c r="I846" s="34"/>
      <c r="J846" s="34"/>
      <c r="K846" s="34"/>
    </row>
    <row r="847" spans="8:11" x14ac:dyDescent="0.35">
      <c r="H847" s="34"/>
      <c r="I847" s="34"/>
      <c r="J847" s="34"/>
      <c r="K847" s="34"/>
    </row>
    <row r="848" spans="8:11" x14ac:dyDescent="0.35">
      <c r="H848" s="34"/>
      <c r="I848" s="34"/>
      <c r="J848" s="34"/>
      <c r="K848" s="34"/>
    </row>
    <row r="849" spans="8:11" x14ac:dyDescent="0.35">
      <c r="H849" s="34"/>
      <c r="I849" s="34"/>
      <c r="J849" s="34"/>
      <c r="K849" s="34"/>
    </row>
    <row r="850" spans="8:11" x14ac:dyDescent="0.35">
      <c r="H850" s="34"/>
      <c r="I850" s="34"/>
      <c r="J850" s="34"/>
      <c r="K850" s="34"/>
    </row>
    <row r="851" spans="8:11" x14ac:dyDescent="0.35">
      <c r="H851" s="34"/>
      <c r="I851" s="34"/>
      <c r="J851" s="34"/>
      <c r="K851" s="34"/>
    </row>
    <row r="852" spans="8:11" x14ac:dyDescent="0.35">
      <c r="H852" s="34"/>
      <c r="I852" s="34"/>
      <c r="J852" s="34"/>
      <c r="K852" s="34"/>
    </row>
    <row r="853" spans="8:11" x14ac:dyDescent="0.35">
      <c r="H853" s="34"/>
      <c r="I853" s="34"/>
      <c r="J853" s="34"/>
      <c r="K853" s="34"/>
    </row>
    <row r="854" spans="8:11" x14ac:dyDescent="0.35">
      <c r="H854" s="34"/>
      <c r="I854" s="34"/>
      <c r="J854" s="34"/>
      <c r="K854" s="34"/>
    </row>
    <row r="855" spans="8:11" x14ac:dyDescent="0.35">
      <c r="H855" s="34"/>
      <c r="I855" s="34"/>
      <c r="J855" s="34"/>
      <c r="K855" s="34"/>
    </row>
    <row r="856" spans="8:11" x14ac:dyDescent="0.35">
      <c r="H856" s="34"/>
      <c r="I856" s="34"/>
      <c r="J856" s="34"/>
      <c r="K856" s="34"/>
    </row>
    <row r="857" spans="8:11" x14ac:dyDescent="0.35">
      <c r="H857" s="34"/>
      <c r="I857" s="34"/>
      <c r="J857" s="34"/>
      <c r="K857" s="34"/>
    </row>
    <row r="858" spans="8:11" x14ac:dyDescent="0.35">
      <c r="H858" s="34"/>
      <c r="I858" s="34"/>
      <c r="J858" s="34"/>
      <c r="K858" s="34"/>
    </row>
    <row r="859" spans="8:11" x14ac:dyDescent="0.35">
      <c r="H859" s="34"/>
      <c r="I859" s="34"/>
      <c r="J859" s="34"/>
      <c r="K859" s="34"/>
    </row>
    <row r="860" spans="8:11" x14ac:dyDescent="0.35">
      <c r="H860" s="34"/>
      <c r="I860" s="34"/>
      <c r="J860" s="34"/>
      <c r="K860" s="34"/>
    </row>
    <row r="861" spans="8:11" x14ac:dyDescent="0.35">
      <c r="H861" s="34"/>
      <c r="I861" s="34"/>
      <c r="J861" s="34"/>
      <c r="K861" s="34"/>
    </row>
    <row r="862" spans="8:11" x14ac:dyDescent="0.35">
      <c r="H862" s="34"/>
      <c r="I862" s="34"/>
      <c r="J862" s="34"/>
      <c r="K862" s="34"/>
    </row>
    <row r="863" spans="8:11" x14ac:dyDescent="0.35">
      <c r="H863" s="34"/>
      <c r="I863" s="34"/>
      <c r="J863" s="34"/>
      <c r="K863" s="34"/>
    </row>
    <row r="864" spans="8:11" x14ac:dyDescent="0.35">
      <c r="H864" s="34"/>
      <c r="I864" s="34"/>
      <c r="J864" s="34"/>
      <c r="K864" s="34"/>
    </row>
    <row r="865" spans="8:11" x14ac:dyDescent="0.35">
      <c r="H865" s="34"/>
      <c r="I865" s="34"/>
      <c r="J865" s="34"/>
      <c r="K865" s="34"/>
    </row>
    <row r="866" spans="8:11" x14ac:dyDescent="0.35">
      <c r="H866" s="34"/>
      <c r="I866" s="34"/>
      <c r="J866" s="34"/>
      <c r="K866" s="34"/>
    </row>
    <row r="867" spans="8:11" x14ac:dyDescent="0.35">
      <c r="H867" s="34"/>
      <c r="I867" s="34"/>
      <c r="J867" s="34"/>
      <c r="K867" s="34"/>
    </row>
    <row r="868" spans="8:11" x14ac:dyDescent="0.35">
      <c r="H868" s="34"/>
      <c r="I868" s="34"/>
      <c r="J868" s="34"/>
      <c r="K868" s="34"/>
    </row>
    <row r="869" spans="8:11" x14ac:dyDescent="0.35">
      <c r="H869" s="34"/>
      <c r="I869" s="34"/>
      <c r="J869" s="34"/>
      <c r="K869" s="34"/>
    </row>
    <row r="870" spans="8:11" x14ac:dyDescent="0.35">
      <c r="H870" s="34"/>
      <c r="I870" s="34"/>
      <c r="J870" s="34"/>
      <c r="K870" s="34"/>
    </row>
    <row r="871" spans="8:11" x14ac:dyDescent="0.35">
      <c r="H871" s="34"/>
      <c r="I871" s="34"/>
      <c r="J871" s="34"/>
      <c r="K871" s="34"/>
    </row>
    <row r="872" spans="8:11" x14ac:dyDescent="0.35">
      <c r="H872" s="34"/>
      <c r="I872" s="34"/>
      <c r="J872" s="34"/>
      <c r="K872" s="34"/>
    </row>
    <row r="873" spans="8:11" x14ac:dyDescent="0.35">
      <c r="H873" s="34"/>
      <c r="I873" s="34"/>
      <c r="J873" s="34"/>
      <c r="K873" s="34"/>
    </row>
    <row r="874" spans="8:11" x14ac:dyDescent="0.35">
      <c r="H874" s="34"/>
      <c r="I874" s="34"/>
      <c r="J874" s="34"/>
      <c r="K874" s="34"/>
    </row>
    <row r="875" spans="8:11" x14ac:dyDescent="0.35">
      <c r="H875" s="34"/>
      <c r="I875" s="34"/>
      <c r="J875" s="34"/>
      <c r="K875" s="34"/>
    </row>
    <row r="876" spans="8:11" x14ac:dyDescent="0.35">
      <c r="H876" s="34"/>
      <c r="I876" s="34"/>
      <c r="J876" s="34"/>
      <c r="K876" s="34"/>
    </row>
    <row r="877" spans="8:11" x14ac:dyDescent="0.35">
      <c r="H877" s="34"/>
      <c r="I877" s="34"/>
      <c r="J877" s="34"/>
      <c r="K877" s="34"/>
    </row>
    <row r="878" spans="8:11" x14ac:dyDescent="0.35">
      <c r="H878" s="34"/>
      <c r="I878" s="34"/>
      <c r="J878" s="34"/>
      <c r="K878" s="34"/>
    </row>
    <row r="879" spans="8:11" x14ac:dyDescent="0.35">
      <c r="H879" s="34"/>
      <c r="I879" s="34"/>
      <c r="J879" s="34"/>
      <c r="K879" s="34"/>
    </row>
    <row r="880" spans="8:11" x14ac:dyDescent="0.35">
      <c r="H880" s="34"/>
      <c r="I880" s="34"/>
      <c r="J880" s="34"/>
      <c r="K880" s="34"/>
    </row>
    <row r="881" spans="8:11" x14ac:dyDescent="0.35">
      <c r="H881" s="34"/>
      <c r="I881" s="34"/>
      <c r="J881" s="34"/>
      <c r="K881" s="34"/>
    </row>
    <row r="882" spans="8:11" x14ac:dyDescent="0.35">
      <c r="H882" s="34"/>
      <c r="I882" s="34"/>
      <c r="J882" s="34"/>
      <c r="K882" s="34"/>
    </row>
    <row r="883" spans="8:11" x14ac:dyDescent="0.35">
      <c r="H883" s="34"/>
      <c r="I883" s="34"/>
      <c r="J883" s="34"/>
      <c r="K883" s="34"/>
    </row>
    <row r="884" spans="8:11" x14ac:dyDescent="0.35">
      <c r="H884" s="34"/>
      <c r="I884" s="34"/>
      <c r="J884" s="34"/>
      <c r="K884" s="34"/>
    </row>
    <row r="885" spans="8:11" x14ac:dyDescent="0.35">
      <c r="H885" s="34"/>
      <c r="I885" s="34"/>
      <c r="J885" s="34"/>
      <c r="K885" s="34"/>
    </row>
    <row r="886" spans="8:11" x14ac:dyDescent="0.35">
      <c r="H886" s="34"/>
      <c r="I886" s="34"/>
      <c r="J886" s="34"/>
      <c r="K886" s="34"/>
    </row>
    <row r="887" spans="8:11" x14ac:dyDescent="0.35">
      <c r="H887" s="34"/>
      <c r="I887" s="34"/>
      <c r="J887" s="34"/>
      <c r="K887" s="34"/>
    </row>
    <row r="888" spans="8:11" x14ac:dyDescent="0.35">
      <c r="H888" s="34"/>
      <c r="I888" s="34"/>
      <c r="J888" s="34"/>
      <c r="K888" s="34"/>
    </row>
    <row r="889" spans="8:11" x14ac:dyDescent="0.35">
      <c r="H889" s="34"/>
      <c r="I889" s="34"/>
      <c r="J889" s="34"/>
      <c r="K889" s="34"/>
    </row>
    <row r="890" spans="8:11" x14ac:dyDescent="0.35">
      <c r="H890" s="34"/>
      <c r="I890" s="34"/>
      <c r="J890" s="34"/>
      <c r="K890" s="34"/>
    </row>
    <row r="891" spans="8:11" x14ac:dyDescent="0.35">
      <c r="H891" s="34"/>
      <c r="I891" s="34"/>
      <c r="J891" s="34"/>
      <c r="K891" s="34"/>
    </row>
    <row r="892" spans="8:11" x14ac:dyDescent="0.35">
      <c r="H892" s="34"/>
      <c r="I892" s="34"/>
      <c r="J892" s="34"/>
      <c r="K892" s="34"/>
    </row>
    <row r="893" spans="8:11" x14ac:dyDescent="0.35">
      <c r="H893" s="34"/>
      <c r="I893" s="34"/>
      <c r="J893" s="34"/>
      <c r="K893" s="34"/>
    </row>
    <row r="894" spans="8:11" x14ac:dyDescent="0.35">
      <c r="H894" s="34"/>
      <c r="I894" s="34"/>
      <c r="J894" s="34"/>
      <c r="K894" s="34"/>
    </row>
    <row r="895" spans="8:11" x14ac:dyDescent="0.35">
      <c r="H895" s="34"/>
      <c r="I895" s="34"/>
      <c r="J895" s="34"/>
      <c r="K895" s="34"/>
    </row>
    <row r="896" spans="8:11" x14ac:dyDescent="0.35">
      <c r="H896" s="34"/>
      <c r="I896" s="34"/>
      <c r="J896" s="34"/>
      <c r="K896" s="34"/>
    </row>
    <row r="897" spans="8:11" x14ac:dyDescent="0.35">
      <c r="H897" s="34"/>
      <c r="I897" s="34"/>
      <c r="J897" s="34"/>
      <c r="K897" s="34"/>
    </row>
    <row r="898" spans="8:11" x14ac:dyDescent="0.35">
      <c r="H898" s="34"/>
      <c r="I898" s="34"/>
      <c r="J898" s="34"/>
      <c r="K898" s="34"/>
    </row>
    <row r="899" spans="8:11" x14ac:dyDescent="0.35">
      <c r="H899" s="34"/>
      <c r="I899" s="34"/>
      <c r="J899" s="34"/>
      <c r="K899" s="34"/>
    </row>
    <row r="900" spans="8:11" x14ac:dyDescent="0.35">
      <c r="H900" s="34"/>
      <c r="I900" s="34"/>
      <c r="J900" s="34"/>
      <c r="K900" s="34"/>
    </row>
    <row r="901" spans="8:11" x14ac:dyDescent="0.35">
      <c r="H901" s="34"/>
      <c r="I901" s="34"/>
      <c r="J901" s="34"/>
      <c r="K901" s="34"/>
    </row>
    <row r="902" spans="8:11" x14ac:dyDescent="0.35">
      <c r="H902" s="34"/>
      <c r="I902" s="34"/>
      <c r="J902" s="34"/>
      <c r="K902" s="34"/>
    </row>
    <row r="903" spans="8:11" x14ac:dyDescent="0.35">
      <c r="H903" s="34"/>
      <c r="I903" s="34"/>
      <c r="J903" s="34"/>
      <c r="K903" s="34"/>
    </row>
    <row r="904" spans="8:11" x14ac:dyDescent="0.35">
      <c r="H904" s="34"/>
      <c r="I904" s="34"/>
      <c r="J904" s="34"/>
      <c r="K904" s="34"/>
    </row>
    <row r="905" spans="8:11" x14ac:dyDescent="0.35">
      <c r="H905" s="34"/>
      <c r="I905" s="34"/>
      <c r="J905" s="34"/>
      <c r="K905" s="34"/>
    </row>
    <row r="906" spans="8:11" x14ac:dyDescent="0.35">
      <c r="H906" s="34"/>
      <c r="I906" s="34"/>
      <c r="J906" s="34"/>
      <c r="K906" s="34"/>
    </row>
    <row r="907" spans="8:11" x14ac:dyDescent="0.35">
      <c r="H907" s="34"/>
      <c r="I907" s="34"/>
      <c r="J907" s="34"/>
      <c r="K907" s="34"/>
    </row>
    <row r="908" spans="8:11" x14ac:dyDescent="0.35">
      <c r="H908" s="34"/>
      <c r="I908" s="34"/>
      <c r="J908" s="34"/>
      <c r="K908" s="34"/>
    </row>
    <row r="909" spans="8:11" x14ac:dyDescent="0.35">
      <c r="H909" s="34"/>
      <c r="I909" s="34"/>
      <c r="J909" s="34"/>
      <c r="K909" s="34"/>
    </row>
    <row r="910" spans="8:11" x14ac:dyDescent="0.35">
      <c r="H910" s="34"/>
      <c r="I910" s="34"/>
      <c r="J910" s="34"/>
      <c r="K910" s="34"/>
    </row>
    <row r="911" spans="8:11" x14ac:dyDescent="0.35">
      <c r="H911" s="34"/>
      <c r="I911" s="34"/>
      <c r="J911" s="34"/>
      <c r="K911" s="34"/>
    </row>
    <row r="912" spans="8:11" x14ac:dyDescent="0.35">
      <c r="H912" s="34"/>
      <c r="I912" s="34"/>
      <c r="J912" s="34"/>
      <c r="K912" s="34"/>
    </row>
    <row r="913" spans="8:11" x14ac:dyDescent="0.35">
      <c r="H913" s="34"/>
      <c r="I913" s="34"/>
      <c r="J913" s="34"/>
      <c r="K913" s="34"/>
    </row>
    <row r="914" spans="8:11" x14ac:dyDescent="0.35">
      <c r="H914" s="34"/>
      <c r="I914" s="34"/>
      <c r="J914" s="34"/>
      <c r="K914" s="34"/>
    </row>
    <row r="915" spans="8:11" x14ac:dyDescent="0.35">
      <c r="H915" s="34"/>
      <c r="I915" s="34"/>
      <c r="J915" s="34"/>
      <c r="K915" s="34"/>
    </row>
    <row r="916" spans="8:11" x14ac:dyDescent="0.35">
      <c r="H916" s="34"/>
      <c r="I916" s="34"/>
      <c r="J916" s="34"/>
      <c r="K916" s="34"/>
    </row>
    <row r="917" spans="8:11" x14ac:dyDescent="0.35">
      <c r="H917" s="34"/>
      <c r="I917" s="34"/>
      <c r="J917" s="34"/>
      <c r="K917" s="34"/>
    </row>
    <row r="918" spans="8:11" x14ac:dyDescent="0.35">
      <c r="H918" s="34"/>
      <c r="I918" s="34"/>
      <c r="J918" s="34"/>
      <c r="K918" s="34"/>
    </row>
    <row r="919" spans="8:11" x14ac:dyDescent="0.35">
      <c r="H919" s="34"/>
      <c r="I919" s="34"/>
      <c r="J919" s="34"/>
      <c r="K919" s="34"/>
    </row>
    <row r="920" spans="8:11" x14ac:dyDescent="0.35">
      <c r="H920" s="34"/>
      <c r="I920" s="34"/>
      <c r="J920" s="34"/>
      <c r="K920" s="34"/>
    </row>
    <row r="921" spans="8:11" x14ac:dyDescent="0.35">
      <c r="H921" s="34"/>
      <c r="I921" s="34"/>
      <c r="J921" s="34"/>
      <c r="K921" s="34"/>
    </row>
    <row r="922" spans="8:11" x14ac:dyDescent="0.35">
      <c r="H922" s="34"/>
      <c r="I922" s="34"/>
      <c r="J922" s="34"/>
      <c r="K922" s="34"/>
    </row>
    <row r="923" spans="8:11" x14ac:dyDescent="0.35">
      <c r="H923" s="34"/>
      <c r="I923" s="34"/>
      <c r="J923" s="34"/>
      <c r="K923" s="34"/>
    </row>
    <row r="924" spans="8:11" x14ac:dyDescent="0.35">
      <c r="H924" s="34"/>
      <c r="I924" s="34"/>
      <c r="J924" s="34"/>
      <c r="K924" s="34"/>
    </row>
    <row r="925" spans="8:11" x14ac:dyDescent="0.35">
      <c r="H925" s="34"/>
      <c r="I925" s="34"/>
      <c r="J925" s="34"/>
      <c r="K925" s="34"/>
    </row>
    <row r="926" spans="8:11" x14ac:dyDescent="0.35">
      <c r="H926" s="34"/>
      <c r="I926" s="34"/>
      <c r="J926" s="34"/>
      <c r="K926" s="34"/>
    </row>
    <row r="927" spans="8:11" x14ac:dyDescent="0.35">
      <c r="H927" s="34"/>
      <c r="I927" s="34"/>
      <c r="J927" s="34"/>
      <c r="K927" s="34"/>
    </row>
    <row r="928" spans="8:11" x14ac:dyDescent="0.35">
      <c r="H928" s="34"/>
      <c r="I928" s="34"/>
      <c r="J928" s="34"/>
      <c r="K928" s="34"/>
    </row>
    <row r="929" spans="8:11" x14ac:dyDescent="0.35">
      <c r="H929" s="34"/>
      <c r="I929" s="34"/>
      <c r="J929" s="34"/>
      <c r="K929" s="34"/>
    </row>
    <row r="930" spans="8:11" x14ac:dyDescent="0.35">
      <c r="H930" s="34"/>
      <c r="I930" s="34"/>
      <c r="J930" s="34"/>
      <c r="K930" s="34"/>
    </row>
    <row r="931" spans="8:11" x14ac:dyDescent="0.35">
      <c r="H931" s="34"/>
      <c r="I931" s="34"/>
      <c r="J931" s="34"/>
      <c r="K931" s="34"/>
    </row>
    <row r="932" spans="8:11" x14ac:dyDescent="0.35">
      <c r="H932" s="34"/>
      <c r="I932" s="34"/>
      <c r="J932" s="34"/>
      <c r="K932" s="34"/>
    </row>
    <row r="933" spans="8:11" x14ac:dyDescent="0.35">
      <c r="H933" s="34"/>
      <c r="I933" s="34"/>
      <c r="J933" s="34"/>
      <c r="K933" s="34"/>
    </row>
    <row r="934" spans="8:11" x14ac:dyDescent="0.35">
      <c r="H934" s="34"/>
      <c r="I934" s="34"/>
      <c r="J934" s="34"/>
      <c r="K934" s="34"/>
    </row>
    <row r="935" spans="8:11" x14ac:dyDescent="0.35">
      <c r="H935" s="34"/>
      <c r="I935" s="34"/>
      <c r="J935" s="34"/>
      <c r="K935" s="34"/>
    </row>
    <row r="936" spans="8:11" x14ac:dyDescent="0.35">
      <c r="H936" s="34"/>
      <c r="I936" s="34"/>
      <c r="J936" s="34"/>
      <c r="K936" s="34"/>
    </row>
    <row r="937" spans="8:11" x14ac:dyDescent="0.35">
      <c r="H937" s="34"/>
      <c r="I937" s="34"/>
      <c r="J937" s="34"/>
      <c r="K937" s="34"/>
    </row>
    <row r="938" spans="8:11" x14ac:dyDescent="0.35">
      <c r="H938" s="34"/>
      <c r="I938" s="34"/>
      <c r="J938" s="34"/>
      <c r="K938" s="34"/>
    </row>
    <row r="939" spans="8:11" x14ac:dyDescent="0.35">
      <c r="H939" s="34"/>
      <c r="I939" s="34"/>
      <c r="J939" s="34"/>
      <c r="K939" s="34"/>
    </row>
    <row r="940" spans="8:11" x14ac:dyDescent="0.35">
      <c r="H940" s="34"/>
      <c r="I940" s="34"/>
      <c r="J940" s="34"/>
      <c r="K940" s="34"/>
    </row>
    <row r="941" spans="8:11" x14ac:dyDescent="0.35">
      <c r="H941" s="34"/>
      <c r="I941" s="34"/>
      <c r="J941" s="34"/>
      <c r="K941" s="34"/>
    </row>
    <row r="942" spans="8:11" x14ac:dyDescent="0.35">
      <c r="H942" s="34"/>
      <c r="I942" s="34"/>
      <c r="J942" s="34"/>
      <c r="K942" s="34"/>
    </row>
    <row r="943" spans="8:11" x14ac:dyDescent="0.35">
      <c r="H943" s="34"/>
      <c r="I943" s="34"/>
      <c r="J943" s="34"/>
      <c r="K943" s="34"/>
    </row>
    <row r="944" spans="8:11" x14ac:dyDescent="0.35">
      <c r="H944" s="34"/>
      <c r="I944" s="34"/>
      <c r="J944" s="34"/>
      <c r="K944" s="34"/>
    </row>
    <row r="945" spans="8:11" x14ac:dyDescent="0.35">
      <c r="H945" s="34"/>
      <c r="I945" s="34"/>
      <c r="J945" s="34"/>
      <c r="K945" s="34"/>
    </row>
    <row r="946" spans="8:11" x14ac:dyDescent="0.35">
      <c r="H946" s="34"/>
      <c r="I946" s="34"/>
      <c r="J946" s="34"/>
      <c r="K946" s="34"/>
    </row>
    <row r="947" spans="8:11" x14ac:dyDescent="0.35">
      <c r="H947" s="34"/>
      <c r="I947" s="34"/>
      <c r="J947" s="34"/>
      <c r="K947" s="34"/>
    </row>
    <row r="948" spans="8:11" x14ac:dyDescent="0.35">
      <c r="H948" s="34"/>
      <c r="I948" s="34"/>
      <c r="J948" s="34"/>
      <c r="K948" s="34"/>
    </row>
    <row r="949" spans="8:11" x14ac:dyDescent="0.35">
      <c r="H949" s="34"/>
      <c r="I949" s="34"/>
      <c r="J949" s="34"/>
      <c r="K949" s="34"/>
    </row>
    <row r="950" spans="8:11" x14ac:dyDescent="0.35">
      <c r="H950" s="34"/>
      <c r="I950" s="34"/>
      <c r="J950" s="34"/>
      <c r="K950" s="34"/>
    </row>
    <row r="951" spans="8:11" x14ac:dyDescent="0.35">
      <c r="H951" s="34"/>
      <c r="I951" s="34"/>
      <c r="J951" s="34"/>
      <c r="K951" s="34"/>
    </row>
    <row r="952" spans="8:11" x14ac:dyDescent="0.35">
      <c r="H952" s="34"/>
      <c r="I952" s="34"/>
      <c r="J952" s="34"/>
      <c r="K952" s="34"/>
    </row>
    <row r="953" spans="8:11" x14ac:dyDescent="0.35">
      <c r="H953" s="34"/>
      <c r="I953" s="34"/>
      <c r="J953" s="34"/>
      <c r="K953" s="34"/>
    </row>
    <row r="954" spans="8:11" x14ac:dyDescent="0.35">
      <c r="H954" s="34"/>
      <c r="I954" s="34"/>
      <c r="J954" s="34"/>
      <c r="K954" s="34"/>
    </row>
    <row r="955" spans="8:11" x14ac:dyDescent="0.35">
      <c r="H955" s="34"/>
      <c r="I955" s="34"/>
      <c r="J955" s="34"/>
      <c r="K955" s="34"/>
    </row>
    <row r="956" spans="8:11" x14ac:dyDescent="0.35">
      <c r="H956" s="34"/>
      <c r="I956" s="34"/>
      <c r="J956" s="34"/>
      <c r="K956" s="34"/>
    </row>
    <row r="957" spans="8:11" x14ac:dyDescent="0.35">
      <c r="H957" s="34"/>
      <c r="I957" s="34"/>
      <c r="J957" s="34"/>
      <c r="K957" s="34"/>
    </row>
    <row r="958" spans="8:11" x14ac:dyDescent="0.35">
      <c r="H958" s="34"/>
      <c r="I958" s="34"/>
      <c r="J958" s="34"/>
      <c r="K958" s="34"/>
    </row>
    <row r="959" spans="8:11" x14ac:dyDescent="0.35">
      <c r="H959" s="34"/>
      <c r="I959" s="34"/>
      <c r="J959" s="34"/>
      <c r="K959" s="34"/>
    </row>
    <row r="960" spans="8:11" x14ac:dyDescent="0.35">
      <c r="H960" s="34"/>
      <c r="I960" s="34"/>
      <c r="J960" s="34"/>
      <c r="K960" s="34"/>
    </row>
    <row r="961" spans="8:11" x14ac:dyDescent="0.35">
      <c r="H961" s="34"/>
      <c r="I961" s="34"/>
      <c r="J961" s="34"/>
      <c r="K961" s="34"/>
    </row>
    <row r="962" spans="8:11" x14ac:dyDescent="0.35">
      <c r="H962" s="34"/>
      <c r="I962" s="34"/>
      <c r="J962" s="34"/>
      <c r="K962" s="34"/>
    </row>
    <row r="963" spans="8:11" x14ac:dyDescent="0.35">
      <c r="H963" s="34"/>
      <c r="I963" s="34"/>
      <c r="J963" s="34"/>
      <c r="K963" s="34"/>
    </row>
    <row r="964" spans="8:11" x14ac:dyDescent="0.35">
      <c r="H964" s="34"/>
      <c r="I964" s="34"/>
      <c r="J964" s="34"/>
      <c r="K964" s="34"/>
    </row>
    <row r="965" spans="8:11" x14ac:dyDescent="0.35">
      <c r="H965" s="34"/>
      <c r="I965" s="34"/>
      <c r="J965" s="34"/>
      <c r="K965" s="34"/>
    </row>
    <row r="966" spans="8:11" x14ac:dyDescent="0.35">
      <c r="H966" s="34"/>
      <c r="I966" s="34"/>
      <c r="J966" s="34"/>
      <c r="K966" s="34"/>
    </row>
    <row r="967" spans="8:11" x14ac:dyDescent="0.35">
      <c r="H967" s="34"/>
      <c r="I967" s="34"/>
      <c r="J967" s="34"/>
      <c r="K967" s="34"/>
    </row>
    <row r="968" spans="8:11" x14ac:dyDescent="0.35">
      <c r="H968" s="34"/>
      <c r="I968" s="34"/>
      <c r="J968" s="34"/>
      <c r="K968" s="34"/>
    </row>
    <row r="969" spans="8:11" x14ac:dyDescent="0.35">
      <c r="H969" s="34"/>
      <c r="I969" s="34"/>
      <c r="J969" s="34"/>
      <c r="K969" s="34"/>
    </row>
    <row r="970" spans="8:11" x14ac:dyDescent="0.35">
      <c r="H970" s="34"/>
      <c r="I970" s="34"/>
      <c r="J970" s="34"/>
      <c r="K970" s="34"/>
    </row>
    <row r="971" spans="8:11" x14ac:dyDescent="0.35">
      <c r="H971" s="34"/>
      <c r="I971" s="34"/>
      <c r="J971" s="34"/>
      <c r="K971" s="34"/>
    </row>
    <row r="972" spans="8:11" x14ac:dyDescent="0.35">
      <c r="H972" s="34"/>
      <c r="I972" s="34"/>
      <c r="J972" s="34"/>
      <c r="K972" s="34"/>
    </row>
    <row r="973" spans="8:11" x14ac:dyDescent="0.35">
      <c r="H973" s="34"/>
      <c r="I973" s="34"/>
      <c r="J973" s="34"/>
      <c r="K973" s="34"/>
    </row>
    <row r="974" spans="8:11" x14ac:dyDescent="0.35">
      <c r="H974" s="34"/>
      <c r="I974" s="34"/>
      <c r="J974" s="34"/>
      <c r="K974" s="34"/>
    </row>
    <row r="975" spans="8:11" x14ac:dyDescent="0.35">
      <c r="H975" s="34"/>
      <c r="I975" s="34"/>
      <c r="J975" s="34"/>
      <c r="K975" s="34"/>
    </row>
    <row r="976" spans="8:11" x14ac:dyDescent="0.35">
      <c r="H976" s="34"/>
      <c r="I976" s="34"/>
      <c r="J976" s="34"/>
      <c r="K976" s="34"/>
    </row>
    <row r="977" spans="8:11" x14ac:dyDescent="0.35">
      <c r="H977" s="34"/>
      <c r="I977" s="34"/>
      <c r="J977" s="34"/>
      <c r="K977" s="34"/>
    </row>
    <row r="978" spans="8:11" x14ac:dyDescent="0.35">
      <c r="H978" s="34"/>
      <c r="I978" s="34"/>
      <c r="J978" s="34"/>
      <c r="K978" s="34"/>
    </row>
    <row r="979" spans="8:11" x14ac:dyDescent="0.35">
      <c r="H979" s="34"/>
      <c r="I979" s="34"/>
      <c r="J979" s="34"/>
      <c r="K979" s="34"/>
    </row>
    <row r="980" spans="8:11" x14ac:dyDescent="0.35">
      <c r="H980" s="34"/>
      <c r="I980" s="34"/>
      <c r="J980" s="34"/>
      <c r="K980" s="34"/>
    </row>
    <row r="981" spans="8:11" x14ac:dyDescent="0.35">
      <c r="H981" s="34"/>
      <c r="I981" s="34"/>
      <c r="J981" s="34"/>
      <c r="K981" s="34"/>
    </row>
    <row r="982" spans="8:11" x14ac:dyDescent="0.35">
      <c r="H982" s="34"/>
      <c r="I982" s="34"/>
      <c r="J982" s="34"/>
      <c r="K982" s="34"/>
    </row>
    <row r="983" spans="8:11" x14ac:dyDescent="0.35">
      <c r="H983" s="34"/>
      <c r="I983" s="34"/>
      <c r="J983" s="34"/>
      <c r="K983" s="34"/>
    </row>
    <row r="984" spans="8:11" x14ac:dyDescent="0.35">
      <c r="H984" s="34"/>
      <c r="I984" s="34"/>
      <c r="J984" s="34"/>
      <c r="K984" s="34"/>
    </row>
    <row r="985" spans="8:11" x14ac:dyDescent="0.35">
      <c r="H985" s="34"/>
      <c r="I985" s="34"/>
      <c r="J985" s="34"/>
      <c r="K985" s="34"/>
    </row>
    <row r="986" spans="8:11" x14ac:dyDescent="0.35">
      <c r="H986" s="34"/>
      <c r="I986" s="34"/>
      <c r="J986" s="34"/>
      <c r="K986" s="34"/>
    </row>
    <row r="987" spans="8:11" x14ac:dyDescent="0.35">
      <c r="H987" s="34"/>
      <c r="I987" s="34"/>
      <c r="J987" s="34"/>
      <c r="K987" s="34"/>
    </row>
    <row r="988" spans="8:11" x14ac:dyDescent="0.35">
      <c r="H988" s="34"/>
      <c r="I988" s="34"/>
      <c r="J988" s="34"/>
      <c r="K988" s="34"/>
    </row>
    <row r="989" spans="8:11" x14ac:dyDescent="0.35">
      <c r="H989" s="34"/>
      <c r="I989" s="34"/>
      <c r="J989" s="34"/>
      <c r="K989" s="34"/>
    </row>
    <row r="990" spans="8:11" x14ac:dyDescent="0.35">
      <c r="H990" s="34"/>
      <c r="I990" s="34"/>
      <c r="J990" s="34"/>
      <c r="K990" s="34"/>
    </row>
    <row r="991" spans="8:11" x14ac:dyDescent="0.35">
      <c r="H991" s="34"/>
      <c r="I991" s="34"/>
      <c r="J991" s="34"/>
      <c r="K991" s="34"/>
    </row>
    <row r="992" spans="8:11" x14ac:dyDescent="0.35">
      <c r="H992" s="34"/>
      <c r="I992" s="34"/>
      <c r="J992" s="34"/>
      <c r="K992" s="34"/>
    </row>
    <row r="993" spans="8:11" x14ac:dyDescent="0.35">
      <c r="H993" s="34"/>
      <c r="I993" s="34"/>
      <c r="J993" s="34"/>
      <c r="K993" s="34"/>
    </row>
    <row r="994" spans="8:11" x14ac:dyDescent="0.35">
      <c r="H994" s="34"/>
      <c r="I994" s="34"/>
      <c r="J994" s="34"/>
      <c r="K994" s="34"/>
    </row>
    <row r="995" spans="8:11" x14ac:dyDescent="0.35">
      <c r="H995" s="34"/>
      <c r="I995" s="34"/>
      <c r="J995" s="34"/>
      <c r="K995" s="34"/>
    </row>
    <row r="996" spans="8:11" x14ac:dyDescent="0.35">
      <c r="H996" s="34"/>
      <c r="I996" s="34"/>
      <c r="J996" s="34"/>
      <c r="K996" s="34"/>
    </row>
    <row r="997" spans="8:11" x14ac:dyDescent="0.35">
      <c r="H997" s="34"/>
      <c r="I997" s="34"/>
      <c r="J997" s="34"/>
      <c r="K997" s="34"/>
    </row>
    <row r="998" spans="8:11" x14ac:dyDescent="0.35">
      <c r="H998" s="34"/>
      <c r="I998" s="34"/>
      <c r="J998" s="34"/>
      <c r="K998" s="34"/>
    </row>
    <row r="999" spans="8:11" x14ac:dyDescent="0.35">
      <c r="H999" s="34"/>
      <c r="I999" s="34"/>
      <c r="J999" s="34"/>
      <c r="K999" s="34"/>
    </row>
    <row r="1000" spans="8:11" x14ac:dyDescent="0.35">
      <c r="H1000" s="34"/>
      <c r="I1000" s="34"/>
      <c r="J1000" s="34"/>
      <c r="K1000" s="34"/>
    </row>
    <row r="1001" spans="8:11" x14ac:dyDescent="0.35">
      <c r="H1001" s="34"/>
      <c r="I1001" s="34"/>
      <c r="J1001" s="34"/>
      <c r="K1001" s="34"/>
    </row>
    <row r="1002" spans="8:11" x14ac:dyDescent="0.35">
      <c r="H1002" s="34"/>
      <c r="I1002" s="34"/>
      <c r="J1002" s="34"/>
      <c r="K1002" s="34"/>
    </row>
    <row r="1003" spans="8:11" x14ac:dyDescent="0.35">
      <c r="H1003" s="34"/>
      <c r="I1003" s="34"/>
      <c r="J1003" s="34"/>
      <c r="K1003" s="34"/>
    </row>
    <row r="1004" spans="8:11" x14ac:dyDescent="0.35">
      <c r="H1004" s="34"/>
      <c r="I1004" s="34"/>
      <c r="J1004" s="34"/>
      <c r="K1004" s="34"/>
    </row>
    <row r="1005" spans="8:11" x14ac:dyDescent="0.35">
      <c r="H1005" s="34"/>
      <c r="I1005" s="34"/>
      <c r="J1005" s="34"/>
      <c r="K1005" s="34"/>
    </row>
    <row r="1006" spans="8:11" x14ac:dyDescent="0.35">
      <c r="H1006" s="34"/>
      <c r="I1006" s="34"/>
      <c r="J1006" s="34"/>
      <c r="K1006" s="34"/>
    </row>
    <row r="1007" spans="8:11" x14ac:dyDescent="0.35">
      <c r="H1007" s="34"/>
      <c r="I1007" s="34"/>
      <c r="J1007" s="34"/>
      <c r="K1007" s="34"/>
    </row>
    <row r="1008" spans="8:11" x14ac:dyDescent="0.35">
      <c r="H1008" s="34"/>
      <c r="I1008" s="34"/>
      <c r="J1008" s="34"/>
      <c r="K1008" s="34"/>
    </row>
    <row r="1009" spans="8:11" x14ac:dyDescent="0.35">
      <c r="H1009" s="34"/>
      <c r="I1009" s="34"/>
      <c r="J1009" s="34"/>
      <c r="K1009" s="34"/>
    </row>
    <row r="1010" spans="8:11" x14ac:dyDescent="0.35">
      <c r="H1010" s="34"/>
      <c r="I1010" s="34"/>
      <c r="J1010" s="34"/>
      <c r="K1010" s="34"/>
    </row>
    <row r="1011" spans="8:11" x14ac:dyDescent="0.35">
      <c r="H1011" s="34"/>
      <c r="I1011" s="34"/>
      <c r="J1011" s="34"/>
      <c r="K1011" s="34"/>
    </row>
    <row r="1012" spans="8:11" x14ac:dyDescent="0.35">
      <c r="H1012" s="34"/>
      <c r="I1012" s="34"/>
      <c r="J1012" s="34"/>
      <c r="K1012" s="34"/>
    </row>
    <row r="1013" spans="8:11" x14ac:dyDescent="0.35">
      <c r="H1013" s="34"/>
      <c r="I1013" s="34"/>
      <c r="J1013" s="34"/>
      <c r="K1013" s="34"/>
    </row>
    <row r="1014" spans="8:11" x14ac:dyDescent="0.35">
      <c r="H1014" s="34"/>
      <c r="I1014" s="34"/>
      <c r="J1014" s="34"/>
      <c r="K1014" s="34"/>
    </row>
    <row r="1015" spans="8:11" x14ac:dyDescent="0.35">
      <c r="H1015" s="34"/>
      <c r="I1015" s="34"/>
      <c r="J1015" s="34"/>
      <c r="K1015" s="34"/>
    </row>
    <row r="1016" spans="8:11" x14ac:dyDescent="0.35">
      <c r="H1016" s="34"/>
      <c r="I1016" s="34"/>
      <c r="J1016" s="34"/>
      <c r="K1016" s="34"/>
    </row>
    <row r="1017" spans="8:11" x14ac:dyDescent="0.35">
      <c r="H1017" s="34"/>
      <c r="I1017" s="34"/>
      <c r="J1017" s="34"/>
      <c r="K1017" s="34"/>
    </row>
    <row r="1018" spans="8:11" x14ac:dyDescent="0.35">
      <c r="H1018" s="34"/>
      <c r="I1018" s="34"/>
      <c r="J1018" s="34"/>
      <c r="K1018" s="34"/>
    </row>
    <row r="1019" spans="8:11" x14ac:dyDescent="0.35">
      <c r="H1019" s="34"/>
      <c r="I1019" s="34"/>
      <c r="J1019" s="34"/>
      <c r="K1019" s="34"/>
    </row>
    <row r="1020" spans="8:11" x14ac:dyDescent="0.35">
      <c r="H1020" s="34"/>
      <c r="I1020" s="34"/>
      <c r="J1020" s="34"/>
      <c r="K1020" s="34"/>
    </row>
    <row r="1021" spans="8:11" x14ac:dyDescent="0.35">
      <c r="H1021" s="34"/>
      <c r="I1021" s="34"/>
      <c r="J1021" s="34"/>
      <c r="K1021" s="34"/>
    </row>
    <row r="1022" spans="8:11" x14ac:dyDescent="0.35">
      <c r="H1022" s="34"/>
      <c r="I1022" s="34"/>
      <c r="J1022" s="34"/>
      <c r="K1022" s="34"/>
    </row>
    <row r="1023" spans="8:11" x14ac:dyDescent="0.35">
      <c r="H1023" s="34"/>
      <c r="I1023" s="34"/>
      <c r="J1023" s="34"/>
      <c r="K1023" s="34"/>
    </row>
    <row r="1024" spans="8:11" x14ac:dyDescent="0.35">
      <c r="H1024" s="34"/>
      <c r="I1024" s="34"/>
      <c r="J1024" s="34"/>
      <c r="K1024" s="34"/>
    </row>
    <row r="1025" spans="8:11" x14ac:dyDescent="0.35">
      <c r="H1025" s="34"/>
      <c r="I1025" s="34"/>
      <c r="J1025" s="34"/>
      <c r="K1025" s="34"/>
    </row>
    <row r="1026" spans="8:11" x14ac:dyDescent="0.35">
      <c r="H1026" s="34"/>
      <c r="I1026" s="34"/>
      <c r="J1026" s="34"/>
      <c r="K1026" s="34"/>
    </row>
    <row r="1027" spans="8:11" x14ac:dyDescent="0.35">
      <c r="H1027" s="34"/>
      <c r="I1027" s="34"/>
      <c r="J1027" s="34"/>
      <c r="K1027" s="34"/>
    </row>
    <row r="1028" spans="8:11" x14ac:dyDescent="0.35">
      <c r="H1028" s="34"/>
      <c r="I1028" s="34"/>
      <c r="J1028" s="34"/>
      <c r="K1028" s="34"/>
    </row>
    <row r="1029" spans="8:11" x14ac:dyDescent="0.35">
      <c r="H1029" s="34"/>
      <c r="I1029" s="34"/>
      <c r="J1029" s="34"/>
      <c r="K1029" s="34"/>
    </row>
    <row r="1030" spans="8:11" x14ac:dyDescent="0.35">
      <c r="H1030" s="34"/>
      <c r="I1030" s="34"/>
      <c r="J1030" s="34"/>
      <c r="K1030" s="34"/>
    </row>
    <row r="1031" spans="8:11" x14ac:dyDescent="0.35">
      <c r="H1031" s="34"/>
      <c r="I1031" s="34"/>
      <c r="J1031" s="34"/>
      <c r="K1031" s="34"/>
    </row>
    <row r="1032" spans="8:11" x14ac:dyDescent="0.35">
      <c r="H1032" s="34"/>
      <c r="I1032" s="34"/>
      <c r="J1032" s="34"/>
      <c r="K1032" s="34"/>
    </row>
    <row r="1033" spans="8:11" x14ac:dyDescent="0.35">
      <c r="H1033" s="34"/>
      <c r="I1033" s="34"/>
      <c r="J1033" s="34"/>
      <c r="K1033" s="34"/>
    </row>
    <row r="1034" spans="8:11" x14ac:dyDescent="0.35">
      <c r="H1034" s="34"/>
      <c r="I1034" s="34"/>
      <c r="J1034" s="34"/>
      <c r="K1034" s="34"/>
    </row>
    <row r="1035" spans="8:11" x14ac:dyDescent="0.35">
      <c r="H1035" s="34"/>
      <c r="I1035" s="34"/>
      <c r="J1035" s="34"/>
      <c r="K1035" s="34"/>
    </row>
    <row r="1036" spans="8:11" x14ac:dyDescent="0.35">
      <c r="H1036" s="34"/>
      <c r="I1036" s="34"/>
      <c r="J1036" s="34"/>
      <c r="K1036" s="34"/>
    </row>
    <row r="1037" spans="8:11" x14ac:dyDescent="0.35">
      <c r="H1037" s="34"/>
      <c r="I1037" s="34"/>
      <c r="J1037" s="34"/>
      <c r="K1037" s="34"/>
    </row>
    <row r="1038" spans="8:11" x14ac:dyDescent="0.35">
      <c r="H1038" s="34"/>
      <c r="I1038" s="34"/>
      <c r="J1038" s="34"/>
      <c r="K1038" s="34"/>
    </row>
    <row r="1039" spans="8:11" x14ac:dyDescent="0.35">
      <c r="H1039" s="34"/>
      <c r="I1039" s="34"/>
      <c r="J1039" s="34"/>
      <c r="K1039" s="34"/>
    </row>
    <row r="1040" spans="8:11" x14ac:dyDescent="0.35">
      <c r="H1040" s="34"/>
      <c r="I1040" s="34"/>
      <c r="J1040" s="34"/>
      <c r="K1040" s="34"/>
    </row>
    <row r="1041" spans="8:11" x14ac:dyDescent="0.35">
      <c r="H1041" s="34"/>
      <c r="I1041" s="34"/>
      <c r="J1041" s="34"/>
      <c r="K1041" s="34"/>
    </row>
    <row r="1042" spans="8:11" x14ac:dyDescent="0.35">
      <c r="H1042" s="34"/>
      <c r="I1042" s="34"/>
      <c r="J1042" s="34"/>
      <c r="K1042" s="34"/>
    </row>
    <row r="1043" spans="8:11" x14ac:dyDescent="0.35">
      <c r="H1043" s="34"/>
      <c r="I1043" s="34"/>
      <c r="J1043" s="34"/>
      <c r="K1043" s="34"/>
    </row>
    <row r="1044" spans="8:11" x14ac:dyDescent="0.35">
      <c r="H1044" s="34"/>
      <c r="I1044" s="34"/>
      <c r="J1044" s="34"/>
      <c r="K1044" s="34"/>
    </row>
    <row r="1045" spans="8:11" x14ac:dyDescent="0.35">
      <c r="H1045" s="34"/>
      <c r="I1045" s="34"/>
      <c r="J1045" s="34"/>
      <c r="K1045" s="34"/>
    </row>
    <row r="1046" spans="8:11" x14ac:dyDescent="0.35">
      <c r="H1046" s="34"/>
      <c r="I1046" s="34"/>
      <c r="J1046" s="34"/>
      <c r="K1046" s="34"/>
    </row>
    <row r="1047" spans="8:11" x14ac:dyDescent="0.35">
      <c r="H1047" s="34"/>
      <c r="I1047" s="34"/>
      <c r="J1047" s="34"/>
      <c r="K1047" s="34"/>
    </row>
    <row r="1048" spans="8:11" x14ac:dyDescent="0.35">
      <c r="H1048" s="34"/>
      <c r="I1048" s="34"/>
      <c r="J1048" s="34"/>
      <c r="K1048" s="34"/>
    </row>
    <row r="1049" spans="8:11" x14ac:dyDescent="0.35">
      <c r="H1049" s="34"/>
      <c r="I1049" s="34"/>
      <c r="J1049" s="34"/>
      <c r="K1049" s="34"/>
    </row>
    <row r="1050" spans="8:11" x14ac:dyDescent="0.35">
      <c r="H1050" s="34"/>
      <c r="I1050" s="34"/>
      <c r="J1050" s="34"/>
      <c r="K1050" s="34"/>
    </row>
    <row r="1051" spans="8:11" x14ac:dyDescent="0.35">
      <c r="H1051" s="34"/>
      <c r="I1051" s="34"/>
      <c r="J1051" s="34"/>
      <c r="K1051" s="34"/>
    </row>
    <row r="1052" spans="8:11" x14ac:dyDescent="0.35">
      <c r="H1052" s="34"/>
      <c r="I1052" s="34"/>
      <c r="J1052" s="34"/>
      <c r="K1052" s="34"/>
    </row>
    <row r="1053" spans="8:11" x14ac:dyDescent="0.35">
      <c r="H1053" s="34"/>
      <c r="I1053" s="34"/>
      <c r="J1053" s="34"/>
      <c r="K1053" s="34"/>
    </row>
    <row r="1054" spans="8:11" x14ac:dyDescent="0.35">
      <c r="H1054" s="34"/>
      <c r="I1054" s="34"/>
      <c r="J1054" s="34"/>
      <c r="K1054" s="34"/>
    </row>
    <row r="1055" spans="8:11" x14ac:dyDescent="0.35">
      <c r="H1055" s="34"/>
      <c r="I1055" s="34"/>
      <c r="J1055" s="34"/>
      <c r="K1055" s="34"/>
    </row>
    <row r="1056" spans="8:11" x14ac:dyDescent="0.35">
      <c r="H1056" s="34"/>
      <c r="I1056" s="34"/>
      <c r="J1056" s="34"/>
      <c r="K1056" s="34"/>
    </row>
    <row r="1057" spans="8:11" x14ac:dyDescent="0.35">
      <c r="H1057" s="34"/>
      <c r="I1057" s="34"/>
      <c r="J1057" s="34"/>
      <c r="K1057" s="34"/>
    </row>
    <row r="1058" spans="8:11" x14ac:dyDescent="0.35">
      <c r="H1058" s="34"/>
      <c r="I1058" s="34"/>
      <c r="J1058" s="34"/>
      <c r="K1058" s="34"/>
    </row>
    <row r="1059" spans="8:11" x14ac:dyDescent="0.35">
      <c r="H1059" s="34"/>
      <c r="I1059" s="34"/>
      <c r="J1059" s="34"/>
      <c r="K1059" s="34"/>
    </row>
    <row r="1060" spans="8:11" x14ac:dyDescent="0.35">
      <c r="H1060" s="34"/>
      <c r="I1060" s="34"/>
      <c r="J1060" s="34"/>
      <c r="K1060" s="34"/>
    </row>
    <row r="1061" spans="8:11" x14ac:dyDescent="0.35">
      <c r="H1061" s="34"/>
      <c r="I1061" s="34"/>
      <c r="J1061" s="34"/>
      <c r="K1061" s="34"/>
    </row>
    <row r="1062" spans="8:11" x14ac:dyDescent="0.35">
      <c r="H1062" s="34"/>
      <c r="I1062" s="34"/>
      <c r="J1062" s="34"/>
      <c r="K1062" s="34"/>
    </row>
    <row r="1063" spans="8:11" x14ac:dyDescent="0.35">
      <c r="H1063" s="34"/>
      <c r="I1063" s="34"/>
      <c r="J1063" s="34"/>
      <c r="K1063" s="34"/>
    </row>
    <row r="1064" spans="8:11" x14ac:dyDescent="0.35">
      <c r="H1064" s="34"/>
      <c r="I1064" s="34"/>
      <c r="J1064" s="34"/>
      <c r="K1064" s="34"/>
    </row>
    <row r="1065" spans="8:11" x14ac:dyDescent="0.35">
      <c r="H1065" s="34"/>
      <c r="I1065" s="34"/>
      <c r="J1065" s="34"/>
      <c r="K1065" s="34"/>
    </row>
    <row r="1066" spans="8:11" x14ac:dyDescent="0.35">
      <c r="H1066" s="34"/>
      <c r="I1066" s="34"/>
      <c r="J1066" s="34"/>
      <c r="K1066" s="34"/>
    </row>
    <row r="1067" spans="8:11" x14ac:dyDescent="0.35">
      <c r="H1067" s="34"/>
      <c r="I1067" s="34"/>
      <c r="J1067" s="34"/>
      <c r="K1067" s="34"/>
    </row>
    <row r="1068" spans="8:11" x14ac:dyDescent="0.35">
      <c r="H1068" s="34"/>
      <c r="I1068" s="34"/>
      <c r="J1068" s="34"/>
      <c r="K1068" s="34"/>
    </row>
    <row r="1069" spans="8:11" x14ac:dyDescent="0.35">
      <c r="H1069" s="34"/>
      <c r="I1069" s="34"/>
      <c r="J1069" s="34"/>
      <c r="K1069" s="34"/>
    </row>
    <row r="1070" spans="8:11" x14ac:dyDescent="0.35">
      <c r="H1070" s="34"/>
      <c r="I1070" s="34"/>
      <c r="J1070" s="34"/>
      <c r="K1070" s="34"/>
    </row>
    <row r="1071" spans="8:11" x14ac:dyDescent="0.35">
      <c r="H1071" s="34"/>
      <c r="I1071" s="34"/>
      <c r="J1071" s="34"/>
      <c r="K1071" s="34"/>
    </row>
    <row r="1072" spans="8:11" x14ac:dyDescent="0.35">
      <c r="H1072" s="34"/>
      <c r="I1072" s="34"/>
      <c r="J1072" s="34"/>
      <c r="K1072" s="34"/>
    </row>
    <row r="1073" spans="8:11" x14ac:dyDescent="0.35">
      <c r="H1073" s="34"/>
      <c r="I1073" s="34"/>
      <c r="J1073" s="34"/>
      <c r="K1073" s="34"/>
    </row>
    <row r="1074" spans="8:11" x14ac:dyDescent="0.35">
      <c r="H1074" s="34"/>
      <c r="I1074" s="34"/>
      <c r="J1074" s="34"/>
      <c r="K1074" s="34"/>
    </row>
    <row r="1075" spans="8:11" x14ac:dyDescent="0.35">
      <c r="H1075" s="34"/>
      <c r="I1075" s="34"/>
      <c r="J1075" s="34"/>
      <c r="K1075" s="34"/>
    </row>
    <row r="1076" spans="8:11" x14ac:dyDescent="0.35">
      <c r="H1076" s="34"/>
      <c r="I1076" s="34"/>
      <c r="J1076" s="34"/>
      <c r="K1076" s="34"/>
    </row>
    <row r="1077" spans="8:11" x14ac:dyDescent="0.35">
      <c r="H1077" s="34"/>
      <c r="I1077" s="34"/>
      <c r="J1077" s="34"/>
      <c r="K1077" s="34"/>
    </row>
    <row r="1078" spans="8:11" x14ac:dyDescent="0.35">
      <c r="H1078" s="34"/>
      <c r="I1078" s="34"/>
      <c r="J1078" s="34"/>
      <c r="K1078" s="34"/>
    </row>
    <row r="1079" spans="8:11" x14ac:dyDescent="0.35">
      <c r="H1079" s="34"/>
      <c r="I1079" s="34"/>
      <c r="J1079" s="34"/>
      <c r="K1079" s="34"/>
    </row>
    <row r="1080" spans="8:11" x14ac:dyDescent="0.35">
      <c r="H1080" s="34"/>
      <c r="I1080" s="34"/>
      <c r="J1080" s="34"/>
      <c r="K1080" s="34"/>
    </row>
    <row r="1081" spans="8:11" x14ac:dyDescent="0.35">
      <c r="H1081" s="34"/>
      <c r="I1081" s="34"/>
      <c r="J1081" s="34"/>
      <c r="K1081" s="34"/>
    </row>
    <row r="1082" spans="8:11" x14ac:dyDescent="0.35">
      <c r="H1082" s="34"/>
      <c r="I1082" s="34"/>
      <c r="J1082" s="34"/>
      <c r="K1082" s="34"/>
    </row>
    <row r="1083" spans="8:11" x14ac:dyDescent="0.35">
      <c r="H1083" s="34"/>
      <c r="I1083" s="34"/>
      <c r="J1083" s="34"/>
      <c r="K1083" s="34"/>
    </row>
    <row r="1084" spans="8:11" x14ac:dyDescent="0.35">
      <c r="H1084" s="34"/>
      <c r="I1084" s="34"/>
      <c r="J1084" s="34"/>
      <c r="K1084" s="34"/>
    </row>
    <row r="1085" spans="8:11" x14ac:dyDescent="0.35">
      <c r="H1085" s="34"/>
      <c r="I1085" s="34"/>
      <c r="J1085" s="34"/>
      <c r="K1085" s="34"/>
    </row>
    <row r="1086" spans="8:11" x14ac:dyDescent="0.35">
      <c r="H1086" s="34"/>
      <c r="I1086" s="34"/>
      <c r="J1086" s="34"/>
      <c r="K1086" s="34"/>
    </row>
    <row r="1087" spans="8:11" x14ac:dyDescent="0.35">
      <c r="H1087" s="34"/>
      <c r="I1087" s="34"/>
      <c r="J1087" s="34"/>
      <c r="K1087" s="34"/>
    </row>
    <row r="1088" spans="8:11" x14ac:dyDescent="0.35">
      <c r="H1088" s="34"/>
      <c r="I1088" s="34"/>
      <c r="J1088" s="34"/>
      <c r="K1088" s="34"/>
    </row>
    <row r="1089" spans="8:11" x14ac:dyDescent="0.35">
      <c r="H1089" s="34"/>
      <c r="I1089" s="34"/>
      <c r="J1089" s="34"/>
      <c r="K1089" s="34"/>
    </row>
    <row r="1090" spans="8:11" x14ac:dyDescent="0.35">
      <c r="H1090" s="34"/>
      <c r="I1090" s="34"/>
      <c r="J1090" s="34"/>
      <c r="K1090" s="34"/>
    </row>
    <row r="1091" spans="8:11" x14ac:dyDescent="0.35">
      <c r="H1091" s="34"/>
      <c r="I1091" s="34"/>
      <c r="J1091" s="34"/>
      <c r="K1091" s="34"/>
    </row>
    <row r="1092" spans="8:11" x14ac:dyDescent="0.35">
      <c r="H1092" s="34"/>
      <c r="I1092" s="34"/>
      <c r="J1092" s="34"/>
      <c r="K1092" s="34"/>
    </row>
    <row r="1093" spans="8:11" x14ac:dyDescent="0.35">
      <c r="H1093" s="34"/>
      <c r="I1093" s="34"/>
      <c r="J1093" s="34"/>
      <c r="K1093" s="34"/>
    </row>
    <row r="1094" spans="8:11" x14ac:dyDescent="0.35">
      <c r="H1094" s="34"/>
      <c r="I1094" s="34"/>
      <c r="J1094" s="34"/>
      <c r="K1094" s="34"/>
    </row>
    <row r="1095" spans="8:11" x14ac:dyDescent="0.35">
      <c r="H1095" s="34"/>
      <c r="I1095" s="34"/>
      <c r="J1095" s="34"/>
      <c r="K1095" s="34"/>
    </row>
    <row r="1096" spans="8:11" x14ac:dyDescent="0.35">
      <c r="H1096" s="34"/>
      <c r="I1096" s="34"/>
      <c r="J1096" s="34"/>
      <c r="K1096" s="34"/>
    </row>
    <row r="1097" spans="8:11" x14ac:dyDescent="0.35">
      <c r="H1097" s="34"/>
      <c r="I1097" s="34"/>
      <c r="J1097" s="34"/>
      <c r="K1097" s="34"/>
    </row>
    <row r="1098" spans="8:11" x14ac:dyDescent="0.35">
      <c r="H1098" s="34"/>
      <c r="I1098" s="34"/>
      <c r="J1098" s="34"/>
      <c r="K1098" s="34"/>
    </row>
    <row r="1099" spans="8:11" x14ac:dyDescent="0.35">
      <c r="H1099" s="34"/>
      <c r="I1099" s="34"/>
      <c r="J1099" s="34"/>
      <c r="K1099" s="34"/>
    </row>
    <row r="1100" spans="8:11" x14ac:dyDescent="0.35">
      <c r="H1100" s="34"/>
      <c r="I1100" s="34"/>
      <c r="J1100" s="34"/>
      <c r="K1100" s="34"/>
    </row>
    <row r="1101" spans="8:11" x14ac:dyDescent="0.35">
      <c r="H1101" s="34"/>
      <c r="I1101" s="34"/>
      <c r="J1101" s="34"/>
      <c r="K1101" s="34"/>
    </row>
    <row r="1102" spans="8:11" x14ac:dyDescent="0.35">
      <c r="H1102" s="34"/>
      <c r="I1102" s="34"/>
      <c r="J1102" s="34"/>
      <c r="K1102" s="34"/>
    </row>
    <row r="1103" spans="8:11" x14ac:dyDescent="0.35">
      <c r="H1103" s="34"/>
      <c r="I1103" s="34"/>
      <c r="J1103" s="34"/>
      <c r="K1103" s="34"/>
    </row>
    <row r="1104" spans="8:11" x14ac:dyDescent="0.35">
      <c r="H1104" s="34"/>
      <c r="I1104" s="34"/>
      <c r="J1104" s="34"/>
      <c r="K1104" s="34"/>
    </row>
    <row r="1105" spans="8:11" x14ac:dyDescent="0.35">
      <c r="H1105" s="34"/>
      <c r="I1105" s="34"/>
      <c r="J1105" s="34"/>
      <c r="K1105" s="34"/>
    </row>
    <row r="1106" spans="8:11" x14ac:dyDescent="0.35">
      <c r="H1106" s="34"/>
      <c r="I1106" s="34"/>
      <c r="J1106" s="34"/>
      <c r="K1106" s="34"/>
    </row>
    <row r="1107" spans="8:11" x14ac:dyDescent="0.35">
      <c r="H1107" s="34"/>
      <c r="I1107" s="34"/>
      <c r="J1107" s="34"/>
      <c r="K1107" s="34"/>
    </row>
    <row r="1108" spans="8:11" x14ac:dyDescent="0.35">
      <c r="H1108" s="34"/>
      <c r="I1108" s="34"/>
      <c r="J1108" s="34"/>
      <c r="K1108" s="34"/>
    </row>
    <row r="1109" spans="8:11" x14ac:dyDescent="0.35">
      <c r="H1109" s="34"/>
      <c r="I1109" s="34"/>
      <c r="J1109" s="34"/>
      <c r="K1109" s="34"/>
    </row>
    <row r="1110" spans="8:11" x14ac:dyDescent="0.35">
      <c r="H1110" s="34"/>
      <c r="I1110" s="34"/>
      <c r="J1110" s="34"/>
      <c r="K1110" s="34"/>
    </row>
    <row r="1111" spans="8:11" x14ac:dyDescent="0.35">
      <c r="H1111" s="34"/>
      <c r="I1111" s="34"/>
      <c r="J1111" s="34"/>
      <c r="K1111" s="34"/>
    </row>
    <row r="1112" spans="8:11" x14ac:dyDescent="0.35">
      <c r="H1112" s="34"/>
      <c r="I1112" s="34"/>
      <c r="J1112" s="34"/>
      <c r="K1112" s="34"/>
    </row>
    <row r="1113" spans="8:11" x14ac:dyDescent="0.35">
      <c r="H1113" s="34"/>
      <c r="I1113" s="34"/>
      <c r="J1113" s="34"/>
      <c r="K1113" s="34"/>
    </row>
    <row r="1114" spans="8:11" x14ac:dyDescent="0.35">
      <c r="H1114" s="34"/>
      <c r="I1114" s="34"/>
      <c r="J1114" s="34"/>
      <c r="K1114" s="34"/>
    </row>
    <row r="1115" spans="8:11" x14ac:dyDescent="0.35">
      <c r="H1115" s="34"/>
      <c r="I1115" s="34"/>
      <c r="J1115" s="34"/>
      <c r="K1115" s="34"/>
    </row>
    <row r="1116" spans="8:11" x14ac:dyDescent="0.35">
      <c r="H1116" s="34"/>
      <c r="I1116" s="34"/>
      <c r="J1116" s="34"/>
      <c r="K1116" s="34"/>
    </row>
    <row r="1117" spans="8:11" x14ac:dyDescent="0.35">
      <c r="H1117" s="34"/>
      <c r="I1117" s="34"/>
      <c r="J1117" s="34"/>
      <c r="K1117" s="34"/>
    </row>
    <row r="1118" spans="8:11" x14ac:dyDescent="0.35">
      <c r="H1118" s="34"/>
      <c r="I1118" s="34"/>
      <c r="J1118" s="34"/>
      <c r="K1118" s="34"/>
    </row>
    <row r="1119" spans="8:11" x14ac:dyDescent="0.35">
      <c r="H1119" s="34"/>
      <c r="I1119" s="34"/>
      <c r="J1119" s="34"/>
      <c r="K1119" s="34"/>
    </row>
    <row r="1120" spans="8:11" x14ac:dyDescent="0.35">
      <c r="H1120" s="34"/>
      <c r="I1120" s="34"/>
      <c r="J1120" s="34"/>
      <c r="K1120" s="34"/>
    </row>
    <row r="1121" spans="8:11" x14ac:dyDescent="0.35">
      <c r="H1121" s="34"/>
      <c r="I1121" s="34"/>
      <c r="J1121" s="34"/>
      <c r="K1121" s="34"/>
    </row>
    <row r="1122" spans="8:11" x14ac:dyDescent="0.35">
      <c r="H1122" s="34"/>
      <c r="I1122" s="34"/>
      <c r="J1122" s="34"/>
      <c r="K1122" s="34"/>
    </row>
    <row r="1123" spans="8:11" x14ac:dyDescent="0.35">
      <c r="H1123" s="34"/>
      <c r="I1123" s="34"/>
      <c r="J1123" s="34"/>
      <c r="K1123" s="34"/>
    </row>
    <row r="1124" spans="8:11" x14ac:dyDescent="0.35">
      <c r="H1124" s="34"/>
      <c r="I1124" s="34"/>
      <c r="J1124" s="34"/>
      <c r="K1124" s="34"/>
    </row>
    <row r="1125" spans="8:11" x14ac:dyDescent="0.35">
      <c r="H1125" s="34"/>
      <c r="I1125" s="34"/>
      <c r="J1125" s="34"/>
      <c r="K1125" s="34"/>
    </row>
    <row r="1126" spans="8:11" x14ac:dyDescent="0.35">
      <c r="H1126" s="34"/>
      <c r="I1126" s="34"/>
      <c r="J1126" s="34"/>
      <c r="K1126" s="34"/>
    </row>
    <row r="1127" spans="8:11" x14ac:dyDescent="0.35">
      <c r="H1127" s="34"/>
      <c r="I1127" s="34"/>
      <c r="J1127" s="34"/>
      <c r="K1127" s="34"/>
    </row>
    <row r="1128" spans="8:11" x14ac:dyDescent="0.35">
      <c r="H1128" s="34"/>
      <c r="I1128" s="34"/>
      <c r="J1128" s="34"/>
      <c r="K1128" s="34"/>
    </row>
    <row r="1129" spans="8:11" x14ac:dyDescent="0.35">
      <c r="H1129" s="34"/>
      <c r="I1129" s="34"/>
      <c r="J1129" s="34"/>
      <c r="K1129" s="34"/>
    </row>
    <row r="1130" spans="8:11" x14ac:dyDescent="0.35">
      <c r="H1130" s="34"/>
      <c r="I1130" s="34"/>
      <c r="J1130" s="34"/>
      <c r="K1130" s="34"/>
    </row>
    <row r="1131" spans="8:11" x14ac:dyDescent="0.35">
      <c r="H1131" s="34"/>
      <c r="I1131" s="34"/>
      <c r="J1131" s="34"/>
      <c r="K1131" s="34"/>
    </row>
    <row r="1132" spans="8:11" x14ac:dyDescent="0.35">
      <c r="H1132" s="34"/>
      <c r="I1132" s="34"/>
      <c r="J1132" s="34"/>
      <c r="K1132" s="34"/>
    </row>
    <row r="1133" spans="8:11" x14ac:dyDescent="0.35">
      <c r="H1133" s="34"/>
      <c r="I1133" s="34"/>
      <c r="J1133" s="34"/>
      <c r="K1133" s="34"/>
    </row>
    <row r="1134" spans="8:11" x14ac:dyDescent="0.35">
      <c r="H1134" s="34"/>
      <c r="I1134" s="34"/>
      <c r="J1134" s="34"/>
      <c r="K1134" s="34"/>
    </row>
    <row r="1135" spans="8:11" x14ac:dyDescent="0.35">
      <c r="H1135" s="34"/>
      <c r="I1135" s="34"/>
      <c r="J1135" s="34"/>
      <c r="K1135" s="34"/>
    </row>
    <row r="1136" spans="8:11" x14ac:dyDescent="0.35">
      <c r="H1136" s="34"/>
      <c r="I1136" s="34"/>
      <c r="J1136" s="34"/>
      <c r="K1136" s="34"/>
    </row>
    <row r="1137" spans="8:11" x14ac:dyDescent="0.35">
      <c r="H1137" s="34"/>
      <c r="I1137" s="34"/>
      <c r="J1137" s="34"/>
      <c r="K1137" s="34"/>
    </row>
    <row r="1138" spans="8:11" x14ac:dyDescent="0.35">
      <c r="H1138" s="34"/>
      <c r="I1138" s="34"/>
      <c r="J1138" s="34"/>
      <c r="K1138" s="34"/>
    </row>
    <row r="1139" spans="8:11" x14ac:dyDescent="0.35">
      <c r="H1139" s="34"/>
      <c r="I1139" s="34"/>
      <c r="J1139" s="34"/>
      <c r="K1139" s="34"/>
    </row>
    <row r="1140" spans="8:11" x14ac:dyDescent="0.35">
      <c r="H1140" s="34"/>
      <c r="I1140" s="34"/>
      <c r="J1140" s="34"/>
      <c r="K1140" s="34"/>
    </row>
    <row r="1141" spans="8:11" x14ac:dyDescent="0.35">
      <c r="H1141" s="34"/>
      <c r="I1141" s="34"/>
      <c r="J1141" s="34"/>
      <c r="K1141" s="34"/>
    </row>
    <row r="1142" spans="8:11" x14ac:dyDescent="0.35">
      <c r="H1142" s="34"/>
      <c r="I1142" s="34"/>
      <c r="J1142" s="34"/>
      <c r="K1142" s="34"/>
    </row>
    <row r="1143" spans="8:11" x14ac:dyDescent="0.35">
      <c r="H1143" s="34"/>
      <c r="I1143" s="34"/>
      <c r="J1143" s="34"/>
      <c r="K1143" s="34"/>
    </row>
    <row r="1144" spans="8:11" x14ac:dyDescent="0.35">
      <c r="H1144" s="34"/>
      <c r="I1144" s="34"/>
      <c r="J1144" s="34"/>
      <c r="K1144" s="34"/>
    </row>
    <row r="1145" spans="8:11" x14ac:dyDescent="0.35">
      <c r="H1145" s="34"/>
      <c r="I1145" s="34"/>
      <c r="J1145" s="34"/>
      <c r="K1145" s="34"/>
    </row>
    <row r="1146" spans="8:11" x14ac:dyDescent="0.35">
      <c r="H1146" s="34"/>
      <c r="I1146" s="34"/>
      <c r="J1146" s="34"/>
      <c r="K1146" s="34"/>
    </row>
    <row r="1147" spans="8:11" x14ac:dyDescent="0.35">
      <c r="H1147" s="34"/>
      <c r="I1147" s="34"/>
      <c r="J1147" s="34"/>
      <c r="K1147" s="34"/>
    </row>
    <row r="1148" spans="8:11" x14ac:dyDescent="0.35">
      <c r="H1148" s="34"/>
      <c r="I1148" s="34"/>
      <c r="J1148" s="34"/>
      <c r="K1148" s="34"/>
    </row>
    <row r="1149" spans="8:11" x14ac:dyDescent="0.35">
      <c r="H1149" s="34"/>
      <c r="I1149" s="34"/>
      <c r="J1149" s="34"/>
      <c r="K1149" s="34"/>
    </row>
    <row r="1150" spans="8:11" x14ac:dyDescent="0.35">
      <c r="H1150" s="34"/>
      <c r="I1150" s="34"/>
      <c r="J1150" s="34"/>
      <c r="K1150" s="34"/>
    </row>
    <row r="1151" spans="8:11" x14ac:dyDescent="0.35">
      <c r="H1151" s="34"/>
      <c r="I1151" s="34"/>
      <c r="J1151" s="34"/>
      <c r="K1151" s="34"/>
    </row>
    <row r="1152" spans="8:11" x14ac:dyDescent="0.35">
      <c r="H1152" s="34"/>
      <c r="I1152" s="34"/>
      <c r="J1152" s="34"/>
      <c r="K1152" s="34"/>
    </row>
    <row r="1153" spans="8:11" x14ac:dyDescent="0.35">
      <c r="H1153" s="34"/>
      <c r="I1153" s="34"/>
      <c r="J1153" s="34"/>
      <c r="K1153" s="34"/>
    </row>
    <row r="1154" spans="8:11" x14ac:dyDescent="0.35">
      <c r="H1154" s="34"/>
      <c r="I1154" s="34"/>
      <c r="J1154" s="34"/>
      <c r="K1154" s="34"/>
    </row>
    <row r="1155" spans="8:11" x14ac:dyDescent="0.35">
      <c r="H1155" s="34"/>
      <c r="I1155" s="34"/>
      <c r="J1155" s="34"/>
      <c r="K1155" s="34"/>
    </row>
    <row r="1156" spans="8:11" x14ac:dyDescent="0.35">
      <c r="H1156" s="34"/>
      <c r="I1156" s="34"/>
      <c r="J1156" s="34"/>
      <c r="K1156" s="34"/>
    </row>
    <row r="1157" spans="8:11" x14ac:dyDescent="0.35">
      <c r="H1157" s="34"/>
      <c r="I1157" s="34"/>
      <c r="J1157" s="34"/>
      <c r="K1157" s="34"/>
    </row>
    <row r="1158" spans="8:11" x14ac:dyDescent="0.35">
      <c r="H1158" s="34"/>
      <c r="I1158" s="34"/>
      <c r="J1158" s="34"/>
      <c r="K1158" s="34"/>
    </row>
    <row r="1159" spans="8:11" x14ac:dyDescent="0.35">
      <c r="H1159" s="34"/>
      <c r="I1159" s="34"/>
      <c r="J1159" s="34"/>
      <c r="K1159" s="34"/>
    </row>
    <row r="1160" spans="8:11" x14ac:dyDescent="0.35">
      <c r="H1160" s="34"/>
      <c r="I1160" s="34"/>
      <c r="J1160" s="34"/>
      <c r="K1160" s="34"/>
    </row>
    <row r="1161" spans="8:11" x14ac:dyDescent="0.35">
      <c r="H1161" s="34"/>
      <c r="I1161" s="34"/>
      <c r="J1161" s="34"/>
      <c r="K1161" s="34"/>
    </row>
    <row r="1162" spans="8:11" x14ac:dyDescent="0.35">
      <c r="H1162" s="34"/>
      <c r="I1162" s="34"/>
      <c r="J1162" s="34"/>
      <c r="K1162" s="34"/>
    </row>
    <row r="1163" spans="8:11" x14ac:dyDescent="0.35">
      <c r="H1163" s="34"/>
      <c r="I1163" s="34"/>
      <c r="J1163" s="34"/>
      <c r="K1163" s="34"/>
    </row>
    <row r="1164" spans="8:11" x14ac:dyDescent="0.35">
      <c r="H1164" s="34"/>
      <c r="I1164" s="34"/>
      <c r="J1164" s="34"/>
      <c r="K1164" s="34"/>
    </row>
    <row r="1165" spans="8:11" x14ac:dyDescent="0.35">
      <c r="H1165" s="34"/>
      <c r="I1165" s="34"/>
      <c r="J1165" s="34"/>
      <c r="K1165" s="34"/>
    </row>
    <row r="1166" spans="8:11" x14ac:dyDescent="0.35">
      <c r="H1166" s="34"/>
      <c r="I1166" s="34"/>
      <c r="J1166" s="34"/>
      <c r="K1166" s="34"/>
    </row>
    <row r="1167" spans="8:11" x14ac:dyDescent="0.35">
      <c r="H1167" s="34"/>
      <c r="I1167" s="34"/>
      <c r="J1167" s="34"/>
      <c r="K1167" s="34"/>
    </row>
    <row r="1168" spans="8:11" x14ac:dyDescent="0.35">
      <c r="H1168" s="34"/>
      <c r="I1168" s="34"/>
      <c r="J1168" s="34"/>
      <c r="K1168" s="34"/>
    </row>
    <row r="1169" spans="8:11" x14ac:dyDescent="0.35">
      <c r="H1169" s="34"/>
      <c r="I1169" s="34"/>
      <c r="J1169" s="34"/>
      <c r="K1169" s="34"/>
    </row>
    <row r="1170" spans="8:11" x14ac:dyDescent="0.35">
      <c r="H1170" s="34"/>
      <c r="I1170" s="34"/>
      <c r="J1170" s="34"/>
      <c r="K1170" s="34"/>
    </row>
    <row r="1171" spans="8:11" x14ac:dyDescent="0.35">
      <c r="H1171" s="34"/>
      <c r="I1171" s="34"/>
      <c r="J1171" s="34"/>
      <c r="K1171" s="34"/>
    </row>
    <row r="1172" spans="8:11" x14ac:dyDescent="0.35">
      <c r="H1172" s="34"/>
      <c r="I1172" s="34"/>
      <c r="J1172" s="34"/>
      <c r="K1172" s="34"/>
    </row>
    <row r="1173" spans="8:11" x14ac:dyDescent="0.35">
      <c r="H1173" s="34"/>
      <c r="I1173" s="34"/>
      <c r="J1173" s="34"/>
      <c r="K1173" s="34"/>
    </row>
    <row r="1174" spans="8:11" x14ac:dyDescent="0.35">
      <c r="H1174" s="34"/>
      <c r="I1174" s="34"/>
      <c r="J1174" s="34"/>
      <c r="K1174" s="34"/>
    </row>
    <row r="1175" spans="8:11" x14ac:dyDescent="0.35">
      <c r="H1175" s="34"/>
      <c r="I1175" s="34"/>
      <c r="J1175" s="34"/>
      <c r="K1175" s="34"/>
    </row>
    <row r="1176" spans="8:11" x14ac:dyDescent="0.35">
      <c r="H1176" s="34"/>
      <c r="I1176" s="34"/>
      <c r="J1176" s="34"/>
      <c r="K1176" s="34"/>
    </row>
    <row r="1177" spans="8:11" x14ac:dyDescent="0.35">
      <c r="H1177" s="34"/>
      <c r="I1177" s="34"/>
      <c r="J1177" s="34"/>
      <c r="K1177" s="34"/>
    </row>
    <row r="1178" spans="8:11" x14ac:dyDescent="0.35">
      <c r="H1178" s="34"/>
      <c r="I1178" s="34"/>
      <c r="J1178" s="34"/>
      <c r="K1178" s="34"/>
    </row>
    <row r="1179" spans="8:11" x14ac:dyDescent="0.35">
      <c r="H1179" s="34"/>
      <c r="I1179" s="34"/>
      <c r="J1179" s="34"/>
      <c r="K1179" s="34"/>
    </row>
    <row r="1180" spans="8:11" x14ac:dyDescent="0.35">
      <c r="H1180" s="34"/>
      <c r="I1180" s="34"/>
      <c r="J1180" s="34"/>
      <c r="K1180" s="34"/>
    </row>
    <row r="1181" spans="8:11" x14ac:dyDescent="0.35">
      <c r="H1181" s="34"/>
      <c r="I1181" s="34"/>
      <c r="J1181" s="34"/>
      <c r="K1181" s="34"/>
    </row>
    <row r="1182" spans="8:11" x14ac:dyDescent="0.35">
      <c r="H1182" s="34"/>
      <c r="I1182" s="34"/>
      <c r="J1182" s="34"/>
      <c r="K1182" s="34"/>
    </row>
    <row r="1183" spans="8:11" x14ac:dyDescent="0.35">
      <c r="H1183" s="34"/>
      <c r="I1183" s="34"/>
      <c r="J1183" s="34"/>
      <c r="K1183" s="34"/>
    </row>
    <row r="1184" spans="8:11" x14ac:dyDescent="0.35">
      <c r="H1184" s="34"/>
      <c r="I1184" s="34"/>
      <c r="J1184" s="34"/>
      <c r="K1184" s="34"/>
    </row>
    <row r="1185" spans="8:11" x14ac:dyDescent="0.35">
      <c r="H1185" s="34"/>
      <c r="I1185" s="34"/>
      <c r="J1185" s="34"/>
      <c r="K1185" s="34"/>
    </row>
    <row r="1186" spans="8:11" x14ac:dyDescent="0.35">
      <c r="H1186" s="34"/>
      <c r="I1186" s="34"/>
      <c r="J1186" s="34"/>
      <c r="K1186" s="34"/>
    </row>
    <row r="1187" spans="8:11" x14ac:dyDescent="0.35">
      <c r="H1187" s="34"/>
      <c r="I1187" s="34"/>
      <c r="J1187" s="34"/>
      <c r="K1187" s="34"/>
    </row>
    <row r="1188" spans="8:11" x14ac:dyDescent="0.35">
      <c r="H1188" s="34"/>
      <c r="I1188" s="34"/>
      <c r="J1188" s="34"/>
      <c r="K1188" s="34"/>
    </row>
    <row r="1189" spans="8:11" x14ac:dyDescent="0.35">
      <c r="H1189" s="34"/>
      <c r="I1189" s="34"/>
      <c r="J1189" s="34"/>
      <c r="K1189" s="34"/>
    </row>
    <row r="1190" spans="8:11" x14ac:dyDescent="0.35">
      <c r="H1190" s="34"/>
      <c r="I1190" s="34"/>
      <c r="J1190" s="34"/>
      <c r="K1190" s="34"/>
    </row>
    <row r="1191" spans="8:11" x14ac:dyDescent="0.35">
      <c r="H1191" s="34"/>
      <c r="I1191" s="34"/>
      <c r="J1191" s="34"/>
      <c r="K1191" s="34"/>
    </row>
    <row r="1192" spans="8:11" x14ac:dyDescent="0.35">
      <c r="H1192" s="34"/>
      <c r="I1192" s="34"/>
      <c r="J1192" s="34"/>
      <c r="K1192" s="34"/>
    </row>
    <row r="1193" spans="8:11" x14ac:dyDescent="0.35">
      <c r="H1193" s="34"/>
      <c r="I1193" s="34"/>
      <c r="J1193" s="34"/>
      <c r="K1193" s="34"/>
    </row>
    <row r="1194" spans="8:11" x14ac:dyDescent="0.35">
      <c r="H1194" s="34"/>
      <c r="I1194" s="34"/>
      <c r="J1194" s="34"/>
      <c r="K1194" s="34"/>
    </row>
    <row r="1195" spans="8:11" x14ac:dyDescent="0.35">
      <c r="H1195" s="34"/>
      <c r="I1195" s="34"/>
      <c r="J1195" s="34"/>
      <c r="K1195" s="34"/>
    </row>
    <row r="1196" spans="8:11" x14ac:dyDescent="0.35">
      <c r="H1196" s="34"/>
      <c r="I1196" s="34"/>
      <c r="J1196" s="34"/>
      <c r="K1196" s="34"/>
    </row>
    <row r="1197" spans="8:11" x14ac:dyDescent="0.35">
      <c r="H1197" s="34"/>
      <c r="I1197" s="34"/>
      <c r="J1197" s="34"/>
      <c r="K1197" s="34"/>
    </row>
    <row r="1198" spans="8:11" x14ac:dyDescent="0.35">
      <c r="H1198" s="34"/>
      <c r="I1198" s="34"/>
      <c r="J1198" s="34"/>
      <c r="K1198" s="34"/>
    </row>
    <row r="1199" spans="8:11" x14ac:dyDescent="0.35">
      <c r="H1199" s="34"/>
      <c r="I1199" s="34"/>
      <c r="J1199" s="34"/>
      <c r="K1199" s="34"/>
    </row>
    <row r="1200" spans="8:11" x14ac:dyDescent="0.35">
      <c r="H1200" s="34"/>
      <c r="I1200" s="34"/>
      <c r="J1200" s="34"/>
      <c r="K1200" s="34"/>
    </row>
    <row r="1201" spans="8:11" x14ac:dyDescent="0.35">
      <c r="H1201" s="34"/>
      <c r="I1201" s="34"/>
      <c r="J1201" s="34"/>
      <c r="K1201" s="34"/>
    </row>
    <row r="1202" spans="8:11" x14ac:dyDescent="0.35">
      <c r="H1202" s="34"/>
      <c r="I1202" s="34"/>
      <c r="J1202" s="34"/>
      <c r="K1202" s="34"/>
    </row>
    <row r="1203" spans="8:11" x14ac:dyDescent="0.35">
      <c r="H1203" s="34"/>
      <c r="I1203" s="34"/>
      <c r="J1203" s="34"/>
      <c r="K1203" s="34"/>
    </row>
    <row r="1204" spans="8:11" x14ac:dyDescent="0.35">
      <c r="H1204" s="34"/>
      <c r="I1204" s="34"/>
      <c r="J1204" s="34"/>
      <c r="K1204" s="34"/>
    </row>
    <row r="1205" spans="8:11" x14ac:dyDescent="0.35">
      <c r="H1205" s="34"/>
      <c r="I1205" s="34"/>
      <c r="J1205" s="34"/>
      <c r="K1205" s="34"/>
    </row>
    <row r="1206" spans="8:11" x14ac:dyDescent="0.35">
      <c r="H1206" s="34"/>
      <c r="I1206" s="34"/>
      <c r="J1206" s="34"/>
      <c r="K1206" s="34"/>
    </row>
    <row r="1207" spans="8:11" x14ac:dyDescent="0.35">
      <c r="H1207" s="34"/>
      <c r="I1207" s="34"/>
      <c r="J1207" s="34"/>
      <c r="K1207" s="34"/>
    </row>
    <row r="1208" spans="8:11" x14ac:dyDescent="0.35">
      <c r="H1208" s="34"/>
      <c r="I1208" s="34"/>
      <c r="J1208" s="34"/>
      <c r="K1208" s="34"/>
    </row>
    <row r="1209" spans="8:11" x14ac:dyDescent="0.35">
      <c r="H1209" s="34"/>
      <c r="I1209" s="34"/>
      <c r="J1209" s="34"/>
      <c r="K1209" s="34"/>
    </row>
    <row r="1210" spans="8:11" x14ac:dyDescent="0.35">
      <c r="H1210" s="34"/>
      <c r="I1210" s="34"/>
      <c r="J1210" s="34"/>
      <c r="K1210" s="34"/>
    </row>
    <row r="1211" spans="8:11" x14ac:dyDescent="0.35">
      <c r="H1211" s="34"/>
      <c r="I1211" s="34"/>
      <c r="J1211" s="34"/>
      <c r="K1211" s="34"/>
    </row>
    <row r="1212" spans="8:11" x14ac:dyDescent="0.35">
      <c r="H1212" s="34"/>
      <c r="I1212" s="34"/>
      <c r="J1212" s="34"/>
      <c r="K1212" s="34"/>
    </row>
    <row r="1213" spans="8:11" x14ac:dyDescent="0.35">
      <c r="H1213" s="34"/>
      <c r="I1213" s="34"/>
      <c r="J1213" s="34"/>
      <c r="K1213" s="34"/>
    </row>
    <row r="1214" spans="8:11" x14ac:dyDescent="0.35">
      <c r="H1214" s="34"/>
      <c r="I1214" s="34"/>
      <c r="J1214" s="34"/>
      <c r="K1214" s="34"/>
    </row>
    <row r="1215" spans="8:11" x14ac:dyDescent="0.35">
      <c r="H1215" s="34"/>
      <c r="I1215" s="34"/>
      <c r="J1215" s="34"/>
      <c r="K1215" s="34"/>
    </row>
    <row r="1216" spans="8:11" x14ac:dyDescent="0.35">
      <c r="H1216" s="34"/>
      <c r="I1216" s="34"/>
      <c r="J1216" s="34"/>
      <c r="K1216" s="34"/>
    </row>
    <row r="1217" spans="8:11" x14ac:dyDescent="0.35">
      <c r="H1217" s="34"/>
      <c r="I1217" s="34"/>
      <c r="J1217" s="34"/>
      <c r="K1217" s="34"/>
    </row>
    <row r="1218" spans="8:11" x14ac:dyDescent="0.35">
      <c r="H1218" s="34"/>
      <c r="I1218" s="34"/>
      <c r="J1218" s="34"/>
      <c r="K1218" s="34"/>
    </row>
    <row r="1219" spans="8:11" x14ac:dyDescent="0.35">
      <c r="H1219" s="34"/>
      <c r="I1219" s="34"/>
      <c r="J1219" s="34"/>
      <c r="K1219" s="34"/>
    </row>
    <row r="1220" spans="8:11" x14ac:dyDescent="0.35">
      <c r="H1220" s="34"/>
      <c r="I1220" s="34"/>
      <c r="J1220" s="34"/>
      <c r="K1220" s="34"/>
    </row>
    <row r="1221" spans="8:11" x14ac:dyDescent="0.35">
      <c r="H1221" s="34"/>
      <c r="I1221" s="34"/>
      <c r="J1221" s="34"/>
      <c r="K1221" s="34"/>
    </row>
    <row r="1222" spans="8:11" x14ac:dyDescent="0.35">
      <c r="H1222" s="34"/>
      <c r="I1222" s="34"/>
      <c r="J1222" s="34"/>
      <c r="K1222" s="34"/>
    </row>
    <row r="1223" spans="8:11" x14ac:dyDescent="0.35">
      <c r="H1223" s="34"/>
      <c r="I1223" s="34"/>
      <c r="J1223" s="34"/>
      <c r="K1223" s="34"/>
    </row>
    <row r="1224" spans="8:11" x14ac:dyDescent="0.35">
      <c r="H1224" s="34"/>
      <c r="I1224" s="34"/>
      <c r="J1224" s="34"/>
      <c r="K1224" s="34"/>
    </row>
    <row r="1225" spans="8:11" x14ac:dyDescent="0.35">
      <c r="H1225" s="34"/>
      <c r="I1225" s="34"/>
      <c r="J1225" s="34"/>
      <c r="K1225" s="34"/>
    </row>
    <row r="1226" spans="8:11" x14ac:dyDescent="0.35">
      <c r="H1226" s="34"/>
      <c r="I1226" s="34"/>
      <c r="J1226" s="34"/>
      <c r="K1226" s="34"/>
    </row>
    <row r="1227" spans="8:11" x14ac:dyDescent="0.35">
      <c r="H1227" s="34"/>
      <c r="I1227" s="34"/>
      <c r="J1227" s="34"/>
      <c r="K1227" s="34"/>
    </row>
    <row r="1228" spans="8:11" x14ac:dyDescent="0.35">
      <c r="H1228" s="34"/>
      <c r="I1228" s="34"/>
      <c r="J1228" s="34"/>
      <c r="K1228" s="34"/>
    </row>
    <row r="1229" spans="8:11" x14ac:dyDescent="0.35">
      <c r="H1229" s="34"/>
      <c r="I1229" s="34"/>
      <c r="J1229" s="34"/>
      <c r="K1229" s="34"/>
    </row>
    <row r="1230" spans="8:11" x14ac:dyDescent="0.35">
      <c r="H1230" s="34"/>
      <c r="I1230" s="34"/>
      <c r="J1230" s="34"/>
      <c r="K1230" s="34"/>
    </row>
    <row r="1231" spans="8:11" x14ac:dyDescent="0.35">
      <c r="H1231" s="34"/>
      <c r="I1231" s="34"/>
      <c r="J1231" s="34"/>
      <c r="K1231" s="34"/>
    </row>
    <row r="1232" spans="8:11" x14ac:dyDescent="0.35">
      <c r="H1232" s="34"/>
      <c r="I1232" s="34"/>
      <c r="J1232" s="34"/>
      <c r="K1232" s="34"/>
    </row>
    <row r="1233" spans="8:11" x14ac:dyDescent="0.35">
      <c r="H1233" s="34"/>
      <c r="I1233" s="34"/>
      <c r="J1233" s="34"/>
      <c r="K1233" s="34"/>
    </row>
    <row r="1234" spans="8:11" x14ac:dyDescent="0.35">
      <c r="H1234" s="34"/>
      <c r="I1234" s="34"/>
      <c r="J1234" s="34"/>
      <c r="K1234" s="34"/>
    </row>
    <row r="1235" spans="8:11" x14ac:dyDescent="0.35">
      <c r="H1235" s="34"/>
      <c r="I1235" s="34"/>
      <c r="J1235" s="34"/>
      <c r="K1235" s="34"/>
    </row>
    <row r="1236" spans="8:11" x14ac:dyDescent="0.35">
      <c r="H1236" s="34"/>
      <c r="I1236" s="34"/>
      <c r="J1236" s="34"/>
      <c r="K1236" s="34"/>
    </row>
    <row r="1237" spans="8:11" x14ac:dyDescent="0.35">
      <c r="H1237" s="34"/>
      <c r="I1237" s="34"/>
      <c r="J1237" s="34"/>
      <c r="K1237" s="34"/>
    </row>
    <row r="1238" spans="8:11" x14ac:dyDescent="0.35">
      <c r="H1238" s="34"/>
      <c r="I1238" s="34"/>
      <c r="J1238" s="34"/>
      <c r="K1238" s="34"/>
    </row>
    <row r="1239" spans="8:11" x14ac:dyDescent="0.35">
      <c r="H1239" s="34"/>
      <c r="I1239" s="34"/>
      <c r="J1239" s="34"/>
      <c r="K1239" s="34"/>
    </row>
    <row r="1240" spans="8:11" x14ac:dyDescent="0.35">
      <c r="H1240" s="34"/>
      <c r="I1240" s="34"/>
      <c r="J1240" s="34"/>
      <c r="K1240" s="34"/>
    </row>
    <row r="1241" spans="8:11" x14ac:dyDescent="0.35">
      <c r="H1241" s="34"/>
      <c r="I1241" s="34"/>
      <c r="J1241" s="34"/>
      <c r="K1241" s="34"/>
    </row>
    <row r="1242" spans="8:11" x14ac:dyDescent="0.35">
      <c r="H1242" s="34"/>
      <c r="I1242" s="34"/>
      <c r="J1242" s="34"/>
      <c r="K1242" s="34"/>
    </row>
    <row r="1243" spans="8:11" x14ac:dyDescent="0.35">
      <c r="H1243" s="34"/>
      <c r="I1243" s="34"/>
      <c r="J1243" s="34"/>
      <c r="K1243" s="34"/>
    </row>
    <row r="1244" spans="8:11" x14ac:dyDescent="0.35">
      <c r="H1244" s="34"/>
      <c r="I1244" s="34"/>
      <c r="J1244" s="34"/>
      <c r="K1244" s="34"/>
    </row>
    <row r="1245" spans="8:11" x14ac:dyDescent="0.35">
      <c r="H1245" s="34"/>
      <c r="I1245" s="34"/>
      <c r="J1245" s="34"/>
      <c r="K1245" s="34"/>
    </row>
    <row r="1246" spans="8:11" x14ac:dyDescent="0.35">
      <c r="H1246" s="34"/>
      <c r="I1246" s="34"/>
      <c r="J1246" s="34"/>
      <c r="K1246" s="34"/>
    </row>
    <row r="1247" spans="8:11" x14ac:dyDescent="0.35">
      <c r="H1247" s="34"/>
      <c r="I1247" s="34"/>
      <c r="J1247" s="34"/>
      <c r="K1247" s="34"/>
    </row>
    <row r="1248" spans="8:11" x14ac:dyDescent="0.35">
      <c r="H1248" s="34"/>
      <c r="I1248" s="34"/>
      <c r="J1248" s="34"/>
      <c r="K1248" s="34"/>
    </row>
    <row r="1249" spans="8:11" x14ac:dyDescent="0.35">
      <c r="H1249" s="34"/>
      <c r="I1249" s="34"/>
      <c r="J1249" s="34"/>
      <c r="K1249" s="34"/>
    </row>
    <row r="1250" spans="8:11" x14ac:dyDescent="0.35">
      <c r="H1250" s="34"/>
      <c r="I1250" s="34"/>
      <c r="J1250" s="34"/>
      <c r="K1250" s="34"/>
    </row>
    <row r="1251" spans="8:11" x14ac:dyDescent="0.35">
      <c r="H1251" s="34"/>
      <c r="I1251" s="34"/>
      <c r="J1251" s="34"/>
      <c r="K1251" s="34"/>
    </row>
    <row r="1252" spans="8:11" x14ac:dyDescent="0.35">
      <c r="H1252" s="34"/>
      <c r="I1252" s="34"/>
      <c r="J1252" s="34"/>
      <c r="K1252" s="34"/>
    </row>
    <row r="1253" spans="8:11" x14ac:dyDescent="0.35">
      <c r="H1253" s="34"/>
      <c r="I1253" s="34"/>
      <c r="J1253" s="34"/>
      <c r="K1253" s="34"/>
    </row>
    <row r="1254" spans="8:11" x14ac:dyDescent="0.35">
      <c r="H1254" s="34"/>
      <c r="I1254" s="34"/>
      <c r="J1254" s="34"/>
      <c r="K1254" s="34"/>
    </row>
    <row r="1255" spans="8:11" x14ac:dyDescent="0.35">
      <c r="H1255" s="34"/>
      <c r="I1255" s="34"/>
      <c r="J1255" s="34"/>
      <c r="K1255" s="34"/>
    </row>
    <row r="1256" spans="8:11" x14ac:dyDescent="0.35">
      <c r="H1256" s="34"/>
      <c r="I1256" s="34"/>
      <c r="J1256" s="34"/>
      <c r="K1256" s="34"/>
    </row>
    <row r="1257" spans="8:11" x14ac:dyDescent="0.35">
      <c r="H1257" s="34"/>
      <c r="I1257" s="34"/>
      <c r="J1257" s="34"/>
      <c r="K1257" s="34"/>
    </row>
    <row r="1258" spans="8:11" x14ac:dyDescent="0.35">
      <c r="H1258" s="34"/>
      <c r="I1258" s="34"/>
      <c r="J1258" s="34"/>
      <c r="K1258" s="34"/>
    </row>
    <row r="1259" spans="8:11" x14ac:dyDescent="0.35">
      <c r="H1259" s="34"/>
      <c r="I1259" s="34"/>
      <c r="J1259" s="34"/>
      <c r="K1259" s="34"/>
    </row>
    <row r="1260" spans="8:11" x14ac:dyDescent="0.35">
      <c r="H1260" s="34"/>
      <c r="I1260" s="34"/>
      <c r="J1260" s="34"/>
      <c r="K1260" s="34"/>
    </row>
    <row r="1261" spans="8:11" x14ac:dyDescent="0.35">
      <c r="H1261" s="34"/>
      <c r="I1261" s="34"/>
      <c r="J1261" s="34"/>
      <c r="K1261" s="34"/>
    </row>
    <row r="1262" spans="8:11" x14ac:dyDescent="0.35">
      <c r="H1262" s="34"/>
      <c r="I1262" s="34"/>
      <c r="J1262" s="34"/>
      <c r="K1262" s="34"/>
    </row>
    <row r="1263" spans="8:11" x14ac:dyDescent="0.35">
      <c r="H1263" s="34"/>
      <c r="I1263" s="34"/>
      <c r="J1263" s="34"/>
      <c r="K1263" s="34"/>
    </row>
    <row r="1264" spans="8:11" x14ac:dyDescent="0.35">
      <c r="H1264" s="34"/>
      <c r="I1264" s="34"/>
      <c r="J1264" s="34"/>
      <c r="K1264" s="34"/>
    </row>
    <row r="1265" spans="8:11" x14ac:dyDescent="0.35">
      <c r="H1265" s="34"/>
      <c r="I1265" s="34"/>
      <c r="J1265" s="34"/>
      <c r="K1265" s="34"/>
    </row>
    <row r="1266" spans="8:11" x14ac:dyDescent="0.35">
      <c r="H1266" s="34"/>
      <c r="I1266" s="34"/>
      <c r="J1266" s="34"/>
      <c r="K1266" s="34"/>
    </row>
    <row r="1267" spans="8:11" x14ac:dyDescent="0.35">
      <c r="H1267" s="34"/>
      <c r="I1267" s="34"/>
      <c r="J1267" s="34"/>
      <c r="K1267" s="34"/>
    </row>
    <row r="1268" spans="8:11" x14ac:dyDescent="0.35">
      <c r="H1268" s="34"/>
      <c r="I1268" s="34"/>
      <c r="J1268" s="34"/>
      <c r="K1268" s="34"/>
    </row>
    <row r="1269" spans="8:11" x14ac:dyDescent="0.35">
      <c r="H1269" s="34"/>
      <c r="I1269" s="34"/>
      <c r="J1269" s="34"/>
      <c r="K1269" s="34"/>
    </row>
    <row r="1270" spans="8:11" x14ac:dyDescent="0.35">
      <c r="H1270" s="34"/>
      <c r="I1270" s="34"/>
      <c r="J1270" s="34"/>
      <c r="K1270" s="34"/>
    </row>
    <row r="1271" spans="8:11" x14ac:dyDescent="0.35">
      <c r="H1271" s="34"/>
      <c r="I1271" s="34"/>
      <c r="J1271" s="34"/>
      <c r="K1271" s="34"/>
    </row>
    <row r="1272" spans="8:11" x14ac:dyDescent="0.35">
      <c r="H1272" s="34"/>
      <c r="I1272" s="34"/>
      <c r="J1272" s="34"/>
      <c r="K1272" s="34"/>
    </row>
    <row r="1273" spans="8:11" x14ac:dyDescent="0.35">
      <c r="H1273" s="34"/>
      <c r="I1273" s="34"/>
      <c r="J1273" s="34"/>
      <c r="K1273" s="34"/>
    </row>
    <row r="1274" spans="8:11" x14ac:dyDescent="0.35">
      <c r="H1274" s="34"/>
      <c r="I1274" s="34"/>
      <c r="J1274" s="34"/>
      <c r="K1274" s="34"/>
    </row>
    <row r="1275" spans="8:11" x14ac:dyDescent="0.35">
      <c r="H1275" s="34"/>
      <c r="I1275" s="34"/>
      <c r="J1275" s="34"/>
      <c r="K1275" s="34"/>
    </row>
    <row r="1276" spans="8:11" x14ac:dyDescent="0.35">
      <c r="H1276" s="34"/>
      <c r="I1276" s="34"/>
      <c r="J1276" s="34"/>
      <c r="K1276" s="34"/>
    </row>
    <row r="1277" spans="8:11" x14ac:dyDescent="0.35">
      <c r="H1277" s="34"/>
      <c r="I1277" s="34"/>
      <c r="J1277" s="34"/>
      <c r="K1277" s="34"/>
    </row>
    <row r="1278" spans="8:11" x14ac:dyDescent="0.35">
      <c r="H1278" s="34"/>
      <c r="I1278" s="34"/>
      <c r="J1278" s="34"/>
      <c r="K1278" s="34"/>
    </row>
    <row r="1279" spans="8:11" x14ac:dyDescent="0.35">
      <c r="H1279" s="34"/>
      <c r="I1279" s="34"/>
      <c r="J1279" s="34"/>
      <c r="K1279" s="34"/>
    </row>
    <row r="1280" spans="8:11" x14ac:dyDescent="0.35">
      <c r="H1280" s="34"/>
      <c r="I1280" s="34"/>
      <c r="J1280" s="34"/>
      <c r="K1280" s="34"/>
    </row>
    <row r="1281" spans="8:11" x14ac:dyDescent="0.35">
      <c r="H1281" s="34"/>
      <c r="I1281" s="34"/>
      <c r="J1281" s="34"/>
      <c r="K1281" s="34"/>
    </row>
    <row r="1282" spans="8:11" x14ac:dyDescent="0.35">
      <c r="H1282" s="34"/>
      <c r="I1282" s="34"/>
      <c r="J1282" s="34"/>
      <c r="K1282" s="34"/>
    </row>
    <row r="1283" spans="8:11" x14ac:dyDescent="0.35">
      <c r="H1283" s="34"/>
      <c r="I1283" s="34"/>
      <c r="J1283" s="34"/>
      <c r="K1283" s="34"/>
    </row>
    <row r="1284" spans="8:11" x14ac:dyDescent="0.35">
      <c r="H1284" s="34"/>
      <c r="I1284" s="34"/>
      <c r="J1284" s="34"/>
      <c r="K1284" s="34"/>
    </row>
    <row r="1285" spans="8:11" x14ac:dyDescent="0.35">
      <c r="H1285" s="34"/>
      <c r="I1285" s="34"/>
      <c r="J1285" s="34"/>
      <c r="K1285" s="34"/>
    </row>
    <row r="1286" spans="8:11" x14ac:dyDescent="0.35">
      <c r="H1286" s="34"/>
      <c r="I1286" s="34"/>
      <c r="J1286" s="34"/>
      <c r="K1286" s="34"/>
    </row>
    <row r="1287" spans="8:11" x14ac:dyDescent="0.35">
      <c r="H1287" s="34"/>
      <c r="I1287" s="34"/>
      <c r="J1287" s="34"/>
      <c r="K1287" s="34"/>
    </row>
    <row r="1288" spans="8:11" x14ac:dyDescent="0.35">
      <c r="H1288" s="34"/>
      <c r="I1288" s="34"/>
      <c r="J1288" s="34"/>
      <c r="K1288" s="34"/>
    </row>
    <row r="1289" spans="8:11" x14ac:dyDescent="0.35">
      <c r="H1289" s="34"/>
      <c r="I1289" s="34"/>
      <c r="J1289" s="34"/>
      <c r="K1289" s="34"/>
    </row>
    <row r="1290" spans="8:11" x14ac:dyDescent="0.35">
      <c r="H1290" s="34"/>
      <c r="I1290" s="34"/>
      <c r="J1290" s="34"/>
      <c r="K1290" s="34"/>
    </row>
    <row r="1291" spans="8:11" x14ac:dyDescent="0.35">
      <c r="H1291" s="34"/>
      <c r="I1291" s="34"/>
      <c r="J1291" s="34"/>
      <c r="K1291" s="34"/>
    </row>
    <row r="1292" spans="8:11" x14ac:dyDescent="0.35">
      <c r="H1292" s="34"/>
      <c r="I1292" s="34"/>
      <c r="J1292" s="34"/>
      <c r="K1292" s="34"/>
    </row>
    <row r="1293" spans="8:11" x14ac:dyDescent="0.35">
      <c r="H1293" s="34"/>
      <c r="I1293" s="34"/>
      <c r="J1293" s="34"/>
      <c r="K1293" s="34"/>
    </row>
    <row r="1294" spans="8:11" x14ac:dyDescent="0.35">
      <c r="H1294" s="34"/>
      <c r="I1294" s="34"/>
      <c r="J1294" s="34"/>
      <c r="K1294" s="34"/>
    </row>
    <row r="1295" spans="8:11" x14ac:dyDescent="0.35">
      <c r="H1295" s="34"/>
      <c r="I1295" s="34"/>
      <c r="J1295" s="34"/>
      <c r="K1295" s="34"/>
    </row>
    <row r="1296" spans="8:11" x14ac:dyDescent="0.35">
      <c r="H1296" s="34"/>
      <c r="I1296" s="34"/>
      <c r="J1296" s="34"/>
      <c r="K1296" s="34"/>
    </row>
    <row r="1297" spans="8:11" x14ac:dyDescent="0.35">
      <c r="H1297" s="34"/>
      <c r="I1297" s="34"/>
      <c r="J1297" s="34"/>
      <c r="K1297" s="34"/>
    </row>
    <row r="1298" spans="8:11" x14ac:dyDescent="0.35">
      <c r="H1298" s="34"/>
      <c r="I1298" s="34"/>
      <c r="J1298" s="34"/>
      <c r="K1298" s="34"/>
    </row>
    <row r="1299" spans="8:11" x14ac:dyDescent="0.35">
      <c r="H1299" s="34"/>
      <c r="I1299" s="34"/>
      <c r="J1299" s="34"/>
      <c r="K1299" s="34"/>
    </row>
    <row r="1300" spans="8:11" x14ac:dyDescent="0.35">
      <c r="H1300" s="34"/>
      <c r="I1300" s="34"/>
      <c r="J1300" s="34"/>
      <c r="K1300" s="34"/>
    </row>
    <row r="1301" spans="8:11" x14ac:dyDescent="0.35">
      <c r="H1301" s="34"/>
      <c r="I1301" s="34"/>
      <c r="J1301" s="34"/>
      <c r="K1301" s="34"/>
    </row>
    <row r="1302" spans="8:11" x14ac:dyDescent="0.35">
      <c r="H1302" s="34"/>
      <c r="I1302" s="34"/>
      <c r="J1302" s="34"/>
      <c r="K1302" s="34"/>
    </row>
    <row r="1303" spans="8:11" x14ac:dyDescent="0.35">
      <c r="H1303" s="34"/>
      <c r="I1303" s="34"/>
      <c r="J1303" s="34"/>
      <c r="K1303" s="34"/>
    </row>
    <row r="1304" spans="8:11" x14ac:dyDescent="0.35">
      <c r="H1304" s="34"/>
      <c r="I1304" s="34"/>
      <c r="J1304" s="34"/>
      <c r="K1304" s="34"/>
    </row>
    <row r="1305" spans="8:11" x14ac:dyDescent="0.35">
      <c r="H1305" s="34"/>
      <c r="I1305" s="34"/>
      <c r="J1305" s="34"/>
      <c r="K1305" s="34"/>
    </row>
    <row r="1306" spans="8:11" x14ac:dyDescent="0.35">
      <c r="H1306" s="34"/>
      <c r="I1306" s="34"/>
      <c r="J1306" s="34"/>
      <c r="K1306" s="34"/>
    </row>
    <row r="1307" spans="8:11" x14ac:dyDescent="0.35">
      <c r="H1307" s="34"/>
      <c r="I1307" s="34"/>
      <c r="J1307" s="34"/>
      <c r="K1307" s="34"/>
    </row>
    <row r="1308" spans="8:11" x14ac:dyDescent="0.35">
      <c r="H1308" s="34"/>
      <c r="I1308" s="34"/>
      <c r="J1308" s="34"/>
      <c r="K1308" s="34"/>
    </row>
    <row r="1309" spans="8:11" x14ac:dyDescent="0.35">
      <c r="H1309" s="34"/>
      <c r="I1309" s="34"/>
      <c r="J1309" s="34"/>
      <c r="K1309" s="34"/>
    </row>
    <row r="1310" spans="8:11" x14ac:dyDescent="0.35">
      <c r="H1310" s="34"/>
      <c r="I1310" s="34"/>
      <c r="J1310" s="34"/>
      <c r="K1310" s="34"/>
    </row>
    <row r="1311" spans="8:11" x14ac:dyDescent="0.35">
      <c r="H1311" s="34"/>
      <c r="I1311" s="34"/>
      <c r="J1311" s="34"/>
      <c r="K1311" s="34"/>
    </row>
    <row r="1312" spans="8:11" x14ac:dyDescent="0.35">
      <c r="H1312" s="34"/>
      <c r="I1312" s="34"/>
      <c r="J1312" s="34"/>
      <c r="K1312" s="34"/>
    </row>
    <row r="1313" spans="8:11" x14ac:dyDescent="0.35">
      <c r="H1313" s="34"/>
      <c r="I1313" s="34"/>
      <c r="J1313" s="34"/>
      <c r="K1313" s="34"/>
    </row>
    <row r="1314" spans="8:11" x14ac:dyDescent="0.35">
      <c r="H1314" s="34"/>
      <c r="I1314" s="34"/>
      <c r="J1314" s="34"/>
      <c r="K1314" s="34"/>
    </row>
    <row r="1315" spans="8:11" x14ac:dyDescent="0.35">
      <c r="H1315" s="34"/>
      <c r="I1315" s="34"/>
      <c r="J1315" s="34"/>
      <c r="K1315" s="34"/>
    </row>
    <row r="1316" spans="8:11" x14ac:dyDescent="0.35">
      <c r="H1316" s="34"/>
      <c r="I1316" s="34"/>
      <c r="J1316" s="34"/>
      <c r="K1316" s="34"/>
    </row>
    <row r="1317" spans="8:11" x14ac:dyDescent="0.35">
      <c r="H1317" s="34"/>
      <c r="I1317" s="34"/>
      <c r="J1317" s="34"/>
      <c r="K1317" s="34"/>
    </row>
    <row r="1318" spans="8:11" x14ac:dyDescent="0.35">
      <c r="H1318" s="34"/>
      <c r="I1318" s="34"/>
      <c r="J1318" s="34"/>
      <c r="K1318" s="34"/>
    </row>
    <row r="1319" spans="8:11" x14ac:dyDescent="0.35">
      <c r="H1319" s="34"/>
      <c r="I1319" s="34"/>
      <c r="J1319" s="34"/>
      <c r="K1319" s="34"/>
    </row>
    <row r="1320" spans="8:11" x14ac:dyDescent="0.35">
      <c r="H1320" s="34"/>
      <c r="I1320" s="34"/>
      <c r="J1320" s="34"/>
      <c r="K1320" s="34"/>
    </row>
    <row r="1321" spans="8:11" x14ac:dyDescent="0.35">
      <c r="H1321" s="34"/>
      <c r="I1321" s="34"/>
      <c r="J1321" s="34"/>
      <c r="K1321" s="34"/>
    </row>
    <row r="1322" spans="8:11" x14ac:dyDescent="0.35">
      <c r="H1322" s="34"/>
      <c r="I1322" s="34"/>
      <c r="J1322" s="34"/>
      <c r="K1322" s="34"/>
    </row>
    <row r="1323" spans="8:11" x14ac:dyDescent="0.35">
      <c r="H1323" s="34"/>
      <c r="I1323" s="34"/>
      <c r="J1323" s="34"/>
      <c r="K1323" s="34"/>
    </row>
    <row r="1324" spans="8:11" x14ac:dyDescent="0.35">
      <c r="H1324" s="34"/>
      <c r="I1324" s="34"/>
      <c r="J1324" s="34"/>
      <c r="K1324" s="34"/>
    </row>
    <row r="1325" spans="8:11" x14ac:dyDescent="0.35">
      <c r="H1325" s="34"/>
      <c r="I1325" s="34"/>
      <c r="J1325" s="34"/>
      <c r="K1325" s="34"/>
    </row>
    <row r="1326" spans="8:11" x14ac:dyDescent="0.35">
      <c r="H1326" s="34"/>
      <c r="I1326" s="34"/>
      <c r="J1326" s="34"/>
      <c r="K1326" s="34"/>
    </row>
    <row r="1327" spans="8:11" x14ac:dyDescent="0.35">
      <c r="H1327" s="34"/>
      <c r="I1327" s="34"/>
      <c r="J1327" s="34"/>
      <c r="K1327" s="34"/>
    </row>
    <row r="1328" spans="8:11" x14ac:dyDescent="0.35">
      <c r="H1328" s="34"/>
      <c r="I1328" s="34"/>
      <c r="J1328" s="34"/>
      <c r="K1328" s="34"/>
    </row>
    <row r="1329" spans="8:11" x14ac:dyDescent="0.35">
      <c r="H1329" s="34"/>
      <c r="I1329" s="34"/>
      <c r="J1329" s="34"/>
      <c r="K1329" s="34"/>
    </row>
    <row r="1330" spans="8:11" x14ac:dyDescent="0.35">
      <c r="H1330" s="34"/>
      <c r="I1330" s="34"/>
      <c r="J1330" s="34"/>
      <c r="K1330" s="34"/>
    </row>
    <row r="1331" spans="8:11" x14ac:dyDescent="0.35">
      <c r="H1331" s="34"/>
      <c r="I1331" s="34"/>
      <c r="J1331" s="34"/>
      <c r="K1331" s="34"/>
    </row>
    <row r="1332" spans="8:11" x14ac:dyDescent="0.35">
      <c r="H1332" s="34"/>
      <c r="I1332" s="34"/>
      <c r="J1332" s="34"/>
      <c r="K1332" s="34"/>
    </row>
    <row r="1333" spans="8:11" x14ac:dyDescent="0.35">
      <c r="H1333" s="34"/>
      <c r="I1333" s="34"/>
      <c r="J1333" s="34"/>
      <c r="K1333" s="34"/>
    </row>
    <row r="1334" spans="8:11" x14ac:dyDescent="0.35">
      <c r="H1334" s="34"/>
      <c r="I1334" s="34"/>
      <c r="J1334" s="34"/>
      <c r="K1334" s="34"/>
    </row>
    <row r="1335" spans="8:11" x14ac:dyDescent="0.35">
      <c r="H1335" s="34"/>
      <c r="I1335" s="34"/>
      <c r="J1335" s="34"/>
      <c r="K1335" s="34"/>
    </row>
    <row r="1336" spans="8:11" x14ac:dyDescent="0.35">
      <c r="H1336" s="34"/>
      <c r="I1336" s="34"/>
      <c r="J1336" s="34"/>
      <c r="K1336" s="34"/>
    </row>
    <row r="1337" spans="8:11" x14ac:dyDescent="0.35">
      <c r="H1337" s="34"/>
      <c r="I1337" s="34"/>
      <c r="J1337" s="34"/>
      <c r="K1337" s="34"/>
    </row>
    <row r="1338" spans="8:11" x14ac:dyDescent="0.35">
      <c r="H1338" s="34"/>
      <c r="I1338" s="34"/>
      <c r="J1338" s="34"/>
      <c r="K1338" s="34"/>
    </row>
    <row r="1339" spans="8:11" x14ac:dyDescent="0.35">
      <c r="H1339" s="34"/>
      <c r="I1339" s="34"/>
      <c r="J1339" s="34"/>
      <c r="K1339" s="34"/>
    </row>
    <row r="1340" spans="8:11" x14ac:dyDescent="0.35">
      <c r="H1340" s="34"/>
      <c r="I1340" s="34"/>
      <c r="J1340" s="34"/>
      <c r="K1340" s="34"/>
    </row>
    <row r="1341" spans="8:11" x14ac:dyDescent="0.35">
      <c r="H1341" s="34"/>
      <c r="I1341" s="34"/>
      <c r="J1341" s="34"/>
      <c r="K1341" s="34"/>
    </row>
    <row r="1342" spans="8:11" x14ac:dyDescent="0.35">
      <c r="H1342" s="34"/>
      <c r="I1342" s="34"/>
      <c r="J1342" s="34"/>
      <c r="K1342" s="34"/>
    </row>
    <row r="1343" spans="8:11" x14ac:dyDescent="0.35">
      <c r="H1343" s="34"/>
      <c r="I1343" s="34"/>
      <c r="J1343" s="34"/>
      <c r="K1343" s="34"/>
    </row>
    <row r="1344" spans="8:11" x14ac:dyDescent="0.35">
      <c r="H1344" s="34"/>
      <c r="I1344" s="34"/>
      <c r="J1344" s="34"/>
      <c r="K1344" s="34"/>
    </row>
    <row r="1345" spans="8:11" x14ac:dyDescent="0.35">
      <c r="H1345" s="34"/>
      <c r="I1345" s="34"/>
      <c r="J1345" s="34"/>
      <c r="K1345" s="34"/>
    </row>
    <row r="1346" spans="8:11" x14ac:dyDescent="0.35">
      <c r="H1346" s="34"/>
      <c r="I1346" s="34"/>
      <c r="J1346" s="34"/>
      <c r="K1346" s="34"/>
    </row>
    <row r="1347" spans="8:11" x14ac:dyDescent="0.35">
      <c r="H1347" s="34"/>
      <c r="I1347" s="34"/>
      <c r="J1347" s="34"/>
      <c r="K1347" s="34"/>
    </row>
    <row r="1348" spans="8:11" x14ac:dyDescent="0.35">
      <c r="H1348" s="34"/>
      <c r="I1348" s="34"/>
      <c r="J1348" s="34"/>
      <c r="K1348" s="34"/>
    </row>
    <row r="1349" spans="8:11" x14ac:dyDescent="0.35">
      <c r="H1349" s="34"/>
      <c r="I1349" s="34"/>
      <c r="J1349" s="34"/>
      <c r="K1349" s="34"/>
    </row>
    <row r="1350" spans="8:11" x14ac:dyDescent="0.35">
      <c r="H1350" s="34"/>
      <c r="I1350" s="34"/>
      <c r="J1350" s="34"/>
      <c r="K1350" s="34"/>
    </row>
    <row r="1351" spans="8:11" x14ac:dyDescent="0.35">
      <c r="H1351" s="34"/>
      <c r="I1351" s="34"/>
      <c r="J1351" s="34"/>
      <c r="K1351" s="34"/>
    </row>
    <row r="1352" spans="8:11" x14ac:dyDescent="0.35">
      <c r="H1352" s="34"/>
      <c r="I1352" s="34"/>
      <c r="J1352" s="34"/>
      <c r="K1352" s="34"/>
    </row>
    <row r="1353" spans="8:11" x14ac:dyDescent="0.35">
      <c r="H1353" s="34"/>
      <c r="I1353" s="34"/>
      <c r="J1353" s="34"/>
      <c r="K1353" s="34"/>
    </row>
    <row r="1354" spans="8:11" x14ac:dyDescent="0.35">
      <c r="H1354" s="34"/>
      <c r="I1354" s="34"/>
      <c r="J1354" s="34"/>
      <c r="K1354" s="34"/>
    </row>
    <row r="1355" spans="8:11" x14ac:dyDescent="0.35">
      <c r="H1355" s="34"/>
      <c r="I1355" s="34"/>
      <c r="J1355" s="34"/>
      <c r="K1355" s="34"/>
    </row>
    <row r="1356" spans="8:11" x14ac:dyDescent="0.35">
      <c r="H1356" s="34"/>
      <c r="I1356" s="34"/>
      <c r="J1356" s="34"/>
      <c r="K1356" s="34"/>
    </row>
    <row r="1357" spans="8:11" x14ac:dyDescent="0.35">
      <c r="H1357" s="34"/>
      <c r="I1357" s="34"/>
      <c r="J1357" s="34"/>
      <c r="K1357" s="34"/>
    </row>
    <row r="1358" spans="8:11" x14ac:dyDescent="0.35">
      <c r="H1358" s="34"/>
      <c r="I1358" s="34"/>
      <c r="J1358" s="34"/>
      <c r="K1358" s="34"/>
    </row>
    <row r="1359" spans="8:11" x14ac:dyDescent="0.35">
      <c r="H1359" s="34"/>
      <c r="I1359" s="34"/>
      <c r="J1359" s="34"/>
      <c r="K1359" s="34"/>
    </row>
    <row r="1360" spans="8:11" x14ac:dyDescent="0.35">
      <c r="H1360" s="34"/>
      <c r="I1360" s="34"/>
      <c r="J1360" s="34"/>
      <c r="K1360" s="34"/>
    </row>
    <row r="1361" spans="8:11" x14ac:dyDescent="0.35">
      <c r="H1361" s="34"/>
      <c r="I1361" s="34"/>
      <c r="J1361" s="34"/>
      <c r="K1361" s="34"/>
    </row>
    <row r="1362" spans="8:11" x14ac:dyDescent="0.35">
      <c r="H1362" s="34"/>
      <c r="I1362" s="34"/>
      <c r="J1362" s="34"/>
      <c r="K1362" s="34"/>
    </row>
    <row r="1363" spans="8:11" x14ac:dyDescent="0.35">
      <c r="H1363" s="34"/>
      <c r="I1363" s="34"/>
      <c r="J1363" s="34"/>
      <c r="K1363" s="34"/>
    </row>
    <row r="1364" spans="8:11" x14ac:dyDescent="0.35">
      <c r="H1364" s="34"/>
      <c r="I1364" s="34"/>
      <c r="J1364" s="34"/>
      <c r="K1364" s="34"/>
    </row>
    <row r="1365" spans="8:11" x14ac:dyDescent="0.35">
      <c r="H1365" s="34"/>
      <c r="I1365" s="34"/>
      <c r="J1365" s="34"/>
      <c r="K1365" s="34"/>
    </row>
    <row r="1366" spans="8:11" x14ac:dyDescent="0.35">
      <c r="H1366" s="34"/>
      <c r="I1366" s="34"/>
      <c r="J1366" s="34"/>
      <c r="K1366" s="34"/>
    </row>
    <row r="1367" spans="8:11" x14ac:dyDescent="0.35">
      <c r="H1367" s="34"/>
      <c r="I1367" s="34"/>
      <c r="J1367" s="34"/>
      <c r="K1367" s="34"/>
    </row>
    <row r="1368" spans="8:11" x14ac:dyDescent="0.35">
      <c r="H1368" s="34"/>
      <c r="I1368" s="34"/>
      <c r="J1368" s="34"/>
      <c r="K1368" s="34"/>
    </row>
    <row r="1369" spans="8:11" x14ac:dyDescent="0.35">
      <c r="H1369" s="34"/>
      <c r="I1369" s="34"/>
      <c r="J1369" s="34"/>
      <c r="K1369" s="34"/>
    </row>
    <row r="1370" spans="8:11" x14ac:dyDescent="0.35">
      <c r="H1370" s="34"/>
      <c r="I1370" s="34"/>
      <c r="J1370" s="34"/>
      <c r="K1370" s="34"/>
    </row>
    <row r="1371" spans="8:11" x14ac:dyDescent="0.35">
      <c r="H1371" s="34"/>
      <c r="I1371" s="34"/>
      <c r="J1371" s="34"/>
      <c r="K1371" s="34"/>
    </row>
    <row r="1372" spans="8:11" x14ac:dyDescent="0.35">
      <c r="H1372" s="34"/>
      <c r="I1372" s="34"/>
      <c r="J1372" s="34"/>
      <c r="K1372" s="34"/>
    </row>
    <row r="1373" spans="8:11" x14ac:dyDescent="0.35">
      <c r="H1373" s="34"/>
      <c r="I1373" s="34"/>
      <c r="J1373" s="34"/>
      <c r="K1373" s="34"/>
    </row>
    <row r="1374" spans="8:11" x14ac:dyDescent="0.35">
      <c r="H1374" s="34"/>
      <c r="I1374" s="34"/>
      <c r="J1374" s="34"/>
      <c r="K1374" s="34"/>
    </row>
    <row r="1375" spans="8:11" x14ac:dyDescent="0.35">
      <c r="H1375" s="34"/>
      <c r="I1375" s="34"/>
      <c r="J1375" s="34"/>
      <c r="K1375" s="34"/>
    </row>
    <row r="1376" spans="8:11" x14ac:dyDescent="0.35">
      <c r="H1376" s="34"/>
      <c r="I1376" s="34"/>
      <c r="J1376" s="34"/>
      <c r="K1376" s="34"/>
    </row>
    <row r="1377" spans="8:11" x14ac:dyDescent="0.35">
      <c r="H1377" s="34"/>
      <c r="I1377" s="34"/>
      <c r="J1377" s="34"/>
      <c r="K1377" s="34"/>
    </row>
    <row r="1378" spans="8:11" x14ac:dyDescent="0.35">
      <c r="H1378" s="34"/>
      <c r="I1378" s="34"/>
      <c r="J1378" s="34"/>
      <c r="K1378" s="34"/>
    </row>
    <row r="1379" spans="8:11" x14ac:dyDescent="0.35">
      <c r="H1379" s="34"/>
      <c r="I1379" s="34"/>
      <c r="J1379" s="34"/>
      <c r="K1379" s="34"/>
    </row>
    <row r="1380" spans="8:11" x14ac:dyDescent="0.35">
      <c r="H1380" s="34"/>
      <c r="I1380" s="34"/>
      <c r="J1380" s="34"/>
      <c r="K1380" s="34"/>
    </row>
    <row r="1381" spans="8:11" x14ac:dyDescent="0.35">
      <c r="H1381" s="34"/>
      <c r="I1381" s="34"/>
      <c r="J1381" s="34"/>
      <c r="K1381" s="34"/>
    </row>
    <row r="1382" spans="8:11" x14ac:dyDescent="0.35">
      <c r="H1382" s="34"/>
      <c r="I1382" s="34"/>
      <c r="J1382" s="34"/>
      <c r="K1382" s="34"/>
    </row>
    <row r="1383" spans="8:11" x14ac:dyDescent="0.35">
      <c r="H1383" s="34"/>
      <c r="I1383" s="34"/>
      <c r="J1383" s="34"/>
      <c r="K1383" s="34"/>
    </row>
    <row r="1384" spans="8:11" x14ac:dyDescent="0.35">
      <c r="H1384" s="34"/>
      <c r="I1384" s="34"/>
      <c r="J1384" s="34"/>
      <c r="K1384" s="34"/>
    </row>
    <row r="1385" spans="8:11" x14ac:dyDescent="0.35">
      <c r="H1385" s="34"/>
      <c r="I1385" s="34"/>
      <c r="J1385" s="34"/>
      <c r="K1385" s="34"/>
    </row>
    <row r="1386" spans="8:11" x14ac:dyDescent="0.35">
      <c r="H1386" s="34"/>
      <c r="I1386" s="34"/>
      <c r="J1386" s="34"/>
      <c r="K1386" s="34"/>
    </row>
    <row r="1387" spans="8:11" x14ac:dyDescent="0.35">
      <c r="H1387" s="34"/>
      <c r="I1387" s="34"/>
      <c r="J1387" s="34"/>
      <c r="K1387" s="34"/>
    </row>
    <row r="1388" spans="8:11" x14ac:dyDescent="0.35">
      <c r="H1388" s="34"/>
      <c r="I1388" s="34"/>
      <c r="J1388" s="34"/>
      <c r="K1388" s="34"/>
    </row>
    <row r="1389" spans="8:11" x14ac:dyDescent="0.35">
      <c r="H1389" s="34"/>
      <c r="I1389" s="34"/>
      <c r="J1389" s="34"/>
      <c r="K1389" s="34"/>
    </row>
    <row r="1390" spans="8:11" x14ac:dyDescent="0.35">
      <c r="H1390" s="34"/>
      <c r="I1390" s="34"/>
      <c r="J1390" s="34"/>
      <c r="K1390" s="34"/>
    </row>
    <row r="1391" spans="8:11" x14ac:dyDescent="0.35">
      <c r="H1391" s="34"/>
      <c r="I1391" s="34"/>
      <c r="J1391" s="34"/>
      <c r="K1391" s="34"/>
    </row>
    <row r="1392" spans="8:11" x14ac:dyDescent="0.35">
      <c r="H1392" s="34"/>
      <c r="I1392" s="34"/>
      <c r="J1392" s="34"/>
      <c r="K1392" s="34"/>
    </row>
    <row r="1393" spans="8:11" x14ac:dyDescent="0.35">
      <c r="H1393" s="34"/>
      <c r="I1393" s="34"/>
      <c r="J1393" s="34"/>
      <c r="K1393" s="34"/>
    </row>
    <row r="1394" spans="8:11" x14ac:dyDescent="0.35">
      <c r="H1394" s="34"/>
      <c r="I1394" s="34"/>
      <c r="J1394" s="34"/>
      <c r="K1394" s="34"/>
    </row>
    <row r="1395" spans="8:11" x14ac:dyDescent="0.35">
      <c r="H1395" s="34"/>
      <c r="I1395" s="34"/>
      <c r="J1395" s="34"/>
      <c r="K1395" s="34"/>
    </row>
    <row r="1396" spans="8:11" x14ac:dyDescent="0.35">
      <c r="H1396" s="34"/>
      <c r="I1396" s="34"/>
      <c r="J1396" s="34"/>
      <c r="K1396" s="34"/>
    </row>
    <row r="1397" spans="8:11" x14ac:dyDescent="0.35">
      <c r="H1397" s="34"/>
      <c r="I1397" s="34"/>
      <c r="J1397" s="34"/>
      <c r="K1397" s="34"/>
    </row>
    <row r="1398" spans="8:11" x14ac:dyDescent="0.35">
      <c r="H1398" s="34"/>
      <c r="I1398" s="34"/>
      <c r="J1398" s="34"/>
      <c r="K1398" s="34"/>
    </row>
    <row r="1399" spans="8:11" x14ac:dyDescent="0.35">
      <c r="H1399" s="34"/>
      <c r="I1399" s="34"/>
      <c r="J1399" s="34"/>
      <c r="K1399" s="34"/>
    </row>
    <row r="1400" spans="8:11" x14ac:dyDescent="0.35">
      <c r="H1400" s="34"/>
      <c r="I1400" s="34"/>
      <c r="J1400" s="34"/>
      <c r="K1400" s="34"/>
    </row>
    <row r="1401" spans="8:11" x14ac:dyDescent="0.35">
      <c r="H1401" s="34"/>
      <c r="I1401" s="34"/>
      <c r="J1401" s="34"/>
      <c r="K1401" s="34"/>
    </row>
    <row r="1402" spans="8:11" x14ac:dyDescent="0.35">
      <c r="H1402" s="34"/>
      <c r="I1402" s="34"/>
      <c r="J1402" s="34"/>
      <c r="K1402" s="34"/>
    </row>
    <row r="1403" spans="8:11" x14ac:dyDescent="0.35">
      <c r="H1403" s="34"/>
      <c r="I1403" s="34"/>
      <c r="J1403" s="34"/>
      <c r="K1403" s="34"/>
    </row>
    <row r="1404" spans="8:11" x14ac:dyDescent="0.35">
      <c r="H1404" s="34"/>
      <c r="I1404" s="34"/>
      <c r="J1404" s="34"/>
      <c r="K1404" s="34"/>
    </row>
    <row r="1405" spans="8:11" x14ac:dyDescent="0.35">
      <c r="H1405" s="34"/>
      <c r="I1405" s="34"/>
      <c r="J1405" s="34"/>
      <c r="K1405" s="34"/>
    </row>
    <row r="1406" spans="8:11" x14ac:dyDescent="0.35">
      <c r="H1406" s="34"/>
      <c r="I1406" s="34"/>
      <c r="J1406" s="34"/>
      <c r="K1406" s="34"/>
    </row>
    <row r="1407" spans="8:11" x14ac:dyDescent="0.35">
      <c r="H1407" s="34"/>
      <c r="I1407" s="34"/>
      <c r="J1407" s="34"/>
      <c r="K1407" s="34"/>
    </row>
    <row r="1408" spans="8:11" x14ac:dyDescent="0.35">
      <c r="H1408" s="34"/>
      <c r="I1408" s="34"/>
      <c r="J1408" s="34"/>
      <c r="K1408" s="34"/>
    </row>
    <row r="1409" spans="8:11" x14ac:dyDescent="0.35">
      <c r="H1409" s="34"/>
      <c r="I1409" s="34"/>
      <c r="J1409" s="34"/>
      <c r="K1409" s="34"/>
    </row>
    <row r="1410" spans="8:11" x14ac:dyDescent="0.35">
      <c r="H1410" s="34"/>
      <c r="I1410" s="34"/>
      <c r="J1410" s="34"/>
      <c r="K1410" s="34"/>
    </row>
    <row r="1411" spans="8:11" x14ac:dyDescent="0.35">
      <c r="H1411" s="34"/>
      <c r="I1411" s="34"/>
      <c r="J1411" s="34"/>
      <c r="K1411" s="34"/>
    </row>
    <row r="1412" spans="8:11" x14ac:dyDescent="0.35">
      <c r="H1412" s="34"/>
      <c r="I1412" s="34"/>
      <c r="J1412" s="34"/>
      <c r="K1412" s="34"/>
    </row>
    <row r="1413" spans="8:11" x14ac:dyDescent="0.35">
      <c r="H1413" s="34"/>
      <c r="I1413" s="34"/>
      <c r="J1413" s="34"/>
      <c r="K1413" s="34"/>
    </row>
    <row r="1414" spans="8:11" x14ac:dyDescent="0.35">
      <c r="H1414" s="34"/>
      <c r="I1414" s="34"/>
      <c r="J1414" s="34"/>
      <c r="K1414" s="34"/>
    </row>
    <row r="1415" spans="8:11" x14ac:dyDescent="0.35">
      <c r="H1415" s="34"/>
      <c r="I1415" s="34"/>
      <c r="J1415" s="34"/>
      <c r="K1415" s="34"/>
    </row>
    <row r="1416" spans="8:11" x14ac:dyDescent="0.35">
      <c r="H1416" s="34"/>
      <c r="I1416" s="34"/>
      <c r="J1416" s="34"/>
      <c r="K1416" s="34"/>
    </row>
    <row r="1417" spans="8:11" x14ac:dyDescent="0.35">
      <c r="H1417" s="34"/>
      <c r="I1417" s="34"/>
      <c r="J1417" s="34"/>
      <c r="K1417" s="34"/>
    </row>
    <row r="1418" spans="8:11" x14ac:dyDescent="0.35">
      <c r="H1418" s="34"/>
      <c r="I1418" s="34"/>
      <c r="J1418" s="34"/>
      <c r="K1418" s="34"/>
    </row>
    <row r="1419" spans="8:11" x14ac:dyDescent="0.35">
      <c r="H1419" s="34"/>
      <c r="I1419" s="34"/>
      <c r="J1419" s="34"/>
      <c r="K1419" s="34"/>
    </row>
    <row r="1420" spans="8:11" x14ac:dyDescent="0.35">
      <c r="H1420" s="34"/>
      <c r="I1420" s="34"/>
      <c r="J1420" s="34"/>
      <c r="K1420" s="34"/>
    </row>
    <row r="1421" spans="8:11" x14ac:dyDescent="0.35">
      <c r="H1421" s="34"/>
      <c r="I1421" s="34"/>
      <c r="J1421" s="34"/>
      <c r="K1421" s="34"/>
    </row>
    <row r="1422" spans="8:11" x14ac:dyDescent="0.35">
      <c r="H1422" s="34"/>
      <c r="I1422" s="34"/>
      <c r="J1422" s="34"/>
      <c r="K1422" s="34"/>
    </row>
    <row r="1423" spans="8:11" x14ac:dyDescent="0.35">
      <c r="H1423" s="34"/>
      <c r="I1423" s="34"/>
      <c r="J1423" s="34"/>
      <c r="K1423" s="34"/>
    </row>
    <row r="1424" spans="8:11" x14ac:dyDescent="0.35">
      <c r="H1424" s="34"/>
      <c r="I1424" s="34"/>
      <c r="J1424" s="34"/>
      <c r="K1424" s="34"/>
    </row>
    <row r="1425" spans="8:11" x14ac:dyDescent="0.35">
      <c r="H1425" s="34"/>
      <c r="I1425" s="34"/>
      <c r="J1425" s="34"/>
      <c r="K1425" s="34"/>
    </row>
    <row r="1426" spans="8:11" x14ac:dyDescent="0.35">
      <c r="H1426" s="34"/>
      <c r="I1426" s="34"/>
      <c r="J1426" s="34"/>
      <c r="K1426" s="34"/>
    </row>
    <row r="1427" spans="8:11" x14ac:dyDescent="0.35">
      <c r="H1427" s="34"/>
      <c r="I1427" s="34"/>
      <c r="J1427" s="34"/>
      <c r="K1427" s="34"/>
    </row>
    <row r="1428" spans="8:11" x14ac:dyDescent="0.35">
      <c r="H1428" s="34"/>
      <c r="I1428" s="34"/>
      <c r="J1428" s="34"/>
      <c r="K1428" s="34"/>
    </row>
    <row r="1429" spans="8:11" x14ac:dyDescent="0.35">
      <c r="H1429" s="34"/>
      <c r="I1429" s="34"/>
      <c r="J1429" s="34"/>
      <c r="K1429" s="34"/>
    </row>
    <row r="1430" spans="8:11" x14ac:dyDescent="0.35">
      <c r="H1430" s="34"/>
      <c r="I1430" s="34"/>
      <c r="J1430" s="34"/>
      <c r="K1430" s="34"/>
    </row>
    <row r="1431" spans="8:11" x14ac:dyDescent="0.35">
      <c r="H1431" s="34"/>
      <c r="I1431" s="34"/>
      <c r="J1431" s="34"/>
      <c r="K1431" s="34"/>
    </row>
    <row r="1432" spans="8:11" x14ac:dyDescent="0.35">
      <c r="H1432" s="34"/>
      <c r="I1432" s="34"/>
      <c r="J1432" s="34"/>
      <c r="K1432" s="34"/>
    </row>
    <row r="1433" spans="8:11" x14ac:dyDescent="0.35">
      <c r="H1433" s="34"/>
      <c r="I1433" s="34"/>
      <c r="J1433" s="34"/>
      <c r="K1433" s="34"/>
    </row>
    <row r="1434" spans="8:11" x14ac:dyDescent="0.35">
      <c r="H1434" s="34"/>
      <c r="I1434" s="34"/>
      <c r="J1434" s="34"/>
      <c r="K1434" s="34"/>
    </row>
    <row r="1435" spans="8:11" x14ac:dyDescent="0.35">
      <c r="H1435" s="34"/>
      <c r="I1435" s="34"/>
      <c r="J1435" s="34"/>
      <c r="K1435" s="34"/>
    </row>
    <row r="1436" spans="8:11" x14ac:dyDescent="0.35">
      <c r="H1436" s="34"/>
      <c r="I1436" s="34"/>
      <c r="J1436" s="34"/>
      <c r="K1436" s="34"/>
    </row>
    <row r="1437" spans="8:11" x14ac:dyDescent="0.35">
      <c r="H1437" s="34"/>
      <c r="I1437" s="34"/>
      <c r="J1437" s="34"/>
      <c r="K1437" s="34"/>
    </row>
    <row r="1438" spans="8:11" x14ac:dyDescent="0.35">
      <c r="H1438" s="34"/>
      <c r="I1438" s="34"/>
      <c r="J1438" s="34"/>
      <c r="K1438" s="34"/>
    </row>
    <row r="1439" spans="8:11" x14ac:dyDescent="0.35">
      <c r="H1439" s="34"/>
      <c r="I1439" s="34"/>
      <c r="J1439" s="34"/>
      <c r="K1439" s="34"/>
    </row>
    <row r="1440" spans="8:11" x14ac:dyDescent="0.35">
      <c r="H1440" s="34"/>
      <c r="I1440" s="34"/>
      <c r="J1440" s="34"/>
      <c r="K1440" s="34"/>
    </row>
    <row r="1441" spans="8:11" x14ac:dyDescent="0.35">
      <c r="H1441" s="34"/>
      <c r="I1441" s="34"/>
      <c r="J1441" s="34"/>
      <c r="K1441" s="34"/>
    </row>
    <row r="1442" spans="8:11" x14ac:dyDescent="0.35">
      <c r="H1442" s="34"/>
      <c r="I1442" s="34"/>
      <c r="J1442" s="34"/>
      <c r="K1442" s="34"/>
    </row>
    <row r="1443" spans="8:11" x14ac:dyDescent="0.35">
      <c r="H1443" s="34"/>
      <c r="I1443" s="34"/>
      <c r="J1443" s="34"/>
      <c r="K1443" s="34"/>
    </row>
    <row r="1444" spans="8:11" x14ac:dyDescent="0.35">
      <c r="H1444" s="34"/>
      <c r="I1444" s="34"/>
      <c r="J1444" s="34"/>
      <c r="K1444" s="34"/>
    </row>
    <row r="1445" spans="8:11" x14ac:dyDescent="0.35">
      <c r="H1445" s="34"/>
      <c r="I1445" s="34"/>
      <c r="J1445" s="34"/>
      <c r="K1445" s="34"/>
    </row>
    <row r="1446" spans="8:11" x14ac:dyDescent="0.35">
      <c r="H1446" s="34"/>
      <c r="I1446" s="34"/>
      <c r="J1446" s="34"/>
      <c r="K1446" s="34"/>
    </row>
    <row r="1447" spans="8:11" x14ac:dyDescent="0.35">
      <c r="H1447" s="34"/>
      <c r="I1447" s="34"/>
      <c r="J1447" s="34"/>
      <c r="K1447" s="34"/>
    </row>
    <row r="1448" spans="8:11" x14ac:dyDescent="0.35">
      <c r="H1448" s="34"/>
      <c r="I1448" s="34"/>
      <c r="J1448" s="34"/>
      <c r="K1448" s="34"/>
    </row>
    <row r="1449" spans="8:11" x14ac:dyDescent="0.35">
      <c r="H1449" s="34"/>
      <c r="I1449" s="34"/>
      <c r="J1449" s="34"/>
      <c r="K1449" s="34"/>
    </row>
    <row r="1450" spans="8:11" x14ac:dyDescent="0.35">
      <c r="H1450" s="34"/>
      <c r="I1450" s="34"/>
      <c r="J1450" s="34"/>
      <c r="K1450" s="34"/>
    </row>
    <row r="1451" spans="8:11" x14ac:dyDescent="0.35">
      <c r="H1451" s="34"/>
      <c r="I1451" s="34"/>
      <c r="J1451" s="34"/>
      <c r="K1451" s="34"/>
    </row>
    <row r="1452" spans="8:11" x14ac:dyDescent="0.35">
      <c r="H1452" s="34"/>
      <c r="I1452" s="34"/>
      <c r="J1452" s="34"/>
      <c r="K1452" s="34"/>
    </row>
    <row r="1453" spans="8:11" x14ac:dyDescent="0.35">
      <c r="H1453" s="34"/>
      <c r="I1453" s="34"/>
      <c r="J1453" s="34"/>
      <c r="K1453" s="34"/>
    </row>
    <row r="1454" spans="8:11" x14ac:dyDescent="0.35">
      <c r="H1454" s="34"/>
      <c r="I1454" s="34"/>
      <c r="J1454" s="34"/>
      <c r="K1454" s="34"/>
    </row>
    <row r="1455" spans="8:11" x14ac:dyDescent="0.35">
      <c r="H1455" s="34"/>
      <c r="I1455" s="34"/>
      <c r="J1455" s="34"/>
      <c r="K1455" s="34"/>
    </row>
    <row r="1456" spans="8:11" x14ac:dyDescent="0.35">
      <c r="H1456" s="34"/>
      <c r="I1456" s="34"/>
      <c r="J1456" s="34"/>
      <c r="K1456" s="34"/>
    </row>
    <row r="1457" spans="8:11" x14ac:dyDescent="0.35">
      <c r="H1457" s="34"/>
      <c r="I1457" s="34"/>
      <c r="J1457" s="34"/>
      <c r="K1457" s="34"/>
    </row>
    <row r="1458" spans="8:11" x14ac:dyDescent="0.35">
      <c r="H1458" s="34"/>
      <c r="I1458" s="34"/>
      <c r="J1458" s="34"/>
      <c r="K1458" s="34"/>
    </row>
    <row r="1459" spans="8:11" x14ac:dyDescent="0.35">
      <c r="H1459" s="34"/>
      <c r="I1459" s="34"/>
      <c r="J1459" s="34"/>
      <c r="K1459" s="34"/>
    </row>
    <row r="1460" spans="8:11" x14ac:dyDescent="0.35">
      <c r="H1460" s="34"/>
      <c r="I1460" s="34"/>
      <c r="J1460" s="34"/>
      <c r="K1460" s="34"/>
    </row>
    <row r="1461" spans="8:11" x14ac:dyDescent="0.35">
      <c r="H1461" s="34"/>
      <c r="I1461" s="34"/>
      <c r="J1461" s="34"/>
      <c r="K1461" s="34"/>
    </row>
    <row r="1462" spans="8:11" x14ac:dyDescent="0.35">
      <c r="H1462" s="34"/>
      <c r="I1462" s="34"/>
      <c r="J1462" s="34"/>
      <c r="K1462" s="34"/>
    </row>
    <row r="1463" spans="8:11" x14ac:dyDescent="0.35">
      <c r="H1463" s="34"/>
      <c r="I1463" s="34"/>
      <c r="J1463" s="34"/>
      <c r="K1463" s="34"/>
    </row>
    <row r="1464" spans="8:11" x14ac:dyDescent="0.35">
      <c r="H1464" s="34"/>
      <c r="I1464" s="34"/>
      <c r="J1464" s="34"/>
      <c r="K1464" s="34"/>
    </row>
    <row r="1465" spans="8:11" x14ac:dyDescent="0.35">
      <c r="H1465" s="34"/>
      <c r="I1465" s="34"/>
      <c r="J1465" s="34"/>
      <c r="K1465" s="34"/>
    </row>
    <row r="1466" spans="8:11" x14ac:dyDescent="0.35">
      <c r="H1466" s="34"/>
      <c r="I1466" s="34"/>
      <c r="J1466" s="34"/>
      <c r="K1466" s="34"/>
    </row>
    <row r="1467" spans="8:11" x14ac:dyDescent="0.35">
      <c r="H1467" s="34"/>
      <c r="I1467" s="34"/>
      <c r="J1467" s="34"/>
      <c r="K1467" s="34"/>
    </row>
    <row r="1468" spans="8:11" x14ac:dyDescent="0.35">
      <c r="H1468" s="34"/>
      <c r="I1468" s="34"/>
      <c r="J1468" s="34"/>
      <c r="K1468" s="34"/>
    </row>
    <row r="1469" spans="8:11" x14ac:dyDescent="0.35">
      <c r="H1469" s="34"/>
      <c r="I1469" s="34"/>
      <c r="J1469" s="34"/>
      <c r="K1469" s="34"/>
    </row>
    <row r="1470" spans="8:11" x14ac:dyDescent="0.35">
      <c r="H1470" s="34"/>
      <c r="I1470" s="34"/>
      <c r="J1470" s="34"/>
      <c r="K1470" s="34"/>
    </row>
    <row r="1471" spans="8:11" x14ac:dyDescent="0.35">
      <c r="H1471" s="34"/>
      <c r="I1471" s="34"/>
      <c r="J1471" s="34"/>
      <c r="K1471" s="34"/>
    </row>
    <row r="1472" spans="8:11" x14ac:dyDescent="0.35">
      <c r="H1472" s="34"/>
      <c r="I1472" s="34"/>
      <c r="J1472" s="34"/>
      <c r="K1472" s="34"/>
    </row>
    <row r="1473" spans="8:11" x14ac:dyDescent="0.35">
      <c r="H1473" s="34"/>
      <c r="I1473" s="34"/>
      <c r="J1473" s="34"/>
      <c r="K1473" s="34"/>
    </row>
    <row r="1474" spans="8:11" x14ac:dyDescent="0.35">
      <c r="H1474" s="34"/>
      <c r="I1474" s="34"/>
      <c r="J1474" s="34"/>
      <c r="K1474" s="34"/>
    </row>
    <row r="1475" spans="8:11" x14ac:dyDescent="0.35">
      <c r="H1475" s="34"/>
      <c r="I1475" s="34"/>
      <c r="J1475" s="34"/>
      <c r="K1475" s="34"/>
    </row>
    <row r="1476" spans="8:11" x14ac:dyDescent="0.35">
      <c r="H1476" s="34"/>
      <c r="I1476" s="34"/>
      <c r="J1476" s="34"/>
      <c r="K1476" s="34"/>
    </row>
    <row r="1477" spans="8:11" x14ac:dyDescent="0.35">
      <c r="H1477" s="34"/>
      <c r="I1477" s="34"/>
      <c r="J1477" s="34"/>
      <c r="K1477" s="34"/>
    </row>
    <row r="1478" spans="8:11" x14ac:dyDescent="0.35">
      <c r="H1478" s="34"/>
      <c r="I1478" s="34"/>
      <c r="J1478" s="34"/>
      <c r="K1478" s="34"/>
    </row>
    <row r="1479" spans="8:11" x14ac:dyDescent="0.35">
      <c r="H1479" s="34"/>
      <c r="I1479" s="34"/>
      <c r="J1479" s="34"/>
      <c r="K1479" s="34"/>
    </row>
    <row r="1480" spans="8:11" x14ac:dyDescent="0.35">
      <c r="H1480" s="34"/>
      <c r="I1480" s="34"/>
      <c r="J1480" s="34"/>
      <c r="K1480" s="34"/>
    </row>
    <row r="1481" spans="8:11" x14ac:dyDescent="0.35">
      <c r="H1481" s="34"/>
      <c r="I1481" s="34"/>
      <c r="J1481" s="34"/>
      <c r="K1481" s="34"/>
    </row>
    <row r="1482" spans="8:11" x14ac:dyDescent="0.35">
      <c r="H1482" s="34"/>
      <c r="I1482" s="34"/>
      <c r="J1482" s="34"/>
      <c r="K1482" s="34"/>
    </row>
    <row r="1483" spans="8:11" x14ac:dyDescent="0.35">
      <c r="H1483" s="34"/>
      <c r="I1483" s="34"/>
      <c r="J1483" s="34"/>
      <c r="K1483" s="34"/>
    </row>
    <row r="1484" spans="8:11" x14ac:dyDescent="0.35">
      <c r="H1484" s="34"/>
      <c r="I1484" s="34"/>
      <c r="J1484" s="34"/>
      <c r="K1484" s="34"/>
    </row>
    <row r="1485" spans="8:11" x14ac:dyDescent="0.35">
      <c r="H1485" s="34"/>
      <c r="I1485" s="34"/>
      <c r="J1485" s="34"/>
      <c r="K1485" s="34"/>
    </row>
    <row r="1486" spans="8:11" x14ac:dyDescent="0.35">
      <c r="H1486" s="34"/>
      <c r="I1486" s="34"/>
      <c r="J1486" s="34"/>
      <c r="K1486" s="34"/>
    </row>
    <row r="1487" spans="8:11" x14ac:dyDescent="0.35">
      <c r="H1487" s="34"/>
      <c r="I1487" s="34"/>
      <c r="J1487" s="34"/>
      <c r="K1487" s="34"/>
    </row>
    <row r="1488" spans="8:11" x14ac:dyDescent="0.35">
      <c r="H1488" s="34"/>
      <c r="I1488" s="34"/>
      <c r="J1488" s="34"/>
      <c r="K1488" s="34"/>
    </row>
    <row r="1489" spans="8:11" x14ac:dyDescent="0.35">
      <c r="H1489" s="34"/>
      <c r="I1489" s="34"/>
      <c r="J1489" s="34"/>
      <c r="K1489" s="34"/>
    </row>
    <row r="1490" spans="8:11" x14ac:dyDescent="0.35">
      <c r="H1490" s="34"/>
      <c r="I1490" s="34"/>
      <c r="J1490" s="34"/>
      <c r="K1490" s="34"/>
    </row>
    <row r="1491" spans="8:11" x14ac:dyDescent="0.35">
      <c r="H1491" s="34"/>
      <c r="I1491" s="34"/>
      <c r="J1491" s="34"/>
      <c r="K1491" s="34"/>
    </row>
    <row r="1492" spans="8:11" x14ac:dyDescent="0.35">
      <c r="H1492" s="34"/>
      <c r="I1492" s="34"/>
      <c r="J1492" s="34"/>
      <c r="K1492" s="34"/>
    </row>
    <row r="1493" spans="8:11" x14ac:dyDescent="0.35">
      <c r="H1493" s="34"/>
      <c r="I1493" s="34"/>
      <c r="J1493" s="34"/>
      <c r="K1493" s="34"/>
    </row>
    <row r="1494" spans="8:11" x14ac:dyDescent="0.35">
      <c r="H1494" s="34"/>
      <c r="I1494" s="34"/>
      <c r="J1494" s="34"/>
      <c r="K1494" s="34"/>
    </row>
    <row r="1495" spans="8:11" x14ac:dyDescent="0.35">
      <c r="H1495" s="34"/>
      <c r="I1495" s="34"/>
      <c r="J1495" s="34"/>
      <c r="K1495" s="34"/>
    </row>
    <row r="1496" spans="8:11" x14ac:dyDescent="0.35">
      <c r="H1496" s="34"/>
      <c r="I1496" s="34"/>
      <c r="J1496" s="34"/>
      <c r="K1496" s="34"/>
    </row>
    <row r="1497" spans="8:11" x14ac:dyDescent="0.35">
      <c r="H1497" s="34"/>
      <c r="I1497" s="34"/>
      <c r="J1497" s="34"/>
      <c r="K1497" s="34"/>
    </row>
    <row r="1498" spans="8:11" x14ac:dyDescent="0.35">
      <c r="H1498" s="34"/>
      <c r="I1498" s="34"/>
      <c r="J1498" s="34"/>
      <c r="K1498" s="34"/>
    </row>
    <row r="1499" spans="8:11" x14ac:dyDescent="0.35">
      <c r="H1499" s="34"/>
      <c r="I1499" s="34"/>
      <c r="J1499" s="34"/>
      <c r="K1499" s="34"/>
    </row>
    <row r="1500" spans="8:11" x14ac:dyDescent="0.35">
      <c r="H1500" s="34"/>
      <c r="I1500" s="34"/>
      <c r="J1500" s="34"/>
      <c r="K1500" s="34"/>
    </row>
    <row r="1501" spans="8:11" x14ac:dyDescent="0.35">
      <c r="H1501" s="34"/>
      <c r="I1501" s="34"/>
      <c r="J1501" s="34"/>
      <c r="K1501" s="34"/>
    </row>
    <row r="1502" spans="8:11" x14ac:dyDescent="0.35">
      <c r="H1502" s="34"/>
      <c r="I1502" s="34"/>
      <c r="J1502" s="34"/>
      <c r="K1502" s="34"/>
    </row>
    <row r="1503" spans="8:11" x14ac:dyDescent="0.35">
      <c r="H1503" s="34"/>
      <c r="I1503" s="34"/>
      <c r="J1503" s="34"/>
      <c r="K1503" s="34"/>
    </row>
    <row r="1504" spans="8:11" x14ac:dyDescent="0.35">
      <c r="H1504" s="34"/>
      <c r="I1504" s="34"/>
      <c r="J1504" s="34"/>
      <c r="K1504" s="34"/>
    </row>
    <row r="1505" spans="8:11" x14ac:dyDescent="0.35">
      <c r="H1505" s="34"/>
      <c r="I1505" s="34"/>
      <c r="J1505" s="34"/>
      <c r="K1505" s="34"/>
    </row>
    <row r="1506" spans="8:11" x14ac:dyDescent="0.35">
      <c r="H1506" s="34"/>
      <c r="I1506" s="34"/>
      <c r="J1506" s="34"/>
      <c r="K1506" s="34"/>
    </row>
    <row r="1507" spans="8:11" x14ac:dyDescent="0.35">
      <c r="H1507" s="34"/>
      <c r="I1507" s="34"/>
      <c r="J1507" s="34"/>
      <c r="K1507" s="34"/>
    </row>
    <row r="1508" spans="8:11" x14ac:dyDescent="0.35">
      <c r="H1508" s="34"/>
      <c r="I1508" s="34"/>
      <c r="J1508" s="34"/>
      <c r="K1508" s="34"/>
    </row>
    <row r="1509" spans="8:11" x14ac:dyDescent="0.35">
      <c r="H1509" s="34"/>
      <c r="I1509" s="34"/>
      <c r="J1509" s="34"/>
      <c r="K1509" s="34"/>
    </row>
    <row r="1510" spans="8:11" x14ac:dyDescent="0.35">
      <c r="H1510" s="34"/>
      <c r="I1510" s="34"/>
      <c r="J1510" s="34"/>
      <c r="K1510" s="34"/>
    </row>
    <row r="1511" spans="8:11" x14ac:dyDescent="0.35">
      <c r="H1511" s="34"/>
      <c r="I1511" s="34"/>
      <c r="J1511" s="34"/>
      <c r="K1511" s="34"/>
    </row>
    <row r="1512" spans="8:11" x14ac:dyDescent="0.35">
      <c r="H1512" s="34"/>
      <c r="I1512" s="34"/>
      <c r="J1512" s="34"/>
      <c r="K1512" s="34"/>
    </row>
    <row r="1513" spans="8:11" x14ac:dyDescent="0.35">
      <c r="H1513" s="34"/>
      <c r="I1513" s="34"/>
      <c r="J1513" s="34"/>
      <c r="K1513" s="34"/>
    </row>
    <row r="1514" spans="8:11" x14ac:dyDescent="0.35">
      <c r="H1514" s="34"/>
      <c r="I1514" s="34"/>
      <c r="J1514" s="34"/>
      <c r="K1514" s="34"/>
    </row>
    <row r="1515" spans="8:11" x14ac:dyDescent="0.35">
      <c r="H1515" s="34"/>
      <c r="I1515" s="34"/>
      <c r="J1515" s="34"/>
      <c r="K1515" s="34"/>
    </row>
    <row r="1516" spans="8:11" x14ac:dyDescent="0.35">
      <c r="H1516" s="34"/>
      <c r="I1516" s="34"/>
      <c r="J1516" s="34"/>
      <c r="K1516" s="34"/>
    </row>
    <row r="1517" spans="8:11" x14ac:dyDescent="0.35">
      <c r="H1517" s="34"/>
      <c r="I1517" s="34"/>
      <c r="J1517" s="34"/>
      <c r="K1517" s="34"/>
    </row>
    <row r="1518" spans="8:11" x14ac:dyDescent="0.35">
      <c r="H1518" s="34"/>
      <c r="I1518" s="34"/>
      <c r="J1518" s="34"/>
      <c r="K1518" s="34"/>
    </row>
    <row r="1519" spans="8:11" x14ac:dyDescent="0.35">
      <c r="H1519" s="34"/>
      <c r="I1519" s="34"/>
      <c r="J1519" s="34"/>
      <c r="K1519" s="34"/>
    </row>
    <row r="1520" spans="8:11" x14ac:dyDescent="0.35">
      <c r="H1520" s="34"/>
      <c r="I1520" s="34"/>
      <c r="J1520" s="34"/>
      <c r="K1520" s="34"/>
    </row>
    <row r="1521" spans="8:11" x14ac:dyDescent="0.35">
      <c r="H1521" s="34"/>
      <c r="I1521" s="34"/>
      <c r="J1521" s="34"/>
      <c r="K1521" s="34"/>
    </row>
    <row r="1522" spans="8:11" x14ac:dyDescent="0.35">
      <c r="H1522" s="34"/>
      <c r="I1522" s="34"/>
      <c r="J1522" s="34"/>
      <c r="K1522" s="34"/>
    </row>
    <row r="1523" spans="8:11" x14ac:dyDescent="0.35">
      <c r="H1523" s="34"/>
      <c r="I1523" s="34"/>
      <c r="J1523" s="34"/>
      <c r="K1523" s="34"/>
    </row>
    <row r="1524" spans="8:11" x14ac:dyDescent="0.35">
      <c r="H1524" s="34"/>
      <c r="I1524" s="34"/>
      <c r="J1524" s="34"/>
      <c r="K1524" s="34"/>
    </row>
    <row r="1525" spans="8:11" x14ac:dyDescent="0.35">
      <c r="H1525" s="34"/>
      <c r="I1525" s="34"/>
      <c r="J1525" s="34"/>
      <c r="K1525" s="34"/>
    </row>
    <row r="1526" spans="8:11" x14ac:dyDescent="0.35">
      <c r="H1526" s="34"/>
      <c r="I1526" s="34"/>
      <c r="J1526" s="34"/>
      <c r="K1526" s="34"/>
    </row>
    <row r="1527" spans="8:11" x14ac:dyDescent="0.35">
      <c r="H1527" s="34"/>
      <c r="I1527" s="34"/>
      <c r="J1527" s="34"/>
      <c r="K1527" s="34"/>
    </row>
    <row r="1528" spans="8:11" x14ac:dyDescent="0.35">
      <c r="H1528" s="34"/>
      <c r="I1528" s="34"/>
      <c r="J1528" s="34"/>
      <c r="K1528" s="34"/>
    </row>
    <row r="1529" spans="8:11" x14ac:dyDescent="0.35">
      <c r="H1529" s="34"/>
      <c r="I1529" s="34"/>
      <c r="J1529" s="34"/>
      <c r="K1529" s="34"/>
    </row>
    <row r="1530" spans="8:11" x14ac:dyDescent="0.35">
      <c r="H1530" s="34"/>
      <c r="I1530" s="34"/>
      <c r="J1530" s="34"/>
      <c r="K1530" s="34"/>
    </row>
    <row r="1531" spans="8:11" x14ac:dyDescent="0.35">
      <c r="H1531" s="34"/>
      <c r="I1531" s="34"/>
      <c r="J1531" s="34"/>
      <c r="K1531" s="34"/>
    </row>
    <row r="1532" spans="8:11" x14ac:dyDescent="0.35">
      <c r="H1532" s="34"/>
      <c r="I1532" s="34"/>
      <c r="J1532" s="34"/>
      <c r="K1532" s="34"/>
    </row>
    <row r="1533" spans="8:11" x14ac:dyDescent="0.35">
      <c r="H1533" s="34"/>
      <c r="I1533" s="34"/>
      <c r="J1533" s="34"/>
      <c r="K1533" s="34"/>
    </row>
    <row r="1534" spans="8:11" x14ac:dyDescent="0.35">
      <c r="H1534" s="34"/>
      <c r="I1534" s="34"/>
      <c r="J1534" s="34"/>
      <c r="K1534" s="34"/>
    </row>
    <row r="1535" spans="8:11" x14ac:dyDescent="0.35">
      <c r="H1535" s="34"/>
      <c r="I1535" s="34"/>
      <c r="J1535" s="34"/>
      <c r="K1535" s="34"/>
    </row>
    <row r="1536" spans="8:11" x14ac:dyDescent="0.35">
      <c r="H1536" s="34"/>
      <c r="I1536" s="34"/>
      <c r="J1536" s="34"/>
      <c r="K1536" s="34"/>
    </row>
    <row r="1537" spans="8:11" x14ac:dyDescent="0.35">
      <c r="H1537" s="34"/>
      <c r="I1537" s="34"/>
      <c r="J1537" s="34"/>
      <c r="K1537" s="34"/>
    </row>
    <row r="1538" spans="8:11" x14ac:dyDescent="0.35">
      <c r="H1538" s="34"/>
      <c r="I1538" s="34"/>
      <c r="J1538" s="34"/>
      <c r="K1538" s="34"/>
    </row>
    <row r="1539" spans="8:11" x14ac:dyDescent="0.35">
      <c r="H1539" s="34"/>
      <c r="I1539" s="34"/>
      <c r="J1539" s="34"/>
      <c r="K1539" s="34"/>
    </row>
    <row r="1540" spans="8:11" x14ac:dyDescent="0.35">
      <c r="H1540" s="34"/>
      <c r="I1540" s="34"/>
      <c r="J1540" s="34"/>
      <c r="K1540" s="34"/>
    </row>
    <row r="1541" spans="8:11" x14ac:dyDescent="0.35">
      <c r="H1541" s="34"/>
      <c r="I1541" s="34"/>
      <c r="J1541" s="34"/>
      <c r="K1541" s="34"/>
    </row>
    <row r="1542" spans="8:11" x14ac:dyDescent="0.35">
      <c r="H1542" s="34"/>
      <c r="I1542" s="34"/>
      <c r="J1542" s="34"/>
      <c r="K1542" s="34"/>
    </row>
    <row r="1543" spans="8:11" x14ac:dyDescent="0.35">
      <c r="H1543" s="34"/>
      <c r="I1543" s="34"/>
      <c r="J1543" s="34"/>
      <c r="K1543" s="34"/>
    </row>
    <row r="1544" spans="8:11" x14ac:dyDescent="0.35">
      <c r="H1544" s="34"/>
      <c r="I1544" s="34"/>
      <c r="J1544" s="34"/>
      <c r="K1544" s="34"/>
    </row>
    <row r="1545" spans="8:11" x14ac:dyDescent="0.35">
      <c r="H1545" s="34"/>
      <c r="I1545" s="34"/>
      <c r="J1545" s="34"/>
      <c r="K1545" s="34"/>
    </row>
    <row r="1546" spans="8:11" x14ac:dyDescent="0.35">
      <c r="H1546" s="34"/>
      <c r="I1546" s="34"/>
      <c r="J1546" s="34"/>
      <c r="K1546" s="34"/>
    </row>
    <row r="1547" spans="8:11" x14ac:dyDescent="0.35">
      <c r="H1547" s="34"/>
      <c r="I1547" s="34"/>
      <c r="J1547" s="34"/>
      <c r="K1547" s="34"/>
    </row>
    <row r="1548" spans="8:11" x14ac:dyDescent="0.35">
      <c r="H1548" s="34"/>
      <c r="I1548" s="34"/>
      <c r="J1548" s="34"/>
      <c r="K1548" s="34"/>
    </row>
    <row r="1549" spans="8:11" x14ac:dyDescent="0.35">
      <c r="H1549" s="34"/>
      <c r="I1549" s="34"/>
      <c r="J1549" s="34"/>
      <c r="K1549" s="34"/>
    </row>
    <row r="1550" spans="8:11" x14ac:dyDescent="0.35">
      <c r="H1550" s="34"/>
      <c r="I1550" s="34"/>
      <c r="J1550" s="34"/>
      <c r="K1550" s="34"/>
    </row>
    <row r="1551" spans="8:11" x14ac:dyDescent="0.35">
      <c r="H1551" s="34"/>
      <c r="I1551" s="34"/>
      <c r="J1551" s="34"/>
      <c r="K1551" s="34"/>
    </row>
    <row r="1552" spans="8:11" x14ac:dyDescent="0.35">
      <c r="H1552" s="34"/>
      <c r="I1552" s="34"/>
      <c r="J1552" s="34"/>
      <c r="K1552" s="34"/>
    </row>
    <row r="1553" spans="8:11" x14ac:dyDescent="0.35">
      <c r="H1553" s="34"/>
      <c r="I1553" s="34"/>
      <c r="J1553" s="34"/>
      <c r="K1553" s="34"/>
    </row>
    <row r="1554" spans="8:11" x14ac:dyDescent="0.35">
      <c r="H1554" s="34"/>
      <c r="I1554" s="34"/>
      <c r="J1554" s="34"/>
      <c r="K1554" s="34"/>
    </row>
    <row r="1555" spans="8:11" x14ac:dyDescent="0.35">
      <c r="H1555" s="34"/>
      <c r="I1555" s="34"/>
      <c r="J1555" s="34"/>
      <c r="K1555" s="34"/>
    </row>
    <row r="1556" spans="8:11" x14ac:dyDescent="0.35">
      <c r="H1556" s="34"/>
      <c r="I1556" s="34"/>
      <c r="J1556" s="34"/>
      <c r="K1556" s="34"/>
    </row>
    <row r="1557" spans="8:11" x14ac:dyDescent="0.35">
      <c r="H1557" s="34"/>
      <c r="I1557" s="34"/>
      <c r="J1557" s="34"/>
      <c r="K1557" s="34"/>
    </row>
    <row r="1558" spans="8:11" x14ac:dyDescent="0.35">
      <c r="H1558" s="34"/>
      <c r="I1558" s="34"/>
      <c r="J1558" s="34"/>
      <c r="K1558" s="34"/>
    </row>
    <row r="1559" spans="8:11" x14ac:dyDescent="0.35">
      <c r="H1559" s="34"/>
      <c r="I1559" s="34"/>
      <c r="J1559" s="34"/>
      <c r="K1559" s="34"/>
    </row>
    <row r="1560" spans="8:11" x14ac:dyDescent="0.35">
      <c r="H1560" s="34"/>
      <c r="I1560" s="34"/>
      <c r="J1560" s="34"/>
      <c r="K1560" s="34"/>
    </row>
    <row r="1561" spans="8:11" x14ac:dyDescent="0.35">
      <c r="H1561" s="34"/>
      <c r="I1561" s="34"/>
      <c r="J1561" s="34"/>
      <c r="K1561" s="34"/>
    </row>
    <row r="1562" spans="8:11" x14ac:dyDescent="0.35">
      <c r="H1562" s="34"/>
      <c r="I1562" s="34"/>
      <c r="J1562" s="34"/>
      <c r="K1562" s="34"/>
    </row>
    <row r="1563" spans="8:11" x14ac:dyDescent="0.35">
      <c r="H1563" s="34"/>
      <c r="I1563" s="34"/>
      <c r="J1563" s="34"/>
      <c r="K1563" s="34"/>
    </row>
    <row r="1564" spans="8:11" x14ac:dyDescent="0.35">
      <c r="H1564" s="34"/>
      <c r="I1564" s="34"/>
      <c r="J1564" s="34"/>
      <c r="K1564" s="34"/>
    </row>
    <row r="1565" spans="8:11" x14ac:dyDescent="0.35">
      <c r="H1565" s="34"/>
      <c r="I1565" s="34"/>
      <c r="J1565" s="34"/>
      <c r="K1565" s="34"/>
    </row>
    <row r="1566" spans="8:11" x14ac:dyDescent="0.35">
      <c r="H1566" s="34"/>
      <c r="I1566" s="34"/>
      <c r="J1566" s="34"/>
      <c r="K1566" s="34"/>
    </row>
    <row r="1567" spans="8:11" x14ac:dyDescent="0.35">
      <c r="H1567" s="34"/>
      <c r="I1567" s="34"/>
      <c r="J1567" s="34"/>
      <c r="K1567" s="34"/>
    </row>
    <row r="1568" spans="8:11" x14ac:dyDescent="0.35">
      <c r="H1568" s="34"/>
      <c r="I1568" s="34"/>
      <c r="J1568" s="34"/>
      <c r="K1568" s="34"/>
    </row>
    <row r="1569" spans="8:11" x14ac:dyDescent="0.35">
      <c r="H1569" s="34"/>
      <c r="I1569" s="34"/>
      <c r="J1569" s="34"/>
      <c r="K1569" s="34"/>
    </row>
    <row r="1570" spans="8:11" x14ac:dyDescent="0.35">
      <c r="H1570" s="34"/>
      <c r="I1570" s="34"/>
      <c r="J1570" s="34"/>
      <c r="K1570" s="34"/>
    </row>
    <row r="1571" spans="8:11" x14ac:dyDescent="0.35">
      <c r="H1571" s="34"/>
      <c r="I1571" s="34"/>
      <c r="J1571" s="34"/>
      <c r="K1571" s="34"/>
    </row>
    <row r="1572" spans="8:11" x14ac:dyDescent="0.35">
      <c r="H1572" s="34"/>
      <c r="I1572" s="34"/>
      <c r="J1572" s="34"/>
      <c r="K1572" s="34"/>
    </row>
    <row r="1573" spans="8:11" x14ac:dyDescent="0.35">
      <c r="H1573" s="34"/>
      <c r="I1573" s="34"/>
      <c r="J1573" s="34"/>
      <c r="K1573" s="34"/>
    </row>
    <row r="1574" spans="8:11" x14ac:dyDescent="0.35">
      <c r="H1574" s="34"/>
      <c r="I1574" s="34"/>
      <c r="J1574" s="34"/>
      <c r="K1574" s="34"/>
    </row>
    <row r="1575" spans="8:11" x14ac:dyDescent="0.35">
      <c r="H1575" s="34"/>
      <c r="I1575" s="34"/>
      <c r="J1575" s="34"/>
      <c r="K1575" s="34"/>
    </row>
    <row r="1576" spans="8:11" x14ac:dyDescent="0.35">
      <c r="H1576" s="34"/>
      <c r="I1576" s="34"/>
      <c r="J1576" s="34"/>
      <c r="K1576" s="34"/>
    </row>
    <row r="1577" spans="8:11" x14ac:dyDescent="0.35">
      <c r="H1577" s="34"/>
      <c r="I1577" s="34"/>
      <c r="J1577" s="34"/>
      <c r="K1577" s="34"/>
    </row>
    <row r="1578" spans="8:11" x14ac:dyDescent="0.35">
      <c r="H1578" s="34"/>
      <c r="I1578" s="34"/>
      <c r="J1578" s="34"/>
      <c r="K1578" s="34"/>
    </row>
    <row r="1579" spans="8:11" x14ac:dyDescent="0.35">
      <c r="H1579" s="34"/>
      <c r="I1579" s="34"/>
      <c r="J1579" s="34"/>
      <c r="K1579" s="34"/>
    </row>
    <row r="1580" spans="8:11" x14ac:dyDescent="0.35">
      <c r="H1580" s="34"/>
      <c r="I1580" s="34"/>
      <c r="J1580" s="34"/>
      <c r="K1580" s="34"/>
    </row>
    <row r="1581" spans="8:11" x14ac:dyDescent="0.35">
      <c r="H1581" s="34"/>
      <c r="I1581" s="34"/>
      <c r="J1581" s="34"/>
      <c r="K1581" s="34"/>
    </row>
    <row r="1582" spans="8:11" x14ac:dyDescent="0.35">
      <c r="H1582" s="34"/>
      <c r="I1582" s="34"/>
      <c r="J1582" s="34"/>
      <c r="K1582" s="34"/>
    </row>
    <row r="1583" spans="8:11" x14ac:dyDescent="0.35">
      <c r="H1583" s="34"/>
      <c r="I1583" s="34"/>
      <c r="J1583" s="34"/>
      <c r="K1583" s="34"/>
    </row>
    <row r="1584" spans="8:11" x14ac:dyDescent="0.35">
      <c r="H1584" s="34"/>
      <c r="I1584" s="34"/>
      <c r="J1584" s="34"/>
      <c r="K1584" s="34"/>
    </row>
    <row r="1585" spans="8:11" x14ac:dyDescent="0.35">
      <c r="H1585" s="34"/>
      <c r="I1585" s="34"/>
      <c r="J1585" s="34"/>
      <c r="K1585" s="34"/>
    </row>
    <row r="1586" spans="8:11" x14ac:dyDescent="0.35">
      <c r="H1586" s="34"/>
      <c r="I1586" s="34"/>
      <c r="J1586" s="34"/>
      <c r="K1586" s="34"/>
    </row>
    <row r="1587" spans="8:11" x14ac:dyDescent="0.35">
      <c r="H1587" s="34"/>
      <c r="I1587" s="34"/>
      <c r="J1587" s="34"/>
      <c r="K1587" s="34"/>
    </row>
    <row r="1588" spans="8:11" x14ac:dyDescent="0.35">
      <c r="H1588" s="34"/>
      <c r="I1588" s="34"/>
      <c r="J1588" s="34"/>
      <c r="K1588" s="34"/>
    </row>
    <row r="1589" spans="8:11" x14ac:dyDescent="0.35">
      <c r="H1589" s="34"/>
      <c r="I1589" s="34"/>
      <c r="J1589" s="34"/>
      <c r="K1589" s="34"/>
    </row>
    <row r="1590" spans="8:11" x14ac:dyDescent="0.35">
      <c r="H1590" s="34"/>
      <c r="I1590" s="34"/>
      <c r="J1590" s="34"/>
      <c r="K1590" s="34"/>
    </row>
    <row r="1591" spans="8:11" x14ac:dyDescent="0.35">
      <c r="H1591" s="34"/>
      <c r="I1591" s="34"/>
      <c r="J1591" s="34"/>
      <c r="K1591" s="34"/>
    </row>
    <row r="1592" spans="8:11" x14ac:dyDescent="0.35">
      <c r="H1592" s="34"/>
      <c r="I1592" s="34"/>
      <c r="J1592" s="34"/>
      <c r="K1592" s="34"/>
    </row>
    <row r="1593" spans="8:11" x14ac:dyDescent="0.35">
      <c r="H1593" s="34"/>
      <c r="I1593" s="34"/>
      <c r="J1593" s="34"/>
      <c r="K1593" s="34"/>
    </row>
    <row r="1594" spans="8:11" x14ac:dyDescent="0.35">
      <c r="H1594" s="34"/>
      <c r="I1594" s="34"/>
      <c r="J1594" s="34"/>
      <c r="K1594" s="34"/>
    </row>
    <row r="1595" spans="8:11" x14ac:dyDescent="0.35">
      <c r="H1595" s="34"/>
      <c r="I1595" s="34"/>
      <c r="J1595" s="34"/>
      <c r="K1595" s="34"/>
    </row>
    <row r="1596" spans="8:11" x14ac:dyDescent="0.35">
      <c r="H1596" s="34"/>
      <c r="I1596" s="34"/>
      <c r="J1596" s="34"/>
      <c r="K1596" s="34"/>
    </row>
    <row r="1597" spans="8:11" x14ac:dyDescent="0.35">
      <c r="H1597" s="34"/>
      <c r="I1597" s="34"/>
      <c r="J1597" s="34"/>
      <c r="K1597" s="34"/>
    </row>
    <row r="1598" spans="8:11" x14ac:dyDescent="0.35">
      <c r="H1598" s="34"/>
      <c r="I1598" s="34"/>
      <c r="J1598" s="34"/>
      <c r="K1598" s="34"/>
    </row>
    <row r="1599" spans="8:11" x14ac:dyDescent="0.35">
      <c r="H1599" s="34"/>
      <c r="I1599" s="34"/>
      <c r="J1599" s="34"/>
      <c r="K1599" s="34"/>
    </row>
    <row r="1600" spans="8:11" x14ac:dyDescent="0.35">
      <c r="H1600" s="34"/>
      <c r="I1600" s="34"/>
      <c r="J1600" s="34"/>
      <c r="K1600" s="34"/>
    </row>
    <row r="1601" spans="8:11" x14ac:dyDescent="0.35">
      <c r="H1601" s="34"/>
      <c r="I1601" s="34"/>
      <c r="J1601" s="34"/>
      <c r="K1601" s="34"/>
    </row>
    <row r="1602" spans="8:11" x14ac:dyDescent="0.35">
      <c r="H1602" s="34"/>
      <c r="I1602" s="34"/>
      <c r="J1602" s="34"/>
      <c r="K1602" s="34"/>
    </row>
    <row r="1603" spans="8:11" x14ac:dyDescent="0.35">
      <c r="H1603" s="34"/>
      <c r="I1603" s="34"/>
      <c r="J1603" s="34"/>
      <c r="K1603" s="34"/>
    </row>
    <row r="1604" spans="8:11" x14ac:dyDescent="0.35">
      <c r="H1604" s="34"/>
      <c r="I1604" s="34"/>
      <c r="J1604" s="34"/>
      <c r="K1604" s="34"/>
    </row>
    <row r="1605" spans="8:11" x14ac:dyDescent="0.35">
      <c r="H1605" s="34"/>
      <c r="I1605" s="34"/>
      <c r="J1605" s="34"/>
      <c r="K1605" s="34"/>
    </row>
    <row r="1606" spans="8:11" x14ac:dyDescent="0.35">
      <c r="H1606" s="34"/>
      <c r="I1606" s="34"/>
      <c r="J1606" s="34"/>
      <c r="K1606" s="34"/>
    </row>
    <row r="1607" spans="8:11" x14ac:dyDescent="0.35">
      <c r="H1607" s="34"/>
      <c r="I1607" s="34"/>
      <c r="J1607" s="34"/>
      <c r="K1607" s="34"/>
    </row>
    <row r="1608" spans="8:11" x14ac:dyDescent="0.35">
      <c r="H1608" s="34"/>
      <c r="I1608" s="34"/>
      <c r="J1608" s="34"/>
      <c r="K1608" s="34"/>
    </row>
    <row r="1609" spans="8:11" x14ac:dyDescent="0.35">
      <c r="H1609" s="34"/>
      <c r="I1609" s="34"/>
      <c r="J1609" s="34"/>
      <c r="K1609" s="34"/>
    </row>
    <row r="1610" spans="8:11" x14ac:dyDescent="0.35">
      <c r="H1610" s="34"/>
      <c r="I1610" s="34"/>
      <c r="J1610" s="34"/>
      <c r="K1610" s="34"/>
    </row>
    <row r="1611" spans="8:11" x14ac:dyDescent="0.35">
      <c r="H1611" s="34"/>
      <c r="I1611" s="34"/>
      <c r="J1611" s="34"/>
      <c r="K1611" s="34"/>
    </row>
    <row r="1612" spans="8:11" x14ac:dyDescent="0.35">
      <c r="H1612" s="34"/>
      <c r="I1612" s="34"/>
      <c r="J1612" s="34"/>
      <c r="K1612" s="34"/>
    </row>
    <row r="1613" spans="8:11" x14ac:dyDescent="0.35">
      <c r="H1613" s="34"/>
      <c r="I1613" s="34"/>
      <c r="J1613" s="34"/>
      <c r="K1613" s="34"/>
    </row>
    <row r="1614" spans="8:11" x14ac:dyDescent="0.35">
      <c r="H1614" s="34"/>
      <c r="I1614" s="34"/>
      <c r="J1614" s="34"/>
      <c r="K1614" s="34"/>
    </row>
    <row r="1615" spans="8:11" x14ac:dyDescent="0.35">
      <c r="H1615" s="34"/>
      <c r="I1615" s="34"/>
      <c r="J1615" s="34"/>
      <c r="K1615" s="34"/>
    </row>
    <row r="1616" spans="8:11" x14ac:dyDescent="0.35">
      <c r="H1616" s="34"/>
      <c r="I1616" s="34"/>
      <c r="J1616" s="34"/>
      <c r="K1616" s="34"/>
    </row>
    <row r="1617" spans="8:11" x14ac:dyDescent="0.35">
      <c r="H1617" s="34"/>
      <c r="I1617" s="34"/>
      <c r="J1617" s="34"/>
      <c r="K1617" s="34"/>
    </row>
    <row r="1618" spans="8:11" x14ac:dyDescent="0.35">
      <c r="H1618" s="34"/>
      <c r="I1618" s="34"/>
      <c r="J1618" s="34"/>
      <c r="K1618" s="34"/>
    </row>
    <row r="1619" spans="8:11" x14ac:dyDescent="0.35">
      <c r="H1619" s="34"/>
      <c r="I1619" s="34"/>
      <c r="J1619" s="34"/>
      <c r="K1619" s="34"/>
    </row>
    <row r="1620" spans="8:11" x14ac:dyDescent="0.35">
      <c r="H1620" s="34"/>
      <c r="I1620" s="34"/>
      <c r="J1620" s="34"/>
      <c r="K1620" s="34"/>
    </row>
    <row r="1621" spans="8:11" x14ac:dyDescent="0.35">
      <c r="H1621" s="34"/>
      <c r="I1621" s="34"/>
      <c r="J1621" s="34"/>
      <c r="K1621" s="34"/>
    </row>
    <row r="1622" spans="8:11" x14ac:dyDescent="0.35">
      <c r="H1622" s="34"/>
      <c r="I1622" s="34"/>
      <c r="J1622" s="34"/>
      <c r="K1622" s="34"/>
    </row>
    <row r="1623" spans="8:11" x14ac:dyDescent="0.35">
      <c r="H1623" s="34"/>
      <c r="I1623" s="34"/>
      <c r="J1623" s="34"/>
      <c r="K1623" s="34"/>
    </row>
    <row r="1624" spans="8:11" x14ac:dyDescent="0.35">
      <c r="H1624" s="34"/>
      <c r="I1624" s="34"/>
      <c r="J1624" s="34"/>
      <c r="K1624" s="34"/>
    </row>
    <row r="1625" spans="8:11" x14ac:dyDescent="0.35">
      <c r="H1625" s="34"/>
      <c r="I1625" s="34"/>
      <c r="J1625" s="34"/>
      <c r="K1625" s="34"/>
    </row>
    <row r="1626" spans="8:11" x14ac:dyDescent="0.35">
      <c r="H1626" s="34"/>
      <c r="I1626" s="34"/>
      <c r="J1626" s="34"/>
      <c r="K1626" s="34"/>
    </row>
    <row r="1627" spans="8:11" x14ac:dyDescent="0.35">
      <c r="H1627" s="34"/>
      <c r="I1627" s="34"/>
      <c r="J1627" s="34"/>
      <c r="K1627" s="34"/>
    </row>
    <row r="1628" spans="8:11" x14ac:dyDescent="0.35">
      <c r="H1628" s="34"/>
      <c r="I1628" s="34"/>
      <c r="J1628" s="34"/>
      <c r="K1628" s="34"/>
    </row>
    <row r="1629" spans="8:11" x14ac:dyDescent="0.35">
      <c r="H1629" s="34"/>
      <c r="I1629" s="34"/>
      <c r="J1629" s="34"/>
      <c r="K1629" s="34"/>
    </row>
    <row r="1630" spans="8:11" x14ac:dyDescent="0.35">
      <c r="H1630" s="34"/>
      <c r="I1630" s="34"/>
      <c r="J1630" s="34"/>
      <c r="K1630" s="34"/>
    </row>
    <row r="1631" spans="8:11" x14ac:dyDescent="0.35">
      <c r="H1631" s="34"/>
      <c r="I1631" s="34"/>
      <c r="J1631" s="34"/>
      <c r="K1631" s="34"/>
    </row>
    <row r="1632" spans="8:11" x14ac:dyDescent="0.35">
      <c r="H1632" s="34"/>
      <c r="I1632" s="34"/>
      <c r="J1632" s="34"/>
      <c r="K1632" s="34"/>
    </row>
    <row r="1633" spans="8:11" x14ac:dyDescent="0.35">
      <c r="H1633" s="34"/>
      <c r="I1633" s="34"/>
      <c r="J1633" s="34"/>
      <c r="K1633" s="34"/>
    </row>
    <row r="1634" spans="8:11" x14ac:dyDescent="0.35">
      <c r="H1634" s="34"/>
      <c r="I1634" s="34"/>
      <c r="J1634" s="34"/>
      <c r="K1634" s="34"/>
    </row>
    <row r="1635" spans="8:11" x14ac:dyDescent="0.35">
      <c r="H1635" s="34"/>
      <c r="I1635" s="34"/>
      <c r="J1635" s="34"/>
      <c r="K1635" s="34"/>
    </row>
    <row r="1636" spans="8:11" x14ac:dyDescent="0.35">
      <c r="H1636" s="34"/>
      <c r="I1636" s="34"/>
      <c r="J1636" s="34"/>
      <c r="K1636" s="34"/>
    </row>
    <row r="1637" spans="8:11" x14ac:dyDescent="0.35">
      <c r="H1637" s="34"/>
      <c r="I1637" s="34"/>
      <c r="J1637" s="34"/>
      <c r="K1637" s="34"/>
    </row>
    <row r="1638" spans="8:11" x14ac:dyDescent="0.35">
      <c r="H1638" s="34"/>
      <c r="I1638" s="34"/>
      <c r="J1638" s="34"/>
      <c r="K1638" s="34"/>
    </row>
    <row r="1639" spans="8:11" x14ac:dyDescent="0.35">
      <c r="H1639" s="34"/>
      <c r="I1639" s="34"/>
      <c r="J1639" s="34"/>
      <c r="K1639" s="34"/>
    </row>
    <row r="1640" spans="8:11" x14ac:dyDescent="0.35">
      <c r="H1640" s="34"/>
      <c r="I1640" s="34"/>
      <c r="J1640" s="34"/>
      <c r="K1640" s="34"/>
    </row>
    <row r="1641" spans="8:11" x14ac:dyDescent="0.35">
      <c r="H1641" s="34"/>
      <c r="I1641" s="34"/>
      <c r="J1641" s="34"/>
      <c r="K1641" s="34"/>
    </row>
    <row r="1642" spans="8:11" x14ac:dyDescent="0.35">
      <c r="H1642" s="34"/>
      <c r="I1642" s="34"/>
      <c r="J1642" s="34"/>
      <c r="K1642" s="34"/>
    </row>
    <row r="1643" spans="8:11" x14ac:dyDescent="0.35">
      <c r="H1643" s="34"/>
      <c r="I1643" s="34"/>
      <c r="J1643" s="34"/>
      <c r="K1643" s="34"/>
    </row>
    <row r="1644" spans="8:11" x14ac:dyDescent="0.35">
      <c r="H1644" s="34"/>
      <c r="I1644" s="34"/>
      <c r="J1644" s="34"/>
      <c r="K1644" s="34"/>
    </row>
    <row r="1645" spans="8:11" x14ac:dyDescent="0.35">
      <c r="H1645" s="34"/>
      <c r="I1645" s="34"/>
      <c r="J1645" s="34"/>
      <c r="K1645" s="34"/>
    </row>
    <row r="1646" spans="8:11" x14ac:dyDescent="0.35">
      <c r="H1646" s="34"/>
      <c r="I1646" s="34"/>
      <c r="J1646" s="34"/>
      <c r="K1646" s="34"/>
    </row>
    <row r="1647" spans="8:11" x14ac:dyDescent="0.35">
      <c r="H1647" s="34"/>
      <c r="I1647" s="34"/>
      <c r="J1647" s="34"/>
      <c r="K1647" s="34"/>
    </row>
    <row r="1648" spans="8:11" x14ac:dyDescent="0.35">
      <c r="H1648" s="34"/>
      <c r="I1648" s="34"/>
      <c r="J1648" s="34"/>
      <c r="K1648" s="34"/>
    </row>
    <row r="1649" spans="8:11" x14ac:dyDescent="0.35">
      <c r="H1649" s="34"/>
      <c r="I1649" s="34"/>
      <c r="J1649" s="34"/>
      <c r="K1649" s="34"/>
    </row>
    <row r="1650" spans="8:11" x14ac:dyDescent="0.35">
      <c r="H1650" s="34"/>
      <c r="I1650" s="34"/>
      <c r="J1650" s="34"/>
      <c r="K1650" s="34"/>
    </row>
    <row r="1651" spans="8:11" x14ac:dyDescent="0.35">
      <c r="H1651" s="34"/>
      <c r="I1651" s="34"/>
      <c r="J1651" s="34"/>
      <c r="K1651" s="34"/>
    </row>
    <row r="1652" spans="8:11" x14ac:dyDescent="0.35">
      <c r="H1652" s="34"/>
      <c r="I1652" s="34"/>
      <c r="J1652" s="34"/>
      <c r="K1652" s="34"/>
    </row>
    <row r="1653" spans="8:11" x14ac:dyDescent="0.35">
      <c r="H1653" s="34"/>
      <c r="I1653" s="34"/>
      <c r="J1653" s="34"/>
      <c r="K1653" s="34"/>
    </row>
    <row r="1654" spans="8:11" x14ac:dyDescent="0.35">
      <c r="H1654" s="34"/>
      <c r="I1654" s="34"/>
      <c r="J1654" s="34"/>
      <c r="K1654" s="34"/>
    </row>
    <row r="1655" spans="8:11" x14ac:dyDescent="0.35">
      <c r="H1655" s="34"/>
      <c r="I1655" s="34"/>
      <c r="J1655" s="34"/>
      <c r="K1655" s="34"/>
    </row>
    <row r="1656" spans="8:11" x14ac:dyDescent="0.35">
      <c r="H1656" s="34"/>
      <c r="I1656" s="34"/>
      <c r="J1656" s="34"/>
      <c r="K1656" s="34"/>
    </row>
    <row r="1657" spans="8:11" x14ac:dyDescent="0.35">
      <c r="H1657" s="34"/>
      <c r="I1657" s="34"/>
      <c r="J1657" s="34"/>
      <c r="K1657" s="34"/>
    </row>
    <row r="1658" spans="8:11" x14ac:dyDescent="0.35">
      <c r="H1658" s="34"/>
      <c r="I1658" s="34"/>
      <c r="J1658" s="34"/>
      <c r="K1658" s="34"/>
    </row>
    <row r="1659" spans="8:11" x14ac:dyDescent="0.35">
      <c r="H1659" s="34"/>
      <c r="I1659" s="34"/>
      <c r="J1659" s="34"/>
      <c r="K1659" s="34"/>
    </row>
    <row r="1660" spans="8:11" x14ac:dyDescent="0.35">
      <c r="H1660" s="34"/>
      <c r="I1660" s="34"/>
      <c r="J1660" s="34"/>
      <c r="K1660" s="34"/>
    </row>
    <row r="1661" spans="8:11" x14ac:dyDescent="0.35">
      <c r="H1661" s="34"/>
      <c r="I1661" s="34"/>
      <c r="J1661" s="34"/>
      <c r="K1661" s="34"/>
    </row>
    <row r="1662" spans="8:11" x14ac:dyDescent="0.35">
      <c r="H1662" s="34"/>
      <c r="I1662" s="34"/>
      <c r="J1662" s="34"/>
      <c r="K1662" s="34"/>
    </row>
    <row r="1663" spans="8:11" x14ac:dyDescent="0.35">
      <c r="H1663" s="34"/>
      <c r="I1663" s="34"/>
      <c r="J1663" s="34"/>
      <c r="K1663" s="34"/>
    </row>
    <row r="1664" spans="8:11" x14ac:dyDescent="0.35">
      <c r="H1664" s="34"/>
      <c r="I1664" s="34"/>
      <c r="J1664" s="34"/>
      <c r="K1664" s="34"/>
    </row>
    <row r="1665" spans="8:11" x14ac:dyDescent="0.35">
      <c r="H1665" s="34"/>
      <c r="I1665" s="34"/>
      <c r="J1665" s="34"/>
      <c r="K1665" s="34"/>
    </row>
    <row r="1666" spans="8:11" x14ac:dyDescent="0.35">
      <c r="H1666" s="34"/>
      <c r="I1666" s="34"/>
      <c r="J1666" s="34"/>
      <c r="K1666" s="34"/>
    </row>
    <row r="1667" spans="8:11" x14ac:dyDescent="0.35">
      <c r="H1667" s="34"/>
      <c r="I1667" s="34"/>
      <c r="J1667" s="34"/>
      <c r="K1667" s="34"/>
    </row>
    <row r="1668" spans="8:11" x14ac:dyDescent="0.35">
      <c r="H1668" s="34"/>
      <c r="I1668" s="34"/>
      <c r="J1668" s="34"/>
      <c r="K1668" s="34"/>
    </row>
    <row r="1669" spans="8:11" x14ac:dyDescent="0.35">
      <c r="H1669" s="34"/>
      <c r="I1669" s="34"/>
      <c r="J1669" s="34"/>
      <c r="K1669" s="34"/>
    </row>
    <row r="1670" spans="8:11" x14ac:dyDescent="0.35">
      <c r="H1670" s="34"/>
      <c r="I1670" s="34"/>
      <c r="J1670" s="34"/>
      <c r="K1670" s="34"/>
    </row>
    <row r="1671" spans="8:11" x14ac:dyDescent="0.35">
      <c r="H1671" s="34"/>
      <c r="I1671" s="34"/>
      <c r="J1671" s="34"/>
      <c r="K1671" s="34"/>
    </row>
    <row r="1672" spans="8:11" x14ac:dyDescent="0.35">
      <c r="H1672" s="34"/>
      <c r="I1672" s="34"/>
      <c r="J1672" s="34"/>
      <c r="K1672" s="34"/>
    </row>
    <row r="1673" spans="8:11" x14ac:dyDescent="0.35">
      <c r="H1673" s="34"/>
      <c r="I1673" s="34"/>
      <c r="J1673" s="34"/>
      <c r="K1673" s="34"/>
    </row>
    <row r="1674" spans="8:11" x14ac:dyDescent="0.35">
      <c r="H1674" s="34"/>
      <c r="I1674" s="34"/>
      <c r="J1674" s="34"/>
      <c r="K1674" s="34"/>
    </row>
    <row r="1675" spans="8:11" x14ac:dyDescent="0.35">
      <c r="H1675" s="34"/>
      <c r="I1675" s="34"/>
      <c r="J1675" s="34"/>
      <c r="K1675" s="34"/>
    </row>
    <row r="1676" spans="8:11" x14ac:dyDescent="0.35">
      <c r="H1676" s="34"/>
      <c r="I1676" s="34"/>
      <c r="J1676" s="34"/>
      <c r="K1676" s="34"/>
    </row>
    <row r="1677" spans="8:11" x14ac:dyDescent="0.35">
      <c r="H1677" s="34"/>
      <c r="I1677" s="34"/>
      <c r="J1677" s="34"/>
      <c r="K1677" s="34"/>
    </row>
    <row r="1678" spans="8:11" x14ac:dyDescent="0.35">
      <c r="H1678" s="34"/>
      <c r="I1678" s="34"/>
      <c r="J1678" s="34"/>
      <c r="K1678" s="34"/>
    </row>
    <row r="1679" spans="8:11" x14ac:dyDescent="0.35">
      <c r="H1679" s="34"/>
      <c r="I1679" s="34"/>
      <c r="J1679" s="34"/>
      <c r="K1679" s="34"/>
    </row>
    <row r="1680" spans="8:11" x14ac:dyDescent="0.35">
      <c r="H1680" s="34"/>
      <c r="I1680" s="34"/>
      <c r="J1680" s="34"/>
      <c r="K1680" s="34"/>
    </row>
    <row r="1681" spans="8:11" x14ac:dyDescent="0.35">
      <c r="H1681" s="34"/>
      <c r="I1681" s="34"/>
      <c r="J1681" s="34"/>
      <c r="K1681" s="34"/>
    </row>
    <row r="1682" spans="8:11" x14ac:dyDescent="0.35">
      <c r="H1682" s="34"/>
      <c r="I1682" s="34"/>
      <c r="J1682" s="34"/>
      <c r="K1682" s="34"/>
    </row>
    <row r="1683" spans="8:11" x14ac:dyDescent="0.35">
      <c r="H1683" s="34"/>
      <c r="I1683" s="34"/>
      <c r="J1683" s="34"/>
      <c r="K1683" s="34"/>
    </row>
    <row r="1684" spans="8:11" x14ac:dyDescent="0.35">
      <c r="H1684" s="34"/>
      <c r="I1684" s="34"/>
      <c r="J1684" s="34"/>
      <c r="K1684" s="34"/>
    </row>
    <row r="1685" spans="8:11" x14ac:dyDescent="0.35">
      <c r="H1685" s="34"/>
      <c r="I1685" s="34"/>
      <c r="J1685" s="34"/>
      <c r="K1685" s="34"/>
    </row>
    <row r="1686" spans="8:11" x14ac:dyDescent="0.35">
      <c r="H1686" s="34"/>
      <c r="I1686" s="34"/>
      <c r="J1686" s="34"/>
      <c r="K1686" s="34"/>
    </row>
    <row r="1687" spans="8:11" x14ac:dyDescent="0.35">
      <c r="H1687" s="34"/>
      <c r="I1687" s="34"/>
      <c r="J1687" s="34"/>
      <c r="K1687" s="34"/>
    </row>
    <row r="1688" spans="8:11" x14ac:dyDescent="0.35">
      <c r="H1688" s="34"/>
      <c r="I1688" s="34"/>
      <c r="J1688" s="34"/>
      <c r="K1688" s="34"/>
    </row>
    <row r="1689" spans="8:11" x14ac:dyDescent="0.35">
      <c r="H1689" s="34"/>
      <c r="I1689" s="34"/>
      <c r="J1689" s="34"/>
      <c r="K1689" s="34"/>
    </row>
    <row r="1690" spans="8:11" x14ac:dyDescent="0.35">
      <c r="H1690" s="34"/>
      <c r="I1690" s="34"/>
      <c r="J1690" s="34"/>
      <c r="K1690" s="34"/>
    </row>
    <row r="1691" spans="8:11" x14ac:dyDescent="0.35">
      <c r="H1691" s="34"/>
      <c r="I1691" s="34"/>
      <c r="J1691" s="34"/>
      <c r="K1691" s="34"/>
    </row>
    <row r="1692" spans="8:11" x14ac:dyDescent="0.35">
      <c r="H1692" s="34"/>
      <c r="I1692" s="34"/>
      <c r="J1692" s="34"/>
      <c r="K1692" s="34"/>
    </row>
    <row r="1693" spans="8:11" x14ac:dyDescent="0.35">
      <c r="H1693" s="34"/>
      <c r="I1693" s="34"/>
      <c r="J1693" s="34"/>
      <c r="K1693" s="34"/>
    </row>
    <row r="1694" spans="8:11" x14ac:dyDescent="0.35">
      <c r="H1694" s="34"/>
      <c r="I1694" s="34"/>
      <c r="J1694" s="34"/>
      <c r="K1694" s="34"/>
    </row>
    <row r="1695" spans="8:11" x14ac:dyDescent="0.35">
      <c r="H1695" s="34"/>
      <c r="I1695" s="34"/>
      <c r="J1695" s="34"/>
      <c r="K1695" s="34"/>
    </row>
    <row r="1696" spans="8:11" x14ac:dyDescent="0.35">
      <c r="H1696" s="34"/>
      <c r="I1696" s="34"/>
      <c r="J1696" s="34"/>
      <c r="K1696" s="34"/>
    </row>
    <row r="1697" spans="8:11" x14ac:dyDescent="0.35">
      <c r="H1697" s="34"/>
      <c r="I1697" s="34"/>
      <c r="J1697" s="34"/>
      <c r="K1697" s="34"/>
    </row>
    <row r="1698" spans="8:11" x14ac:dyDescent="0.35">
      <c r="H1698" s="34"/>
      <c r="I1698" s="34"/>
      <c r="J1698" s="34"/>
      <c r="K1698" s="34"/>
    </row>
    <row r="1699" spans="8:11" x14ac:dyDescent="0.35">
      <c r="H1699" s="34"/>
      <c r="I1699" s="34"/>
      <c r="J1699" s="34"/>
      <c r="K1699" s="34"/>
    </row>
    <row r="1700" spans="8:11" x14ac:dyDescent="0.35">
      <c r="H1700" s="34"/>
      <c r="I1700" s="34"/>
      <c r="J1700" s="34"/>
      <c r="K1700" s="34"/>
    </row>
    <row r="1701" spans="8:11" x14ac:dyDescent="0.35">
      <c r="H1701" s="34"/>
      <c r="I1701" s="34"/>
      <c r="J1701" s="34"/>
      <c r="K1701" s="34"/>
    </row>
    <row r="1702" spans="8:11" x14ac:dyDescent="0.35">
      <c r="H1702" s="34"/>
      <c r="I1702" s="34"/>
      <c r="J1702" s="34"/>
      <c r="K1702" s="34"/>
    </row>
    <row r="1703" spans="8:11" x14ac:dyDescent="0.35">
      <c r="H1703" s="34"/>
      <c r="I1703" s="34"/>
      <c r="J1703" s="34"/>
      <c r="K1703" s="34"/>
    </row>
    <row r="1704" spans="8:11" x14ac:dyDescent="0.35">
      <c r="H1704" s="34"/>
      <c r="I1704" s="34"/>
      <c r="J1704" s="34"/>
      <c r="K1704" s="34"/>
    </row>
    <row r="1705" spans="8:11" x14ac:dyDescent="0.35">
      <c r="H1705" s="34"/>
      <c r="I1705" s="34"/>
      <c r="J1705" s="34"/>
      <c r="K1705" s="34"/>
    </row>
    <row r="1706" spans="8:11" x14ac:dyDescent="0.35">
      <c r="H1706" s="34"/>
      <c r="I1706" s="34"/>
      <c r="J1706" s="34"/>
      <c r="K1706" s="34"/>
    </row>
    <row r="1707" spans="8:11" x14ac:dyDescent="0.35">
      <c r="H1707" s="34"/>
      <c r="I1707" s="34"/>
      <c r="J1707" s="34"/>
      <c r="K1707" s="34"/>
    </row>
    <row r="1708" spans="8:11" x14ac:dyDescent="0.35">
      <c r="H1708" s="34"/>
      <c r="I1708" s="34"/>
      <c r="J1708" s="34"/>
      <c r="K1708" s="34"/>
    </row>
    <row r="1709" spans="8:11" x14ac:dyDescent="0.35">
      <c r="H1709" s="34"/>
      <c r="I1709" s="34"/>
      <c r="J1709" s="34"/>
      <c r="K1709" s="34"/>
    </row>
    <row r="1710" spans="8:11" x14ac:dyDescent="0.35">
      <c r="H1710" s="34"/>
      <c r="I1710" s="34"/>
      <c r="J1710" s="34"/>
      <c r="K1710" s="34"/>
    </row>
    <row r="1711" spans="8:11" x14ac:dyDescent="0.35">
      <c r="H1711" s="34"/>
      <c r="I1711" s="34"/>
      <c r="J1711" s="34"/>
      <c r="K1711" s="34"/>
    </row>
    <row r="1712" spans="8:11" x14ac:dyDescent="0.35">
      <c r="H1712" s="34"/>
      <c r="I1712" s="34"/>
      <c r="J1712" s="34"/>
      <c r="K1712" s="34"/>
    </row>
    <row r="1713" spans="8:11" x14ac:dyDescent="0.35">
      <c r="H1713" s="34"/>
      <c r="I1713" s="34"/>
      <c r="J1713" s="34"/>
      <c r="K1713" s="34"/>
    </row>
    <row r="1714" spans="8:11" x14ac:dyDescent="0.35">
      <c r="H1714" s="34"/>
      <c r="I1714" s="34"/>
      <c r="J1714" s="34"/>
      <c r="K1714" s="34"/>
    </row>
    <row r="1715" spans="8:11" x14ac:dyDescent="0.35">
      <c r="H1715" s="34"/>
      <c r="I1715" s="34"/>
      <c r="J1715" s="34"/>
      <c r="K1715" s="34"/>
    </row>
    <row r="1716" spans="8:11" x14ac:dyDescent="0.35">
      <c r="H1716" s="34"/>
      <c r="I1716" s="34"/>
      <c r="J1716" s="34"/>
      <c r="K1716" s="34"/>
    </row>
    <row r="1717" spans="8:11" x14ac:dyDescent="0.35">
      <c r="H1717" s="34"/>
      <c r="I1717" s="34"/>
      <c r="J1717" s="34"/>
      <c r="K1717" s="34"/>
    </row>
    <row r="1718" spans="8:11" x14ac:dyDescent="0.35">
      <c r="H1718" s="34"/>
      <c r="I1718" s="34"/>
      <c r="J1718" s="34"/>
      <c r="K1718" s="34"/>
    </row>
    <row r="1719" spans="8:11" x14ac:dyDescent="0.35">
      <c r="H1719" s="34"/>
      <c r="I1719" s="34"/>
      <c r="J1719" s="34"/>
      <c r="K1719" s="34"/>
    </row>
    <row r="1720" spans="8:11" x14ac:dyDescent="0.35">
      <c r="H1720" s="34"/>
      <c r="I1720" s="34"/>
      <c r="J1720" s="34"/>
      <c r="K1720" s="34"/>
    </row>
    <row r="1721" spans="8:11" x14ac:dyDescent="0.35">
      <c r="H1721" s="34"/>
      <c r="I1721" s="34"/>
      <c r="J1721" s="34"/>
      <c r="K1721" s="34"/>
    </row>
    <row r="1722" spans="8:11" x14ac:dyDescent="0.35">
      <c r="H1722" s="34"/>
      <c r="I1722" s="34"/>
      <c r="J1722" s="34"/>
      <c r="K1722" s="34"/>
    </row>
    <row r="1723" spans="8:11" x14ac:dyDescent="0.35">
      <c r="H1723" s="34"/>
      <c r="I1723" s="34"/>
      <c r="J1723" s="34"/>
      <c r="K1723" s="34"/>
    </row>
    <row r="1724" spans="8:11" x14ac:dyDescent="0.35">
      <c r="H1724" s="34"/>
      <c r="I1724" s="34"/>
      <c r="J1724" s="34"/>
      <c r="K1724" s="34"/>
    </row>
    <row r="1725" spans="8:11" x14ac:dyDescent="0.35">
      <c r="H1725" s="34"/>
      <c r="I1725" s="34"/>
      <c r="J1725" s="34"/>
      <c r="K1725" s="34"/>
    </row>
    <row r="1726" spans="8:11" x14ac:dyDescent="0.35">
      <c r="H1726" s="34"/>
      <c r="I1726" s="34"/>
      <c r="J1726" s="34"/>
      <c r="K1726" s="34"/>
    </row>
    <row r="1727" spans="8:11" x14ac:dyDescent="0.35">
      <c r="H1727" s="34"/>
      <c r="I1727" s="34"/>
      <c r="J1727" s="34"/>
      <c r="K1727" s="34"/>
    </row>
    <row r="1728" spans="8:11" x14ac:dyDescent="0.35">
      <c r="H1728" s="34"/>
      <c r="I1728" s="34"/>
      <c r="J1728" s="34"/>
      <c r="K1728" s="34"/>
    </row>
    <row r="1729" spans="8:11" x14ac:dyDescent="0.35">
      <c r="H1729" s="34"/>
      <c r="I1729" s="34"/>
      <c r="J1729" s="34"/>
      <c r="K1729" s="34"/>
    </row>
    <row r="1730" spans="8:11" x14ac:dyDescent="0.35">
      <c r="H1730" s="34"/>
      <c r="I1730" s="34"/>
      <c r="J1730" s="34"/>
      <c r="K1730" s="34"/>
    </row>
    <row r="1731" spans="8:11" x14ac:dyDescent="0.35">
      <c r="H1731" s="34"/>
      <c r="I1731" s="34"/>
      <c r="J1731" s="34"/>
      <c r="K1731" s="34"/>
    </row>
    <row r="1732" spans="8:11" x14ac:dyDescent="0.35">
      <c r="H1732" s="34"/>
      <c r="I1732" s="34"/>
      <c r="J1732" s="34"/>
      <c r="K1732" s="34"/>
    </row>
    <row r="1733" spans="8:11" x14ac:dyDescent="0.35">
      <c r="H1733" s="34"/>
      <c r="I1733" s="34"/>
      <c r="J1733" s="34"/>
      <c r="K1733" s="34"/>
    </row>
    <row r="1734" spans="8:11" x14ac:dyDescent="0.35">
      <c r="H1734" s="34"/>
      <c r="I1734" s="34"/>
      <c r="J1734" s="34"/>
      <c r="K1734" s="34"/>
    </row>
    <row r="1735" spans="8:11" x14ac:dyDescent="0.35">
      <c r="H1735" s="34"/>
      <c r="I1735" s="34"/>
      <c r="J1735" s="34"/>
      <c r="K1735" s="34"/>
    </row>
    <row r="1736" spans="8:11" x14ac:dyDescent="0.35">
      <c r="H1736" s="34"/>
      <c r="I1736" s="34"/>
      <c r="J1736" s="34"/>
      <c r="K1736" s="34"/>
    </row>
    <row r="1737" spans="8:11" x14ac:dyDescent="0.35">
      <c r="H1737" s="34"/>
      <c r="I1737" s="34"/>
      <c r="J1737" s="34"/>
      <c r="K1737" s="34"/>
    </row>
    <row r="1738" spans="8:11" x14ac:dyDescent="0.35">
      <c r="H1738" s="34"/>
      <c r="I1738" s="34"/>
      <c r="J1738" s="34"/>
      <c r="K1738" s="34"/>
    </row>
    <row r="1739" spans="8:11" x14ac:dyDescent="0.35">
      <c r="H1739" s="34"/>
      <c r="I1739" s="34"/>
      <c r="J1739" s="34"/>
      <c r="K1739" s="34"/>
    </row>
    <row r="1740" spans="8:11" x14ac:dyDescent="0.35">
      <c r="H1740" s="34"/>
      <c r="I1740" s="34"/>
      <c r="J1740" s="34"/>
      <c r="K1740" s="34"/>
    </row>
    <row r="1741" spans="8:11" x14ac:dyDescent="0.35">
      <c r="H1741" s="34"/>
      <c r="I1741" s="34"/>
      <c r="J1741" s="34"/>
      <c r="K1741" s="34"/>
    </row>
    <row r="1742" spans="8:11" x14ac:dyDescent="0.35">
      <c r="H1742" s="34"/>
      <c r="I1742" s="34"/>
      <c r="J1742" s="34"/>
      <c r="K1742" s="34"/>
    </row>
    <row r="1743" spans="8:11" x14ac:dyDescent="0.35">
      <c r="H1743" s="34"/>
      <c r="I1743" s="34"/>
      <c r="J1743" s="34"/>
      <c r="K1743" s="34"/>
    </row>
    <row r="1744" spans="8:11" x14ac:dyDescent="0.35">
      <c r="H1744" s="34"/>
      <c r="I1744" s="34"/>
      <c r="J1744" s="34"/>
      <c r="K1744" s="34"/>
    </row>
    <row r="1745" spans="8:11" x14ac:dyDescent="0.35">
      <c r="H1745" s="34"/>
      <c r="I1745" s="34"/>
      <c r="J1745" s="34"/>
      <c r="K1745" s="34"/>
    </row>
    <row r="1746" spans="8:11" x14ac:dyDescent="0.35">
      <c r="H1746" s="34"/>
      <c r="I1746" s="34"/>
      <c r="J1746" s="34"/>
      <c r="K1746" s="34"/>
    </row>
    <row r="1747" spans="8:11" x14ac:dyDescent="0.35">
      <c r="H1747" s="34"/>
      <c r="I1747" s="34"/>
      <c r="J1747" s="34"/>
      <c r="K1747" s="34"/>
    </row>
    <row r="1748" spans="8:11" x14ac:dyDescent="0.35">
      <c r="H1748" s="34"/>
      <c r="I1748" s="34"/>
      <c r="J1748" s="34"/>
      <c r="K1748" s="34"/>
    </row>
    <row r="1749" spans="8:11" x14ac:dyDescent="0.35">
      <c r="H1749" s="34"/>
      <c r="I1749" s="34"/>
      <c r="J1749" s="34"/>
      <c r="K1749" s="34"/>
    </row>
    <row r="1750" spans="8:11" x14ac:dyDescent="0.35">
      <c r="H1750" s="34"/>
      <c r="I1750" s="34"/>
      <c r="J1750" s="34"/>
      <c r="K1750" s="34"/>
    </row>
    <row r="1751" spans="8:11" x14ac:dyDescent="0.35">
      <c r="H1751" s="34"/>
      <c r="I1751" s="34"/>
      <c r="J1751" s="34"/>
      <c r="K1751" s="34"/>
    </row>
    <row r="1752" spans="8:11" x14ac:dyDescent="0.35">
      <c r="H1752" s="34"/>
      <c r="I1752" s="34"/>
      <c r="J1752" s="34"/>
      <c r="K1752" s="34"/>
    </row>
    <row r="1753" spans="8:11" x14ac:dyDescent="0.35">
      <c r="H1753" s="34"/>
      <c r="I1753" s="34"/>
      <c r="J1753" s="34"/>
      <c r="K1753" s="34"/>
    </row>
    <row r="1754" spans="8:11" x14ac:dyDescent="0.35">
      <c r="H1754" s="34"/>
      <c r="I1754" s="34"/>
      <c r="J1754" s="34"/>
      <c r="K1754" s="34"/>
    </row>
    <row r="1755" spans="8:11" x14ac:dyDescent="0.35">
      <c r="H1755" s="34"/>
      <c r="I1755" s="34"/>
      <c r="J1755" s="34"/>
      <c r="K1755" s="34"/>
    </row>
    <row r="1756" spans="8:11" x14ac:dyDescent="0.35">
      <c r="H1756" s="34"/>
      <c r="I1756" s="34"/>
      <c r="J1756" s="34"/>
      <c r="K1756" s="34"/>
    </row>
    <row r="1757" spans="8:11" x14ac:dyDescent="0.35">
      <c r="H1757" s="34"/>
      <c r="I1757" s="34"/>
      <c r="J1757" s="34"/>
      <c r="K1757" s="34"/>
    </row>
    <row r="1758" spans="8:11" x14ac:dyDescent="0.35">
      <c r="H1758" s="34"/>
      <c r="I1758" s="34"/>
      <c r="J1758" s="34"/>
      <c r="K1758" s="34"/>
    </row>
    <row r="1759" spans="8:11" x14ac:dyDescent="0.35">
      <c r="H1759" s="34"/>
      <c r="I1759" s="34"/>
      <c r="J1759" s="34"/>
      <c r="K1759" s="34"/>
    </row>
    <row r="1760" spans="8:11" x14ac:dyDescent="0.35">
      <c r="H1760" s="34"/>
      <c r="I1760" s="34"/>
      <c r="J1760" s="34"/>
      <c r="K1760" s="34"/>
    </row>
    <row r="1761" spans="8:11" x14ac:dyDescent="0.35">
      <c r="H1761" s="34"/>
      <c r="I1761" s="34"/>
      <c r="J1761" s="34"/>
      <c r="K1761" s="34"/>
    </row>
    <row r="1762" spans="8:11" x14ac:dyDescent="0.35">
      <c r="H1762" s="34"/>
      <c r="I1762" s="34"/>
      <c r="J1762" s="34"/>
      <c r="K1762" s="34"/>
    </row>
    <row r="1763" spans="8:11" x14ac:dyDescent="0.35">
      <c r="H1763" s="34"/>
      <c r="I1763" s="34"/>
      <c r="J1763" s="34"/>
      <c r="K1763" s="34"/>
    </row>
    <row r="1764" spans="8:11" x14ac:dyDescent="0.35">
      <c r="H1764" s="34"/>
      <c r="I1764" s="34"/>
      <c r="J1764" s="34"/>
      <c r="K1764" s="34"/>
    </row>
    <row r="1765" spans="8:11" x14ac:dyDescent="0.35">
      <c r="H1765" s="34"/>
      <c r="I1765" s="34"/>
      <c r="J1765" s="34"/>
      <c r="K1765" s="34"/>
    </row>
    <row r="1766" spans="8:11" x14ac:dyDescent="0.35">
      <c r="H1766" s="34"/>
      <c r="I1766" s="34"/>
      <c r="J1766" s="34"/>
      <c r="K1766" s="34"/>
    </row>
    <row r="1767" spans="8:11" x14ac:dyDescent="0.35">
      <c r="H1767" s="34"/>
      <c r="I1767" s="34"/>
      <c r="J1767" s="34"/>
      <c r="K1767" s="34"/>
    </row>
    <row r="1768" spans="8:11" x14ac:dyDescent="0.35">
      <c r="H1768" s="34"/>
      <c r="I1768" s="34"/>
      <c r="J1768" s="34"/>
      <c r="K1768" s="34"/>
    </row>
    <row r="1769" spans="8:11" x14ac:dyDescent="0.35">
      <c r="H1769" s="34"/>
      <c r="I1769" s="34"/>
      <c r="J1769" s="34"/>
      <c r="K1769" s="34"/>
    </row>
    <row r="1770" spans="8:11" x14ac:dyDescent="0.35">
      <c r="H1770" s="34"/>
      <c r="I1770" s="34"/>
      <c r="J1770" s="34"/>
      <c r="K1770" s="34"/>
    </row>
    <row r="1771" spans="8:11" x14ac:dyDescent="0.35">
      <c r="H1771" s="34"/>
      <c r="I1771" s="34"/>
      <c r="J1771" s="34"/>
      <c r="K1771" s="34"/>
    </row>
    <row r="1772" spans="8:11" x14ac:dyDescent="0.35">
      <c r="H1772" s="34"/>
      <c r="I1772" s="34"/>
      <c r="J1772" s="34"/>
      <c r="K1772" s="34"/>
    </row>
    <row r="1773" spans="8:11" x14ac:dyDescent="0.35">
      <c r="H1773" s="34"/>
      <c r="I1773" s="34"/>
      <c r="J1773" s="34"/>
      <c r="K1773" s="34"/>
    </row>
    <row r="1774" spans="8:11" x14ac:dyDescent="0.35">
      <c r="H1774" s="34"/>
      <c r="I1774" s="34"/>
      <c r="J1774" s="34"/>
      <c r="K1774" s="34"/>
    </row>
    <row r="1775" spans="8:11" x14ac:dyDescent="0.35">
      <c r="H1775" s="34"/>
      <c r="I1775" s="34"/>
      <c r="J1775" s="34"/>
      <c r="K1775" s="34"/>
    </row>
    <row r="1776" spans="8:11" x14ac:dyDescent="0.35">
      <c r="H1776" s="34"/>
      <c r="I1776" s="34"/>
      <c r="J1776" s="34"/>
      <c r="K1776" s="34"/>
    </row>
    <row r="1777" spans="8:11" x14ac:dyDescent="0.35">
      <c r="H1777" s="34"/>
      <c r="I1777" s="34"/>
      <c r="J1777" s="34"/>
      <c r="K1777" s="34"/>
    </row>
    <row r="1778" spans="8:11" x14ac:dyDescent="0.35">
      <c r="H1778" s="34"/>
      <c r="I1778" s="34"/>
      <c r="J1778" s="34"/>
      <c r="K1778" s="34"/>
    </row>
    <row r="1779" spans="8:11" x14ac:dyDescent="0.35">
      <c r="H1779" s="34"/>
      <c r="I1779" s="34"/>
      <c r="J1779" s="34"/>
      <c r="K1779" s="34"/>
    </row>
    <row r="1780" spans="8:11" x14ac:dyDescent="0.35">
      <c r="H1780" s="34"/>
      <c r="I1780" s="34"/>
      <c r="J1780" s="34"/>
      <c r="K1780" s="34"/>
    </row>
    <row r="1781" spans="8:11" x14ac:dyDescent="0.35">
      <c r="H1781" s="34"/>
      <c r="I1781" s="34"/>
      <c r="J1781" s="34"/>
      <c r="K1781" s="34"/>
    </row>
    <row r="1782" spans="8:11" x14ac:dyDescent="0.35">
      <c r="H1782" s="34"/>
      <c r="I1782" s="34"/>
      <c r="J1782" s="34"/>
      <c r="K1782" s="34"/>
    </row>
    <row r="1783" spans="8:11" x14ac:dyDescent="0.35">
      <c r="H1783" s="34"/>
      <c r="I1783" s="34"/>
      <c r="J1783" s="34"/>
      <c r="K1783" s="34"/>
    </row>
    <row r="1784" spans="8:11" x14ac:dyDescent="0.35">
      <c r="H1784" s="34"/>
      <c r="I1784" s="34"/>
      <c r="J1784" s="34"/>
      <c r="K1784" s="34"/>
    </row>
    <row r="1785" spans="8:11" x14ac:dyDescent="0.35">
      <c r="H1785" s="34"/>
      <c r="I1785" s="34"/>
      <c r="J1785" s="34"/>
      <c r="K1785" s="34"/>
    </row>
    <row r="1786" spans="8:11" x14ac:dyDescent="0.35">
      <c r="H1786" s="34"/>
      <c r="I1786" s="34"/>
      <c r="J1786" s="34"/>
      <c r="K1786" s="34"/>
    </row>
    <row r="1787" spans="8:11" x14ac:dyDescent="0.35">
      <c r="H1787" s="34"/>
      <c r="I1787" s="34"/>
      <c r="J1787" s="34"/>
      <c r="K1787" s="34"/>
    </row>
    <row r="1788" spans="8:11" x14ac:dyDescent="0.35">
      <c r="H1788" s="34"/>
      <c r="I1788" s="34"/>
      <c r="J1788" s="34"/>
      <c r="K1788" s="34"/>
    </row>
    <row r="1789" spans="8:11" x14ac:dyDescent="0.35">
      <c r="H1789" s="34"/>
      <c r="I1789" s="34"/>
      <c r="J1789" s="34"/>
      <c r="K1789" s="34"/>
    </row>
    <row r="1790" spans="8:11" x14ac:dyDescent="0.35">
      <c r="H1790" s="34"/>
      <c r="I1790" s="34"/>
      <c r="J1790" s="34"/>
      <c r="K1790" s="34"/>
    </row>
    <row r="1791" spans="8:11" x14ac:dyDescent="0.35">
      <c r="H1791" s="34"/>
      <c r="I1791" s="34"/>
      <c r="J1791" s="34"/>
      <c r="K1791" s="34"/>
    </row>
    <row r="1792" spans="8:11" x14ac:dyDescent="0.35">
      <c r="H1792" s="34"/>
      <c r="I1792" s="34"/>
      <c r="J1792" s="34"/>
      <c r="K1792" s="34"/>
    </row>
    <row r="1793" spans="8:11" x14ac:dyDescent="0.35">
      <c r="H1793" s="34"/>
      <c r="I1793" s="34"/>
      <c r="J1793" s="34"/>
      <c r="K1793" s="34"/>
    </row>
    <row r="1794" spans="8:11" x14ac:dyDescent="0.35">
      <c r="H1794" s="34"/>
      <c r="I1794" s="34"/>
      <c r="J1794" s="34"/>
      <c r="K1794" s="34"/>
    </row>
    <row r="1795" spans="8:11" x14ac:dyDescent="0.35">
      <c r="H1795" s="34"/>
      <c r="I1795" s="34"/>
      <c r="J1795" s="34"/>
      <c r="K1795" s="34"/>
    </row>
    <row r="1796" spans="8:11" x14ac:dyDescent="0.35">
      <c r="H1796" s="34"/>
      <c r="I1796" s="34"/>
      <c r="J1796" s="34"/>
      <c r="K1796" s="34"/>
    </row>
    <row r="1797" spans="8:11" x14ac:dyDescent="0.35">
      <c r="H1797" s="34"/>
      <c r="I1797" s="34"/>
      <c r="J1797" s="34"/>
      <c r="K1797" s="34"/>
    </row>
    <row r="1798" spans="8:11" x14ac:dyDescent="0.35">
      <c r="H1798" s="34"/>
      <c r="I1798" s="34"/>
      <c r="J1798" s="34"/>
      <c r="K1798" s="34"/>
    </row>
    <row r="1799" spans="8:11" x14ac:dyDescent="0.35">
      <c r="H1799" s="34"/>
      <c r="I1799" s="34"/>
      <c r="J1799" s="34"/>
      <c r="K1799" s="34"/>
    </row>
    <row r="1800" spans="8:11" x14ac:dyDescent="0.35">
      <c r="H1800" s="34"/>
      <c r="I1800" s="34"/>
      <c r="J1800" s="34"/>
      <c r="K1800" s="34"/>
    </row>
    <row r="1801" spans="8:11" x14ac:dyDescent="0.35">
      <c r="H1801" s="34"/>
      <c r="I1801" s="34"/>
      <c r="J1801" s="34"/>
      <c r="K1801" s="34"/>
    </row>
    <row r="1802" spans="8:11" x14ac:dyDescent="0.35">
      <c r="H1802" s="34"/>
      <c r="I1802" s="34"/>
      <c r="J1802" s="34"/>
      <c r="K1802" s="34"/>
    </row>
    <row r="1803" spans="8:11" x14ac:dyDescent="0.35">
      <c r="H1803" s="34"/>
      <c r="I1803" s="34"/>
      <c r="J1803" s="34"/>
      <c r="K1803" s="34"/>
    </row>
    <row r="1804" spans="8:11" x14ac:dyDescent="0.35">
      <c r="H1804" s="34"/>
      <c r="I1804" s="34"/>
      <c r="J1804" s="34"/>
      <c r="K1804" s="34"/>
    </row>
    <row r="1805" spans="8:11" x14ac:dyDescent="0.35">
      <c r="H1805" s="34"/>
      <c r="I1805" s="34"/>
      <c r="J1805" s="34"/>
      <c r="K1805" s="34"/>
    </row>
    <row r="1806" spans="8:11" x14ac:dyDescent="0.35">
      <c r="H1806" s="34"/>
      <c r="I1806" s="34"/>
      <c r="J1806" s="34"/>
      <c r="K1806" s="34"/>
    </row>
    <row r="1807" spans="8:11" x14ac:dyDescent="0.35">
      <c r="H1807" s="34"/>
      <c r="I1807" s="34"/>
      <c r="J1807" s="34"/>
      <c r="K1807" s="34"/>
    </row>
    <row r="1808" spans="8:11" x14ac:dyDescent="0.35">
      <c r="H1808" s="34"/>
      <c r="I1808" s="34"/>
      <c r="J1808" s="34"/>
      <c r="K1808" s="34"/>
    </row>
    <row r="1809" spans="8:11" x14ac:dyDescent="0.35">
      <c r="H1809" s="34"/>
      <c r="I1809" s="34"/>
      <c r="J1809" s="34"/>
      <c r="K1809" s="34"/>
    </row>
    <row r="1810" spans="8:11" x14ac:dyDescent="0.35">
      <c r="H1810" s="34"/>
      <c r="I1810" s="34"/>
      <c r="J1810" s="34"/>
      <c r="K1810" s="34"/>
    </row>
    <row r="1811" spans="8:11" x14ac:dyDescent="0.35">
      <c r="H1811" s="34"/>
      <c r="I1811" s="34"/>
      <c r="J1811" s="34"/>
      <c r="K1811" s="34"/>
    </row>
    <row r="1812" spans="8:11" x14ac:dyDescent="0.35">
      <c r="H1812" s="34"/>
      <c r="I1812" s="34"/>
      <c r="J1812" s="34"/>
      <c r="K1812" s="34"/>
    </row>
    <row r="1813" spans="8:11" x14ac:dyDescent="0.35">
      <c r="H1813" s="34"/>
      <c r="I1813" s="34"/>
      <c r="J1813" s="34"/>
      <c r="K1813" s="34"/>
    </row>
    <row r="1814" spans="8:11" x14ac:dyDescent="0.35">
      <c r="H1814" s="34"/>
      <c r="I1814" s="34"/>
      <c r="J1814" s="34"/>
      <c r="K1814" s="34"/>
    </row>
    <row r="1815" spans="8:11" x14ac:dyDescent="0.35">
      <c r="H1815" s="34"/>
      <c r="I1815" s="34"/>
      <c r="J1815" s="34"/>
      <c r="K1815" s="34"/>
    </row>
    <row r="1816" spans="8:11" x14ac:dyDescent="0.35">
      <c r="H1816" s="34"/>
      <c r="I1816" s="34"/>
      <c r="J1816" s="34"/>
      <c r="K1816" s="34"/>
    </row>
    <row r="1817" spans="8:11" x14ac:dyDescent="0.35">
      <c r="H1817" s="34"/>
      <c r="I1817" s="34"/>
      <c r="J1817" s="34"/>
      <c r="K1817" s="34"/>
    </row>
    <row r="1818" spans="8:11" x14ac:dyDescent="0.35">
      <c r="H1818" s="34"/>
      <c r="I1818" s="34"/>
      <c r="J1818" s="34"/>
      <c r="K1818" s="34"/>
    </row>
    <row r="1819" spans="8:11" x14ac:dyDescent="0.35">
      <c r="H1819" s="34"/>
      <c r="I1819" s="34"/>
      <c r="J1819" s="34"/>
      <c r="K1819" s="34"/>
    </row>
    <row r="1820" spans="8:11" x14ac:dyDescent="0.35">
      <c r="H1820" s="34"/>
      <c r="I1820" s="34"/>
      <c r="J1820" s="34"/>
      <c r="K1820" s="34"/>
    </row>
    <row r="1821" spans="8:11" x14ac:dyDescent="0.35">
      <c r="H1821" s="34"/>
      <c r="I1821" s="34"/>
      <c r="J1821" s="34"/>
      <c r="K1821" s="34"/>
    </row>
    <row r="1822" spans="8:11" x14ac:dyDescent="0.35">
      <c r="H1822" s="34"/>
      <c r="I1822" s="34"/>
      <c r="J1822" s="34"/>
      <c r="K1822" s="34"/>
    </row>
    <row r="1823" spans="8:11" x14ac:dyDescent="0.35">
      <c r="H1823" s="34"/>
      <c r="I1823" s="34"/>
      <c r="J1823" s="34"/>
      <c r="K1823" s="34"/>
    </row>
    <row r="1824" spans="8:11" x14ac:dyDescent="0.35">
      <c r="H1824" s="34"/>
      <c r="I1824" s="34"/>
      <c r="J1824" s="34"/>
      <c r="K1824" s="34"/>
    </row>
    <row r="1825" spans="8:11" x14ac:dyDescent="0.35">
      <c r="H1825" s="34"/>
      <c r="I1825" s="34"/>
      <c r="J1825" s="34"/>
      <c r="K1825" s="34"/>
    </row>
    <row r="1826" spans="8:11" x14ac:dyDescent="0.35">
      <c r="H1826" s="34"/>
      <c r="I1826" s="34"/>
      <c r="J1826" s="34"/>
      <c r="K1826" s="34"/>
    </row>
    <row r="1827" spans="8:11" x14ac:dyDescent="0.35">
      <c r="H1827" s="34"/>
      <c r="I1827" s="34"/>
      <c r="J1827" s="34"/>
      <c r="K1827" s="34"/>
    </row>
    <row r="1828" spans="8:11" x14ac:dyDescent="0.35">
      <c r="H1828" s="34"/>
      <c r="I1828" s="34"/>
      <c r="J1828" s="34"/>
      <c r="K1828" s="34"/>
    </row>
    <row r="1829" spans="8:11" x14ac:dyDescent="0.35">
      <c r="H1829" s="34"/>
      <c r="I1829" s="34"/>
      <c r="J1829" s="34"/>
      <c r="K1829" s="34"/>
    </row>
    <row r="1830" spans="8:11" x14ac:dyDescent="0.35">
      <c r="H1830" s="34"/>
      <c r="I1830" s="34"/>
      <c r="J1830" s="34"/>
      <c r="K1830" s="34"/>
    </row>
    <row r="1831" spans="8:11" x14ac:dyDescent="0.35">
      <c r="H1831" s="34"/>
      <c r="I1831" s="34"/>
      <c r="J1831" s="34"/>
      <c r="K1831" s="34"/>
    </row>
    <row r="1832" spans="8:11" x14ac:dyDescent="0.35">
      <c r="H1832" s="34"/>
      <c r="I1832" s="34"/>
      <c r="J1832" s="34"/>
      <c r="K1832" s="34"/>
    </row>
    <row r="1833" spans="8:11" x14ac:dyDescent="0.35">
      <c r="H1833" s="34"/>
      <c r="I1833" s="34"/>
      <c r="J1833" s="34"/>
      <c r="K1833" s="34"/>
    </row>
    <row r="1834" spans="8:11" x14ac:dyDescent="0.35">
      <c r="H1834" s="34"/>
      <c r="I1834" s="34"/>
      <c r="J1834" s="34"/>
      <c r="K1834" s="34"/>
    </row>
    <row r="1835" spans="8:11" x14ac:dyDescent="0.35">
      <c r="H1835" s="34"/>
      <c r="I1835" s="34"/>
      <c r="J1835" s="34"/>
      <c r="K1835" s="34"/>
    </row>
    <row r="1836" spans="8:11" x14ac:dyDescent="0.35">
      <c r="H1836" s="34"/>
      <c r="I1836" s="34"/>
      <c r="J1836" s="34"/>
      <c r="K1836" s="34"/>
    </row>
    <row r="1837" spans="8:11" x14ac:dyDescent="0.35">
      <c r="H1837" s="34"/>
      <c r="I1837" s="34"/>
      <c r="J1837" s="34"/>
      <c r="K1837" s="34"/>
    </row>
    <row r="1838" spans="8:11" x14ac:dyDescent="0.35">
      <c r="H1838" s="34"/>
      <c r="I1838" s="34"/>
      <c r="J1838" s="34"/>
      <c r="K1838" s="34"/>
    </row>
    <row r="1839" spans="8:11" x14ac:dyDescent="0.35">
      <c r="H1839" s="34"/>
      <c r="I1839" s="34"/>
      <c r="J1839" s="34"/>
      <c r="K1839" s="34"/>
    </row>
    <row r="1840" spans="8:11" x14ac:dyDescent="0.35">
      <c r="H1840" s="34"/>
      <c r="I1840" s="34"/>
      <c r="J1840" s="34"/>
      <c r="K1840" s="34"/>
    </row>
    <row r="1841" spans="8:11" x14ac:dyDescent="0.35">
      <c r="H1841" s="34"/>
      <c r="I1841" s="34"/>
      <c r="J1841" s="34"/>
      <c r="K1841" s="34"/>
    </row>
    <row r="1842" spans="8:11" x14ac:dyDescent="0.35">
      <c r="H1842" s="34"/>
      <c r="I1842" s="34"/>
      <c r="J1842" s="34"/>
      <c r="K1842" s="34"/>
    </row>
    <row r="1843" spans="8:11" x14ac:dyDescent="0.35">
      <c r="H1843" s="34"/>
      <c r="I1843" s="34"/>
      <c r="J1843" s="34"/>
      <c r="K1843" s="34"/>
    </row>
    <row r="1844" spans="8:11" x14ac:dyDescent="0.35">
      <c r="H1844" s="34"/>
      <c r="I1844" s="34"/>
      <c r="J1844" s="34"/>
      <c r="K1844" s="34"/>
    </row>
    <row r="1845" spans="8:11" x14ac:dyDescent="0.35">
      <c r="H1845" s="34"/>
      <c r="I1845" s="34"/>
      <c r="J1845" s="34"/>
      <c r="K1845" s="34"/>
    </row>
    <row r="1846" spans="8:11" x14ac:dyDescent="0.35">
      <c r="H1846" s="34"/>
      <c r="I1846" s="34"/>
      <c r="J1846" s="34"/>
      <c r="K1846" s="34"/>
    </row>
    <row r="1847" spans="8:11" x14ac:dyDescent="0.35">
      <c r="H1847" s="34"/>
      <c r="I1847" s="34"/>
      <c r="J1847" s="34"/>
      <c r="K1847" s="34"/>
    </row>
    <row r="1848" spans="8:11" x14ac:dyDescent="0.35">
      <c r="H1848" s="34"/>
      <c r="I1848" s="34"/>
      <c r="J1848" s="34"/>
      <c r="K1848" s="34"/>
    </row>
    <row r="1849" spans="8:11" x14ac:dyDescent="0.35">
      <c r="H1849" s="34"/>
      <c r="I1849" s="34"/>
      <c r="J1849" s="34"/>
      <c r="K1849" s="34"/>
    </row>
    <row r="1850" spans="8:11" x14ac:dyDescent="0.35">
      <c r="H1850" s="34"/>
      <c r="I1850" s="34"/>
      <c r="J1850" s="34"/>
      <c r="K1850" s="34"/>
    </row>
    <row r="1851" spans="8:11" x14ac:dyDescent="0.35">
      <c r="H1851" s="34"/>
      <c r="I1851" s="34"/>
      <c r="J1851" s="34"/>
      <c r="K1851" s="34"/>
    </row>
    <row r="1852" spans="8:11" x14ac:dyDescent="0.35">
      <c r="H1852" s="34"/>
      <c r="I1852" s="34"/>
      <c r="J1852" s="34"/>
      <c r="K1852" s="34"/>
    </row>
    <row r="1853" spans="8:11" x14ac:dyDescent="0.35">
      <c r="H1853" s="34"/>
      <c r="I1853" s="34"/>
      <c r="J1853" s="34"/>
      <c r="K1853" s="34"/>
    </row>
    <row r="1854" spans="8:11" x14ac:dyDescent="0.35">
      <c r="H1854" s="34"/>
      <c r="I1854" s="34"/>
      <c r="J1854" s="34"/>
      <c r="K1854" s="34"/>
    </row>
    <row r="1855" spans="8:11" x14ac:dyDescent="0.35">
      <c r="H1855" s="34"/>
      <c r="I1855" s="34"/>
      <c r="J1855" s="34"/>
      <c r="K1855" s="34"/>
    </row>
    <row r="1856" spans="8:11" x14ac:dyDescent="0.35">
      <c r="H1856" s="34"/>
      <c r="I1856" s="34"/>
      <c r="J1856" s="34"/>
      <c r="K1856" s="34"/>
    </row>
    <row r="1857" spans="8:11" x14ac:dyDescent="0.35">
      <c r="H1857" s="34"/>
      <c r="I1857" s="34"/>
      <c r="J1857" s="34"/>
      <c r="K1857" s="34"/>
    </row>
    <row r="1858" spans="8:11" x14ac:dyDescent="0.35">
      <c r="H1858" s="34"/>
      <c r="I1858" s="34"/>
      <c r="J1858" s="34"/>
      <c r="K1858" s="34"/>
    </row>
    <row r="1859" spans="8:11" x14ac:dyDescent="0.35">
      <c r="H1859" s="34"/>
      <c r="I1859" s="34"/>
      <c r="J1859" s="34"/>
      <c r="K1859" s="34"/>
    </row>
    <row r="1860" spans="8:11" x14ac:dyDescent="0.35">
      <c r="H1860" s="34"/>
      <c r="I1860" s="34"/>
      <c r="J1860" s="34"/>
      <c r="K1860" s="34"/>
    </row>
    <row r="1861" spans="8:11" x14ac:dyDescent="0.35">
      <c r="H1861" s="34"/>
      <c r="I1861" s="34"/>
      <c r="J1861" s="34"/>
      <c r="K1861" s="34"/>
    </row>
    <row r="1862" spans="8:11" x14ac:dyDescent="0.35">
      <c r="H1862" s="34"/>
      <c r="I1862" s="34"/>
      <c r="J1862" s="34"/>
      <c r="K1862" s="34"/>
    </row>
    <row r="1863" spans="8:11" x14ac:dyDescent="0.35">
      <c r="H1863" s="34"/>
      <c r="I1863" s="34"/>
      <c r="J1863" s="34"/>
      <c r="K1863" s="34"/>
    </row>
    <row r="1864" spans="8:11" x14ac:dyDescent="0.35">
      <c r="H1864" s="34"/>
      <c r="I1864" s="34"/>
      <c r="J1864" s="34"/>
      <c r="K1864" s="34"/>
    </row>
    <row r="1865" spans="8:11" x14ac:dyDescent="0.35">
      <c r="H1865" s="34"/>
      <c r="I1865" s="34"/>
      <c r="J1865" s="34"/>
      <c r="K1865" s="34"/>
    </row>
    <row r="1866" spans="8:11" x14ac:dyDescent="0.35">
      <c r="H1866" s="34"/>
      <c r="I1866" s="34"/>
      <c r="J1866" s="34"/>
      <c r="K1866" s="34"/>
    </row>
    <row r="1867" spans="8:11" x14ac:dyDescent="0.35">
      <c r="H1867" s="34"/>
      <c r="I1867" s="34"/>
      <c r="J1867" s="34"/>
      <c r="K1867" s="34"/>
    </row>
    <row r="1868" spans="8:11" x14ac:dyDescent="0.35">
      <c r="H1868" s="34"/>
      <c r="I1868" s="34"/>
      <c r="J1868" s="34"/>
      <c r="K1868" s="34"/>
    </row>
    <row r="1869" spans="8:11" x14ac:dyDescent="0.35">
      <c r="H1869" s="34"/>
      <c r="I1869" s="34"/>
      <c r="J1869" s="34"/>
      <c r="K1869" s="34"/>
    </row>
    <row r="1870" spans="8:11" x14ac:dyDescent="0.35">
      <c r="H1870" s="34"/>
      <c r="I1870" s="34"/>
      <c r="J1870" s="34"/>
      <c r="K1870" s="34"/>
    </row>
    <row r="1871" spans="8:11" x14ac:dyDescent="0.35">
      <c r="H1871" s="34"/>
      <c r="I1871" s="34"/>
      <c r="J1871" s="34"/>
      <c r="K1871" s="34"/>
    </row>
    <row r="1872" spans="8:11" x14ac:dyDescent="0.35">
      <c r="H1872" s="34"/>
      <c r="I1872" s="34"/>
      <c r="J1872" s="34"/>
      <c r="K1872" s="34"/>
    </row>
    <row r="1873" spans="8:11" x14ac:dyDescent="0.35">
      <c r="H1873" s="34"/>
      <c r="I1873" s="34"/>
      <c r="J1873" s="34"/>
      <c r="K1873" s="34"/>
    </row>
    <row r="1874" spans="8:11" x14ac:dyDescent="0.35">
      <c r="H1874" s="34"/>
      <c r="I1874" s="34"/>
      <c r="J1874" s="34"/>
      <c r="K1874" s="34"/>
    </row>
    <row r="1875" spans="8:11" x14ac:dyDescent="0.35">
      <c r="H1875" s="34"/>
      <c r="I1875" s="34"/>
      <c r="J1875" s="34"/>
      <c r="K1875" s="34"/>
    </row>
    <row r="1876" spans="8:11" x14ac:dyDescent="0.35">
      <c r="H1876" s="34"/>
      <c r="I1876" s="34"/>
      <c r="J1876" s="34"/>
      <c r="K1876" s="34"/>
    </row>
    <row r="1877" spans="8:11" x14ac:dyDescent="0.35">
      <c r="H1877" s="34"/>
      <c r="I1877" s="34"/>
      <c r="J1877" s="34"/>
      <c r="K1877" s="34"/>
    </row>
    <row r="1878" spans="8:11" x14ac:dyDescent="0.35">
      <c r="H1878" s="34"/>
      <c r="I1878" s="34"/>
      <c r="J1878" s="34"/>
      <c r="K1878" s="34"/>
    </row>
    <row r="1879" spans="8:11" x14ac:dyDescent="0.35">
      <c r="H1879" s="34"/>
      <c r="I1879" s="34"/>
      <c r="J1879" s="34"/>
      <c r="K1879" s="34"/>
    </row>
    <row r="1880" spans="8:11" x14ac:dyDescent="0.35">
      <c r="H1880" s="34"/>
      <c r="I1880" s="34"/>
      <c r="J1880" s="34"/>
      <c r="K1880" s="34"/>
    </row>
    <row r="1881" spans="8:11" x14ac:dyDescent="0.35">
      <c r="H1881" s="34"/>
      <c r="I1881" s="34"/>
      <c r="J1881" s="34"/>
      <c r="K1881" s="34"/>
    </row>
    <row r="1882" spans="8:11" x14ac:dyDescent="0.35">
      <c r="H1882" s="34"/>
      <c r="I1882" s="34"/>
      <c r="J1882" s="34"/>
      <c r="K1882" s="34"/>
    </row>
    <row r="1883" spans="8:11" x14ac:dyDescent="0.35">
      <c r="H1883" s="34"/>
      <c r="I1883" s="34"/>
      <c r="J1883" s="34"/>
      <c r="K1883" s="34"/>
    </row>
    <row r="1884" spans="8:11" x14ac:dyDescent="0.35">
      <c r="H1884" s="34"/>
      <c r="I1884" s="34"/>
      <c r="J1884" s="34"/>
      <c r="K1884" s="34"/>
    </row>
    <row r="1885" spans="8:11" x14ac:dyDescent="0.35">
      <c r="H1885" s="34"/>
      <c r="I1885" s="34"/>
      <c r="J1885" s="34"/>
      <c r="K1885" s="34"/>
    </row>
    <row r="1886" spans="8:11" x14ac:dyDescent="0.35">
      <c r="H1886" s="34"/>
      <c r="I1886" s="34"/>
      <c r="J1886" s="34"/>
      <c r="K1886" s="34"/>
    </row>
    <row r="1887" spans="8:11" x14ac:dyDescent="0.35">
      <c r="H1887" s="34"/>
      <c r="I1887" s="34"/>
      <c r="J1887" s="34"/>
      <c r="K1887" s="34"/>
    </row>
    <row r="1888" spans="8:11" x14ac:dyDescent="0.35">
      <c r="H1888" s="34"/>
      <c r="I1888" s="34"/>
      <c r="J1888" s="34"/>
      <c r="K1888" s="34"/>
    </row>
    <row r="1889" spans="8:11" x14ac:dyDescent="0.35">
      <c r="H1889" s="34"/>
      <c r="I1889" s="34"/>
      <c r="J1889" s="34"/>
      <c r="K1889" s="34"/>
    </row>
    <row r="1890" spans="8:11" x14ac:dyDescent="0.35">
      <c r="H1890" s="34"/>
      <c r="I1890" s="34"/>
      <c r="J1890" s="34"/>
      <c r="K1890" s="34"/>
    </row>
    <row r="1891" spans="8:11" x14ac:dyDescent="0.35">
      <c r="H1891" s="34"/>
      <c r="I1891" s="34"/>
      <c r="J1891" s="34"/>
      <c r="K1891" s="34"/>
    </row>
    <row r="1892" spans="8:11" x14ac:dyDescent="0.35">
      <c r="H1892" s="34"/>
      <c r="I1892" s="34"/>
      <c r="J1892" s="34"/>
      <c r="K1892" s="34"/>
    </row>
    <row r="1893" spans="8:11" x14ac:dyDescent="0.35">
      <c r="H1893" s="34"/>
      <c r="I1893" s="34"/>
      <c r="J1893" s="34"/>
      <c r="K1893" s="34"/>
    </row>
    <row r="1894" spans="8:11" x14ac:dyDescent="0.35">
      <c r="H1894" s="34"/>
      <c r="I1894" s="34"/>
      <c r="J1894" s="34"/>
      <c r="K1894" s="34"/>
    </row>
    <row r="1895" spans="8:11" x14ac:dyDescent="0.35">
      <c r="H1895" s="34"/>
      <c r="I1895" s="34"/>
      <c r="J1895" s="34"/>
      <c r="K1895" s="34"/>
    </row>
    <row r="1896" spans="8:11" x14ac:dyDescent="0.35">
      <c r="H1896" s="34"/>
      <c r="I1896" s="34"/>
      <c r="J1896" s="34"/>
      <c r="K1896" s="34"/>
    </row>
    <row r="1897" spans="8:11" x14ac:dyDescent="0.35">
      <c r="H1897" s="34"/>
      <c r="I1897" s="34"/>
      <c r="J1897" s="34"/>
      <c r="K1897" s="34"/>
    </row>
    <row r="1898" spans="8:11" x14ac:dyDescent="0.35">
      <c r="H1898" s="34"/>
      <c r="I1898" s="34"/>
      <c r="J1898" s="34"/>
      <c r="K1898" s="34"/>
    </row>
    <row r="1899" spans="8:11" x14ac:dyDescent="0.35">
      <c r="H1899" s="34"/>
      <c r="I1899" s="34"/>
      <c r="J1899" s="34"/>
      <c r="K1899" s="34"/>
    </row>
    <row r="1900" spans="8:11" x14ac:dyDescent="0.35">
      <c r="H1900" s="34"/>
      <c r="I1900" s="34"/>
      <c r="J1900" s="34"/>
      <c r="K1900" s="34"/>
    </row>
    <row r="1901" spans="8:11" x14ac:dyDescent="0.35">
      <c r="H1901" s="34"/>
      <c r="I1901" s="34"/>
      <c r="J1901" s="34"/>
      <c r="K1901" s="34"/>
    </row>
    <row r="1902" spans="8:11" x14ac:dyDescent="0.35">
      <c r="H1902" s="34"/>
      <c r="I1902" s="34"/>
      <c r="J1902" s="34"/>
      <c r="K1902" s="34"/>
    </row>
    <row r="1903" spans="8:11" x14ac:dyDescent="0.35">
      <c r="H1903" s="34"/>
      <c r="I1903" s="34"/>
      <c r="J1903" s="34"/>
      <c r="K1903" s="34"/>
    </row>
    <row r="1904" spans="8:11" x14ac:dyDescent="0.35">
      <c r="H1904" s="34"/>
      <c r="I1904" s="34"/>
      <c r="J1904" s="34"/>
      <c r="K1904" s="34"/>
    </row>
    <row r="1905" spans="8:11" x14ac:dyDescent="0.35">
      <c r="H1905" s="34"/>
      <c r="I1905" s="34"/>
      <c r="J1905" s="34"/>
      <c r="K1905" s="34"/>
    </row>
    <row r="1906" spans="8:11" x14ac:dyDescent="0.35">
      <c r="H1906" s="34"/>
      <c r="I1906" s="34"/>
      <c r="J1906" s="34"/>
      <c r="K1906" s="34"/>
    </row>
    <row r="1907" spans="8:11" x14ac:dyDescent="0.35">
      <c r="H1907" s="34"/>
      <c r="I1907" s="34"/>
      <c r="J1907" s="34"/>
      <c r="K1907" s="34"/>
    </row>
    <row r="1908" spans="8:11" x14ac:dyDescent="0.35">
      <c r="H1908" s="34"/>
      <c r="I1908" s="34"/>
      <c r="J1908" s="34"/>
      <c r="K1908" s="34"/>
    </row>
    <row r="1909" spans="8:11" x14ac:dyDescent="0.35">
      <c r="H1909" s="34"/>
      <c r="I1909" s="34"/>
      <c r="J1909" s="34"/>
      <c r="K1909" s="34"/>
    </row>
    <row r="1910" spans="8:11" x14ac:dyDescent="0.35">
      <c r="H1910" s="34"/>
      <c r="I1910" s="34"/>
      <c r="J1910" s="34"/>
      <c r="K1910" s="34"/>
    </row>
    <row r="1911" spans="8:11" x14ac:dyDescent="0.35">
      <c r="H1911" s="34"/>
      <c r="I1911" s="34"/>
      <c r="J1911" s="34"/>
      <c r="K1911" s="34"/>
    </row>
    <row r="1912" spans="8:11" x14ac:dyDescent="0.35">
      <c r="H1912" s="34"/>
      <c r="I1912" s="34"/>
      <c r="J1912" s="34"/>
      <c r="K1912" s="34"/>
    </row>
    <row r="1913" spans="8:11" x14ac:dyDescent="0.35">
      <c r="H1913" s="34"/>
      <c r="I1913" s="34"/>
      <c r="J1913" s="34"/>
      <c r="K1913" s="34"/>
    </row>
    <row r="1914" spans="8:11" x14ac:dyDescent="0.35">
      <c r="H1914" s="34"/>
      <c r="I1914" s="34"/>
      <c r="J1914" s="34"/>
      <c r="K1914" s="34"/>
    </row>
    <row r="1915" spans="8:11" x14ac:dyDescent="0.35">
      <c r="H1915" s="34"/>
      <c r="I1915" s="34"/>
      <c r="J1915" s="34"/>
      <c r="K1915" s="34"/>
    </row>
    <row r="1916" spans="8:11" x14ac:dyDescent="0.35">
      <c r="H1916" s="34"/>
      <c r="I1916" s="34"/>
      <c r="J1916" s="34"/>
      <c r="K1916" s="34"/>
    </row>
    <row r="1917" spans="8:11" x14ac:dyDescent="0.35">
      <c r="H1917" s="34"/>
      <c r="I1917" s="34"/>
      <c r="J1917" s="34"/>
      <c r="K1917" s="34"/>
    </row>
    <row r="1918" spans="8:11" x14ac:dyDescent="0.35">
      <c r="H1918" s="34"/>
      <c r="I1918" s="34"/>
      <c r="J1918" s="34"/>
      <c r="K1918" s="34"/>
    </row>
    <row r="1919" spans="8:11" x14ac:dyDescent="0.35">
      <c r="H1919" s="34"/>
      <c r="I1919" s="34"/>
      <c r="J1919" s="34"/>
      <c r="K1919" s="34"/>
    </row>
    <row r="1920" spans="8:11" x14ac:dyDescent="0.35">
      <c r="H1920" s="34"/>
      <c r="I1920" s="34"/>
      <c r="J1920" s="34"/>
      <c r="K1920" s="34"/>
    </row>
    <row r="1921" spans="8:11" x14ac:dyDescent="0.35">
      <c r="H1921" s="34"/>
      <c r="I1921" s="34"/>
      <c r="J1921" s="34"/>
      <c r="K1921" s="34"/>
    </row>
    <row r="1922" spans="8:11" x14ac:dyDescent="0.35">
      <c r="H1922" s="34"/>
      <c r="I1922" s="34"/>
      <c r="J1922" s="34"/>
      <c r="K1922" s="34"/>
    </row>
    <row r="1923" spans="8:11" x14ac:dyDescent="0.35">
      <c r="H1923" s="34"/>
      <c r="I1923" s="34"/>
      <c r="J1923" s="34"/>
      <c r="K1923" s="34"/>
    </row>
    <row r="1924" spans="8:11" x14ac:dyDescent="0.35">
      <c r="H1924" s="34"/>
      <c r="I1924" s="34"/>
      <c r="J1924" s="34"/>
      <c r="K1924" s="34"/>
    </row>
    <row r="1925" spans="8:11" x14ac:dyDescent="0.35">
      <c r="H1925" s="34"/>
      <c r="I1925" s="34"/>
      <c r="J1925" s="34"/>
      <c r="K1925" s="34"/>
    </row>
    <row r="1926" spans="8:11" x14ac:dyDescent="0.35">
      <c r="H1926" s="34"/>
      <c r="I1926" s="34"/>
      <c r="J1926" s="34"/>
      <c r="K1926" s="34"/>
    </row>
    <row r="1927" spans="8:11" x14ac:dyDescent="0.35">
      <c r="H1927" s="34"/>
      <c r="I1927" s="34"/>
      <c r="J1927" s="34"/>
      <c r="K1927" s="34"/>
    </row>
    <row r="1928" spans="8:11" x14ac:dyDescent="0.35">
      <c r="H1928" s="34"/>
      <c r="I1928" s="34"/>
      <c r="J1928" s="34"/>
      <c r="K1928" s="34"/>
    </row>
    <row r="1929" spans="8:11" x14ac:dyDescent="0.35">
      <c r="H1929" s="34"/>
      <c r="I1929" s="34"/>
      <c r="J1929" s="34"/>
      <c r="K1929" s="34"/>
    </row>
    <row r="1930" spans="8:11" x14ac:dyDescent="0.35">
      <c r="H1930" s="34"/>
      <c r="I1930" s="34"/>
      <c r="J1930" s="34"/>
      <c r="K1930" s="34"/>
    </row>
    <row r="1931" spans="8:11" x14ac:dyDescent="0.35">
      <c r="H1931" s="34"/>
      <c r="I1931" s="34"/>
      <c r="J1931" s="34"/>
      <c r="K1931" s="34"/>
    </row>
    <row r="1932" spans="8:11" x14ac:dyDescent="0.35">
      <c r="H1932" s="34"/>
      <c r="I1932" s="34"/>
      <c r="J1932" s="34"/>
      <c r="K1932" s="34"/>
    </row>
    <row r="1933" spans="8:11" x14ac:dyDescent="0.35">
      <c r="H1933" s="34"/>
      <c r="I1933" s="34"/>
      <c r="J1933" s="34"/>
      <c r="K1933" s="34"/>
    </row>
    <row r="1934" spans="8:11" x14ac:dyDescent="0.35">
      <c r="H1934" s="34"/>
      <c r="I1934" s="34"/>
      <c r="J1934" s="34"/>
      <c r="K1934" s="34"/>
    </row>
    <row r="1935" spans="8:11" x14ac:dyDescent="0.35">
      <c r="H1935" s="34"/>
      <c r="I1935" s="34"/>
      <c r="J1935" s="34"/>
      <c r="K1935" s="34"/>
    </row>
    <row r="1936" spans="8:11" x14ac:dyDescent="0.35">
      <c r="H1936" s="34"/>
      <c r="I1936" s="34"/>
      <c r="J1936" s="34"/>
      <c r="K1936" s="34"/>
    </row>
    <row r="1937" spans="8:11" x14ac:dyDescent="0.35">
      <c r="H1937" s="34"/>
      <c r="I1937" s="34"/>
      <c r="J1937" s="34"/>
      <c r="K1937" s="34"/>
    </row>
    <row r="1938" spans="8:11" x14ac:dyDescent="0.35">
      <c r="H1938" s="34"/>
      <c r="I1938" s="34"/>
      <c r="J1938" s="34"/>
      <c r="K1938" s="34"/>
    </row>
    <row r="1939" spans="8:11" x14ac:dyDescent="0.35">
      <c r="H1939" s="34"/>
      <c r="I1939" s="34"/>
      <c r="J1939" s="34"/>
      <c r="K1939" s="34"/>
    </row>
    <row r="1940" spans="8:11" x14ac:dyDescent="0.35">
      <c r="H1940" s="34"/>
      <c r="I1940" s="34"/>
      <c r="J1940" s="34"/>
      <c r="K1940" s="34"/>
    </row>
    <row r="1941" spans="8:11" x14ac:dyDescent="0.35">
      <c r="H1941" s="34"/>
      <c r="I1941" s="34"/>
      <c r="J1941" s="34"/>
      <c r="K1941" s="34"/>
    </row>
    <row r="1942" spans="8:11" x14ac:dyDescent="0.35">
      <c r="H1942" s="34"/>
      <c r="I1942" s="34"/>
      <c r="J1942" s="34"/>
      <c r="K1942" s="34"/>
    </row>
    <row r="1943" spans="8:11" x14ac:dyDescent="0.35">
      <c r="H1943" s="34"/>
      <c r="I1943" s="34"/>
      <c r="J1943" s="34"/>
      <c r="K1943" s="34"/>
    </row>
    <row r="1944" spans="8:11" x14ac:dyDescent="0.35">
      <c r="H1944" s="34"/>
      <c r="I1944" s="34"/>
      <c r="J1944" s="34"/>
      <c r="K1944" s="34"/>
    </row>
    <row r="1945" spans="8:11" x14ac:dyDescent="0.35">
      <c r="H1945" s="34"/>
      <c r="I1945" s="34"/>
      <c r="J1945" s="34"/>
      <c r="K1945" s="34"/>
    </row>
    <row r="1946" spans="8:11" x14ac:dyDescent="0.35">
      <c r="H1946" s="34"/>
      <c r="I1946" s="34"/>
      <c r="J1946" s="34"/>
      <c r="K1946" s="34"/>
    </row>
    <row r="1947" spans="8:11" x14ac:dyDescent="0.35">
      <c r="H1947" s="34"/>
      <c r="I1947" s="34"/>
      <c r="J1947" s="34"/>
      <c r="K1947" s="34"/>
    </row>
    <row r="1948" spans="8:11" x14ac:dyDescent="0.35">
      <c r="H1948" s="34"/>
      <c r="I1948" s="34"/>
      <c r="J1948" s="34"/>
      <c r="K1948" s="34"/>
    </row>
    <row r="1949" spans="8:11" x14ac:dyDescent="0.35">
      <c r="H1949" s="34"/>
      <c r="I1949" s="34"/>
      <c r="J1949" s="34"/>
      <c r="K1949" s="34"/>
    </row>
    <row r="1950" spans="8:11" x14ac:dyDescent="0.35">
      <c r="H1950" s="34"/>
      <c r="I1950" s="34"/>
      <c r="J1950" s="34"/>
      <c r="K1950" s="34"/>
    </row>
    <row r="1951" spans="8:11" x14ac:dyDescent="0.35">
      <c r="H1951" s="34"/>
      <c r="I1951" s="34"/>
      <c r="J1951" s="34"/>
      <c r="K1951" s="34"/>
    </row>
    <row r="1952" spans="8:11" x14ac:dyDescent="0.35">
      <c r="H1952" s="34"/>
      <c r="I1952" s="34"/>
      <c r="J1952" s="34"/>
      <c r="K1952" s="34"/>
    </row>
    <row r="1953" spans="8:11" x14ac:dyDescent="0.35">
      <c r="H1953" s="34"/>
      <c r="I1953" s="34"/>
      <c r="J1953" s="34"/>
      <c r="K1953" s="34"/>
    </row>
    <row r="1954" spans="8:11" x14ac:dyDescent="0.35">
      <c r="H1954" s="34"/>
      <c r="I1954" s="34"/>
      <c r="J1954" s="34"/>
      <c r="K1954" s="34"/>
    </row>
    <row r="1955" spans="8:11" x14ac:dyDescent="0.35">
      <c r="H1955" s="34"/>
      <c r="I1955" s="34"/>
      <c r="J1955" s="34"/>
      <c r="K1955" s="34"/>
    </row>
    <row r="1956" spans="8:11" x14ac:dyDescent="0.35">
      <c r="H1956" s="34"/>
      <c r="I1956" s="34"/>
      <c r="J1956" s="34"/>
      <c r="K1956" s="34"/>
    </row>
    <row r="1957" spans="8:11" x14ac:dyDescent="0.35">
      <c r="H1957" s="34"/>
      <c r="I1957" s="34"/>
      <c r="J1957" s="34"/>
      <c r="K1957" s="34"/>
    </row>
    <row r="1958" spans="8:11" x14ac:dyDescent="0.35">
      <c r="H1958" s="34"/>
      <c r="I1958" s="34"/>
      <c r="J1958" s="34"/>
      <c r="K1958" s="34"/>
    </row>
    <row r="1959" spans="8:11" x14ac:dyDescent="0.35">
      <c r="H1959" s="34"/>
      <c r="I1959" s="34"/>
      <c r="J1959" s="34"/>
      <c r="K1959" s="34"/>
    </row>
    <row r="1960" spans="8:11" x14ac:dyDescent="0.35">
      <c r="H1960" s="34"/>
      <c r="I1960" s="34"/>
      <c r="J1960" s="34"/>
      <c r="K1960" s="34"/>
    </row>
    <row r="1961" spans="8:11" x14ac:dyDescent="0.35">
      <c r="H1961" s="34"/>
      <c r="I1961" s="34"/>
      <c r="J1961" s="34"/>
      <c r="K1961" s="34"/>
    </row>
    <row r="1962" spans="8:11" x14ac:dyDescent="0.35">
      <c r="H1962" s="34"/>
      <c r="I1962" s="34"/>
      <c r="J1962" s="34"/>
      <c r="K1962" s="34"/>
    </row>
    <row r="1963" spans="8:11" x14ac:dyDescent="0.35">
      <c r="H1963" s="34"/>
      <c r="I1963" s="34"/>
      <c r="J1963" s="34"/>
      <c r="K1963" s="34"/>
    </row>
    <row r="1964" spans="8:11" x14ac:dyDescent="0.35">
      <c r="H1964" s="34"/>
      <c r="I1964" s="34"/>
      <c r="J1964" s="34"/>
      <c r="K1964" s="34"/>
    </row>
    <row r="1965" spans="8:11" x14ac:dyDescent="0.35">
      <c r="H1965" s="34"/>
      <c r="I1965" s="34"/>
      <c r="J1965" s="34"/>
      <c r="K1965" s="34"/>
    </row>
    <row r="1966" spans="8:11" x14ac:dyDescent="0.35">
      <c r="H1966" s="34"/>
      <c r="I1966" s="34"/>
      <c r="J1966" s="34"/>
      <c r="K1966" s="34"/>
    </row>
    <row r="1967" spans="8:11" x14ac:dyDescent="0.35">
      <c r="H1967" s="34"/>
      <c r="I1967" s="34"/>
      <c r="J1967" s="34"/>
      <c r="K1967" s="34"/>
    </row>
    <row r="1968" spans="8:11" x14ac:dyDescent="0.35">
      <c r="H1968" s="34"/>
      <c r="I1968" s="34"/>
      <c r="J1968" s="34"/>
      <c r="K1968" s="34"/>
    </row>
    <row r="1969" spans="8:11" x14ac:dyDescent="0.35">
      <c r="H1969" s="34"/>
      <c r="I1969" s="34"/>
      <c r="J1969" s="34"/>
      <c r="K1969" s="34"/>
    </row>
    <row r="1970" spans="8:11" x14ac:dyDescent="0.35">
      <c r="H1970" s="34"/>
      <c r="I1970" s="34"/>
      <c r="J1970" s="34"/>
      <c r="K1970" s="34"/>
    </row>
    <row r="1971" spans="8:11" x14ac:dyDescent="0.35">
      <c r="H1971" s="34"/>
      <c r="I1971" s="34"/>
      <c r="J1971" s="34"/>
      <c r="K1971" s="34"/>
    </row>
    <row r="1972" spans="8:11" x14ac:dyDescent="0.35">
      <c r="H1972" s="34"/>
      <c r="I1972" s="34"/>
      <c r="J1972" s="34"/>
      <c r="K1972" s="34"/>
    </row>
    <row r="1973" spans="8:11" x14ac:dyDescent="0.35">
      <c r="H1973" s="34"/>
      <c r="I1973" s="34"/>
      <c r="J1973" s="34"/>
      <c r="K1973" s="34"/>
    </row>
    <row r="1974" spans="8:11" x14ac:dyDescent="0.35">
      <c r="H1974" s="34"/>
      <c r="I1974" s="34"/>
      <c r="J1974" s="34"/>
      <c r="K1974" s="34"/>
    </row>
    <row r="1975" spans="8:11" x14ac:dyDescent="0.35">
      <c r="H1975" s="34"/>
      <c r="I1975" s="34"/>
      <c r="J1975" s="34"/>
      <c r="K1975" s="34"/>
    </row>
    <row r="1976" spans="8:11" x14ac:dyDescent="0.35">
      <c r="H1976" s="34"/>
      <c r="I1976" s="34"/>
      <c r="J1976" s="34"/>
      <c r="K1976" s="34"/>
    </row>
    <row r="1977" spans="8:11" x14ac:dyDescent="0.35">
      <c r="H1977" s="34"/>
      <c r="I1977" s="34"/>
      <c r="J1977" s="34"/>
      <c r="K1977" s="34"/>
    </row>
    <row r="1978" spans="8:11" x14ac:dyDescent="0.35">
      <c r="H1978" s="34"/>
      <c r="I1978" s="34"/>
      <c r="J1978" s="34"/>
      <c r="K1978" s="34"/>
    </row>
    <row r="1979" spans="8:11" x14ac:dyDescent="0.35">
      <c r="H1979" s="34"/>
      <c r="I1979" s="34"/>
      <c r="J1979" s="34"/>
      <c r="K1979" s="34"/>
    </row>
    <row r="1980" spans="8:11" x14ac:dyDescent="0.35">
      <c r="H1980" s="34"/>
      <c r="I1980" s="34"/>
      <c r="J1980" s="34"/>
      <c r="K1980" s="34"/>
    </row>
    <row r="1981" spans="8:11" x14ac:dyDescent="0.35">
      <c r="H1981" s="34"/>
      <c r="I1981" s="34"/>
      <c r="J1981" s="34"/>
      <c r="K1981" s="34"/>
    </row>
    <row r="1982" spans="8:11" x14ac:dyDescent="0.35">
      <c r="H1982" s="34"/>
      <c r="I1982" s="34"/>
      <c r="J1982" s="34"/>
      <c r="K1982" s="34"/>
    </row>
    <row r="1983" spans="8:11" x14ac:dyDescent="0.35">
      <c r="H1983" s="34"/>
      <c r="I1983" s="34"/>
      <c r="J1983" s="34"/>
      <c r="K1983" s="34"/>
    </row>
    <row r="1984" spans="8:11" x14ac:dyDescent="0.35">
      <c r="H1984" s="34"/>
      <c r="I1984" s="34"/>
      <c r="J1984" s="34"/>
      <c r="K1984" s="34"/>
    </row>
    <row r="1985" spans="8:11" x14ac:dyDescent="0.35">
      <c r="H1985" s="34"/>
      <c r="I1985" s="34"/>
      <c r="J1985" s="34"/>
      <c r="K1985" s="34"/>
    </row>
    <row r="1986" spans="8:11" x14ac:dyDescent="0.35">
      <c r="H1986" s="34"/>
      <c r="I1986" s="34"/>
      <c r="J1986" s="34"/>
      <c r="K1986" s="34"/>
    </row>
    <row r="1987" spans="8:11" x14ac:dyDescent="0.35">
      <c r="H1987" s="34"/>
      <c r="I1987" s="34"/>
      <c r="J1987" s="34"/>
      <c r="K1987" s="34"/>
    </row>
    <row r="1988" spans="8:11" x14ac:dyDescent="0.35">
      <c r="H1988" s="34"/>
      <c r="I1988" s="34"/>
      <c r="J1988" s="34"/>
      <c r="K1988" s="34"/>
    </row>
    <row r="1989" spans="8:11" x14ac:dyDescent="0.35">
      <c r="H1989" s="34"/>
      <c r="I1989" s="34"/>
      <c r="J1989" s="34"/>
      <c r="K1989" s="34"/>
    </row>
    <row r="1990" spans="8:11" x14ac:dyDescent="0.35">
      <c r="H1990" s="34"/>
      <c r="I1990" s="34"/>
      <c r="J1990" s="34"/>
      <c r="K1990" s="34"/>
    </row>
    <row r="1991" spans="8:11" x14ac:dyDescent="0.35">
      <c r="H1991" s="34"/>
      <c r="I1991" s="34"/>
      <c r="J1991" s="34"/>
      <c r="K1991" s="34"/>
    </row>
    <row r="1992" spans="8:11" x14ac:dyDescent="0.35">
      <c r="H1992" s="34"/>
      <c r="I1992" s="34"/>
      <c r="J1992" s="34"/>
      <c r="K1992" s="34"/>
    </row>
    <row r="1993" spans="8:11" x14ac:dyDescent="0.35">
      <c r="H1993" s="34"/>
      <c r="I1993" s="34"/>
      <c r="J1993" s="34"/>
      <c r="K1993" s="34"/>
    </row>
    <row r="1994" spans="8:11" x14ac:dyDescent="0.35">
      <c r="H1994" s="34"/>
      <c r="I1994" s="34"/>
      <c r="J1994" s="34"/>
      <c r="K1994" s="34"/>
    </row>
    <row r="1995" spans="8:11" x14ac:dyDescent="0.35">
      <c r="H1995" s="34"/>
      <c r="I1995" s="34"/>
      <c r="J1995" s="34"/>
      <c r="K1995" s="34"/>
    </row>
    <row r="1996" spans="8:11" x14ac:dyDescent="0.35">
      <c r="H1996" s="34"/>
      <c r="I1996" s="34"/>
      <c r="J1996" s="34"/>
      <c r="K1996" s="34"/>
    </row>
    <row r="1997" spans="8:11" x14ac:dyDescent="0.35">
      <c r="H1997" s="34"/>
      <c r="I1997" s="34"/>
      <c r="J1997" s="34"/>
      <c r="K1997" s="34"/>
    </row>
    <row r="1998" spans="8:11" x14ac:dyDescent="0.35">
      <c r="H1998" s="34"/>
      <c r="I1998" s="34"/>
      <c r="J1998" s="34"/>
      <c r="K1998" s="34"/>
    </row>
    <row r="1999" spans="8:11" x14ac:dyDescent="0.35">
      <c r="H1999" s="34"/>
      <c r="I1999" s="34"/>
      <c r="J1999" s="34"/>
      <c r="K1999" s="34"/>
    </row>
    <row r="2000" spans="8:11" x14ac:dyDescent="0.35">
      <c r="H2000" s="34"/>
      <c r="I2000" s="34"/>
      <c r="J2000" s="34"/>
      <c r="K2000" s="34"/>
    </row>
    <row r="2001" spans="8:10" x14ac:dyDescent="0.35">
      <c r="H2001" s="34"/>
      <c r="I2001" s="34"/>
      <c r="J2001" s="34"/>
    </row>
  </sheetData>
  <mergeCells count="2">
    <mergeCell ref="A2:F2"/>
    <mergeCell ref="A1:F1"/>
  </mergeCells>
  <pageMargins left="0.4" right="0.4" top="0.4" bottom="0.4" header="0.5" footer="0.5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J12"/>
  <sheetViews>
    <sheetView zoomScale="70" zoomScaleNormal="70" workbookViewId="0">
      <pane ySplit="4" topLeftCell="A5" activePane="bottomLeft" state="frozen"/>
      <selection pane="bottomLeft" activeCell="H14" sqref="H14"/>
    </sheetView>
  </sheetViews>
  <sheetFormatPr defaultRowHeight="14.5" x14ac:dyDescent="0.3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10" ht="30" customHeight="1" x14ac:dyDescent="0.35">
      <c r="A1" s="53" t="s">
        <v>3024</v>
      </c>
      <c r="B1" s="48"/>
      <c r="C1" s="48"/>
      <c r="D1" s="48"/>
      <c r="E1" s="48"/>
      <c r="F1" s="48"/>
    </row>
    <row r="2" spans="1:10" x14ac:dyDescent="0.35">
      <c r="A2" s="54" t="s">
        <v>2971</v>
      </c>
      <c r="B2" s="48"/>
      <c r="C2" s="48"/>
      <c r="D2" s="48"/>
      <c r="E2" s="48"/>
      <c r="F2" s="48"/>
    </row>
    <row r="4" spans="1:10" ht="24" customHeight="1" x14ac:dyDescent="0.35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10" ht="42" customHeight="1" x14ac:dyDescent="0.35">
      <c r="A5" s="16" t="s">
        <v>2972</v>
      </c>
      <c r="B5" s="17" t="s">
        <v>2973</v>
      </c>
      <c r="C5" s="18">
        <v>4</v>
      </c>
      <c r="D5" s="19" t="s">
        <v>2974</v>
      </c>
      <c r="E5" s="20">
        <v>1314107</v>
      </c>
      <c r="F5" s="21" t="s">
        <v>2956</v>
      </c>
      <c r="J5" s="34"/>
    </row>
    <row r="6" spans="1:10" ht="42" customHeight="1" x14ac:dyDescent="0.35">
      <c r="A6" s="16" t="s">
        <v>2975</v>
      </c>
      <c r="B6" s="17" t="s">
        <v>2976</v>
      </c>
      <c r="C6" s="18">
        <v>4</v>
      </c>
      <c r="D6" s="19" t="s">
        <v>2977</v>
      </c>
      <c r="E6" s="20">
        <v>1138649</v>
      </c>
      <c r="F6" s="21" t="s">
        <v>2956</v>
      </c>
    </row>
    <row r="7" spans="1:10" ht="42" customHeight="1" x14ac:dyDescent="0.35">
      <c r="A7" s="16" t="s">
        <v>2978</v>
      </c>
      <c r="B7" s="17" t="s">
        <v>2979</v>
      </c>
      <c r="C7" s="18">
        <v>4</v>
      </c>
      <c r="D7" s="19" t="s">
        <v>2980</v>
      </c>
      <c r="E7" s="46">
        <v>0.14019999999999999</v>
      </c>
      <c r="F7" s="21" t="s">
        <v>2981</v>
      </c>
      <c r="J7" s="34"/>
    </row>
    <row r="8" spans="1:10" ht="42" customHeight="1" x14ac:dyDescent="0.35">
      <c r="A8" s="16" t="s">
        <v>2982</v>
      </c>
      <c r="B8" s="17" t="s">
        <v>2983</v>
      </c>
      <c r="C8" s="18">
        <v>4</v>
      </c>
      <c r="D8" s="19" t="s">
        <v>2984</v>
      </c>
      <c r="E8" s="20">
        <v>6459443</v>
      </c>
      <c r="F8" s="21" t="s">
        <v>2956</v>
      </c>
    </row>
    <row r="9" spans="1:10" ht="42" customHeight="1" x14ac:dyDescent="0.35">
      <c r="A9" s="16" t="s">
        <v>2985</v>
      </c>
      <c r="B9" s="17" t="s">
        <v>2986</v>
      </c>
      <c r="C9" s="18">
        <v>4</v>
      </c>
      <c r="D9" s="19" t="s">
        <v>2987</v>
      </c>
      <c r="E9" s="46">
        <v>0.51590000000000003</v>
      </c>
      <c r="F9" s="21" t="s">
        <v>2981</v>
      </c>
      <c r="J9" s="38"/>
    </row>
    <row r="12" spans="1:10" x14ac:dyDescent="0.35">
      <c r="J12" s="38"/>
    </row>
  </sheetData>
  <mergeCells count="2">
    <mergeCell ref="A2:F2"/>
    <mergeCell ref="A1:F1"/>
  </mergeCells>
  <pageMargins left="0.4" right="0.4" top="0.4" bottom="0.4" header="0.5" footer="0.5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F13"/>
  <sheetViews>
    <sheetView tabSelected="1" topLeftCell="D1" zoomScale="78" workbookViewId="0">
      <pane ySplit="4" topLeftCell="A5" activePane="bottomLeft" state="frozen"/>
      <selection pane="bottomLeft" activeCell="J9" sqref="J9"/>
    </sheetView>
  </sheetViews>
  <sheetFormatPr defaultRowHeight="14.5" x14ac:dyDescent="0.3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5">
      <c r="A1" s="53" t="s">
        <v>3025</v>
      </c>
      <c r="B1" s="48"/>
      <c r="C1" s="48"/>
      <c r="D1" s="48"/>
      <c r="E1" s="48"/>
      <c r="F1" s="48"/>
    </row>
    <row r="2" spans="1:6" x14ac:dyDescent="0.35">
      <c r="A2" s="54" t="s">
        <v>2988</v>
      </c>
      <c r="B2" s="48"/>
      <c r="C2" s="48"/>
      <c r="D2" s="48"/>
      <c r="E2" s="48"/>
      <c r="F2" s="48"/>
    </row>
    <row r="4" spans="1:6" ht="24" customHeight="1" x14ac:dyDescent="0.35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 x14ac:dyDescent="0.35">
      <c r="A5" s="16" t="s">
        <v>2989</v>
      </c>
      <c r="B5" s="17" t="s">
        <v>2990</v>
      </c>
      <c r="C5" s="18">
        <v>2</v>
      </c>
      <c r="D5" s="19" t="s">
        <v>2991</v>
      </c>
      <c r="E5" s="20" t="s">
        <v>2857</v>
      </c>
      <c r="F5" s="21" t="s">
        <v>2911</v>
      </c>
    </row>
    <row r="6" spans="1:6" ht="42" customHeight="1" x14ac:dyDescent="0.35">
      <c r="A6" s="16" t="s">
        <v>2992</v>
      </c>
      <c r="B6" s="17" t="s">
        <v>2993</v>
      </c>
      <c r="C6" s="18">
        <v>2</v>
      </c>
      <c r="D6" s="19" t="s">
        <v>2994</v>
      </c>
      <c r="E6" s="57">
        <v>18050690</v>
      </c>
      <c r="F6" s="21" t="s">
        <v>2956</v>
      </c>
    </row>
    <row r="7" spans="1:6" ht="42" customHeight="1" x14ac:dyDescent="0.35">
      <c r="A7" s="16" t="s">
        <v>2995</v>
      </c>
      <c r="B7" s="17" t="s">
        <v>2996</v>
      </c>
      <c r="C7" s="18">
        <v>3</v>
      </c>
      <c r="D7" s="19" t="s">
        <v>2997</v>
      </c>
      <c r="E7" s="20" t="str">
        <f>VLOOKUP("PROD-003",Products!$A:$B,2,FALSE)</f>
        <v>Smart Watch</v>
      </c>
      <c r="F7" s="21" t="s">
        <v>2911</v>
      </c>
    </row>
    <row r="8" spans="1:6" ht="42" customHeight="1" x14ac:dyDescent="0.35">
      <c r="A8" s="16" t="s">
        <v>2998</v>
      </c>
      <c r="B8" s="17" t="s">
        <v>2999</v>
      </c>
      <c r="C8" s="18">
        <v>2</v>
      </c>
      <c r="D8" s="19" t="s">
        <v>3000</v>
      </c>
      <c r="E8" s="20"/>
      <c r="F8" s="21" t="s">
        <v>2911</v>
      </c>
    </row>
    <row r="9" spans="1:6" ht="42" customHeight="1" x14ac:dyDescent="0.35">
      <c r="A9" s="16" t="s">
        <v>3001</v>
      </c>
      <c r="B9" s="17" t="s">
        <v>3002</v>
      </c>
      <c r="C9" s="18">
        <v>1</v>
      </c>
      <c r="D9" s="19" t="s">
        <v>3003</v>
      </c>
      <c r="E9" s="20"/>
      <c r="F9" s="21" t="s">
        <v>2956</v>
      </c>
    </row>
    <row r="12" spans="1:6" x14ac:dyDescent="0.35">
      <c r="E12" s="56">
        <v>18050690</v>
      </c>
    </row>
    <row r="13" spans="1:6" x14ac:dyDescent="0.35">
      <c r="E13" s="56"/>
    </row>
  </sheetData>
  <mergeCells count="2">
    <mergeCell ref="A2:F2"/>
    <mergeCell ref="A1:F1"/>
  </mergeCells>
  <pageMargins left="0.4" right="0.4" top="0.4" bottom="0.4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10</vt:i4>
      </vt:variant>
    </vt:vector>
  </HeadingPairs>
  <TitlesOfParts>
    <vt:vector size="24" baseType="lpstr">
      <vt:lpstr>README</vt:lpstr>
      <vt:lpstr>Sheet1</vt:lpstr>
      <vt:lpstr>Sheet2</vt:lpstr>
      <vt:lpstr>Orders</vt:lpstr>
      <vt:lpstr>Customers</vt:lpstr>
      <vt:lpstr>Products</vt:lpstr>
      <vt:lpstr>Sales_Reps</vt:lpstr>
      <vt:lpstr>Sheet3</vt:lpstr>
      <vt:lpstr>Targets</vt:lpstr>
      <vt:lpstr>Q1_Lookups</vt:lpstr>
      <vt:lpstr>Q2_Cleaning</vt:lpstr>
      <vt:lpstr>Q3_Aggregation</vt:lpstr>
      <vt:lpstr>Q4_Pivot</vt:lpstr>
      <vt:lpstr>Q5_Advanced</vt:lpstr>
      <vt:lpstr>Customers!Print_Area</vt:lpstr>
      <vt:lpstr>Orders!Print_Area</vt:lpstr>
      <vt:lpstr>Products!Print_Area</vt:lpstr>
      <vt:lpstr>Sales_Reps!Print_Area</vt:lpstr>
      <vt:lpstr>Targets!Print_Area</vt:lpstr>
      <vt:lpstr>Customers!Print_Titles</vt:lpstr>
      <vt:lpstr>Orders!Print_Titles</vt:lpstr>
      <vt:lpstr>Products!Print_Titles</vt:lpstr>
      <vt:lpstr>Sales_Reps!Print_Titles</vt:lpstr>
      <vt:lpstr>Targets!Print_Titles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2026-08-08T11:39:42Z</dcterms:created>
  <dcterms:modified xsi:type="dcterms:W3CDTF">2026-09-18T16:49:44Z</dcterms:modified>
</cp:coreProperties>
</file>